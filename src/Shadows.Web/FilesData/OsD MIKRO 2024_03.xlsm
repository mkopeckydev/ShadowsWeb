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d\Pravidla\MIKRO\"/>
    </mc:Choice>
  </mc:AlternateContent>
  <bookViews>
    <workbookView xWindow="120" yWindow="108" windowWidth="18960" windowHeight="6552" tabRatio="928" activeTab="8"/>
  </bookViews>
  <sheets>
    <sheet name="1-Postava" sheetId="6" r:id="rId1"/>
    <sheet name="2-Znalosti" sheetId="28" r:id="rId2"/>
    <sheet name="3-Evidence" sheetId="16" r:id="rId3"/>
    <sheet name="Rasy" sheetId="19" state="hidden" r:id="rId4"/>
    <sheet name="Povolání" sheetId="20" state="hidden" r:id="rId5"/>
    <sheet name="SHOP" sheetId="22" r:id="rId6"/>
    <sheet name="Věci" sheetId="31" state="hidden" r:id="rId7"/>
    <sheet name="Koncept" sheetId="30" state="hidden" r:id="rId8"/>
    <sheet name="Změny" sheetId="23" r:id="rId9"/>
    <sheet name="Schopnosti" sheetId="24" state="hidden" r:id="rId10"/>
  </sheets>
  <definedNames>
    <definedName name="_xlnm._FilterDatabase" localSheetId="1" hidden="1">'2-Znalosti'!#REF!</definedName>
    <definedName name="_xlnm._FilterDatabase" localSheetId="5" hidden="1">SHOP!$A$8:$E$273</definedName>
    <definedName name="_xlnm._FilterDatabase" localSheetId="9" hidden="1">Schopnosti!$A$2:$C$284</definedName>
    <definedName name="_xlnm._FilterDatabase" localSheetId="6" hidden="1">Věci!$A$17:$N$82</definedName>
    <definedName name="Akrobacie">'2-Znalosti'!$C$3</definedName>
    <definedName name="BOJ_DRCENÍ">'2-Znalosti'!$E$9</definedName>
    <definedName name="BOJ_KOPÍ">'2-Znalosti'!$E$6</definedName>
    <definedName name="BOJ_NOŽE">'2-Znalosti'!$E$7</definedName>
    <definedName name="BOJ_Střelba">'2-Znalosti'!$E$20</definedName>
    <definedName name="BOJ_ŠERM">'2-Znalosti'!$E$22</definedName>
    <definedName name="BOJ_VRH">'2-Znalosti'!$E$24</definedName>
    <definedName name="BOJ_ZÁPAS">'2-Znalosti'!$E$27</definedName>
    <definedName name="COPY_BONUSY">'1-Postava'!$J$19:$P$24</definedName>
    <definedName name="COPY_DOVEDNOSTI">'2-Znalosti'!$B$3:$B$31</definedName>
    <definedName name="COPY_HLAVA">'2-Znalosti'!$B$64:$E$66</definedName>
    <definedName name="COPY_JMENO">'1-Postava'!$E$2</definedName>
    <definedName name="COPY_KDE">'1-Postava'!$E$30:$F$35</definedName>
    <definedName name="COPY_KRK">'2-Znalosti'!$B$69:$E$71</definedName>
    <definedName name="COPY_KZ_PLUS">'1-Postava'!$P$54</definedName>
    <definedName name="COPY_MAGENERGIE">'1-Postava'!$I$4</definedName>
    <definedName name="COPY_O_ZBRANICH">'1-Postava'!$L$30:$P$35</definedName>
    <definedName name="COPY_OU_PLUS">'1-Postava'!$P$40</definedName>
    <definedName name="COPY_POVOLANI">'1-Postava'!$B$2</definedName>
    <definedName name="COPY_PRESVEDCENI">'1-Postava'!$N$2</definedName>
    <definedName name="COPY_PROCENTA">'1-Postava'!$J$22:$O$24</definedName>
    <definedName name="COPY_RASA">'1-Postava'!$B$3</definedName>
    <definedName name="COPY_RODNY_JAZYK">'2-Znalosti'!$A$29:$B$29</definedName>
    <definedName name="COPY_SATY">'2-Znalosti'!$B$55:$E$55</definedName>
    <definedName name="COPY_TORNA">'2-Znalosti'!$G$6:$K$51</definedName>
    <definedName name="COPY_VAHA">'1-Postava'!$N$4</definedName>
    <definedName name="COPY_VIRA">'1-Postava'!#REF!</definedName>
    <definedName name="COPY_VYSKA">'1-Postava'!$N$3</definedName>
    <definedName name="COPY_ZADA">'2-Znalosti'!$H$5:$K$5</definedName>
    <definedName name="COPY_Zapas">'2-Znalosti'!$B$27</definedName>
    <definedName name="COPY_ZBRAN1">'1-Postava'!$B$37</definedName>
    <definedName name="COPY_ZBRAN2A">'1-Postava'!$B$44</definedName>
    <definedName name="COPY_ZBRAN3">'1-Postava'!$H$37</definedName>
    <definedName name="COPY_ZBRAN4">'1-Postava'!$I$44</definedName>
    <definedName name="COPY_ZBRAN5">'1-Postava'!$B$51</definedName>
    <definedName name="COPY_ZBRAN6">'1-Postava'!$I$51</definedName>
    <definedName name="COPY_ZBRANE">'1-Postava'!$A$30:$B$35</definedName>
    <definedName name="COPY_ZBROJ">'1-Postava'!$A$26</definedName>
    <definedName name="Dovednosti_data1">'2-Znalosti'!$A$2:$D$31</definedName>
    <definedName name="_xlnm.Extract" localSheetId="1">'2-Znalosti'!$AE$5:$AG$5</definedName>
    <definedName name="CHAR">'1-Postava'!$F$12</definedName>
    <definedName name="INT">'1-Postava'!$F$10</definedName>
    <definedName name="_xlnm.Criteria" localSheetId="1">'2-Znalosti'!$AE$2:$AE$3</definedName>
    <definedName name="_xlnm.Print_Area" localSheetId="0">'1-Postava'!$A$1:$Q$58</definedName>
    <definedName name="_xlnm.Print_Area" localSheetId="1">'2-Znalosti'!$A$1:$K$72</definedName>
    <definedName name="_xlnm.Print_Area" localSheetId="5">SHOP!$A$1:$K$273</definedName>
    <definedName name="OBR">'1-Postava'!$F$8</definedName>
    <definedName name="ODL">'1-Postava'!$E$15</definedName>
    <definedName name="RCH" comment="Rychlost postavy">'1-Postava'!$D$16</definedName>
    <definedName name="Seznam_povolání">OFFSET('1-Postava'!$AH$6,0,0,40-COUNT('1-Postava'!$AH$6:$AH$45),1)</definedName>
    <definedName name="Seznam_rasy">OFFSET('1-Postava'!$AB$6,0,0,17-COUNT('1-Postava'!$AB$6:$AB$22),1)</definedName>
    <definedName name="SEZNAM1" comment="Seznam schopností pro roletku">OFFSET('2-Znalosti'!$AE$6,0,0,COUNTA('2-Znalosti'!$AE$6:$AE$102),1)</definedName>
    <definedName name="Schopnosti_Data" comment="Přehled schopností všech povolání">Schopnosti!$A$2:$C$284</definedName>
    <definedName name="sChr" comment="Stupeň charismy">'1-Postava'!$E$12</definedName>
    <definedName name="SIL" comment="Oprava za sílu">'1-Postava'!$F$7</definedName>
    <definedName name="sInt">'1-Postava'!$E$10</definedName>
    <definedName name="SMS">'1-Postava'!$D$17</definedName>
    <definedName name="sObr">'1-Postava'!$E$8</definedName>
    <definedName name="sSil">'1-Postava'!$E$7</definedName>
    <definedName name="sVol">'1-Postava'!$E$11</definedName>
    <definedName name="sZrč">'1-Postava'!$E$9</definedName>
    <definedName name="VOL" comment="Oprava za vůli">'1-Postava'!$F$11</definedName>
    <definedName name="ZRČ" comment="Oprava za zručnost">'1-Postava'!$F$9</definedName>
  </definedNames>
  <calcPr calcId="162913"/>
</workbook>
</file>

<file path=xl/calcChain.xml><?xml version="1.0" encoding="utf-8"?>
<calcChain xmlns="http://schemas.openxmlformats.org/spreadsheetml/2006/main">
  <c r="AH28" i="6" l="1"/>
  <c r="AH29" i="6"/>
  <c r="AH30" i="6"/>
  <c r="E28" i="28"/>
  <c r="P54" i="6" l="1"/>
  <c r="P40" i="6"/>
  <c r="J54" i="6" l="1"/>
  <c r="K54" i="6"/>
  <c r="L54" i="6"/>
  <c r="I54" i="6"/>
  <c r="J53" i="6"/>
  <c r="K53" i="6"/>
  <c r="L53" i="6"/>
  <c r="I53" i="6"/>
  <c r="J47" i="6"/>
  <c r="K47" i="6"/>
  <c r="L47" i="6"/>
  <c r="I47" i="6"/>
  <c r="J46" i="6"/>
  <c r="K46" i="6"/>
  <c r="L46" i="6"/>
  <c r="I46" i="6"/>
  <c r="J40" i="6"/>
  <c r="K40" i="6"/>
  <c r="L40" i="6"/>
  <c r="I40" i="6"/>
  <c r="J39" i="6"/>
  <c r="K39" i="6"/>
  <c r="L39" i="6"/>
  <c r="I39" i="6"/>
  <c r="E54" i="6"/>
  <c r="C54" i="6"/>
  <c r="D54" i="6"/>
  <c r="B54" i="6"/>
  <c r="E53" i="6"/>
  <c r="C53" i="6"/>
  <c r="D53" i="6"/>
  <c r="B53" i="6"/>
  <c r="C46" i="6"/>
  <c r="C39" i="6"/>
  <c r="C40" i="6"/>
  <c r="B40" i="6"/>
  <c r="B39" i="6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73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58" i="22"/>
  <c r="D148" i="22"/>
  <c r="D149" i="22"/>
  <c r="D150" i="22"/>
  <c r="D151" i="22"/>
  <c r="D152" i="22"/>
  <c r="D153" i="22"/>
  <c r="D154" i="22"/>
  <c r="D155" i="22"/>
  <c r="D156" i="22"/>
  <c r="D147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32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10" i="22"/>
  <c r="D102" i="22"/>
  <c r="D103" i="22"/>
  <c r="D104" i="22"/>
  <c r="D105" i="22"/>
  <c r="D106" i="22"/>
  <c r="D107" i="22"/>
  <c r="D108" i="22"/>
  <c r="D101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82" i="22"/>
  <c r="D78" i="22"/>
  <c r="D79" i="22"/>
  <c r="D80" i="22"/>
  <c r="D77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35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11" i="22"/>
  <c r="D12" i="22"/>
  <c r="D13" i="22"/>
  <c r="D14" i="22"/>
  <c r="D15" i="22"/>
  <c r="D16" i="22"/>
  <c r="D17" i="22"/>
  <c r="D18" i="22"/>
  <c r="D19" i="22"/>
  <c r="D20" i="22"/>
  <c r="D10" i="22"/>
  <c r="K3" i="28" l="1"/>
  <c r="I4" i="28" s="1"/>
  <c r="A34" i="28"/>
  <c r="B34" i="28" s="1"/>
  <c r="C13" i="28"/>
  <c r="C11" i="28"/>
  <c r="C4" i="28"/>
  <c r="C5" i="28"/>
  <c r="C6" i="28"/>
  <c r="C7" i="28"/>
  <c r="C8" i="28"/>
  <c r="C9" i="28"/>
  <c r="C10" i="28"/>
  <c r="C12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3" i="28"/>
  <c r="P39" i="6" s="1"/>
  <c r="C7" i="6"/>
  <c r="E7" i="6" s="1"/>
  <c r="C8" i="6"/>
  <c r="E8" i="6" s="1"/>
  <c r="C9" i="6"/>
  <c r="E9" i="6" s="1"/>
  <c r="C10" i="6"/>
  <c r="E10" i="6" s="1"/>
  <c r="B29" i="28" s="1"/>
  <c r="C11" i="6"/>
  <c r="E11" i="6" s="1"/>
  <c r="C12" i="6"/>
  <c r="E12" i="6" s="1"/>
  <c r="C4" i="6"/>
  <c r="AH6" i="6"/>
  <c r="AB7" i="6"/>
  <c r="AH7" i="6"/>
  <c r="AB8" i="6"/>
  <c r="AH8" i="6"/>
  <c r="AB9" i="6"/>
  <c r="AH9" i="6"/>
  <c r="AB10" i="6"/>
  <c r="AH10" i="6"/>
  <c r="AB11" i="6"/>
  <c r="AH11" i="6"/>
  <c r="AB12" i="6"/>
  <c r="AH12" i="6"/>
  <c r="AB13" i="6"/>
  <c r="AH13" i="6"/>
  <c r="AB14" i="6"/>
  <c r="AH14" i="6"/>
  <c r="AB15" i="6"/>
  <c r="AH15" i="6"/>
  <c r="AB16" i="6"/>
  <c r="AH16" i="6"/>
  <c r="AB17" i="6"/>
  <c r="AH17" i="6"/>
  <c r="AB18" i="6"/>
  <c r="AH18" i="6"/>
  <c r="AB19" i="6"/>
  <c r="AH19" i="6"/>
  <c r="AB20" i="6"/>
  <c r="AH20" i="6"/>
  <c r="AB21" i="6"/>
  <c r="AH21" i="6"/>
  <c r="AB22" i="6"/>
  <c r="AH22" i="6"/>
  <c r="AH23" i="6"/>
  <c r="AH24" i="6"/>
  <c r="AH25" i="6"/>
  <c r="AH26" i="6"/>
  <c r="AH27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C28" i="28" l="1"/>
  <c r="C16" i="6"/>
  <c r="C15" i="6"/>
  <c r="F4" i="6" s="1"/>
  <c r="C17" i="6"/>
  <c r="D17" i="6" s="1"/>
  <c r="N16" i="19" l="1"/>
  <c r="O16" i="19"/>
  <c r="P16" i="19"/>
  <c r="Q16" i="19"/>
  <c r="N15" i="19"/>
  <c r="O15" i="19"/>
  <c r="P15" i="19"/>
  <c r="Q15" i="19"/>
  <c r="S16" i="19"/>
  <c r="S15" i="19"/>
  <c r="P46" i="6" l="1"/>
  <c r="C5" i="22" l="1"/>
  <c r="A35" i="28"/>
  <c r="B35" i="28" s="1"/>
  <c r="A36" i="28"/>
  <c r="B36" i="28" s="1"/>
  <c r="A37" i="28"/>
  <c r="B37" i="28" s="1"/>
  <c r="A38" i="28"/>
  <c r="B38" i="28" s="1"/>
  <c r="A39" i="28"/>
  <c r="B39" i="28" s="1"/>
  <c r="A40" i="28"/>
  <c r="B40" i="28" s="1"/>
  <c r="A41" i="28"/>
  <c r="B41" i="28" s="1"/>
  <c r="A42" i="28"/>
  <c r="B42" i="28" s="1"/>
  <c r="A43" i="28"/>
  <c r="B43" i="28" s="1"/>
  <c r="A44" i="28"/>
  <c r="B44" i="28" s="1"/>
  <c r="A45" i="28"/>
  <c r="B45" i="28" s="1"/>
  <c r="A46" i="28"/>
  <c r="B46" i="28" s="1"/>
  <c r="A47" i="28"/>
  <c r="B47" i="28" s="1"/>
  <c r="A48" i="28"/>
  <c r="B48" i="28" s="1"/>
  <c r="A49" i="28"/>
  <c r="B49" i="28" s="1"/>
  <c r="A50" i="28"/>
  <c r="B50" i="28" s="1"/>
  <c r="A51" i="28"/>
  <c r="B51" i="28" s="1"/>
  <c r="A52" i="28"/>
  <c r="B52" i="28" s="1"/>
  <c r="A53" i="28"/>
  <c r="B53" i="28" s="1"/>
  <c r="S5" i="19" l="1"/>
  <c r="Q5" i="19"/>
  <c r="P5" i="19"/>
  <c r="O5" i="19"/>
  <c r="N5" i="19"/>
  <c r="AE3" i="28" l="1"/>
  <c r="AD3" i="28" s="1"/>
  <c r="Q11" i="28"/>
  <c r="Q12" i="28"/>
  <c r="Q13" i="28"/>
  <c r="Q10" i="28"/>
  <c r="C47" i="6"/>
  <c r="D47" i="6"/>
  <c r="E47" i="6"/>
  <c r="B47" i="6"/>
  <c r="D40" i="6"/>
  <c r="E40" i="6"/>
  <c r="H26" i="6"/>
  <c r="E26" i="6"/>
  <c r="D26" i="6"/>
  <c r="P53" i="6" s="1"/>
  <c r="P55" i="6" l="1"/>
  <c r="S8" i="19" l="1"/>
  <c r="Q8" i="19"/>
  <c r="P8" i="19"/>
  <c r="O8" i="19"/>
  <c r="N8" i="19"/>
  <c r="N9" i="19" l="1"/>
  <c r="S11" i="19" l="1"/>
  <c r="S12" i="19"/>
  <c r="S13" i="19"/>
  <c r="S14" i="19"/>
  <c r="S17" i="19"/>
  <c r="S18" i="19"/>
  <c r="S6" i="19" l="1"/>
  <c r="S7" i="19"/>
  <c r="S9" i="19"/>
  <c r="S10" i="19"/>
  <c r="S19" i="19"/>
  <c r="S20" i="19"/>
  <c r="N7" i="19"/>
  <c r="O7" i="19"/>
  <c r="O9" i="19"/>
  <c r="O10" i="19"/>
  <c r="O11" i="19"/>
  <c r="O12" i="19"/>
  <c r="O13" i="19"/>
  <c r="O14" i="19"/>
  <c r="O17" i="19"/>
  <c r="O18" i="19"/>
  <c r="O19" i="19"/>
  <c r="O20" i="19"/>
  <c r="O6" i="19"/>
  <c r="N12" i="19"/>
  <c r="N13" i="19"/>
  <c r="N14" i="19"/>
  <c r="N17" i="19"/>
  <c r="N18" i="19"/>
  <c r="N19" i="19"/>
  <c r="N20" i="19"/>
  <c r="N6" i="19"/>
  <c r="N10" i="19"/>
  <c r="N11" i="19"/>
  <c r="Q19" i="19" l="1"/>
  <c r="P19" i="19"/>
  <c r="Q10" i="19"/>
  <c r="P10" i="19"/>
  <c r="P9" i="19"/>
  <c r="Q9" i="19"/>
  <c r="P11" i="19"/>
  <c r="Q11" i="19"/>
  <c r="P12" i="19"/>
  <c r="Q12" i="19"/>
  <c r="P13" i="19"/>
  <c r="Q13" i="19"/>
  <c r="P14" i="19"/>
  <c r="Q14" i="19"/>
  <c r="P17" i="19"/>
  <c r="Q17" i="19"/>
  <c r="P18" i="19"/>
  <c r="Q18" i="19"/>
  <c r="P20" i="19"/>
  <c r="Q20" i="19"/>
  <c r="Q6" i="19"/>
  <c r="Q7" i="19"/>
  <c r="P7" i="19"/>
  <c r="P6" i="19"/>
  <c r="Q21" i="19" l="1"/>
  <c r="O21" i="19"/>
  <c r="N21" i="19"/>
  <c r="R21" i="19"/>
  <c r="P21" i="19"/>
  <c r="D30" i="6" l="1"/>
  <c r="C30" i="6"/>
  <c r="C34" i="6"/>
  <c r="C33" i="6"/>
  <c r="C32" i="6"/>
  <c r="C31" i="6"/>
  <c r="C35" i="6"/>
  <c r="D32" i="6"/>
  <c r="D46" i="6"/>
  <c r="E46" i="6"/>
  <c r="B46" i="6"/>
  <c r="D39" i="6"/>
  <c r="E39" i="6"/>
  <c r="D35" i="6"/>
  <c r="D33" i="6"/>
  <c r="D34" i="6"/>
  <c r="D31" i="6"/>
  <c r="E5" i="22" l="1"/>
  <c r="G5" i="22" s="1"/>
  <c r="I5" i="22" l="1"/>
  <c r="D16" i="6" l="1"/>
  <c r="G15" i="6" l="1"/>
  <c r="G17" i="6" s="1"/>
  <c r="P45" i="6"/>
  <c r="B41" i="6" s="1"/>
  <c r="I41" i="6" l="1"/>
  <c r="I42" i="6" s="1"/>
  <c r="I48" i="6"/>
  <c r="I49" i="6" s="1"/>
  <c r="I55" i="6"/>
  <c r="I56" i="6" s="1"/>
  <c r="B55" i="6"/>
  <c r="B56" i="6" s="1"/>
  <c r="B42" i="6"/>
  <c r="B48" i="6"/>
  <c r="B49" i="6" s="1"/>
  <c r="F8" i="6"/>
  <c r="F9" i="6"/>
  <c r="F10" i="6"/>
  <c r="I4" i="6" s="1"/>
  <c r="B6" i="16" s="1"/>
  <c r="F11" i="6"/>
  <c r="F12" i="6"/>
  <c r="E7" i="28" l="1"/>
  <c r="E6" i="28"/>
  <c r="E22" i="28"/>
  <c r="E3" i="28"/>
  <c r="E26" i="28"/>
  <c r="E24" i="28"/>
  <c r="E16" i="28"/>
  <c r="E20" i="28"/>
  <c r="E19" i="28"/>
  <c r="E13" i="28"/>
  <c r="E11" i="28"/>
  <c r="E12" i="28"/>
  <c r="E14" i="28"/>
  <c r="E29" i="28"/>
  <c r="E15" i="28"/>
  <c r="C31" i="28" s="1"/>
  <c r="E10" i="28"/>
  <c r="E17" i="28"/>
  <c r="E5" i="28"/>
  <c r="E23" i="28"/>
  <c r="E18" i="28"/>
  <c r="E8" i="28"/>
  <c r="E21" i="28"/>
  <c r="P47" i="6"/>
  <c r="F7" i="6"/>
  <c r="L41" i="6" l="1"/>
  <c r="L42" i="6" s="1"/>
  <c r="L55" i="6"/>
  <c r="L56" i="6" s="1"/>
  <c r="E55" i="6"/>
  <c r="E56" i="6" s="1"/>
  <c r="E48" i="6"/>
  <c r="E49" i="6" s="1"/>
  <c r="E41" i="6"/>
  <c r="E42" i="6" s="1"/>
  <c r="K49" i="31"/>
  <c r="K48" i="31"/>
  <c r="G33" i="6" s="1"/>
  <c r="C55" i="6" s="1"/>
  <c r="K46" i="31"/>
  <c r="K42" i="31"/>
  <c r="K47" i="31"/>
  <c r="K43" i="31"/>
  <c r="K34" i="31"/>
  <c r="K21" i="31"/>
  <c r="K35" i="31"/>
  <c r="K33" i="31"/>
  <c r="K24" i="31"/>
  <c r="K23" i="31"/>
  <c r="K74" i="31"/>
  <c r="K65" i="31"/>
  <c r="K60" i="31"/>
  <c r="K51" i="31"/>
  <c r="K53" i="31"/>
  <c r="K56" i="31"/>
  <c r="K37" i="31"/>
  <c r="K52" i="31"/>
  <c r="K55" i="31"/>
  <c r="K50" i="31"/>
  <c r="K54" i="31"/>
  <c r="K36" i="31"/>
  <c r="G32" i="6" s="1"/>
  <c r="J41" i="6" s="1"/>
  <c r="K77" i="31"/>
  <c r="K29" i="31"/>
  <c r="K27" i="31"/>
  <c r="G31" i="6" s="1"/>
  <c r="C48" i="6" s="1"/>
  <c r="K30" i="31"/>
  <c r="K64" i="31"/>
  <c r="K31" i="31"/>
  <c r="K32" i="31"/>
  <c r="K25" i="31"/>
  <c r="K40" i="31"/>
  <c r="K63" i="31"/>
  <c r="K82" i="31"/>
  <c r="K28" i="31"/>
  <c r="K76" i="31"/>
  <c r="E27" i="28"/>
  <c r="E9" i="28"/>
  <c r="E25" i="28"/>
  <c r="E4" i="28"/>
  <c r="K75" i="31"/>
  <c r="K81" i="31"/>
  <c r="K22" i="31"/>
  <c r="G30" i="6" s="1"/>
  <c r="C41" i="6" s="1"/>
  <c r="K19" i="31"/>
  <c r="K58" i="31"/>
  <c r="K20" i="31"/>
  <c r="D15" i="6"/>
  <c r="K41" i="6" l="1"/>
  <c r="K42" i="6" s="1"/>
  <c r="J42" i="6"/>
  <c r="C42" i="6"/>
  <c r="D41" i="6"/>
  <c r="D42" i="6" s="1"/>
  <c r="K73" i="31"/>
  <c r="K80" i="31"/>
  <c r="K45" i="31"/>
  <c r="K69" i="31"/>
  <c r="K39" i="31"/>
  <c r="K61" i="31"/>
  <c r="K72" i="31"/>
  <c r="K44" i="31"/>
  <c r="K62" i="31"/>
  <c r="K79" i="31"/>
  <c r="G34" i="6" s="1"/>
  <c r="J48" i="6" s="1"/>
  <c r="K70" i="31"/>
  <c r="K59" i="31"/>
  <c r="K38" i="31"/>
  <c r="K78" i="31"/>
  <c r="K71" i="31"/>
  <c r="K57" i="31"/>
  <c r="K18" i="31"/>
  <c r="K67" i="31"/>
  <c r="K66" i="31"/>
  <c r="G35" i="6" s="1"/>
  <c r="J55" i="6" s="1"/>
  <c r="K68" i="31"/>
  <c r="K26" i="31"/>
  <c r="K41" i="31"/>
  <c r="K55" i="6" l="1"/>
  <c r="K56" i="6" s="1"/>
  <c r="J56" i="6"/>
  <c r="K48" i="6"/>
  <c r="K49" i="6" s="1"/>
  <c r="J49" i="6"/>
  <c r="C49" i="6"/>
  <c r="D48" i="6"/>
  <c r="D49" i="6" s="1"/>
  <c r="D55" i="6"/>
  <c r="D56" i="6" s="1"/>
  <c r="C56" i="6"/>
  <c r="P38" i="6"/>
  <c r="P41" i="6" s="1"/>
  <c r="L48" i="6" l="1"/>
  <c r="L49" i="6" s="1"/>
  <c r="B3" i="16" l="1"/>
</calcChain>
</file>

<file path=xl/comments1.xml><?xml version="1.0" encoding="utf-8"?>
<comments xmlns="http://schemas.openxmlformats.org/spreadsheetml/2006/main">
  <authors>
    <author>Martin</author>
    <author>Martin Matoška</author>
  </authors>
  <commentList>
    <comment ref="C15" authorId="0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Zohledněna rasa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C17" authorId="1" shapeId="0">
      <text>
        <r>
          <rPr>
            <b/>
            <sz val="9"/>
            <color indexed="81"/>
            <rFont val="Tahoma"/>
            <family val="2"/>
            <charset val="238"/>
          </rPr>
          <t>Ovlivněno rasou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17" authorId="1" shapeId="0">
      <text>
        <r>
          <rPr>
            <b/>
            <sz val="9"/>
            <color indexed="81"/>
            <rFont val="Tahoma"/>
            <family val="2"/>
            <charset val="238"/>
          </rPr>
          <t>Ovlivněno zvládnutím atletiky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41" authorId="1" shapeId="0">
      <text>
        <r>
          <rPr>
            <b/>
            <sz val="9"/>
            <color indexed="81"/>
            <rFont val="Tahoma"/>
            <family val="2"/>
            <charset val="238"/>
          </rPr>
          <t>= Obratnost 
+ Bonusy k 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45" authorId="1" shapeId="0">
      <text>
        <r>
          <rPr>
            <b/>
            <sz val="9"/>
            <color indexed="81"/>
            <rFont val="Tahoma"/>
            <family val="2"/>
            <charset val="238"/>
          </rPr>
          <t>= RCH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47" authorId="1" shapeId="0">
      <text>
        <r>
          <rPr>
            <b/>
            <sz val="9"/>
            <color indexed="81"/>
            <rFont val="Tahoma"/>
            <family val="2"/>
            <charset val="238"/>
          </rPr>
          <t>= OBR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55" authorId="1" shapeId="0">
      <text>
        <r>
          <rPr>
            <b/>
            <sz val="9"/>
            <color indexed="81"/>
            <rFont val="Tahoma"/>
            <family val="2"/>
            <charset val="238"/>
          </rPr>
          <t>= Obratnost 
+ Bonusy k 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Martin Matoška</author>
  </authors>
  <commentList>
    <comment ref="H17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Martin Matoška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38"/>
          </rPr>
          <t>(Boj se sekerami a kyji)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  <charset val="238"/>
          </rPr>
          <t>Boj beze zbraně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  <charset val="238"/>
          </rPr>
          <t>Běh a plavání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  <charset val="238"/>
          </rPr>
          <t>Skákání, šplhání, udržení rovnováhy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zpracování zvěře, rozdělání ohně,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  <charset val="238"/>
          </rPr>
          <t>Kontrola mysli, těla a potlačení bolesti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<sst xmlns="http://schemas.openxmlformats.org/spreadsheetml/2006/main" count="2382" uniqueCount="957">
  <si>
    <t>Tabulka základních vlastností</t>
  </si>
  <si>
    <t>Síla</t>
  </si>
  <si>
    <t>Vlastnost</t>
  </si>
  <si>
    <t>Zkratka</t>
  </si>
  <si>
    <t>Stupeň</t>
  </si>
  <si>
    <t>Bonus</t>
  </si>
  <si>
    <t>Obratnost</t>
  </si>
  <si>
    <t>Zručnost</t>
  </si>
  <si>
    <t>Vůle</t>
  </si>
  <si>
    <t>Inteligence</t>
  </si>
  <si>
    <t>Charisma</t>
  </si>
  <si>
    <t>Tabulka odvozených vlastností</t>
  </si>
  <si>
    <t>Odolnost</t>
  </si>
  <si>
    <t>Rychlost</t>
  </si>
  <si>
    <t>cm</t>
  </si>
  <si>
    <t>kg</t>
  </si>
  <si>
    <t>Hlava</t>
  </si>
  <si>
    <t>Tělo</t>
  </si>
  <si>
    <t>Ruce</t>
  </si>
  <si>
    <t>Nohy</t>
  </si>
  <si>
    <t>Rasa</t>
  </si>
  <si>
    <t>Povolání</t>
  </si>
  <si>
    <t>INI</t>
  </si>
  <si>
    <t>str. 1</t>
  </si>
  <si>
    <t>str. 2</t>
  </si>
  <si>
    <t>Dovednost</t>
  </si>
  <si>
    <t>Zvládnutí</t>
  </si>
  <si>
    <t>Životy</t>
  </si>
  <si>
    <t>ÚČ</t>
  </si>
  <si>
    <t>Špatně</t>
  </si>
  <si>
    <t>Průměrně</t>
  </si>
  <si>
    <t>Dobře</t>
  </si>
  <si>
    <t>Velmi dobře</t>
  </si>
  <si>
    <t>B</t>
  </si>
  <si>
    <t>C</t>
  </si>
  <si>
    <t>D</t>
  </si>
  <si>
    <t>F</t>
  </si>
  <si>
    <t>Lehká</t>
  </si>
  <si>
    <t>Střední</t>
  </si>
  <si>
    <t>Těžká</t>
  </si>
  <si>
    <t>Vůbec</t>
  </si>
  <si>
    <t>Název (popis)</t>
  </si>
  <si>
    <t>Poznámka</t>
  </si>
  <si>
    <t>Kde</t>
  </si>
  <si>
    <t>SMS</t>
  </si>
  <si>
    <t>CHR</t>
  </si>
  <si>
    <t>Jazyky</t>
  </si>
  <si>
    <t>SIL</t>
  </si>
  <si>
    <t>Válečník</t>
  </si>
  <si>
    <t>INT</t>
  </si>
  <si>
    <t>OBR</t>
  </si>
  <si>
    <t>Bard</t>
  </si>
  <si>
    <t>S</t>
  </si>
  <si>
    <t>Bestiologie</t>
  </si>
  <si>
    <t>VOL</t>
  </si>
  <si>
    <t>Zloděj</t>
  </si>
  <si>
    <t>ZRČ</t>
  </si>
  <si>
    <t xml:space="preserve"> -</t>
  </si>
  <si>
    <t>Kouzelník</t>
  </si>
  <si>
    <t>Trpaslík</t>
  </si>
  <si>
    <t>Alchymista</t>
  </si>
  <si>
    <t>Zaklínač</t>
  </si>
  <si>
    <t>Theurg</t>
  </si>
  <si>
    <t>Svádění</t>
  </si>
  <si>
    <t>Hraničář</t>
  </si>
  <si>
    <t>stopař</t>
  </si>
  <si>
    <t>Na</t>
  </si>
  <si>
    <t>Kolik</t>
  </si>
  <si>
    <t>Tabulka ras</t>
  </si>
  <si>
    <t>Elf</t>
  </si>
  <si>
    <t>Hobit</t>
  </si>
  <si>
    <t>Kroll</t>
  </si>
  <si>
    <t xml:space="preserve"> </t>
  </si>
  <si>
    <t>Tabulka povolání</t>
  </si>
  <si>
    <t>Skupina</t>
  </si>
  <si>
    <t>Bojovník</t>
  </si>
  <si>
    <t>Šermíř</t>
  </si>
  <si>
    <t>Žoldnéř</t>
  </si>
  <si>
    <t>A</t>
  </si>
  <si>
    <t>Čaroděj</t>
  </si>
  <si>
    <t>Nekromant</t>
  </si>
  <si>
    <t>Temný mág</t>
  </si>
  <si>
    <t>Lupič</t>
  </si>
  <si>
    <t>Šaman</t>
  </si>
  <si>
    <t>Stopař</t>
  </si>
  <si>
    <t>Démonik</t>
  </si>
  <si>
    <t>Vědma</t>
  </si>
  <si>
    <t>Kněz</t>
  </si>
  <si>
    <t>Klerik</t>
  </si>
  <si>
    <t>Paladin</t>
  </si>
  <si>
    <t>Druid</t>
  </si>
  <si>
    <t>Stupně a bonusy</t>
  </si>
  <si>
    <t>-</t>
  </si>
  <si>
    <t>V</t>
  </si>
  <si>
    <t>ODL</t>
  </si>
  <si>
    <t>RCH</t>
  </si>
  <si>
    <t>Vel.</t>
  </si>
  <si>
    <t>Ovládá</t>
  </si>
  <si>
    <t>K ÚČ</t>
  </si>
  <si>
    <t>K ZZ</t>
  </si>
  <si>
    <t>K OZ</t>
  </si>
  <si>
    <t>K INI</t>
  </si>
  <si>
    <t>ZZ</t>
  </si>
  <si>
    <t>OZ</t>
  </si>
  <si>
    <t>Zbraň:</t>
  </si>
  <si>
    <t>Základ</t>
  </si>
  <si>
    <t>Pozn.</t>
  </si>
  <si>
    <t>CELKEM</t>
  </si>
  <si>
    <t>m/k</t>
  </si>
  <si>
    <t>Druh</t>
  </si>
  <si>
    <t>Zbroj vycpávaná</t>
  </si>
  <si>
    <t>Zbroj kožená</t>
  </si>
  <si>
    <t>Zbroj šupinová</t>
  </si>
  <si>
    <t>Zbroj kroužková</t>
  </si>
  <si>
    <t>Zbroj plátová</t>
  </si>
  <si>
    <t>Umístění</t>
  </si>
  <si>
    <t>Torna</t>
  </si>
  <si>
    <t>Jinde</t>
  </si>
  <si>
    <t>Doma</t>
  </si>
  <si>
    <t>Záda</t>
  </si>
  <si>
    <t>ZBROJE</t>
  </si>
  <si>
    <t>Dos.</t>
  </si>
  <si>
    <t>CH</t>
  </si>
  <si>
    <t>VO</t>
  </si>
  <si>
    <t>Ruka</t>
  </si>
  <si>
    <t>ABC</t>
  </si>
  <si>
    <t>Noha</t>
  </si>
  <si>
    <t>Kopí</t>
  </si>
  <si>
    <t>B,C</t>
  </si>
  <si>
    <t>Píka</t>
  </si>
  <si>
    <t>Nůž</t>
  </si>
  <si>
    <t>Sudlice</t>
  </si>
  <si>
    <t>Dýka</t>
  </si>
  <si>
    <t>Tesák</t>
  </si>
  <si>
    <t>Trojzubec</t>
  </si>
  <si>
    <t>Halapartna</t>
  </si>
  <si>
    <t>Mačeta</t>
  </si>
  <si>
    <t>Šavle</t>
  </si>
  <si>
    <t>Katana</t>
  </si>
  <si>
    <t>Meč bastard</t>
  </si>
  <si>
    <t>Obušek</t>
  </si>
  <si>
    <t>Kámen</t>
  </si>
  <si>
    <t>Kyj</t>
  </si>
  <si>
    <t>Prak</t>
  </si>
  <si>
    <t>Sekera</t>
  </si>
  <si>
    <t>Palcát</t>
  </si>
  <si>
    <t>Hvězdice</t>
  </si>
  <si>
    <t>Řemdich</t>
  </si>
  <si>
    <t>Oštěp</t>
  </si>
  <si>
    <t>1R</t>
  </si>
  <si>
    <t>2R</t>
  </si>
  <si>
    <t>VRH</t>
  </si>
  <si>
    <t>Stř</t>
  </si>
  <si>
    <t>U pasu</t>
  </si>
  <si>
    <t>Nosič (kůň)</t>
  </si>
  <si>
    <t>Štít střední</t>
  </si>
  <si>
    <t>Štít velký</t>
  </si>
  <si>
    <t>Boj</t>
  </si>
  <si>
    <t>I</t>
  </si>
  <si>
    <t>II</t>
  </si>
  <si>
    <t>III</t>
  </si>
  <si>
    <t>IV</t>
  </si>
  <si>
    <t>VI</t>
  </si>
  <si>
    <t>VII</t>
  </si>
  <si>
    <t>VIII</t>
  </si>
  <si>
    <t>IX</t>
  </si>
  <si>
    <t>X</t>
  </si>
  <si>
    <t>Dítě</t>
  </si>
  <si>
    <t>Mladý</t>
  </si>
  <si>
    <t>Střed</t>
  </si>
  <si>
    <t>Starý</t>
  </si>
  <si>
    <t>Kmet</t>
  </si>
  <si>
    <t>Flakónek</t>
  </si>
  <si>
    <t>Truhlička dřevěná</t>
  </si>
  <si>
    <t>Truhlička dřevěná se zámkem</t>
  </si>
  <si>
    <t>Truhla dřevěná</t>
  </si>
  <si>
    <t>Truhla dřevěná se zámkem</t>
  </si>
  <si>
    <t>Truhla kovaná se zámkem</t>
  </si>
  <si>
    <t>Truhla železná se zámkem</t>
  </si>
  <si>
    <t>Svěcená voda (0,2 čtv)</t>
  </si>
  <si>
    <t>Křesadlo</t>
  </si>
  <si>
    <t>Lucerna - obyčejná</t>
  </si>
  <si>
    <t>Lucerna s okenicemi</t>
  </si>
  <si>
    <t>Pochodeň</t>
  </si>
  <si>
    <t>Svíčka (6 směn)</t>
  </si>
  <si>
    <t>Železa (1 ks)</t>
  </si>
  <si>
    <t>Obojek - masívní</t>
  </si>
  <si>
    <t>Píšťalka</t>
  </si>
  <si>
    <t>Bubínek</t>
  </si>
  <si>
    <t>Loutna</t>
  </si>
  <si>
    <t>Lyra</t>
  </si>
  <si>
    <t>Lopata</t>
  </si>
  <si>
    <t>Dláto</t>
  </si>
  <si>
    <t>Pila</t>
  </si>
  <si>
    <t>Křída (1ks)</t>
  </si>
  <si>
    <t>Zrcátko</t>
  </si>
  <si>
    <t>Lano (provaz) (10 m)</t>
  </si>
  <si>
    <t>Provazový žebřík (10 m)</t>
  </si>
  <si>
    <t>Provázek (10 m)</t>
  </si>
  <si>
    <t>Koberec (m2)</t>
  </si>
  <si>
    <t>Zlodějské náčiní</t>
  </si>
  <si>
    <t>Vlčí mor</t>
  </si>
  <si>
    <t>Kotlík - bronzový</t>
  </si>
  <si>
    <t>Mýdlo (1ks)</t>
  </si>
  <si>
    <t>Klubko nití + jehla</t>
  </si>
  <si>
    <t>Hřeben - stříbrný</t>
  </si>
  <si>
    <t>Kámen (do praku)</t>
  </si>
  <si>
    <t>Hůl kovaná</t>
  </si>
  <si>
    <t>Řemdich těžký</t>
  </si>
  <si>
    <t>Kyj těžký</t>
  </si>
  <si>
    <t>Sekera válečná</t>
  </si>
  <si>
    <t>Kladivo válečné</t>
  </si>
  <si>
    <t>Dýka vrhací</t>
  </si>
  <si>
    <t>Sekera vrhací</t>
  </si>
  <si>
    <t>Luk krátký</t>
  </si>
  <si>
    <t>Luk dlouhý</t>
  </si>
  <si>
    <t>Luk silový</t>
  </si>
  <si>
    <t>Kuše lehká</t>
  </si>
  <si>
    <t>Kuše těžká</t>
  </si>
  <si>
    <t>Meč dlouhý</t>
  </si>
  <si>
    <t>Meč obouruční</t>
  </si>
  <si>
    <t>Meč široký</t>
  </si>
  <si>
    <t>Meč krátký</t>
  </si>
  <si>
    <t>Kladivo vál.obouruč.</t>
  </si>
  <si>
    <t>Bota okovaná</t>
  </si>
  <si>
    <t>Rukavice okovaná</t>
  </si>
  <si>
    <t>Zámek visací + klíček</t>
  </si>
  <si>
    <t>Křivule</t>
  </si>
  <si>
    <t>Kalcinátor (přenosná pícka)</t>
  </si>
  <si>
    <t xml:space="preserve">Třecí miska a tlouček </t>
  </si>
  <si>
    <t>Dýmka</t>
  </si>
  <si>
    <t>Magenergie</t>
  </si>
  <si>
    <t>Profesníček</t>
  </si>
  <si>
    <t>Jméno:</t>
  </si>
  <si>
    <t>Výška</t>
  </si>
  <si>
    <t>Léčitel</t>
  </si>
  <si>
    <t>Tabulky pomocné, operativní evidence</t>
  </si>
  <si>
    <t>Položka</t>
  </si>
  <si>
    <t>Aktuální stav</t>
  </si>
  <si>
    <t>Pochodně</t>
  </si>
  <si>
    <t>Měďáky</t>
  </si>
  <si>
    <t>Stříbrňáky</t>
  </si>
  <si>
    <t>Zlaťáky</t>
  </si>
  <si>
    <t>Výchozí</t>
  </si>
  <si>
    <t>MAX.</t>
  </si>
  <si>
    <t>Stínové zranění</t>
  </si>
  <si>
    <t>Předmět 1</t>
  </si>
  <si>
    <t>Předmět 2</t>
  </si>
  <si>
    <t>Předmět 3</t>
  </si>
  <si>
    <t>Jídlo čerstvé</t>
  </si>
  <si>
    <t>Jídlo sušené</t>
  </si>
  <si>
    <t>Vaky s vodou</t>
  </si>
  <si>
    <t xml:space="preserve">Vaky s </t>
  </si>
  <si>
    <t>Olej</t>
  </si>
  <si>
    <t>Vaky prázdné</t>
  </si>
  <si>
    <t>Pomocník 1</t>
  </si>
  <si>
    <t>Pomocník 2</t>
  </si>
  <si>
    <t>Používané zbraně a štíty</t>
  </si>
  <si>
    <t>Opr.</t>
  </si>
  <si>
    <t>Dožití a vliv věku (do)</t>
  </si>
  <si>
    <t>Název schopnosti</t>
  </si>
  <si>
    <t>Vyhrožování</t>
  </si>
  <si>
    <t>Foukačka</t>
  </si>
  <si>
    <t>Šipka do foukačky</t>
  </si>
  <si>
    <t>Dýka zubatá</t>
  </si>
  <si>
    <t>Stilleto</t>
  </si>
  <si>
    <t>Khopesh</t>
  </si>
  <si>
    <t>SD</t>
  </si>
  <si>
    <t>Palice těžká</t>
  </si>
  <si>
    <t>Sekera bojová</t>
  </si>
  <si>
    <t>Hůl léčitelská</t>
  </si>
  <si>
    <t>Hůl kouzelnická</t>
  </si>
  <si>
    <t>Hůl druidská</t>
  </si>
  <si>
    <t>Barbar</t>
  </si>
  <si>
    <t>M</t>
  </si>
  <si>
    <t>Elfka</t>
  </si>
  <si>
    <t>Hobitka</t>
  </si>
  <si>
    <t>Krollka</t>
  </si>
  <si>
    <t>Trpaslice</t>
  </si>
  <si>
    <t>Trubadůra</t>
  </si>
  <si>
    <t>Bojovnice</t>
  </si>
  <si>
    <t>Čarodějka</t>
  </si>
  <si>
    <t>Druidka</t>
  </si>
  <si>
    <t>Kněžka</t>
  </si>
  <si>
    <t>Lupička</t>
  </si>
  <si>
    <t>Nekromantka</t>
  </si>
  <si>
    <t>Paladinka</t>
  </si>
  <si>
    <t>Stopařka</t>
  </si>
  <si>
    <t>Šamanka</t>
  </si>
  <si>
    <t>Šermířka</t>
  </si>
  <si>
    <t>Temná mágyně</t>
  </si>
  <si>
    <t>Žoldnéřka</t>
  </si>
  <si>
    <t>Zaklínačka</t>
  </si>
  <si>
    <t>Člověk (M)</t>
  </si>
  <si>
    <t>Člověk (F)</t>
  </si>
  <si>
    <t>Seznam</t>
  </si>
  <si>
    <t>Assassinka</t>
  </si>
  <si>
    <t>Prostor po obrázek postavy</t>
  </si>
  <si>
    <t>Babice</t>
  </si>
  <si>
    <t>Assassin</t>
  </si>
  <si>
    <t>Theurgika</t>
  </si>
  <si>
    <t>Prof</t>
  </si>
  <si>
    <t>Hvězdice Bumerang</t>
  </si>
  <si>
    <t>Okultismus</t>
  </si>
  <si>
    <t>Meč zaklínačský</t>
  </si>
  <si>
    <t>Opravy</t>
  </si>
  <si>
    <t>Mráz +3</t>
  </si>
  <si>
    <t xml:space="preserve"> - (bez šatů)</t>
  </si>
  <si>
    <t>Mráz -2</t>
  </si>
  <si>
    <t>Doplňky</t>
  </si>
  <si>
    <t>St.</t>
  </si>
  <si>
    <t>H.</t>
  </si>
  <si>
    <t>Rodný jazyk</t>
  </si>
  <si>
    <t>Poznámky</t>
  </si>
  <si>
    <t>SCHOPNOST</t>
  </si>
  <si>
    <t>DOVEDNOST</t>
  </si>
  <si>
    <t>Diplomacie</t>
  </si>
  <si>
    <t>Jazyk - Černá řeč</t>
  </si>
  <si>
    <t>Jazyk - Elfština</t>
  </si>
  <si>
    <t>Jazyk - Harasština</t>
  </si>
  <si>
    <t>Jazyk - Obecná řeč</t>
  </si>
  <si>
    <t>Jazyk - Severština</t>
  </si>
  <si>
    <t>Jazyk - Trpasličtina</t>
  </si>
  <si>
    <t>Jazyk - Východní orient.</t>
  </si>
  <si>
    <t>Jazyk - Západní imánský</t>
  </si>
  <si>
    <t>Léčitelská souprava</t>
  </si>
  <si>
    <t>Nákup</t>
  </si>
  <si>
    <t>Prodej</t>
  </si>
  <si>
    <t>Nákup a prodej standardního vybavení ve městě</t>
  </si>
  <si>
    <t xml:space="preserve">Činnost: </t>
  </si>
  <si>
    <t>tj.</t>
  </si>
  <si>
    <t>zl</t>
  </si>
  <si>
    <t>st</t>
  </si>
  <si>
    <t>md</t>
  </si>
  <si>
    <t>(1 st = 20 md, 10 st = 1 zl)</t>
  </si>
  <si>
    <t>KS</t>
  </si>
  <si>
    <t>CENA (St)</t>
  </si>
  <si>
    <t>Šaty a zbroje</t>
  </si>
  <si>
    <t>Deka teplá (vlněná)</t>
  </si>
  <si>
    <t>ČINNOST</t>
  </si>
  <si>
    <t>Košík proutěný (15 kg)</t>
  </si>
  <si>
    <t>Torna kožená (30 kg)</t>
  </si>
  <si>
    <t>Soudek (3 čtv)</t>
  </si>
  <si>
    <t>Váček na peníze (50 ks)</t>
  </si>
  <si>
    <t>Karafa s olejem (0,5 čtv)</t>
  </si>
  <si>
    <t>Lembas (elfí chleba) (1 čen)</t>
  </si>
  <si>
    <t>Česnek (0,1 kg)</t>
  </si>
  <si>
    <t>MUNICE</t>
  </si>
  <si>
    <t>ZBRANĚ</t>
  </si>
  <si>
    <t xml:space="preserve">Celková hodnota obchodu (St): </t>
  </si>
  <si>
    <t>lupič</t>
  </si>
  <si>
    <t>Alchymistův společník</t>
  </si>
  <si>
    <t>Bleskové reakce</t>
  </si>
  <si>
    <t>Boj beze zbroje</t>
  </si>
  <si>
    <t>Boj obouruč</t>
  </si>
  <si>
    <t>bojovník</t>
  </si>
  <si>
    <t>Boj proti zvířatům</t>
  </si>
  <si>
    <t>Převodník povolání</t>
  </si>
  <si>
    <t>šaman</t>
  </si>
  <si>
    <t>zaklínač</t>
  </si>
  <si>
    <t>bard</t>
  </si>
  <si>
    <t>šermíř</t>
  </si>
  <si>
    <t>kněz</t>
  </si>
  <si>
    <t>Schopnosti vybraného povolání</t>
  </si>
  <si>
    <t>čaroděj</t>
  </si>
  <si>
    <t>druid</t>
  </si>
  <si>
    <t>Dary lesa</t>
  </si>
  <si>
    <t>Druidská magie</t>
  </si>
  <si>
    <t>Extrakce přírodních jedů</t>
  </si>
  <si>
    <t>Hledání skrytého</t>
  </si>
  <si>
    <t>Kapsářství</t>
  </si>
  <si>
    <t>Léčba vlastních zranění</t>
  </si>
  <si>
    <t>Léčitelství</t>
  </si>
  <si>
    <t>Lov</t>
  </si>
  <si>
    <t>Magický společník</t>
  </si>
  <si>
    <t>Neovlivnitelnost</t>
  </si>
  <si>
    <t>Neškodný vzhled</t>
  </si>
  <si>
    <t>Odhad hodnoty pokladu</t>
  </si>
  <si>
    <t>Odolnost vůči jedům</t>
  </si>
  <si>
    <t>Odvracení nemrvých</t>
  </si>
  <si>
    <t>Odvracení neviděných</t>
  </si>
  <si>
    <t>Odvracení zvířat</t>
  </si>
  <si>
    <t>Otvírání zámků</t>
  </si>
  <si>
    <t>Rychlá lukostřelba</t>
  </si>
  <si>
    <t>Stopování</t>
  </si>
  <si>
    <t>Šerm</t>
  </si>
  <si>
    <t>Tahání informací</t>
  </si>
  <si>
    <t>Telekineze</t>
  </si>
  <si>
    <t>Tichý pohyb</t>
  </si>
  <si>
    <t>Ukrytí se</t>
  </si>
  <si>
    <t>Vícenásobné útoky</t>
  </si>
  <si>
    <t>Vidění neviděných</t>
  </si>
  <si>
    <t>Zákeřné útoky</t>
  </si>
  <si>
    <t>Zostřené smysly</t>
  </si>
  <si>
    <t>Zrychlené kouzlení</t>
  </si>
  <si>
    <t>Zuřivost</t>
  </si>
  <si>
    <t>Zvířecí společník</t>
  </si>
  <si>
    <t>Aktualizuj schopnosti povolání</t>
  </si>
  <si>
    <t>(CTRL+SHIFT+A)</t>
  </si>
  <si>
    <t>Píseň: Budíček</t>
  </si>
  <si>
    <t>Píseň: Rozrušení</t>
  </si>
  <si>
    <t>Píseň: Bojový um</t>
  </si>
  <si>
    <t>Píseň: Sladký spánek</t>
  </si>
  <si>
    <t>Píseň: Snění</t>
  </si>
  <si>
    <t>Bandalír</t>
  </si>
  <si>
    <t>Kniha kouzel</t>
  </si>
  <si>
    <t>Zázraky</t>
  </si>
  <si>
    <t>Přivolávání</t>
  </si>
  <si>
    <t>Uhýbání v boji</t>
  </si>
  <si>
    <t>Střelba</t>
  </si>
  <si>
    <t>Vrh</t>
  </si>
  <si>
    <t>Blokování</t>
  </si>
  <si>
    <t>Započtené bonusy</t>
  </si>
  <si>
    <t>Ruka(vice) s drápy</t>
  </si>
  <si>
    <r>
      <t>Magenergie</t>
    </r>
    <r>
      <rPr>
        <sz val="11"/>
        <color theme="1"/>
        <rFont val="Calibri"/>
        <family val="2"/>
        <charset val="238"/>
        <scheme val="minor"/>
      </rPr>
      <t>:</t>
    </r>
  </si>
  <si>
    <t>Seznam ras</t>
  </si>
  <si>
    <t>KON</t>
  </si>
  <si>
    <t>Oprava za povolání</t>
  </si>
  <si>
    <t>Badatel</t>
  </si>
  <si>
    <t>Badatelka</t>
  </si>
  <si>
    <t>Mág</t>
  </si>
  <si>
    <t>Mágyně</t>
  </si>
  <si>
    <t>Oprava</t>
  </si>
  <si>
    <t>Rychlost přesunu při boji</t>
  </si>
  <si>
    <t>Rychlost běhu při boji</t>
  </si>
  <si>
    <t>Typ</t>
  </si>
  <si>
    <t>OU CELKEM</t>
  </si>
  <si>
    <t>Za obratnost</t>
  </si>
  <si>
    <t>Bonusy k OU</t>
  </si>
  <si>
    <t>Bojové čísla</t>
  </si>
  <si>
    <t>Redukce zranění</t>
  </si>
  <si>
    <t>RZ CELKEM</t>
  </si>
  <si>
    <t>Bonusy k RZ</t>
  </si>
  <si>
    <t>Kvalita zbroje</t>
  </si>
  <si>
    <t>Na zranění: 1k6+</t>
  </si>
  <si>
    <t xml:space="preserve">Hází se: </t>
  </si>
  <si>
    <t>Osobní deník - vlastnosti a bojová čísla</t>
  </si>
  <si>
    <t>Tabulka zbroje</t>
  </si>
  <si>
    <t>Oblečené šaty / zbroj</t>
  </si>
  <si>
    <t>KZ</t>
  </si>
  <si>
    <t>Šaty nuzné</t>
  </si>
  <si>
    <t>Šaty svůdné</t>
  </si>
  <si>
    <t>Šaty drsňácké</t>
  </si>
  <si>
    <t>Šaty zimní</t>
  </si>
  <si>
    <t>SMS a RCH -1</t>
  </si>
  <si>
    <t>Šaty luxusní</t>
  </si>
  <si>
    <t>Šaty obyčejné</t>
  </si>
  <si>
    <t>Použití</t>
  </si>
  <si>
    <t>Na +1</t>
  </si>
  <si>
    <t>SUM +</t>
  </si>
  <si>
    <t>ZB</t>
  </si>
  <si>
    <t>Gramotnost</t>
  </si>
  <si>
    <t>Barbarka</t>
  </si>
  <si>
    <t>Půlefka</t>
  </si>
  <si>
    <t>Půlelf</t>
  </si>
  <si>
    <t>Půlef</t>
  </si>
  <si>
    <t>Hůl krátká</t>
  </si>
  <si>
    <t>Hůl dlouhá</t>
  </si>
  <si>
    <t>Zastrašování</t>
  </si>
  <si>
    <t>Magie</t>
  </si>
  <si>
    <t>mág</t>
  </si>
  <si>
    <t>Přírodní magie</t>
  </si>
  <si>
    <t>Alchymistická výbava</t>
  </si>
  <si>
    <t>Cestovní zvířata</t>
  </si>
  <si>
    <t>Býk</t>
  </si>
  <si>
    <t>Osel</t>
  </si>
  <si>
    <t>Mezek</t>
  </si>
  <si>
    <t>Mula</t>
  </si>
  <si>
    <t>Buvol</t>
  </si>
  <si>
    <t>Poník</t>
  </si>
  <si>
    <t>Baškir</t>
  </si>
  <si>
    <t>Pony</t>
  </si>
  <si>
    <t>Hucul</t>
  </si>
  <si>
    <t>Sob</t>
  </si>
  <si>
    <t>Norik</t>
  </si>
  <si>
    <t>St / KS</t>
  </si>
  <si>
    <t xml:space="preserve">Šaty luxusní </t>
  </si>
  <si>
    <t>Vycpávaná zbroj</t>
  </si>
  <si>
    <t>Kožená zbroj</t>
  </si>
  <si>
    <t>Šupinová zbroj</t>
  </si>
  <si>
    <t>Kroužková zbroj</t>
  </si>
  <si>
    <t>Plátová zbroj</t>
  </si>
  <si>
    <t>Mag. vylepšení zbroje (+1 ke KZ)</t>
  </si>
  <si>
    <t>Šíp (/šipka) obyčejný</t>
  </si>
  <si>
    <t>Šíp (/šipka) se stříbrným hrotem</t>
  </si>
  <si>
    <t>Mag. vylepšení zbraně o 1</t>
  </si>
  <si>
    <t>Mag. vylepšení zbraně o 2</t>
  </si>
  <si>
    <t>Vůz - žebřiňák (2000 kg)</t>
  </si>
  <si>
    <t>Vůz - prostý (2500 kg)</t>
  </si>
  <si>
    <t>Vůz - prostý s plachtou (3000 kg)</t>
  </si>
  <si>
    <t>Kočár - prostý (1800 kg)</t>
  </si>
  <si>
    <t>Kočár - krytý (1500 kg)</t>
  </si>
  <si>
    <t>Kočár - luxusní (1 200 kg)</t>
  </si>
  <si>
    <t>Sedlo - obyčejné</t>
  </si>
  <si>
    <t>Sedlo - zdobené</t>
  </si>
  <si>
    <t>Vak (měch) na vodu (1 čtv)</t>
  </si>
  <si>
    <t>Karafa (pálená) na olej (0,5 čtv)</t>
  </si>
  <si>
    <t>Sud (30 čtv)</t>
  </si>
  <si>
    <t>Velký sud (120 čtv)</t>
  </si>
  <si>
    <t>Velký vak (15 kg)</t>
  </si>
  <si>
    <t>Malý vak (5 kg)</t>
  </si>
  <si>
    <t>Kožené pouzdro na svitky (30 ks)</t>
  </si>
  <si>
    <t>Pytel (režný, obyč.) (50 kg)</t>
  </si>
  <si>
    <t>Váček na peníze XL (150 ks)</t>
  </si>
  <si>
    <t>Jídlo a pití</t>
  </si>
  <si>
    <t>Voda minerální (1 čtv)</t>
  </si>
  <si>
    <t>Pivo (1čtv)</t>
  </si>
  <si>
    <t>Medovina (1čtv)</t>
  </si>
  <si>
    <t>Další vybavení</t>
  </si>
  <si>
    <t>Flakonek skleněný (0,1 čtv)</t>
  </si>
  <si>
    <t>Flétna - chromovaná</t>
  </si>
  <si>
    <t>Hřeben - kostěný/dřevěný</t>
  </si>
  <si>
    <t>Hřebíky (1lb)</t>
  </si>
  <si>
    <t>Svitek (Pergamen)</t>
  </si>
  <si>
    <t>Alch. truhla velká (neoemezená)</t>
  </si>
  <si>
    <t>Přesýpací hodiny (6 směn)</t>
  </si>
  <si>
    <t>Přesýpací hodiny (1 směna)</t>
  </si>
  <si>
    <t>Přesýpací hodiny (6 kol)</t>
  </si>
  <si>
    <t>Věková skupina</t>
  </si>
  <si>
    <t>Věková skupina:</t>
  </si>
  <si>
    <t>Zálesáctví</t>
  </si>
  <si>
    <t>str. 4</t>
  </si>
  <si>
    <t>INI na kouzlení</t>
  </si>
  <si>
    <t>Změny od minulé verze (2020_01)</t>
  </si>
  <si>
    <t xml:space="preserve">Šaty nuzné </t>
  </si>
  <si>
    <t xml:space="preserve">Šaty svůdné </t>
  </si>
  <si>
    <t>Kniha (50 stran)</t>
  </si>
  <si>
    <t>Flakonek hliněný (vypalovaný) (0,1 čtv)</t>
  </si>
  <si>
    <t>Alch. truhla střední (max. 750 mg./sur.)</t>
  </si>
  <si>
    <t>Alch. truhla cestovní (max. 150 mg./sur.)</t>
  </si>
  <si>
    <t>Pečetidlo</t>
  </si>
  <si>
    <t>Váhy +  sada závaží</t>
  </si>
  <si>
    <t>Destilační přístroj laboratorní (zákl.)</t>
  </si>
  <si>
    <t>Destilační přístroj přenosný (-1k10 mg)</t>
  </si>
  <si>
    <t>Destilační přístroj cestovní (-2k10 mg)</t>
  </si>
  <si>
    <t>Cestovní prostředky</t>
  </si>
  <si>
    <t>Zavazadla a obaly</t>
  </si>
  <si>
    <t>Mošna (10 kg)</t>
  </si>
  <si>
    <t>Jídlo čerstvé (1 čen)</t>
  </si>
  <si>
    <t>Jídlo sušené (1čen)</t>
  </si>
  <si>
    <t>Koření (špetka)</t>
  </si>
  <si>
    <t>Krollí dryák (1 čtv)</t>
  </si>
  <si>
    <t>Pálenka (1 čtv)</t>
  </si>
  <si>
    <t>Rum (1 čtv)</t>
  </si>
  <si>
    <t>Trpasličí špiritus</t>
  </si>
  <si>
    <t>Víno-archivní (1 čtv)</t>
  </si>
  <si>
    <t>Víno (1 čtv)</t>
  </si>
  <si>
    <t>Světlo</t>
  </si>
  <si>
    <t>Lampa</t>
  </si>
  <si>
    <t>Lampión</t>
  </si>
  <si>
    <t>Olej (do lucerny) (0,5 čtv) - doplnění</t>
  </si>
  <si>
    <t>Svícen bronzový - 1 rameno</t>
  </si>
  <si>
    <t>Běžné vybavení na cesty</t>
  </si>
  <si>
    <t>Inkoust (0,1 čtv) + husí brk</t>
  </si>
  <si>
    <t>Drát (10s)</t>
  </si>
  <si>
    <t>Dýmková směs</t>
  </si>
  <si>
    <t>Klec ptačí - proutěná</t>
  </si>
  <si>
    <t>Řetěz železný (5 m)</t>
  </si>
  <si>
    <t>Síť (2x2 s)</t>
  </si>
  <si>
    <t>Seznam dovedností</t>
  </si>
  <si>
    <t>Přetvářka</t>
  </si>
  <si>
    <t>Předměty na těle (šaty, zbroj)</t>
  </si>
  <si>
    <t>Předměty v rukách</t>
  </si>
  <si>
    <t>Předměty po ruce (připravné k použití)</t>
  </si>
  <si>
    <t>Kap.</t>
  </si>
  <si>
    <t>Zavazadlo</t>
  </si>
  <si>
    <t>slotů</t>
  </si>
  <si>
    <t>Vybavení v zavazadle</t>
  </si>
  <si>
    <t>Kapacita</t>
  </si>
  <si>
    <t>Torna kožená</t>
  </si>
  <si>
    <t>Velký vak</t>
  </si>
  <si>
    <t>Mošna</t>
  </si>
  <si>
    <t>Malý vak</t>
  </si>
  <si>
    <t>Poloobr</t>
  </si>
  <si>
    <t>Poloobryně</t>
  </si>
  <si>
    <t>HP</t>
  </si>
  <si>
    <t>Rasy pro HP</t>
  </si>
  <si>
    <t>Rasy pro PJ</t>
  </si>
  <si>
    <t>Amazonka</t>
  </si>
  <si>
    <t>Povolání PJ</t>
  </si>
  <si>
    <t>Povolání HP</t>
  </si>
  <si>
    <t>1) Evidence vybavení - přepracována na počet slotů</t>
  </si>
  <si>
    <t>Prům.</t>
  </si>
  <si>
    <t>Velmi d.</t>
  </si>
  <si>
    <t>Akrobacie</t>
  </si>
  <si>
    <t>Boj s holí/kopím</t>
  </si>
  <si>
    <t>Atletika</t>
  </si>
  <si>
    <t>Boj s noži</t>
  </si>
  <si>
    <t xml:space="preserve">Drcení </t>
  </si>
  <si>
    <t>Zápas</t>
  </si>
  <si>
    <t>Kouzlení</t>
  </si>
  <si>
    <t>Jezdectví</t>
  </si>
  <si>
    <t>Sebeovládání</t>
  </si>
  <si>
    <t>Elfština / Obecná řeč</t>
  </si>
  <si>
    <t>Trpasličtina / Obecná řeč</t>
  </si>
  <si>
    <t>Náročnost dovednosti je 11 s možnou opravou až -3 u lehkých nebo až +3 u těžkých</t>
  </si>
  <si>
    <t xml:space="preserve">Zdatnost se zbraní = Dovednost + Vlastnost </t>
  </si>
  <si>
    <t>ÚČ = Zbraň + Zdatnost se zbraní + Oprava za vel.</t>
  </si>
  <si>
    <t>ZZ = Zbraň + Zdatnost se zbraní + Oprava za vel.</t>
  </si>
  <si>
    <t>Obrana zbraní = Zbraň + Zdatnost se zbraní</t>
  </si>
  <si>
    <t>Obrana štítem = Štít + OBR</t>
  </si>
  <si>
    <t>Střelbě a vrhu se nelze bránit zbraní (jen štítem nebo uhnutím)</t>
  </si>
  <si>
    <t>Obrana uhnutím = Akrobacie + OBR + Opr. Za vel.</t>
  </si>
  <si>
    <t>KZ: Šaty 0, Vycpávaná 1, Kožená 2, Kroužková 3, Šupinová 4, Plátová 5 + Opr. Za vel.</t>
  </si>
  <si>
    <t>Zranění = ZZ + 1k6+ - KZ</t>
  </si>
  <si>
    <t xml:space="preserve">K dispozici je 24 znalostních bodů. </t>
  </si>
  <si>
    <t xml:space="preserve">Na svůj tah má postava k dispozici 3 akce. V rámci obrany má rovněž 3 akce. Uhnutí i obrana stojí 1 akci. </t>
  </si>
  <si>
    <t>Obtížnosti</t>
  </si>
  <si>
    <t>Snadná</t>
  </si>
  <si>
    <t>Běžná</t>
  </si>
  <si>
    <t>Komplikovaná</t>
  </si>
  <si>
    <t>Vyšší</t>
  </si>
  <si>
    <t>Nižší</t>
  </si>
  <si>
    <t>Jednoduchá</t>
  </si>
  <si>
    <t>Postřeh</t>
  </si>
  <si>
    <t>2k6</t>
  </si>
  <si>
    <t>MOD</t>
  </si>
  <si>
    <t>Kondice</t>
  </si>
  <si>
    <t>Váha</t>
  </si>
  <si>
    <t>Původ:</t>
  </si>
  <si>
    <t>Tř.vel.</t>
  </si>
  <si>
    <t>Svádění +1</t>
  </si>
  <si>
    <t>Vyjednávání -1</t>
  </si>
  <si>
    <t>Diplomacie +1</t>
  </si>
  <si>
    <t>Vyhrožování +1</t>
  </si>
  <si>
    <t>Na INI = 2k10</t>
  </si>
  <si>
    <t>Na Útok = 2k10</t>
  </si>
  <si>
    <t>Na obranu = 2k10</t>
  </si>
  <si>
    <t>2) Odstraněn list Tvorba postavy, údaje přesunuty do listu 1-Postava</t>
  </si>
  <si>
    <t>3) Upraveny některé údaje dle aktuálních pravidel</t>
  </si>
  <si>
    <t>Vlastnost = 2k6 + Oprava za rasu + Oprava za povolání</t>
  </si>
  <si>
    <t>Útok = 2k10+ÚČ</t>
  </si>
  <si>
    <t>Obrana = 2k10+ OU/OZ</t>
  </si>
  <si>
    <t>Na vše se hází 2k10, pouze na zranění 1k6+</t>
  </si>
  <si>
    <t>Boj s kopím</t>
  </si>
  <si>
    <t>Drcení</t>
  </si>
  <si>
    <t>Nenápadnost</t>
  </si>
  <si>
    <t>Umění</t>
  </si>
  <si>
    <t>Jazyk - Elfšina</t>
  </si>
  <si>
    <t>Jazyk - obecná řeč</t>
  </si>
  <si>
    <t>Celkem:</t>
  </si>
  <si>
    <t>4) Kompletní přepracování listu 2-Znalosti</t>
  </si>
  <si>
    <t>Dovednosti, schopnosti a kouzla, vybavení</t>
  </si>
  <si>
    <t>Badatelova lučba</t>
  </si>
  <si>
    <t>viz dále</t>
  </si>
  <si>
    <t>Doplňování truhly</t>
  </si>
  <si>
    <t>Suroviny a Magenergie</t>
  </si>
  <si>
    <t>ze zabitých tvorů</t>
  </si>
  <si>
    <t>Postřeh +1</t>
  </si>
  <si>
    <t>Líčení pastí</t>
  </si>
  <si>
    <t>nutné Zlodějské nářadí</t>
  </si>
  <si>
    <t>Bonus +1</t>
  </si>
  <si>
    <t>Pokročilý boj s kuší</t>
  </si>
  <si>
    <t>ÚČ a ZZ +1</t>
  </si>
  <si>
    <t>Bílá hvězda</t>
  </si>
  <si>
    <t>Lakmusový papírek</t>
  </si>
  <si>
    <t>Ledový lekvar</t>
  </si>
  <si>
    <t>Lektv. Metamorfózy</t>
  </si>
  <si>
    <t>Lektv. Obří síly</t>
  </si>
  <si>
    <t>Lektv. Patlák</t>
  </si>
  <si>
    <t>Lektv. Rychlost</t>
  </si>
  <si>
    <t>Pavoučí lektvar</t>
  </si>
  <si>
    <t>Rudý kříž</t>
  </si>
  <si>
    <t>Sv.ochr.p. kouzly</t>
  </si>
  <si>
    <t>Sv.ochr.p. nemrtvými</t>
  </si>
  <si>
    <t>Sv.ochr.p. neviděnými</t>
  </si>
  <si>
    <t>Rozezná jed či lektvar</t>
  </si>
  <si>
    <t>Vytvoří led 2x2 m</t>
  </si>
  <si>
    <t>Proměna na určené zvíře</t>
  </si>
  <si>
    <t>SIL +2</t>
  </si>
  <si>
    <t>Lepivá kaluž 2x2 m</t>
  </si>
  <si>
    <t>RCH +3, +1 útočná a 1 obranná akce</t>
  </si>
  <si>
    <t>Šplhání +3</t>
  </si>
  <si>
    <t>Vyléčí 1k6+2 žt</t>
  </si>
  <si>
    <t>Vyléčí 2k6+3 žt</t>
  </si>
  <si>
    <t>VOL ~ 11 ~ 0</t>
  </si>
  <si>
    <r>
      <t xml:space="preserve"> BÚr. (-3) ~ </t>
    </r>
    <r>
      <rPr>
        <b/>
        <sz val="10"/>
        <color theme="1"/>
        <rFont val="Times New Roman"/>
        <family val="1"/>
        <charset val="238"/>
      </rPr>
      <t>11</t>
    </r>
    <r>
      <rPr>
        <sz val="10"/>
        <color theme="1"/>
        <rFont val="Times New Roman"/>
        <family val="1"/>
        <charset val="238"/>
      </rPr>
      <t xml:space="preserve"> ~ 0</t>
    </r>
  </si>
  <si>
    <t>Krysa ; Žába ; Bark ; Vlňáček</t>
  </si>
  <si>
    <t>5) Obnova funkčnosti tlačítka na aktualizaci / výběr schopností</t>
  </si>
  <si>
    <t>OU +2</t>
  </si>
  <si>
    <t>ZZ +2</t>
  </si>
  <si>
    <t xml:space="preserve"> 6 žt/den</t>
  </si>
  <si>
    <t>Odolnost proti strachu</t>
  </si>
  <si>
    <t>Proti strachu +2</t>
  </si>
  <si>
    <t>Pokr.boj se sekerami</t>
  </si>
  <si>
    <t>Rváč</t>
  </si>
  <si>
    <t>Pěsti a noha ÚČ a ZZ +1</t>
  </si>
  <si>
    <t>Útočné akce +1, obranné -1</t>
  </si>
  <si>
    <t>Zabiják obrů</t>
  </si>
  <si>
    <t>vel. D a větší ÚČ +2</t>
  </si>
  <si>
    <t>Vyhrožování vs. ZTZ</t>
  </si>
  <si>
    <t>INI, ÚČ a ZZ +2, OZ a OU -2</t>
  </si>
  <si>
    <t>ÚČ +1, ZZ -1</t>
  </si>
  <si>
    <t>1. útok neúspěšný, druhý ÚČ +2, ZZ 2k6+</t>
  </si>
  <si>
    <t>OZ +2, další útok či obrana -2</t>
  </si>
  <si>
    <t>ÚČ -2, ale všichni v okruhu</t>
  </si>
  <si>
    <t>OZ a OU +1, všechny akce jen obranné</t>
  </si>
  <si>
    <t>protivník alespoň o třídu větší</t>
  </si>
  <si>
    <t>Zranění dvojnásobné</t>
  </si>
  <si>
    <t>ÚČ +2, ale další obrana -2</t>
  </si>
  <si>
    <t>ÚČ -1, ZZ +1</t>
  </si>
  <si>
    <t>BM: Cílený výpad</t>
  </si>
  <si>
    <t>BM: Klamný výpad</t>
  </si>
  <si>
    <t>BM: Kryt</t>
  </si>
  <si>
    <t>BM: Kruhový sek</t>
  </si>
  <si>
    <t>BM: Obranný postoj</t>
  </si>
  <si>
    <t>BM: Odskok</t>
  </si>
  <si>
    <t>BM: Odstrčení</t>
  </si>
  <si>
    <t>BM: Úder hromu</t>
  </si>
  <si>
    <t>BM: Výpad</t>
  </si>
  <si>
    <t>BM: Zuřivý úder</t>
  </si>
  <si>
    <t>Čarodějova magie</t>
  </si>
  <si>
    <t>24 mg (Oheň a Siločáry)</t>
  </si>
  <si>
    <t>Kouzlení s knihou +1</t>
  </si>
  <si>
    <t>Netopýr / had / kočka / havran</t>
  </si>
  <si>
    <t>Pokročilý boj s holí</t>
  </si>
  <si>
    <t>ÚČ +1, OZ +1</t>
  </si>
  <si>
    <t>1 kouzlo - Magie +2</t>
  </si>
  <si>
    <t>Specializace</t>
  </si>
  <si>
    <t>Postřeh (-3) ~ 11 ~ 0</t>
  </si>
  <si>
    <t>4 útočné a 2 obranné akce</t>
  </si>
  <si>
    <t>Aganazův dech</t>
  </si>
  <si>
    <t>Bábelská rybka</t>
  </si>
  <si>
    <t>Bílá střela</t>
  </si>
  <si>
    <t>Blesk modrý</t>
  </si>
  <si>
    <t>Blesk zelený</t>
  </si>
  <si>
    <t>Blesk žlutý</t>
  </si>
  <si>
    <t>Hyperprostor</t>
  </si>
  <si>
    <t>Levitace</t>
  </si>
  <si>
    <t>Protoplasma</t>
  </si>
  <si>
    <t>Vodní dech</t>
  </si>
  <si>
    <t>Záblesk</t>
  </si>
  <si>
    <t>Nár. 4</t>
  </si>
  <si>
    <t>Nár. 2</t>
  </si>
  <si>
    <t>Nár. 1</t>
  </si>
  <si>
    <t>Nár. 3</t>
  </si>
  <si>
    <t>3 hodiny, 2k6 čenů</t>
  </si>
  <si>
    <t>18 mg</t>
  </si>
  <si>
    <t>Krvácení, LZ, Jed, TZ</t>
  </si>
  <si>
    <t>3 akce, 1 zvíře, 18 stop</t>
  </si>
  <si>
    <t>Pes hlídací/lovecký/válečný; dravec</t>
  </si>
  <si>
    <t>Mluv se zvířaty</t>
  </si>
  <si>
    <t>Najdi zvíře</t>
  </si>
  <si>
    <t>Přikaž zvířeti</t>
  </si>
  <si>
    <t>Úder pohrdání</t>
  </si>
  <si>
    <t>Úder varování</t>
  </si>
  <si>
    <t>Úder zloby</t>
  </si>
  <si>
    <t>Uklidni zvíře</t>
  </si>
  <si>
    <t>Uzdrav lehce nemocného</t>
  </si>
  <si>
    <t>Uzdrav lehká zranění</t>
  </si>
  <si>
    <t>Uzdrav těžká zranění</t>
  </si>
  <si>
    <t>Zamaskování</t>
  </si>
  <si>
    <t>Druidská wyda</t>
  </si>
  <si>
    <t>1x za den si hází 2x</t>
  </si>
  <si>
    <t>INI +2</t>
  </si>
  <si>
    <t>ÚČ, ZZ a OZ +1</t>
  </si>
  <si>
    <t>Boj dvěma zbraněmi</t>
  </si>
  <si>
    <t>ZRČ ~ 11 + SMS okrádaného ~ !</t>
  </si>
  <si>
    <t>Lezecké techniky</t>
  </si>
  <si>
    <t>Šplhání +1</t>
  </si>
  <si>
    <t>nalíčení i ostranění pasti</t>
  </si>
  <si>
    <t>Napodobení</t>
  </si>
  <si>
    <t>Napodobí vybranou osobu</t>
  </si>
  <si>
    <t>Splyne s okolím</t>
  </si>
  <si>
    <t>Přetvářka +1</t>
  </si>
  <si>
    <t>INT ~ 11 ~ 0</t>
  </si>
  <si>
    <t>Omráčení</t>
  </si>
  <si>
    <t>ZRČ ~ 11 ~ 0</t>
  </si>
  <si>
    <t>Převleky</t>
  </si>
  <si>
    <t>ZRČ (+2) ~ 11 ~ 0</t>
  </si>
  <si>
    <t>Ruce a noha ÚČ a ZZ +1</t>
  </si>
  <si>
    <t>Nenápadný pohyb +1</t>
  </si>
  <si>
    <t>Nenápadný úkryt +2</t>
  </si>
  <si>
    <t>Urážlivé zesměšnění</t>
  </si>
  <si>
    <t>Vrhač nožů</t>
  </si>
  <si>
    <t>ÚČ +1</t>
  </si>
  <si>
    <t>ZZ +3</t>
  </si>
  <si>
    <t>Magie s knihou +1</t>
  </si>
  <si>
    <t>Mágova magie</t>
  </si>
  <si>
    <t>24 mg, (Voda, Siločáry)</t>
  </si>
  <si>
    <t>Záchr. hod +2</t>
  </si>
  <si>
    <t>Odhalení Přetvářky +3</t>
  </si>
  <si>
    <t>Odhalení přetvářky</t>
  </si>
  <si>
    <t>ÚČ a OZ +1</t>
  </si>
  <si>
    <t>CHAR ~ 11 + INT cíle ~ 0</t>
  </si>
  <si>
    <t>Drobná iluze</t>
  </si>
  <si>
    <t>Hypnóza</t>
  </si>
  <si>
    <t>Magický štít</t>
  </si>
  <si>
    <t>Neslyšitelnost</t>
  </si>
  <si>
    <t>Neviditelná zbroj</t>
  </si>
  <si>
    <t>Neviditelnost</t>
  </si>
  <si>
    <t>Ochrana před šípy</t>
  </si>
  <si>
    <t>Sugesce</t>
  </si>
  <si>
    <t>Tichý obraz</t>
  </si>
  <si>
    <t>Zenerova karta</t>
  </si>
  <si>
    <t>ÚČ, ZZ, OZ i OU +2</t>
  </si>
  <si>
    <t>líčení i odstranění</t>
  </si>
  <si>
    <t>1 hodina, 2k6 čenů</t>
  </si>
  <si>
    <t>Pokročilý boj s luky</t>
  </si>
  <si>
    <t>12 mg</t>
  </si>
  <si>
    <t>Postřeh s opr. dle terénu</t>
  </si>
  <si>
    <t>Číhající šípy</t>
  </si>
  <si>
    <t>Lovcova značka</t>
  </si>
  <si>
    <t>Matení pachů</t>
  </si>
  <si>
    <t>Matení stop</t>
  </si>
  <si>
    <t>Nástraha</t>
  </si>
  <si>
    <t>SMS ~ 11 ~ 0</t>
  </si>
  <si>
    <t>Odhad protivníka</t>
  </si>
  <si>
    <t>Pokročilý boj se štíty</t>
  </si>
  <si>
    <t>OZ +2</t>
  </si>
  <si>
    <t>Pokročilý šerm</t>
  </si>
  <si>
    <t>OU proti střelbě +1</t>
  </si>
  <si>
    <t>Vyhýbavé našlapování</t>
  </si>
  <si>
    <t>ÚČ -3</t>
  </si>
  <si>
    <t>BM: Bod vzdad</t>
  </si>
  <si>
    <t>BM: Dvojitá obrana</t>
  </si>
  <si>
    <t>Hází si oběma zbraněmi</t>
  </si>
  <si>
    <t>1.útok 0, 2. útok UČ +3, ZZ 2k6+</t>
  </si>
  <si>
    <t>OZ i OU +1, všechny akce obranné</t>
  </si>
  <si>
    <t>odstrčí spojence a místo něj čelí útoku</t>
  </si>
  <si>
    <t>SIL (-1) ~ 11 ~ 0</t>
  </si>
  <si>
    <t>BM: Odzbrojení</t>
  </si>
  <si>
    <t>BM: Skluz</t>
  </si>
  <si>
    <t>ÚČ +3, ale Akrobacie (-1) ~ 11 ~ 0</t>
  </si>
  <si>
    <t>BM: Útok z obrany</t>
  </si>
  <si>
    <t>Útok za obranné akce po úspěšné obraně</t>
  </si>
  <si>
    <t>Boj s netvory</t>
  </si>
  <si>
    <t>JED +1</t>
  </si>
  <si>
    <t>Odolnost vůči iluzím</t>
  </si>
  <si>
    <t>Iluze +1</t>
  </si>
  <si>
    <t>1x za den</t>
  </si>
  <si>
    <t>Ohnivé znamení</t>
  </si>
  <si>
    <t>Ochrana před deštěm</t>
  </si>
  <si>
    <t>Ochrana před vlky</t>
  </si>
  <si>
    <t>Ochrana před zimou</t>
  </si>
  <si>
    <t>Přivolej druida</t>
  </si>
  <si>
    <t>CHAR (-INT cíle) ~ 11 ~ 0</t>
  </si>
  <si>
    <t>Přetvářka ~ 11 ~ 0</t>
  </si>
  <si>
    <t>Píseň: Barevné tóny</t>
  </si>
  <si>
    <t>Píseň: Disharmonický šepot</t>
  </si>
  <si>
    <t>Píseň: Léčivé tóny</t>
  </si>
  <si>
    <t>Píseň: Levitace</t>
  </si>
  <si>
    <t>Píseň: Motivace</t>
  </si>
  <si>
    <t>Píseň: Všichni tancují se mnou</t>
  </si>
  <si>
    <t>Píseň: Vzkaz</t>
  </si>
  <si>
    <t>ZRČ (-3) ~ 11 ~ ½</t>
  </si>
  <si>
    <t>z mrtvých tvorů</t>
  </si>
  <si>
    <t>Šamanova Lučba</t>
  </si>
  <si>
    <t>(ZRČ + INT) ~ Náročnost výroby ~ 0</t>
  </si>
  <si>
    <t>Woo-Doo</t>
  </si>
  <si>
    <t>až 3 jehly</t>
  </si>
  <si>
    <t>Jablečná vůně</t>
  </si>
  <si>
    <t>Kurare</t>
  </si>
  <si>
    <t>Melenova pomsta</t>
  </si>
  <si>
    <t>Prach zkázky</t>
  </si>
  <si>
    <t>Roztok jed čuně</t>
  </si>
  <si>
    <t>Trávy</t>
  </si>
  <si>
    <t>Universální protijed</t>
  </si>
  <si>
    <t>Nár. 13</t>
  </si>
  <si>
    <t>Nár. 10</t>
  </si>
  <si>
    <t>Nár. 9</t>
  </si>
  <si>
    <t>Nár. 12</t>
  </si>
  <si>
    <t>Nár. 11</t>
  </si>
  <si>
    <t>Nár. 15</t>
  </si>
  <si>
    <t>Nár. 8</t>
  </si>
  <si>
    <t>K hodu +2</t>
  </si>
  <si>
    <t>Bonus +3</t>
  </si>
  <si>
    <t>VOL ~ 7+ žvtsch nemrtvého ~ 0</t>
  </si>
  <si>
    <t>VOL ~ 7+ žvtsch neviděného ~ 0</t>
  </si>
  <si>
    <t>Bonus +2</t>
  </si>
  <si>
    <t>Přiložení rukou</t>
  </si>
  <si>
    <t>1x/den si může hodit 2x</t>
  </si>
  <si>
    <t>Přízeň božstva</t>
  </si>
  <si>
    <t xml:space="preserve">CHAR ~ 11 + INT cíle ~ 0 </t>
  </si>
  <si>
    <t>18+INT mg</t>
  </si>
  <si>
    <t>Haleovo světlo</t>
  </si>
  <si>
    <t>Léčebný dotek</t>
  </si>
  <si>
    <t>Magická střela</t>
  </si>
  <si>
    <t>Neutralizace jedu</t>
  </si>
  <si>
    <t>Obřad posvěcení</t>
  </si>
  <si>
    <t>Požehnání</t>
  </si>
  <si>
    <t>Probuzení odvahy</t>
  </si>
  <si>
    <t>Příkaz</t>
  </si>
  <si>
    <t>Vyleč zranění</t>
  </si>
  <si>
    <t>Zraň</t>
  </si>
  <si>
    <t>paladin</t>
  </si>
  <si>
    <t>Aktivní kryt</t>
  </si>
  <si>
    <t>může bránit společníky</t>
  </si>
  <si>
    <t>Boj proti nemrtvým</t>
  </si>
  <si>
    <t>Chrabrost</t>
  </si>
  <si>
    <t>Naplnění ideálem</t>
  </si>
  <si>
    <t>Jednání v rozporu +3</t>
  </si>
  <si>
    <t>Odvracení nemrtvých</t>
  </si>
  <si>
    <t>Pokr. boj kladivy a paláty</t>
  </si>
  <si>
    <t>Dá bonus +2</t>
  </si>
  <si>
    <t>Přízeň štěstěny</t>
  </si>
  <si>
    <t>dvojnásobné zranění</t>
  </si>
  <si>
    <t>Boj s pláštěm</t>
  </si>
  <si>
    <t>OZ a OU +1</t>
  </si>
  <si>
    <t xml:space="preserve"> ZRČ ~ 11 ~ 0</t>
  </si>
  <si>
    <t>Pokročilý boj s noži</t>
  </si>
  <si>
    <t>Nenápadnost při pohybu +1</t>
  </si>
  <si>
    <t>Nenápadnost v úkrytu +2</t>
  </si>
  <si>
    <t>ZZ +3 pokud se cíl nebrání</t>
  </si>
  <si>
    <t>Brání se oběma zbraněmi</t>
  </si>
  <si>
    <t>BM: Dvojitý vrh</t>
  </si>
  <si>
    <t>ÚČ -2, ale 2 vrhací zbraně (2 útoky)</t>
  </si>
  <si>
    <t>BM: Klamání pláštěm</t>
  </si>
  <si>
    <t>hází si na útok 2x a vybírá lepší hod</t>
  </si>
  <si>
    <t>BM: Útok z boku</t>
  </si>
  <si>
    <t>ÚČ +2</t>
  </si>
  <si>
    <t>BM: Vrh od pasu</t>
  </si>
  <si>
    <t>za 2 akce vytažení i útok</t>
  </si>
  <si>
    <t>6) Doplnění schopností všech 14 povolání</t>
  </si>
  <si>
    <t>Ceny při prodeji jsou čtvrtinové</t>
  </si>
  <si>
    <t>Sloty</t>
  </si>
  <si>
    <t>Cena (st)</t>
  </si>
  <si>
    <t>Střelba či vrh</t>
  </si>
  <si>
    <t>Zápas či drcení</t>
  </si>
  <si>
    <t>Nože, kopí či šerm</t>
  </si>
  <si>
    <t>VL</t>
  </si>
  <si>
    <t>Vl.</t>
  </si>
  <si>
    <t>CHAR</t>
  </si>
  <si>
    <t>Použ.</t>
  </si>
  <si>
    <t>Kousnutí</t>
  </si>
  <si>
    <t>Dvě dýky</t>
  </si>
  <si>
    <t>1R/2R</t>
  </si>
  <si>
    <t>Štít malý</t>
  </si>
  <si>
    <t>AB</t>
  </si>
  <si>
    <t>Luk dlouhý skládaný</t>
  </si>
  <si>
    <t>Druh boje</t>
  </si>
  <si>
    <t>Mag. aj. bonusy</t>
  </si>
  <si>
    <t>Bonusy</t>
  </si>
  <si>
    <t>7) Opravy výpočtů v tabulkách zbraní</t>
  </si>
  <si>
    <t>8) Přesun zbraní a zbrojí do skrytého listu Věci</t>
  </si>
  <si>
    <t>INI = 2k10+RCH</t>
  </si>
  <si>
    <r>
      <rPr>
        <i/>
        <u/>
        <sz val="10"/>
        <color theme="1"/>
        <rFont val="Calibri"/>
        <family val="2"/>
        <charset val="238"/>
        <scheme val="minor"/>
      </rPr>
      <t>Hází se</t>
    </r>
    <r>
      <rPr>
        <i/>
        <sz val="10"/>
        <color theme="1"/>
        <rFont val="Calibri"/>
        <family val="2"/>
        <charset val="238"/>
        <scheme val="minor"/>
      </rPr>
      <t>:  2k10 + Opr.</t>
    </r>
  </si>
  <si>
    <t>9) Přeuspořádání str. 1</t>
  </si>
  <si>
    <t>Změny od minulé verze (2024_01)</t>
  </si>
  <si>
    <t>2) Změněno rozložení zavazadla - 1 slot na 2 řádky</t>
  </si>
  <si>
    <t>3) Opraveno barevné zvýraznění v dovednostech (v části posun o řádek)</t>
  </si>
  <si>
    <t>4) Přednastavené časté bonusy do tabulky</t>
  </si>
  <si>
    <t>OU</t>
  </si>
  <si>
    <t>Bonusy ke KZ</t>
  </si>
  <si>
    <t>5) Oprava výpočtu OU - místo Zápasu Akrobacie</t>
  </si>
  <si>
    <t>Změny od minulé verze (2024_02)</t>
  </si>
  <si>
    <t>1) Opraveny kapacity zavazadel</t>
  </si>
  <si>
    <t>ÚR</t>
  </si>
  <si>
    <t>z max</t>
  </si>
  <si>
    <t>1) Doplnění úrovně (0 až 4.) a jejího vlivu na počet dovedností</t>
  </si>
  <si>
    <t>Žádné</t>
  </si>
  <si>
    <t>žádné</t>
  </si>
  <si>
    <t>BEZ SCHOPNOSTÍ</t>
  </si>
  <si>
    <t>2) Doplnění možnosti "Žádné" povolání (pro 0. úroveň)</t>
  </si>
  <si>
    <t>3) Upraven výpočet kondice pro nižší než 4. úroveň</t>
  </si>
  <si>
    <t>MG</t>
  </si>
  <si>
    <t>4) Doplněn automatický výpočet magenergie podle povolání a 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</si>
</sst>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color indexed="81"/>
      <name val="Tahoma"/>
      <family val="2"/>
      <charset val="238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8"/>
      <color indexed="81"/>
      <name val="Tahoma"/>
      <family val="2"/>
      <charset val="238"/>
    </font>
    <font>
      <sz val="12"/>
      <color theme="1"/>
      <name val="Times New Roman"/>
      <family val="1"/>
      <charset val="238"/>
    </font>
    <font>
      <sz val="10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0"/>
      <color theme="1"/>
      <name val="Times New Roman"/>
      <family val="1"/>
      <charset val="238"/>
    </font>
    <font>
      <sz val="8"/>
      <color theme="1"/>
      <name val="Times New Roman"/>
      <family val="1"/>
      <charset val="238"/>
    </font>
    <font>
      <b/>
      <u/>
      <sz val="18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name val="Arial CE"/>
      <charset val="238"/>
    </font>
    <font>
      <b/>
      <sz val="11"/>
      <color theme="1"/>
      <name val="Times New Roman"/>
      <family val="1"/>
      <charset val="238"/>
    </font>
    <font>
      <b/>
      <sz val="20"/>
      <color theme="1"/>
      <name val="Times New Roman"/>
      <family val="1"/>
      <charset val="238"/>
    </font>
    <font>
      <sz val="11"/>
      <color rgb="FF000000"/>
      <name val="Calibri"/>
      <family val="2"/>
      <charset val="238"/>
    </font>
    <font>
      <sz val="11"/>
      <color rgb="FF0070C0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i/>
      <u/>
      <sz val="10"/>
      <color theme="1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</borders>
  <cellStyleXfs count="3">
    <xf numFmtId="0" fontId="0" fillId="0" borderId="0"/>
    <xf numFmtId="0" fontId="29" fillId="0" borderId="0"/>
    <xf numFmtId="0" fontId="32" fillId="0" borderId="0"/>
  </cellStyleXfs>
  <cellXfs count="380">
    <xf numFmtId="0" fontId="0" fillId="0" borderId="0" xfId="0"/>
    <xf numFmtId="0" fontId="1" fillId="0" borderId="0" xfId="0" applyFont="1"/>
    <xf numFmtId="0" fontId="0" fillId="0" borderId="2" xfId="0" applyBorder="1"/>
    <xf numFmtId="0" fontId="0" fillId="2" borderId="1" xfId="0" applyFill="1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/>
    <xf numFmtId="0" fontId="0" fillId="0" borderId="5" xfId="0" applyBorder="1"/>
    <xf numFmtId="0" fontId="0" fillId="0" borderId="6" xfId="0" applyBorder="1"/>
    <xf numFmtId="0" fontId="0" fillId="0" borderId="0" xfId="0" applyFill="1"/>
    <xf numFmtId="49" fontId="0" fillId="0" borderId="0" xfId="0" applyNumberFormat="1"/>
    <xf numFmtId="49" fontId="0" fillId="0" borderId="6" xfId="0" applyNumberFormat="1" applyBorder="1"/>
    <xf numFmtId="49" fontId="0" fillId="0" borderId="6" xfId="0" applyNumberFormat="1" applyFill="1" applyBorder="1"/>
    <xf numFmtId="0" fontId="4" fillId="0" borderId="0" xfId="0" applyFont="1"/>
    <xf numFmtId="0" fontId="0" fillId="0" borderId="1" xfId="0" applyBorder="1"/>
    <xf numFmtId="0" fontId="0" fillId="0" borderId="1" xfId="0" applyFill="1" applyBorder="1"/>
    <xf numFmtId="0" fontId="10" fillId="0" borderId="0" xfId="0" applyFont="1"/>
    <xf numFmtId="0" fontId="11" fillId="0" borderId="0" xfId="0" applyFont="1"/>
    <xf numFmtId="0" fontId="1" fillId="2" borderId="38" xfId="0" applyFont="1" applyFill="1" applyBorder="1"/>
    <xf numFmtId="0" fontId="1" fillId="0" borderId="4" xfId="0" applyFont="1" applyBorder="1"/>
    <xf numFmtId="49" fontId="1" fillId="0" borderId="4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40" xfId="0" applyNumberFormat="1" applyBorder="1" applyAlignment="1">
      <alignment horizontal="center"/>
    </xf>
    <xf numFmtId="0" fontId="0" fillId="2" borderId="41" xfId="0" applyFill="1" applyBorder="1"/>
    <xf numFmtId="0" fontId="2" fillId="0" borderId="0" xfId="0" applyFont="1" applyAlignment="1">
      <alignment horizontal="center"/>
    </xf>
    <xf numFmtId="0" fontId="1" fillId="7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5" xfId="0" applyFont="1" applyFill="1" applyBorder="1" applyAlignment="1">
      <alignment vertical="top"/>
    </xf>
    <xf numFmtId="0" fontId="0" fillId="4" borderId="2" xfId="0" applyFill="1" applyBorder="1"/>
    <xf numFmtId="0" fontId="0" fillId="0" borderId="47" xfId="0" applyBorder="1"/>
    <xf numFmtId="0" fontId="0" fillId="0" borderId="30" xfId="0" applyBorder="1"/>
    <xf numFmtId="0" fontId="0" fillId="0" borderId="3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4" borderId="17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8" borderId="2" xfId="0" applyFont="1" applyFill="1" applyBorder="1"/>
    <xf numFmtId="0" fontId="1" fillId="8" borderId="17" xfId="0" applyFont="1" applyFill="1" applyBorder="1" applyAlignment="1">
      <alignment horizontal="center"/>
    </xf>
    <xf numFmtId="0" fontId="1" fillId="0" borderId="4" xfId="0" applyFont="1" applyFill="1" applyBorder="1" applyAlignment="1">
      <alignment vertical="top"/>
    </xf>
    <xf numFmtId="0" fontId="14" fillId="2" borderId="37" xfId="0" applyFont="1" applyFill="1" applyBorder="1" applyAlignment="1">
      <alignment vertical="center"/>
    </xf>
    <xf numFmtId="0" fontId="14" fillId="2" borderId="37" xfId="0" applyFont="1" applyFill="1" applyBorder="1" applyAlignment="1">
      <alignment vertical="center" wrapText="1"/>
    </xf>
    <xf numFmtId="0" fontId="0" fillId="7" borderId="50" xfId="0" applyFont="1" applyFill="1" applyBorder="1" applyAlignment="1">
      <alignment horizontal="center"/>
    </xf>
    <xf numFmtId="49" fontId="1" fillId="7" borderId="0" xfId="0" applyNumberFormat="1" applyFont="1" applyFill="1" applyBorder="1"/>
    <xf numFmtId="0" fontId="0" fillId="7" borderId="0" xfId="0" applyFill="1"/>
    <xf numFmtId="0" fontId="0" fillId="0" borderId="1" xfId="0" applyFont="1" applyFill="1" applyBorder="1" applyAlignment="1" applyProtection="1">
      <alignment horizontal="center"/>
      <protection locked="0"/>
    </xf>
    <xf numFmtId="0" fontId="1" fillId="7" borderId="6" xfId="0" applyFont="1" applyFill="1" applyBorder="1"/>
    <xf numFmtId="0" fontId="6" fillId="0" borderId="0" xfId="0" applyFont="1" applyAlignment="1">
      <alignment horizontal="right"/>
    </xf>
    <xf numFmtId="0" fontId="0" fillId="0" borderId="1" xfId="0" applyFill="1" applyBorder="1" applyProtection="1">
      <protection locked="0"/>
    </xf>
    <xf numFmtId="0" fontId="0" fillId="0" borderId="50" xfId="0" applyFill="1" applyBorder="1" applyProtection="1">
      <protection locked="0"/>
    </xf>
    <xf numFmtId="0" fontId="0" fillId="0" borderId="0" xfId="0" applyFill="1" applyBorder="1"/>
    <xf numFmtId="0" fontId="0" fillId="0" borderId="2" xfId="0" applyFill="1" applyBorder="1"/>
    <xf numFmtId="0" fontId="0" fillId="0" borderId="3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1" xfId="0" applyFont="1" applyBorder="1"/>
    <xf numFmtId="0" fontId="6" fillId="0" borderId="0" xfId="0" applyFont="1"/>
    <xf numFmtId="0" fontId="1" fillId="0" borderId="1" xfId="0" applyFont="1" applyBorder="1"/>
    <xf numFmtId="0" fontId="1" fillId="4" borderId="1" xfId="0" applyFont="1" applyFill="1" applyBorder="1" applyAlignment="1">
      <alignment horizontal="center"/>
    </xf>
    <xf numFmtId="0" fontId="18" fillId="0" borderId="0" xfId="0" applyFont="1"/>
    <xf numFmtId="0" fontId="0" fillId="0" borderId="0" xfId="0" applyBorder="1"/>
    <xf numFmtId="0" fontId="1" fillId="0" borderId="1" xfId="0" applyFont="1" applyBorder="1" applyProtection="1"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22" fillId="0" borderId="0" xfId="0" applyFont="1"/>
    <xf numFmtId="0" fontId="0" fillId="0" borderId="1" xfId="0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horizontal="left" vertical="top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57" xfId="0" applyBorder="1" applyAlignment="1" applyProtection="1">
      <alignment horizontal="left" vertical="top"/>
      <protection locked="0"/>
    </xf>
    <xf numFmtId="0" fontId="0" fillId="0" borderId="58" xfId="0" applyBorder="1" applyAlignment="1" applyProtection="1">
      <alignment horizontal="left" vertical="top"/>
      <protection locked="0"/>
    </xf>
    <xf numFmtId="0" fontId="0" fillId="0" borderId="59" xfId="0" applyBorder="1" applyAlignment="1" applyProtection="1">
      <alignment horizontal="left" vertical="top"/>
      <protection locked="0"/>
    </xf>
    <xf numFmtId="0" fontId="0" fillId="0" borderId="60" xfId="0" applyBorder="1" applyAlignment="1" applyProtection="1">
      <alignment horizontal="left" vertical="top"/>
      <protection locked="0"/>
    </xf>
    <xf numFmtId="0" fontId="4" fillId="0" borderId="1" xfId="0" applyFont="1" applyBorder="1" applyAlignment="1">
      <alignment horizontal="center"/>
    </xf>
    <xf numFmtId="0" fontId="4" fillId="0" borderId="1" xfId="0" applyFont="1" applyBorder="1" applyProtection="1">
      <protection locked="0"/>
    </xf>
    <xf numFmtId="0" fontId="1" fillId="7" borderId="1" xfId="0" applyFont="1" applyFill="1" applyBorder="1"/>
    <xf numFmtId="0" fontId="3" fillId="7" borderId="1" xfId="0" applyFont="1" applyFill="1" applyBorder="1"/>
    <xf numFmtId="49" fontId="6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7" borderId="0" xfId="0" applyFont="1" applyFill="1" applyBorder="1"/>
    <xf numFmtId="0" fontId="1" fillId="7" borderId="9" xfId="0" applyFont="1" applyFill="1" applyBorder="1"/>
    <xf numFmtId="0" fontId="3" fillId="7" borderId="6" xfId="0" applyFont="1" applyFill="1" applyBorder="1"/>
    <xf numFmtId="0" fontId="3" fillId="7" borderId="0" xfId="0" applyFont="1" applyFill="1" applyBorder="1"/>
    <xf numFmtId="0" fontId="3" fillId="7" borderId="9" xfId="0" applyFont="1" applyFill="1" applyBorder="1"/>
    <xf numFmtId="0" fontId="23" fillId="0" borderId="0" xfId="0" applyFont="1"/>
    <xf numFmtId="0" fontId="3" fillId="9" borderId="1" xfId="0" applyFont="1" applyFill="1" applyBorder="1"/>
    <xf numFmtId="0" fontId="26" fillId="0" borderId="0" xfId="0" applyFont="1"/>
    <xf numFmtId="0" fontId="0" fillId="5" borderId="6" xfId="0" applyFill="1" applyBorder="1"/>
    <xf numFmtId="0" fontId="0" fillId="5" borderId="0" xfId="0" applyFill="1" applyBorder="1"/>
    <xf numFmtId="0" fontId="0" fillId="5" borderId="9" xfId="0" applyFill="1" applyBorder="1"/>
    <xf numFmtId="0" fontId="1" fillId="0" borderId="1" xfId="0" applyFont="1" applyFill="1" applyBorder="1" applyAlignment="1" applyProtection="1">
      <alignment horizontal="center"/>
    </xf>
    <xf numFmtId="0" fontId="1" fillId="4" borderId="29" xfId="0" applyFont="1" applyFill="1" applyBorder="1" applyAlignment="1">
      <alignment horizontal="center"/>
    </xf>
    <xf numFmtId="0" fontId="1" fillId="4" borderId="61" xfId="0" applyFont="1" applyFill="1" applyBorder="1" applyAlignment="1"/>
    <xf numFmtId="0" fontId="7" fillId="4" borderId="1" xfId="0" applyFont="1" applyFill="1" applyBorder="1" applyAlignment="1">
      <alignment horizontal="center"/>
    </xf>
    <xf numFmtId="0" fontId="4" fillId="0" borderId="4" xfId="0" applyFont="1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7" fillId="4" borderId="4" xfId="0" applyFont="1" applyFill="1" applyBorder="1" applyAlignment="1">
      <alignment horizontal="center"/>
    </xf>
    <xf numFmtId="0" fontId="16" fillId="0" borderId="0" xfId="0" applyFont="1"/>
    <xf numFmtId="0" fontId="30" fillId="0" borderId="0" xfId="0" applyFont="1"/>
    <xf numFmtId="0" fontId="15" fillId="0" borderId="0" xfId="0" applyFont="1"/>
    <xf numFmtId="0" fontId="19" fillId="0" borderId="0" xfId="0" applyFont="1" applyAlignment="1">
      <alignment horizontal="right"/>
    </xf>
    <xf numFmtId="0" fontId="10" fillId="10" borderId="0" xfId="0" applyFont="1" applyFill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4" fontId="6" fillId="7" borderId="1" xfId="0" applyNumberFormat="1" applyFont="1" applyFill="1" applyBorder="1"/>
    <xf numFmtId="4" fontId="18" fillId="12" borderId="0" xfId="0" applyNumberFormat="1" applyFont="1" applyFill="1" applyAlignment="1">
      <alignment horizontal="right"/>
    </xf>
    <xf numFmtId="0" fontId="20" fillId="0" borderId="0" xfId="0" applyFont="1"/>
    <xf numFmtId="0" fontId="0" fillId="11" borderId="1" xfId="0" applyFill="1" applyBorder="1"/>
    <xf numFmtId="0" fontId="4" fillId="7" borderId="1" xfId="0" applyFont="1" applyFill="1" applyBorder="1"/>
    <xf numFmtId="0" fontId="1" fillId="6" borderId="1" xfId="0" applyFont="1" applyFill="1" applyBorder="1"/>
    <xf numFmtId="49" fontId="6" fillId="0" borderId="0" xfId="0" applyNumberFormat="1" applyFont="1" applyFill="1"/>
    <xf numFmtId="0" fontId="0" fillId="0" borderId="0" xfId="0" applyNumberFormat="1" applyBorder="1" applyAlignment="1">
      <alignment horizontal="center"/>
    </xf>
    <xf numFmtId="0" fontId="12" fillId="10" borderId="0" xfId="0" applyFont="1" applyFill="1"/>
    <xf numFmtId="49" fontId="0" fillId="0" borderId="0" xfId="0" applyNumberFormat="1" applyFill="1"/>
    <xf numFmtId="0" fontId="0" fillId="0" borderId="0" xfId="0" applyProtection="1"/>
    <xf numFmtId="0" fontId="1" fillId="7" borderId="1" xfId="0" applyFont="1" applyFill="1" applyBorder="1" applyAlignment="1">
      <alignment horizontal="center"/>
    </xf>
    <xf numFmtId="0" fontId="3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5" fillId="3" borderId="1" xfId="0" applyFont="1" applyFill="1" applyBorder="1" applyAlignment="1">
      <alignment vertical="center"/>
    </xf>
    <xf numFmtId="0" fontId="31" fillId="0" borderId="0" xfId="0" applyFont="1" applyAlignment="1">
      <alignment vertical="center"/>
    </xf>
    <xf numFmtId="0" fontId="0" fillId="0" borderId="0" xfId="0" applyNumberFormat="1" applyFill="1"/>
    <xf numFmtId="0" fontId="6" fillId="0" borderId="0" xfId="0" applyNumberFormat="1" applyFont="1"/>
    <xf numFmtId="0" fontId="0" fillId="0" borderId="0" xfId="0" applyNumberFormat="1"/>
    <xf numFmtId="0" fontId="15" fillId="0" borderId="4" xfId="0" applyFont="1" applyBorder="1" applyAlignment="1" applyProtection="1">
      <alignment horizontal="left"/>
      <protection locked="0"/>
    </xf>
    <xf numFmtId="0" fontId="4" fillId="0" borderId="14" xfId="0" applyFont="1" applyFill="1" applyBorder="1" applyAlignment="1" applyProtection="1">
      <alignment horizontal="left"/>
      <protection locked="0"/>
    </xf>
    <xf numFmtId="0" fontId="0" fillId="6" borderId="39" xfId="0" applyFill="1" applyBorder="1"/>
    <xf numFmtId="0" fontId="0" fillId="0" borderId="30" xfId="0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3" fillId="13" borderId="0" xfId="0" applyFont="1" applyFill="1"/>
    <xf numFmtId="0" fontId="6" fillId="0" borderId="0" xfId="0" applyFont="1" applyFill="1"/>
    <xf numFmtId="0" fontId="1" fillId="0" borderId="5" xfId="0" applyFont="1" applyFill="1" applyBorder="1" applyAlignment="1">
      <alignment horizontal="left" vertical="top"/>
    </xf>
    <xf numFmtId="0" fontId="1" fillId="0" borderId="8" xfId="0" applyFont="1" applyFill="1" applyBorder="1" applyAlignment="1">
      <alignment horizontal="left" vertical="top"/>
    </xf>
    <xf numFmtId="0" fontId="0" fillId="0" borderId="31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4" borderId="4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29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12" fillId="0" borderId="0" xfId="0" applyFont="1"/>
    <xf numFmtId="0" fontId="0" fillId="0" borderId="6" xfId="0" applyFill="1" applyBorder="1"/>
    <xf numFmtId="0" fontId="1" fillId="5" borderId="40" xfId="0" applyFont="1" applyFill="1" applyBorder="1" applyAlignment="1">
      <alignment horizontal="center"/>
    </xf>
    <xf numFmtId="0" fontId="0" fillId="0" borderId="63" xfId="0" applyBorder="1" applyAlignment="1"/>
    <xf numFmtId="0" fontId="6" fillId="0" borderId="0" xfId="0" applyFont="1" applyFill="1" applyBorder="1" applyAlignment="1" applyProtection="1">
      <alignment horizontal="left"/>
      <protection locked="0"/>
    </xf>
    <xf numFmtId="0" fontId="0" fillId="0" borderId="65" xfId="0" applyBorder="1" applyAlignment="1"/>
    <xf numFmtId="0" fontId="0" fillId="0" borderId="66" xfId="0" applyBorder="1" applyAlignment="1"/>
    <xf numFmtId="0" fontId="0" fillId="2" borderId="44" xfId="0" applyFill="1" applyBorder="1" applyAlignment="1"/>
    <xf numFmtId="0" fontId="0" fillId="2" borderId="45" xfId="0" applyFill="1" applyBorder="1" applyAlignment="1"/>
    <xf numFmtId="0" fontId="0" fillId="2" borderId="49" xfId="0" applyFill="1" applyBorder="1"/>
    <xf numFmtId="0" fontId="0" fillId="2" borderId="15" xfId="0" applyFill="1" applyBorder="1" applyAlignment="1"/>
    <xf numFmtId="0" fontId="34" fillId="0" borderId="0" xfId="0" applyFont="1" applyAlignment="1">
      <alignment horizontal="right"/>
    </xf>
    <xf numFmtId="0" fontId="35" fillId="0" borderId="0" xfId="0" applyFont="1"/>
    <xf numFmtId="0" fontId="5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left"/>
    </xf>
    <xf numFmtId="0" fontId="0" fillId="6" borderId="0" xfId="0" applyFill="1"/>
    <xf numFmtId="0" fontId="36" fillId="0" borderId="40" xfId="0" applyFont="1" applyFill="1" applyBorder="1" applyAlignment="1">
      <alignment horizontal="center"/>
    </xf>
    <xf numFmtId="0" fontId="36" fillId="0" borderId="40" xfId="0" applyFont="1" applyBorder="1" applyAlignment="1">
      <alignment horizontal="center"/>
    </xf>
    <xf numFmtId="0" fontId="0" fillId="0" borderId="0" xfId="0" applyFont="1" applyAlignment="1">
      <alignment horizontal="right"/>
    </xf>
    <xf numFmtId="0" fontId="4" fillId="0" borderId="0" xfId="0" applyFont="1" applyFill="1" applyBorder="1" applyProtection="1">
      <protection locked="0"/>
    </xf>
    <xf numFmtId="0" fontId="0" fillId="14" borderId="1" xfId="0" applyNumberFormat="1" applyFill="1" applyBorder="1"/>
    <xf numFmtId="0" fontId="5" fillId="14" borderId="0" xfId="0" applyFont="1" applyFill="1"/>
    <xf numFmtId="0" fontId="0" fillId="0" borderId="53" xfId="0" applyBorder="1"/>
    <xf numFmtId="0" fontId="0" fillId="0" borderId="64" xfId="0" applyBorder="1"/>
    <xf numFmtId="0" fontId="0" fillId="0" borderId="54" xfId="0" applyBorder="1"/>
    <xf numFmtId="0" fontId="4" fillId="0" borderId="1" xfId="0" applyFont="1" applyFill="1" applyBorder="1"/>
    <xf numFmtId="0" fontId="23" fillId="0" borderId="0" xfId="0" applyFont="1" applyFill="1"/>
    <xf numFmtId="49" fontId="0" fillId="0" borderId="12" xfId="0" applyNumberFormat="1" applyBorder="1"/>
    <xf numFmtId="0" fontId="1" fillId="0" borderId="12" xfId="0" applyNumberFormat="1" applyFon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6" fillId="0" borderId="42" xfId="0" applyFont="1" applyBorder="1" applyAlignment="1">
      <alignment vertical="center"/>
    </xf>
    <xf numFmtId="0" fontId="16" fillId="3" borderId="52" xfId="0" applyFont="1" applyFill="1" applyBorder="1" applyAlignment="1">
      <alignment vertical="center"/>
    </xf>
    <xf numFmtId="0" fontId="16" fillId="0" borderId="69" xfId="0" applyFont="1" applyBorder="1" applyAlignment="1">
      <alignment vertical="center"/>
    </xf>
    <xf numFmtId="0" fontId="16" fillId="0" borderId="70" xfId="0" applyFont="1" applyFill="1" applyBorder="1" applyAlignment="1">
      <alignment vertical="center"/>
    </xf>
    <xf numFmtId="0" fontId="25" fillId="0" borderId="70" xfId="0" applyFont="1" applyFill="1" applyBorder="1" applyAlignment="1">
      <alignment vertical="center"/>
    </xf>
    <xf numFmtId="0" fontId="16" fillId="0" borderId="71" xfId="0" applyFont="1" applyFill="1" applyBorder="1" applyAlignment="1">
      <alignment vertical="center"/>
    </xf>
    <xf numFmtId="0" fontId="16" fillId="0" borderId="53" xfId="0" applyFont="1" applyBorder="1" applyAlignment="1">
      <alignment vertical="center"/>
    </xf>
    <xf numFmtId="0" fontId="16" fillId="0" borderId="64" xfId="0" applyFont="1" applyFill="1" applyBorder="1" applyAlignment="1">
      <alignment vertical="center"/>
    </xf>
    <xf numFmtId="0" fontId="25" fillId="0" borderId="64" xfId="0" applyFont="1" applyFill="1" applyBorder="1" applyAlignment="1">
      <alignment vertical="center"/>
    </xf>
    <xf numFmtId="0" fontId="16" fillId="0" borderId="54" xfId="0" applyFont="1" applyFill="1" applyBorder="1" applyAlignment="1">
      <alignment vertical="center"/>
    </xf>
    <xf numFmtId="0" fontId="16" fillId="0" borderId="42" xfId="0" applyFont="1" applyFill="1" applyBorder="1" applyAlignment="1">
      <alignment vertical="center"/>
    </xf>
    <xf numFmtId="0" fontId="16" fillId="0" borderId="43" xfId="0" applyFont="1" applyFill="1" applyBorder="1" applyAlignment="1">
      <alignment vertical="center"/>
    </xf>
    <xf numFmtId="0" fontId="25" fillId="0" borderId="43" xfId="0" applyFont="1" applyFill="1" applyBorder="1" applyAlignment="1">
      <alignment vertical="center"/>
    </xf>
    <xf numFmtId="0" fontId="16" fillId="0" borderId="53" xfId="0" applyFont="1" applyFill="1" applyBorder="1" applyAlignment="1">
      <alignment vertical="center"/>
    </xf>
    <xf numFmtId="0" fontId="16" fillId="7" borderId="0" xfId="0" applyFont="1" applyFill="1"/>
    <xf numFmtId="0" fontId="15" fillId="7" borderId="72" xfId="0" applyFont="1" applyFill="1" applyBorder="1" applyAlignment="1">
      <alignment horizontal="justify" vertical="center"/>
    </xf>
    <xf numFmtId="0" fontId="16" fillId="0" borderId="0" xfId="0" applyNumberFormat="1" applyFont="1"/>
    <xf numFmtId="0" fontId="16" fillId="0" borderId="52" xfId="0" applyFont="1" applyFill="1" applyBorder="1" applyAlignment="1">
      <alignment vertical="center"/>
    </xf>
    <xf numFmtId="0" fontId="1" fillId="7" borderId="7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Font="1" applyFill="1" applyBorder="1" applyAlignment="1"/>
    <xf numFmtId="0" fontId="0" fillId="2" borderId="1" xfId="0" applyFill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0" borderId="33" xfId="0" applyBorder="1"/>
    <xf numFmtId="0" fontId="0" fillId="0" borderId="34" xfId="0" applyBorder="1"/>
    <xf numFmtId="0" fontId="0" fillId="0" borderId="23" xfId="0" applyBorder="1"/>
    <xf numFmtId="0" fontId="4" fillId="0" borderId="1" xfId="0" applyFont="1" applyFill="1" applyBorder="1" applyProtection="1">
      <protection locked="0"/>
    </xf>
    <xf numFmtId="0" fontId="4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4" fillId="0" borderId="40" xfId="0" applyFont="1" applyFill="1" applyBorder="1" applyAlignment="1">
      <alignment horizontal="center"/>
    </xf>
    <xf numFmtId="0" fontId="4" fillId="0" borderId="40" xfId="0" applyFont="1" applyFill="1" applyBorder="1" applyAlignment="1" applyProtection="1">
      <alignment horizontal="right"/>
      <protection locked="0"/>
    </xf>
    <xf numFmtId="0" fontId="15" fillId="0" borderId="77" xfId="0" applyFont="1" applyBorder="1" applyAlignment="1" applyProtection="1">
      <alignment horizontal="left"/>
      <protection locked="0"/>
    </xf>
    <xf numFmtId="0" fontId="6" fillId="0" borderId="0" xfId="0" applyNumberFormat="1" applyFont="1" applyFill="1"/>
    <xf numFmtId="0" fontId="0" fillId="4" borderId="4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1" xfId="0" applyBorder="1" applyAlignment="1">
      <alignment horizontal="left"/>
    </xf>
    <xf numFmtId="0" fontId="14" fillId="0" borderId="1" xfId="0" applyFont="1" applyFill="1" applyBorder="1" applyAlignment="1">
      <alignment horizontal="justify"/>
    </xf>
    <xf numFmtId="0" fontId="14" fillId="0" borderId="1" xfId="0" applyFont="1" applyFill="1" applyBorder="1" applyAlignment="1">
      <alignment horizontal="center"/>
    </xf>
    <xf numFmtId="0" fontId="14" fillId="0" borderId="1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33" fillId="15" borderId="1" xfId="0" applyFont="1" applyFill="1" applyBorder="1"/>
    <xf numFmtId="0" fontId="0" fillId="3" borderId="1" xfId="0" applyFill="1" applyBorder="1"/>
    <xf numFmtId="0" fontId="0" fillId="3" borderId="1" xfId="0" applyNumberFormat="1" applyFill="1" applyBorder="1"/>
    <xf numFmtId="0" fontId="0" fillId="3" borderId="1" xfId="0" applyNumberForma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49" fontId="0" fillId="3" borderId="1" xfId="0" applyNumberFormat="1" applyFill="1" applyBorder="1"/>
    <xf numFmtId="49" fontId="0" fillId="0" borderId="1" xfId="0" applyNumberFormat="1" applyFill="1" applyBorder="1"/>
    <xf numFmtId="0" fontId="17" fillId="0" borderId="1" xfId="0" applyFont="1" applyFill="1" applyBorder="1"/>
    <xf numFmtId="0" fontId="33" fillId="3" borderId="1" xfId="0" applyFon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7" fillId="3" borderId="1" xfId="0" applyNumberFormat="1" applyFont="1" applyFill="1" applyBorder="1" applyAlignment="1">
      <alignment horizontal="center"/>
    </xf>
    <xf numFmtId="0" fontId="37" fillId="3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1" fillId="0" borderId="40" xfId="0" applyFont="1" applyFill="1" applyBorder="1" applyProtection="1">
      <protection locked="0"/>
    </xf>
    <xf numFmtId="0" fontId="0" fillId="0" borderId="0" xfId="0" applyFont="1"/>
    <xf numFmtId="0" fontId="1" fillId="0" borderId="1" xfId="0" applyFont="1" applyFill="1" applyBorder="1"/>
    <xf numFmtId="0" fontId="0" fillId="5" borderId="9" xfId="0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3" xfId="0" applyBorder="1" applyAlignment="1">
      <alignment horizontal="left"/>
    </xf>
    <xf numFmtId="0" fontId="6" fillId="0" borderId="4" xfId="0" applyFont="1" applyFill="1" applyBorder="1" applyAlignment="1" applyProtection="1">
      <alignment horizontal="center"/>
      <protection locked="0"/>
    </xf>
    <xf numFmtId="0" fontId="6" fillId="0" borderId="29" xfId="0" applyFont="1" applyFill="1" applyBorder="1" applyAlignment="1" applyProtection="1">
      <alignment horizontal="center"/>
      <protection locked="0"/>
    </xf>
    <xf numFmtId="0" fontId="6" fillId="0" borderId="13" xfId="0" applyFont="1" applyFill="1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left"/>
    </xf>
    <xf numFmtId="0" fontId="1" fillId="0" borderId="29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13" xfId="0" applyFont="1" applyFill="1" applyBorder="1" applyAlignment="1">
      <alignment horizontal="left"/>
    </xf>
    <xf numFmtId="0" fontId="0" fillId="0" borderId="29" xfId="0" applyFill="1" applyBorder="1" applyAlignment="1" applyProtection="1">
      <alignment horizontal="left"/>
      <protection locked="0"/>
    </xf>
    <xf numFmtId="0" fontId="0" fillId="0" borderId="13" xfId="0" applyFill="1" applyBorder="1" applyAlignment="1" applyProtection="1">
      <alignment horizontal="left"/>
      <protection locked="0"/>
    </xf>
    <xf numFmtId="0" fontId="1" fillId="2" borderId="16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0" fillId="0" borderId="67" xfId="0" applyFill="1" applyBorder="1" applyAlignment="1" applyProtection="1">
      <alignment horizontal="left"/>
      <protection locked="0"/>
    </xf>
    <xf numFmtId="0" fontId="0" fillId="0" borderId="16" xfId="0" applyFill="1" applyBorder="1" applyAlignment="1" applyProtection="1">
      <alignment horizontal="left"/>
      <protection locked="0"/>
    </xf>
    <xf numFmtId="0" fontId="0" fillId="0" borderId="51" xfId="0" applyFill="1" applyBorder="1" applyAlignment="1" applyProtection="1">
      <alignment horizontal="left"/>
      <protection locked="0"/>
    </xf>
    <xf numFmtId="0" fontId="0" fillId="0" borderId="4" xfId="0" applyFill="1" applyBorder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0" fontId="0" fillId="0" borderId="68" xfId="0" applyFill="1" applyBorder="1" applyAlignment="1" applyProtection="1">
      <alignment horizontal="left"/>
      <protection locked="0"/>
    </xf>
    <xf numFmtId="0" fontId="0" fillId="0" borderId="48" xfId="0" applyFill="1" applyBorder="1" applyAlignment="1" applyProtection="1">
      <alignment horizontal="left"/>
      <protection locked="0"/>
    </xf>
    <xf numFmtId="0" fontId="8" fillId="0" borderId="4" xfId="0" applyFont="1" applyFill="1" applyBorder="1" applyAlignment="1" applyProtection="1">
      <alignment horizontal="left"/>
      <protection locked="0"/>
    </xf>
    <xf numFmtId="0" fontId="8" fillId="0" borderId="29" xfId="0" applyFont="1" applyFill="1" applyBorder="1" applyAlignment="1" applyProtection="1">
      <alignment horizontal="left"/>
      <protection locked="0"/>
    </xf>
    <xf numFmtId="0" fontId="8" fillId="0" borderId="56" xfId="0" applyFont="1" applyFill="1" applyBorder="1" applyAlignment="1" applyProtection="1">
      <alignment horizontal="left"/>
      <protection locked="0"/>
    </xf>
    <xf numFmtId="0" fontId="8" fillId="0" borderId="16" xfId="0" applyFont="1" applyFill="1" applyBorder="1" applyAlignment="1" applyProtection="1">
      <alignment horizontal="left"/>
      <protection locked="0"/>
    </xf>
    <xf numFmtId="0" fontId="8" fillId="0" borderId="48" xfId="0" applyFont="1" applyFill="1" applyBorder="1" applyAlignment="1" applyProtection="1">
      <alignment horizontal="left"/>
      <protection locked="0"/>
    </xf>
    <xf numFmtId="0" fontId="8" fillId="0" borderId="55" xfId="0" applyFont="1" applyFill="1" applyBorder="1" applyAlignment="1" applyProtection="1">
      <alignment horizontal="left"/>
      <protection locked="0"/>
    </xf>
    <xf numFmtId="0" fontId="1" fillId="8" borderId="12" xfId="0" applyFont="1" applyFill="1" applyBorder="1" applyAlignment="1">
      <alignment horizontal="left"/>
    </xf>
    <xf numFmtId="0" fontId="1" fillId="8" borderId="11" xfId="0" applyFont="1" applyFill="1" applyBorder="1" applyAlignment="1">
      <alignment horizontal="left"/>
    </xf>
    <xf numFmtId="0" fontId="1" fillId="8" borderId="4" xfId="0" applyFont="1" applyFill="1" applyBorder="1" applyAlignment="1">
      <alignment horizontal="left"/>
    </xf>
    <xf numFmtId="0" fontId="1" fillId="8" borderId="13" xfId="0" applyFont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0" borderId="29" xfId="0" applyBorder="1" applyAlignment="1">
      <alignment horizontal="left"/>
    </xf>
    <xf numFmtId="0" fontId="0" fillId="4" borderId="4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0" fontId="1" fillId="7" borderId="4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2" borderId="15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0" fontId="0" fillId="2" borderId="4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29" xfId="0" applyFill="1" applyBorder="1" applyAlignment="1">
      <alignment horizontal="left"/>
    </xf>
    <xf numFmtId="0" fontId="0" fillId="0" borderId="13" xfId="0" applyFill="1" applyBorder="1" applyAlignment="1">
      <alignment horizontal="left"/>
    </xf>
    <xf numFmtId="0" fontId="4" fillId="0" borderId="4" xfId="0" applyFont="1" applyFill="1" applyBorder="1" applyAlignment="1" applyProtection="1">
      <alignment horizontal="left"/>
      <protection locked="0"/>
    </xf>
    <xf numFmtId="0" fontId="4" fillId="0" borderId="29" xfId="0" applyFont="1" applyFill="1" applyBorder="1" applyAlignment="1" applyProtection="1">
      <alignment horizontal="left"/>
      <protection locked="0"/>
    </xf>
    <xf numFmtId="0" fontId="4" fillId="0" borderId="13" xfId="0" applyFont="1" applyFill="1" applyBorder="1" applyAlignment="1" applyProtection="1">
      <alignment horizontal="left"/>
      <protection locked="0"/>
    </xf>
    <xf numFmtId="0" fontId="0" fillId="0" borderId="80" xfId="0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4" borderId="18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1" xfId="0" applyBorder="1" applyAlignment="1">
      <alignment horizontal="left"/>
    </xf>
    <xf numFmtId="0" fontId="25" fillId="0" borderId="77" xfId="0" applyFont="1" applyBorder="1" applyAlignment="1" applyProtection="1">
      <alignment horizontal="left"/>
      <protection locked="0"/>
    </xf>
    <xf numFmtId="0" fontId="25" fillId="0" borderId="78" xfId="0" applyFont="1" applyBorder="1" applyAlignment="1" applyProtection="1">
      <alignment horizontal="left"/>
      <protection locked="0"/>
    </xf>
    <xf numFmtId="0" fontId="25" fillId="0" borderId="79" xfId="0" applyFont="1" applyBorder="1" applyAlignment="1" applyProtection="1">
      <alignment horizontal="left"/>
      <protection locked="0"/>
    </xf>
    <xf numFmtId="0" fontId="16" fillId="0" borderId="4" xfId="0" applyFont="1" applyBorder="1" applyAlignment="1">
      <alignment horizontal="left" vertical="center"/>
    </xf>
    <xf numFmtId="0" fontId="16" fillId="0" borderId="29" xfId="0" applyFont="1" applyBorder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6" fillId="3" borderId="52" xfId="0" applyFont="1" applyFill="1" applyBorder="1" applyAlignment="1">
      <alignment horizontal="left" vertical="center"/>
    </xf>
    <xf numFmtId="0" fontId="16" fillId="3" borderId="38" xfId="0" applyFont="1" applyFill="1" applyBorder="1" applyAlignment="1">
      <alignment horizontal="left" vertical="center"/>
    </xf>
    <xf numFmtId="0" fontId="16" fillId="3" borderId="42" xfId="0" applyFont="1" applyFill="1" applyBorder="1" applyAlignment="1">
      <alignment horizontal="left" vertical="center"/>
    </xf>
    <xf numFmtId="0" fontId="25" fillId="0" borderId="4" xfId="0" applyFont="1" applyBorder="1" applyAlignment="1" applyProtection="1">
      <alignment horizontal="left"/>
      <protection locked="0"/>
    </xf>
    <xf numFmtId="0" fontId="25" fillId="0" borderId="29" xfId="0" applyFont="1" applyBorder="1" applyAlignment="1" applyProtection="1">
      <alignment horizontal="left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4" fillId="4" borderId="1" xfId="0" applyFont="1" applyFill="1" applyBorder="1" applyAlignment="1">
      <alignment horizont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" fillId="0" borderId="4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left" vertical="center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13" xfId="0" applyBorder="1" applyAlignment="1" applyProtection="1">
      <alignment horizontal="left" vertical="top"/>
      <protection locked="0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6" fillId="0" borderId="37" xfId="0" applyFont="1" applyBorder="1" applyAlignment="1" applyProtection="1">
      <alignment horizontal="left" vertical="top" wrapText="1"/>
      <protection locked="0"/>
    </xf>
    <xf numFmtId="0" fontId="6" fillId="0" borderId="22" xfId="0" applyFont="1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5" borderId="6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0" xfId="0" applyFont="1" applyAlignment="1">
      <alignment horizontal="center"/>
    </xf>
    <xf numFmtId="0" fontId="39" fillId="0" borderId="9" xfId="0" applyFont="1" applyBorder="1" applyAlignment="1">
      <alignment horizontal="center"/>
    </xf>
  </cellXfs>
  <cellStyles count="3">
    <cellStyle name="Normální" xfId="0" builtinId="0"/>
    <cellStyle name="normální 2" xfId="1"/>
    <cellStyle name="normální 3" xfId="2"/>
  </cellStyles>
  <dxfs count="62"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ont>
        <color rgb="FFC00000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  <color theme="0" tint="-0.499984740745262"/>
      </font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FFFFCC"/>
      <color rgb="FFFFFF66"/>
      <color rgb="FFFF3300"/>
      <color rgb="FFFFFF99"/>
      <color rgb="FFFF66CC"/>
      <color rgb="FFFF66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449580</xdr:colOff>
          <xdr:row>0</xdr:row>
          <xdr:rowOff>259080</xdr:rowOff>
        </xdr:from>
        <xdr:to>
          <xdr:col>18</xdr:col>
          <xdr:colOff>7620</xdr:colOff>
          <xdr:row>2</xdr:row>
          <xdr:rowOff>175260</xdr:rowOff>
        </xdr:to>
        <xdr:sp macro="" textlink="">
          <xdr:nvSpPr>
            <xdr:cNvPr id="22663" name="CommandButton1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>
    <tabColor rgb="FF92D050"/>
  </sheetPr>
  <dimension ref="A1:AM66"/>
  <sheetViews>
    <sheetView zoomScaleNormal="100" zoomScaleSheetLayoutView="90" workbookViewId="0">
      <selection activeCell="I10" sqref="I10"/>
    </sheetView>
  </sheetViews>
  <sheetFormatPr defaultRowHeight="14.4" outlineLevelCol="1" x14ac:dyDescent="0.3"/>
  <cols>
    <col min="1" max="1" width="11.5546875" customWidth="1"/>
    <col min="2" max="2" width="7.109375" customWidth="1"/>
    <col min="3" max="3" width="6.33203125" customWidth="1"/>
    <col min="4" max="4" width="7" customWidth="1"/>
    <col min="5" max="5" width="6.5546875" customWidth="1"/>
    <col min="6" max="6" width="5.33203125" customWidth="1"/>
    <col min="7" max="7" width="7.88671875" customWidth="1"/>
    <col min="8" max="8" width="5.6640625" customWidth="1"/>
    <col min="9" max="9" width="6.109375" customWidth="1"/>
    <col min="10" max="11" width="5" customWidth="1"/>
    <col min="12" max="12" width="5.109375" customWidth="1"/>
    <col min="13" max="13" width="6.44140625" customWidth="1"/>
    <col min="14" max="14" width="5.88671875" customWidth="1"/>
    <col min="15" max="15" width="2.109375" customWidth="1"/>
    <col min="16" max="16" width="4.33203125" customWidth="1"/>
    <col min="17" max="17" width="1.109375" customWidth="1"/>
    <col min="18" max="18" width="8" customWidth="1"/>
    <col min="19" max="19" width="15.5546875" customWidth="1"/>
    <col min="20" max="20" width="4.5546875" customWidth="1"/>
    <col min="21" max="21" width="7.109375" customWidth="1"/>
    <col min="22" max="22" width="5.21875" customWidth="1"/>
    <col min="23" max="23" width="7.33203125" customWidth="1"/>
    <col min="24" max="24" width="6.33203125" customWidth="1"/>
    <col min="25" max="25" width="5" customWidth="1"/>
    <col min="27" max="27" width="4.44140625" customWidth="1"/>
    <col min="29" max="32" width="8.88671875" hidden="1" customWidth="1" outlineLevel="1"/>
    <col min="33" max="33" width="8.88671875" collapsed="1"/>
    <col min="34" max="34" width="9.77734375" customWidth="1"/>
    <col min="35" max="38" width="8.88671875" hidden="1" customWidth="1" outlineLevel="1"/>
    <col min="39" max="39" width="8.88671875" collapsed="1"/>
  </cols>
  <sheetData>
    <row r="1" spans="1:38" ht="26.4" thickBot="1" x14ac:dyDescent="0.55000000000000004">
      <c r="F1" s="24" t="s">
        <v>436</v>
      </c>
      <c r="P1" s="4" t="s">
        <v>23</v>
      </c>
      <c r="Z1" s="210" t="s">
        <v>575</v>
      </c>
    </row>
    <row r="2" spans="1:38" ht="15" customHeight="1" x14ac:dyDescent="0.3">
      <c r="A2" s="8" t="s">
        <v>21</v>
      </c>
      <c r="B2" s="262" t="s">
        <v>950</v>
      </c>
      <c r="C2" s="263"/>
      <c r="D2" t="s">
        <v>233</v>
      </c>
      <c r="E2" s="267"/>
      <c r="F2" s="268"/>
      <c r="G2" s="268"/>
      <c r="H2" s="268"/>
      <c r="I2" s="268"/>
      <c r="J2" s="269"/>
      <c r="M2" s="179" t="s">
        <v>519</v>
      </c>
      <c r="N2" s="264" t="s">
        <v>169</v>
      </c>
      <c r="O2" s="265"/>
      <c r="P2" s="266"/>
      <c r="S2" s="1" t="s">
        <v>518</v>
      </c>
    </row>
    <row r="3" spans="1:38" ht="15" customHeight="1" x14ac:dyDescent="0.3">
      <c r="A3" t="s">
        <v>20</v>
      </c>
      <c r="B3" s="262" t="s">
        <v>294</v>
      </c>
      <c r="C3" s="263"/>
      <c r="D3" t="s">
        <v>619</v>
      </c>
      <c r="E3" s="267"/>
      <c r="F3" s="268"/>
      <c r="G3" s="268"/>
      <c r="H3" s="268"/>
      <c r="I3" s="268"/>
      <c r="J3" s="269"/>
      <c r="L3" s="272" t="s">
        <v>234</v>
      </c>
      <c r="M3" s="273"/>
      <c r="N3" s="55"/>
      <c r="O3" s="8" t="s">
        <v>14</v>
      </c>
      <c r="S3" s="26" t="s">
        <v>167</v>
      </c>
    </row>
    <row r="4" spans="1:38" ht="15" customHeight="1" x14ac:dyDescent="0.3">
      <c r="B4" s="212" t="s">
        <v>620</v>
      </c>
      <c r="C4" s="215" t="str">
        <f>HLOOKUP(Rasy!$M$3,Rasy!$B$3:$R$20,MATCH('1-Postava'!$B$3,Rasy!$B$3:$B$20,0),FALSE)</f>
        <v>B</v>
      </c>
      <c r="E4" s="5" t="s">
        <v>617</v>
      </c>
      <c r="F4" s="158">
        <f>C15+HLOOKUP("KON",Povolání!$A$3:$J$45,MATCH(COPY_POVOLANI,Povolání!$A$3:$A$45,0),FALSE)/4*K4</f>
        <v>3</v>
      </c>
      <c r="H4" s="5" t="s">
        <v>414</v>
      </c>
      <c r="I4" s="158">
        <f>IF(ROUND(INT+HLOOKUP("MG",Povolání!$A$3:$J$45,MATCH(COPY_POVOLANI,Povolání!$A$3:$A$45,0),FALSE)/4*K4,0)&lt;0,0,ROUND(INT+HLOOKUP("MG",Povolání!$A$3:$J$45,MATCH(COPY_POVOLANI,Povolání!$A$3:$A$45,0),FALSE)/4*K4,0))</f>
        <v>0</v>
      </c>
      <c r="J4" s="5" t="s">
        <v>947</v>
      </c>
      <c r="K4" s="158">
        <v>0</v>
      </c>
      <c r="M4" s="212" t="s">
        <v>618</v>
      </c>
      <c r="N4" s="55"/>
      <c r="O4" s="8" t="s">
        <v>15</v>
      </c>
      <c r="S4" s="26" t="s">
        <v>168</v>
      </c>
      <c r="AB4" s="303"/>
      <c r="AC4" s="303"/>
      <c r="AD4" s="303"/>
      <c r="AE4" s="303"/>
      <c r="AF4" s="304"/>
      <c r="AH4" s="302" t="s">
        <v>73</v>
      </c>
      <c r="AI4" s="303"/>
      <c r="AJ4" s="303"/>
      <c r="AK4" s="303"/>
      <c r="AL4" s="304"/>
    </row>
    <row r="5" spans="1:38" ht="15" customHeight="1" x14ac:dyDescent="0.3">
      <c r="A5" s="65" t="s">
        <v>0</v>
      </c>
      <c r="K5" s="163"/>
      <c r="S5" s="26" t="s">
        <v>169</v>
      </c>
      <c r="AB5" s="91" t="s">
        <v>415</v>
      </c>
      <c r="AC5" s="91" t="s">
        <v>576</v>
      </c>
      <c r="AD5" s="91" t="s">
        <v>577</v>
      </c>
      <c r="AE5" s="30" t="s">
        <v>274</v>
      </c>
      <c r="AF5" s="30" t="s">
        <v>36</v>
      </c>
      <c r="AH5" s="30" t="s">
        <v>295</v>
      </c>
      <c r="AI5" s="154" t="s">
        <v>580</v>
      </c>
      <c r="AJ5" s="154" t="s">
        <v>579</v>
      </c>
      <c r="AK5" s="30" t="s">
        <v>274</v>
      </c>
      <c r="AL5" s="30" t="s">
        <v>36</v>
      </c>
    </row>
    <row r="6" spans="1:38" ht="15.75" customHeight="1" x14ac:dyDescent="0.3">
      <c r="A6" s="3" t="s">
        <v>2</v>
      </c>
      <c r="B6" s="213" t="s">
        <v>615</v>
      </c>
      <c r="C6" s="213" t="s">
        <v>616</v>
      </c>
      <c r="D6" s="3" t="s">
        <v>3</v>
      </c>
      <c r="E6" s="3" t="s">
        <v>4</v>
      </c>
      <c r="F6" s="3" t="s">
        <v>258</v>
      </c>
      <c r="K6" s="164"/>
      <c r="L6" s="164"/>
      <c r="M6" s="164"/>
      <c r="N6" s="164"/>
      <c r="O6" s="164"/>
      <c r="P6" s="164"/>
      <c r="S6" s="26" t="s">
        <v>170</v>
      </c>
      <c r="AB6" s="92"/>
      <c r="AC6" s="92"/>
      <c r="AD6" s="92"/>
      <c r="AE6" s="92" t="s">
        <v>72</v>
      </c>
      <c r="AF6" s="92"/>
      <c r="AH6" s="92" t="str">
        <f t="shared" ref="AH6:AH45" si="0">IF($Z$1="PJ",AJ6,AI6)</f>
        <v>Badatel</v>
      </c>
      <c r="AI6" s="92" t="s">
        <v>418</v>
      </c>
      <c r="AJ6" s="92" t="s">
        <v>299</v>
      </c>
      <c r="AK6" s="92" t="s">
        <v>72</v>
      </c>
      <c r="AL6" s="92"/>
    </row>
    <row r="7" spans="1:38" ht="15" customHeight="1" x14ac:dyDescent="0.3">
      <c r="A7" s="2" t="s">
        <v>1</v>
      </c>
      <c r="B7" s="214"/>
      <c r="C7" s="214">
        <f>HLOOKUP(D7,Rasy!$B$3:$H$20,MATCH(COPY_RASA,Rasy!$B$3:$B$20,0),FALSE)+HLOOKUP(D7,Povolání!$A$3:$J$45,MATCH(COPY_POVOLANI,Povolání!$A$3:$A$45,0),FALSE)</f>
        <v>3</v>
      </c>
      <c r="D7" s="29" t="s">
        <v>47</v>
      </c>
      <c r="E7" s="52">
        <f>B7+C7</f>
        <v>3</v>
      </c>
      <c r="F7" s="30">
        <f>IFERROR(LOOKUP(E7,$W$9:$W$49,$X$9:$X$49)," ")</f>
        <v>-4</v>
      </c>
      <c r="K7" s="162"/>
      <c r="L7" s="162"/>
      <c r="M7" s="162"/>
      <c r="N7" s="162"/>
      <c r="O7" s="162"/>
      <c r="P7" s="162"/>
      <c r="S7" s="26" t="s">
        <v>171</v>
      </c>
      <c r="W7" s="1" t="s">
        <v>91</v>
      </c>
      <c r="AB7" s="92" t="str">
        <f t="shared" ref="AB7:AB22" si="1">IF($Z$1="PJ",AD7,AC7)</f>
        <v>Člověk (F)</v>
      </c>
      <c r="AC7" s="92" t="s">
        <v>294</v>
      </c>
      <c r="AD7" s="92" t="s">
        <v>578</v>
      </c>
      <c r="AE7" s="103" t="s">
        <v>273</v>
      </c>
      <c r="AF7" s="103" t="s">
        <v>578</v>
      </c>
      <c r="AH7" s="92" t="str">
        <f t="shared" si="0"/>
        <v>Badatelka</v>
      </c>
      <c r="AI7" s="92" t="s">
        <v>419</v>
      </c>
      <c r="AJ7" s="92" t="s">
        <v>296</v>
      </c>
      <c r="AK7" s="92" t="s">
        <v>299</v>
      </c>
      <c r="AL7" s="92" t="s">
        <v>296</v>
      </c>
    </row>
    <row r="8" spans="1:38" ht="15" customHeight="1" x14ac:dyDescent="0.3">
      <c r="A8" s="2" t="s">
        <v>6</v>
      </c>
      <c r="B8" s="214"/>
      <c r="C8" s="214">
        <f>HLOOKUP(D8,Rasy!$B$3:$H$20,MATCH(COPY_RASA,Rasy!$B$3:$B$20,0),FALSE)+HLOOKUP(D8,Povolání!$A$3:$J$45,MATCH(COPY_POVOLANI,Povolání!$A$3:$A$45,0),FALSE)</f>
        <v>3</v>
      </c>
      <c r="D8" s="29" t="s">
        <v>50</v>
      </c>
      <c r="E8" s="52">
        <f t="shared" ref="E8:E12" si="2">B8+C8</f>
        <v>3</v>
      </c>
      <c r="F8" s="30">
        <f>IFERROR(LOOKUP(E8,$W$9:$W$49,$X$9:$X$49)," ")</f>
        <v>-4</v>
      </c>
      <c r="K8" s="162"/>
      <c r="L8" s="162"/>
      <c r="M8" s="162"/>
      <c r="N8" s="162"/>
      <c r="O8" s="162"/>
      <c r="P8" s="162"/>
      <c r="U8" s="124"/>
      <c r="W8" t="s">
        <v>4</v>
      </c>
      <c r="X8" t="s">
        <v>5</v>
      </c>
      <c r="AB8" s="92" t="str">
        <f t="shared" si="1"/>
        <v>Člověk (M)</v>
      </c>
      <c r="AC8" s="92" t="s">
        <v>293</v>
      </c>
      <c r="AD8" s="92" t="s">
        <v>273</v>
      </c>
      <c r="AE8" s="103" t="s">
        <v>293</v>
      </c>
      <c r="AF8" s="103" t="s">
        <v>294</v>
      </c>
      <c r="AH8" s="92" t="str">
        <f t="shared" si="0"/>
        <v>Bard</v>
      </c>
      <c r="AI8" s="92" t="s">
        <v>51</v>
      </c>
      <c r="AJ8" s="92" t="s">
        <v>298</v>
      </c>
      <c r="AK8" s="92" t="s">
        <v>418</v>
      </c>
      <c r="AL8" s="92" t="s">
        <v>419</v>
      </c>
    </row>
    <row r="9" spans="1:38" ht="15" customHeight="1" x14ac:dyDescent="0.3">
      <c r="A9" s="2" t="s">
        <v>7</v>
      </c>
      <c r="B9" s="214"/>
      <c r="C9" s="214">
        <f>HLOOKUP(D9,Rasy!$B$3:$H$20,MATCH(COPY_RASA,Rasy!$B$3:$B$20,0),FALSE)+HLOOKUP(D9,Povolání!$A$3:$J$45,MATCH(COPY_POVOLANI,Povolání!$A$3:$A$45,0),FALSE)</f>
        <v>3</v>
      </c>
      <c r="D9" s="29" t="s">
        <v>56</v>
      </c>
      <c r="E9" s="52">
        <f t="shared" si="2"/>
        <v>3</v>
      </c>
      <c r="F9" s="30">
        <f t="shared" ref="F9:F12" si="3">IFERROR(LOOKUP(E9,$W$9:$W$49,$X$9:$X$49)," ")</f>
        <v>-4</v>
      </c>
      <c r="K9" s="162"/>
      <c r="L9" s="162"/>
      <c r="M9" s="162"/>
      <c r="N9" s="162"/>
      <c r="O9" s="162"/>
      <c r="P9" s="162"/>
      <c r="W9" s="28">
        <v>1</v>
      </c>
      <c r="X9" s="28">
        <v>-5</v>
      </c>
      <c r="AB9" s="92" t="str">
        <f t="shared" si="1"/>
        <v>Elf</v>
      </c>
      <c r="AC9" s="92" t="s">
        <v>69</v>
      </c>
      <c r="AD9" s="92" t="s">
        <v>294</v>
      </c>
      <c r="AE9" s="103" t="s">
        <v>69</v>
      </c>
      <c r="AF9" s="103" t="s">
        <v>275</v>
      </c>
      <c r="AH9" s="92" t="str">
        <f t="shared" si="0"/>
        <v>Bojovnice</v>
      </c>
      <c r="AI9" s="92" t="s">
        <v>280</v>
      </c>
      <c r="AJ9" s="92" t="s">
        <v>418</v>
      </c>
      <c r="AK9" s="92" t="s">
        <v>51</v>
      </c>
      <c r="AL9" s="92" t="s">
        <v>279</v>
      </c>
    </row>
    <row r="10" spans="1:38" ht="15" customHeight="1" x14ac:dyDescent="0.3">
      <c r="A10" s="2" t="s">
        <v>9</v>
      </c>
      <c r="B10" s="214"/>
      <c r="C10" s="214">
        <f>HLOOKUP(D10,Rasy!$B$3:$H$20,MATCH(COPY_RASA,Rasy!$B$3:$B$20,0),FALSE)+HLOOKUP(D10,Povolání!$A$3:$J$45,MATCH(COPY_POVOLANI,Povolání!$A$3:$A$45,0),FALSE)</f>
        <v>3</v>
      </c>
      <c r="D10" s="29" t="s">
        <v>49</v>
      </c>
      <c r="E10" s="52">
        <f t="shared" si="2"/>
        <v>3</v>
      </c>
      <c r="F10" s="30">
        <f>IFERROR(LOOKUP(E10,$W$9:$W$49,$X$9:$X$49)," ")</f>
        <v>-4</v>
      </c>
      <c r="K10" s="162"/>
      <c r="L10" s="162"/>
      <c r="M10" s="162"/>
      <c r="N10" s="162"/>
      <c r="O10" s="162"/>
      <c r="P10" s="162"/>
      <c r="W10" s="28">
        <v>2</v>
      </c>
      <c r="X10" s="28">
        <v>-4</v>
      </c>
      <c r="AB10" s="92" t="str">
        <f t="shared" si="1"/>
        <v>Elfka</v>
      </c>
      <c r="AC10" s="92" t="s">
        <v>275</v>
      </c>
      <c r="AD10" s="92" t="s">
        <v>293</v>
      </c>
      <c r="AE10" s="103" t="s">
        <v>70</v>
      </c>
      <c r="AF10" s="103" t="s">
        <v>276</v>
      </c>
      <c r="AH10" s="92" t="str">
        <f t="shared" si="0"/>
        <v>Bojovník</v>
      </c>
      <c r="AI10" s="92" t="s">
        <v>75</v>
      </c>
      <c r="AJ10" s="92" t="s">
        <v>419</v>
      </c>
      <c r="AK10" s="92" t="s">
        <v>75</v>
      </c>
      <c r="AL10" s="92" t="s">
        <v>280</v>
      </c>
    </row>
    <row r="11" spans="1:38" ht="15" customHeight="1" x14ac:dyDescent="0.3">
      <c r="A11" s="2" t="s">
        <v>8</v>
      </c>
      <c r="B11" s="214"/>
      <c r="C11" s="214">
        <f>HLOOKUP(D11,Rasy!$B$3:$H$20,MATCH(COPY_RASA,Rasy!$B$3:$B$20,0),FALSE)+HLOOKUP(D11,Povolání!$A$3:$J$45,MATCH(COPY_POVOLANI,Povolání!$A$3:$A$45,0),FALSE)</f>
        <v>3</v>
      </c>
      <c r="D11" s="29" t="s">
        <v>54</v>
      </c>
      <c r="E11" s="52">
        <f t="shared" si="2"/>
        <v>3</v>
      </c>
      <c r="F11" s="30">
        <f>IFERROR(LOOKUP(E11,$W$9:$W$49,$X$9:$X$49)," ")</f>
        <v>-4</v>
      </c>
      <c r="K11" s="270" t="s">
        <v>297</v>
      </c>
      <c r="L11" s="271"/>
      <c r="M11" s="271"/>
      <c r="N11" s="271"/>
      <c r="O11" s="271"/>
      <c r="P11" s="271"/>
      <c r="W11" s="28">
        <v>3</v>
      </c>
      <c r="X11" s="28">
        <v>-4</v>
      </c>
      <c r="AB11" s="92" t="str">
        <f t="shared" si="1"/>
        <v>Hobit</v>
      </c>
      <c r="AC11" s="92" t="s">
        <v>70</v>
      </c>
      <c r="AD11" s="92" t="s">
        <v>69</v>
      </c>
      <c r="AE11" s="103" t="s">
        <v>71</v>
      </c>
      <c r="AF11" s="103" t="s">
        <v>277</v>
      </c>
      <c r="AH11" s="92" t="str">
        <f t="shared" si="0"/>
        <v>Čaroděj</v>
      </c>
      <c r="AI11" s="92" t="s">
        <v>79</v>
      </c>
      <c r="AJ11" s="92" t="s">
        <v>51</v>
      </c>
      <c r="AK11" s="92" t="s">
        <v>79</v>
      </c>
      <c r="AL11" s="92" t="s">
        <v>281</v>
      </c>
    </row>
    <row r="12" spans="1:38" ht="15" customHeight="1" x14ac:dyDescent="0.3">
      <c r="A12" s="2" t="s">
        <v>10</v>
      </c>
      <c r="B12" s="214"/>
      <c r="C12" s="214">
        <f>HLOOKUP(D12,Rasy!$B$3:$H$20,MATCH(COPY_RASA,Rasy!$B$3:$B$20,0),FALSE)+HLOOKUP(D12,Povolání!$A$3:$J$45,MATCH(COPY_POVOLANI,Povolání!$A$3:$A$45,0),FALSE)</f>
        <v>3</v>
      </c>
      <c r="D12" s="29" t="s">
        <v>45</v>
      </c>
      <c r="E12" s="52">
        <f t="shared" si="2"/>
        <v>3</v>
      </c>
      <c r="F12" s="30">
        <f t="shared" si="3"/>
        <v>-4</v>
      </c>
      <c r="K12" s="162"/>
      <c r="L12" s="162"/>
      <c r="M12" s="162"/>
      <c r="N12" s="162"/>
      <c r="O12" s="162"/>
      <c r="P12" s="162"/>
      <c r="W12" s="28">
        <v>4</v>
      </c>
      <c r="X12" s="28">
        <v>-3</v>
      </c>
      <c r="AB12" s="92" t="str">
        <f t="shared" si="1"/>
        <v>Hobitka</v>
      </c>
      <c r="AC12" s="92" t="s">
        <v>276</v>
      </c>
      <c r="AD12" s="92" t="s">
        <v>275</v>
      </c>
      <c r="AE12" s="103" t="s">
        <v>573</v>
      </c>
      <c r="AF12" s="103" t="s">
        <v>574</v>
      </c>
      <c r="AH12" s="92" t="str">
        <f t="shared" si="0"/>
        <v>Čarodějka</v>
      </c>
      <c r="AI12" s="92" t="s">
        <v>281</v>
      </c>
      <c r="AJ12" s="92" t="s">
        <v>280</v>
      </c>
      <c r="AK12" s="92" t="s">
        <v>85</v>
      </c>
      <c r="AL12" s="92" t="s">
        <v>298</v>
      </c>
    </row>
    <row r="13" spans="1:38" ht="15" customHeight="1" x14ac:dyDescent="0.3">
      <c r="A13" s="1" t="s">
        <v>11</v>
      </c>
      <c r="K13" s="162"/>
      <c r="L13" s="162"/>
      <c r="M13" s="162"/>
      <c r="N13" s="162"/>
      <c r="O13" s="162"/>
      <c r="P13" s="162"/>
      <c r="W13" s="28">
        <v>5</v>
      </c>
      <c r="X13" s="28">
        <v>-3</v>
      </c>
      <c r="AB13" s="92" t="str">
        <f t="shared" si="1"/>
        <v>Poloobr</v>
      </c>
      <c r="AC13" s="92" t="s">
        <v>573</v>
      </c>
      <c r="AD13" s="92" t="s">
        <v>70</v>
      </c>
      <c r="AE13" s="103" t="s">
        <v>455</v>
      </c>
      <c r="AF13" s="103" t="s">
        <v>453</v>
      </c>
      <c r="AH13" s="92" t="str">
        <f t="shared" si="0"/>
        <v>Druid</v>
      </c>
      <c r="AI13" s="92" t="s">
        <v>90</v>
      </c>
      <c r="AJ13" s="92" t="s">
        <v>75</v>
      </c>
      <c r="AK13" s="92" t="s">
        <v>90</v>
      </c>
      <c r="AL13" s="92" t="s">
        <v>282</v>
      </c>
    </row>
    <row r="14" spans="1:38" ht="15" customHeight="1" x14ac:dyDescent="0.3">
      <c r="A14" s="3" t="s">
        <v>2</v>
      </c>
      <c r="B14" s="3" t="s">
        <v>3</v>
      </c>
      <c r="C14" s="3" t="s">
        <v>4</v>
      </c>
      <c r="D14" s="3" t="s">
        <v>5</v>
      </c>
      <c r="F14" t="s">
        <v>423</v>
      </c>
      <c r="K14" s="162"/>
      <c r="L14" s="162"/>
      <c r="M14" s="162"/>
      <c r="N14" s="162"/>
      <c r="O14" s="162"/>
      <c r="P14" s="162"/>
      <c r="W14" s="28">
        <v>6</v>
      </c>
      <c r="X14" s="28">
        <v>-2</v>
      </c>
      <c r="AB14" s="92" t="str">
        <f t="shared" si="1"/>
        <v>Poloobryně</v>
      </c>
      <c r="AC14" s="92" t="s">
        <v>574</v>
      </c>
      <c r="AD14" s="92" t="s">
        <v>276</v>
      </c>
      <c r="AE14" s="103" t="s">
        <v>59</v>
      </c>
      <c r="AF14" s="103" t="s">
        <v>278</v>
      </c>
      <c r="AH14" s="92" t="str">
        <f t="shared" si="0"/>
        <v>Druidka</v>
      </c>
      <c r="AI14" s="92" t="s">
        <v>282</v>
      </c>
      <c r="AJ14" s="92" t="s">
        <v>79</v>
      </c>
      <c r="AK14" s="92" t="s">
        <v>87</v>
      </c>
      <c r="AL14" s="92" t="s">
        <v>283</v>
      </c>
    </row>
    <row r="15" spans="1:38" ht="15" customHeight="1" x14ac:dyDescent="0.3">
      <c r="A15" s="58" t="s">
        <v>12</v>
      </c>
      <c r="B15" s="59" t="s">
        <v>94</v>
      </c>
      <c r="C15" s="145">
        <f>IFERROR(ROUND((E7+E11)/2,0)+LOOKUP(COPY_RASA,Rasy!$B$4:$B$20,Rasy!$J$4:$J$20),0)</f>
        <v>3</v>
      </c>
      <c r="D15" s="158">
        <f>IFERROR(LOOKUP(C15,$W$9:$W$49,$X$9:$X$49)," ")</f>
        <v>-4</v>
      </c>
      <c r="G15" s="30">
        <f>4+ROUND(D16/2,0)</f>
        <v>2</v>
      </c>
      <c r="H15" t="s">
        <v>108</v>
      </c>
      <c r="K15" s="162"/>
      <c r="L15" s="162"/>
      <c r="M15" s="162"/>
      <c r="N15" s="162"/>
      <c r="O15" s="162"/>
      <c r="P15" s="162"/>
      <c r="W15" s="28">
        <v>7</v>
      </c>
      <c r="X15" s="28">
        <v>-2</v>
      </c>
      <c r="AB15" s="92" t="str">
        <f t="shared" si="1"/>
        <v>Trpaslice</v>
      </c>
      <c r="AC15" s="92" t="s">
        <v>278</v>
      </c>
      <c r="AD15" s="92" t="s">
        <v>71</v>
      </c>
      <c r="AH15" s="92" t="str">
        <f t="shared" si="0"/>
        <v>Kněz</v>
      </c>
      <c r="AI15" s="92" t="s">
        <v>87</v>
      </c>
      <c r="AJ15" s="92" t="s">
        <v>281</v>
      </c>
      <c r="AK15" s="92" t="s">
        <v>235</v>
      </c>
      <c r="AL15" s="92" t="s">
        <v>86</v>
      </c>
    </row>
    <row r="16" spans="1:38" ht="15" customHeight="1" x14ac:dyDescent="0.3">
      <c r="A16" s="58" t="s">
        <v>13</v>
      </c>
      <c r="B16" s="59" t="s">
        <v>95</v>
      </c>
      <c r="C16" s="145">
        <f>IFERROR(ROUND((E10+E8)/2,0),0)</f>
        <v>3</v>
      </c>
      <c r="D16" s="158">
        <f>IFERROR(LOOKUP(C16,$W$9:$W$49,$X$9:$X$49)," ")</f>
        <v>-4</v>
      </c>
      <c r="F16" t="s">
        <v>424</v>
      </c>
      <c r="K16" s="162"/>
      <c r="L16" s="162"/>
      <c r="M16" s="162"/>
      <c r="N16" s="162"/>
      <c r="O16" s="162"/>
      <c r="P16" s="162"/>
      <c r="W16" s="28">
        <v>8</v>
      </c>
      <c r="X16" s="28">
        <v>-1</v>
      </c>
      <c r="AB16" s="92" t="str">
        <f t="shared" si="1"/>
        <v>Trpaslík</v>
      </c>
      <c r="AC16" s="92" t="s">
        <v>59</v>
      </c>
      <c r="AD16" s="92" t="s">
        <v>277</v>
      </c>
      <c r="AH16" s="92" t="str">
        <f t="shared" si="0"/>
        <v>Kněžka</v>
      </c>
      <c r="AI16" s="92" t="s">
        <v>283</v>
      </c>
      <c r="AJ16" s="92" t="s">
        <v>85</v>
      </c>
      <c r="AK16" s="92" t="s">
        <v>82</v>
      </c>
      <c r="AL16" s="92" t="s">
        <v>284</v>
      </c>
    </row>
    <row r="17" spans="1:38" ht="15" customHeight="1" x14ac:dyDescent="0.3">
      <c r="A17" s="58" t="s">
        <v>614</v>
      </c>
      <c r="B17" s="59" t="s">
        <v>44</v>
      </c>
      <c r="C17" s="32">
        <f>IFERROR(ROUND((E9+E12)/2,0),0)+LOOKUP(COPY_RASA,Rasy!$B$4:$B$20,Rasy!$L$4:$L$20)</f>
        <v>3</v>
      </c>
      <c r="D17" s="158">
        <f>IFERROR(LOOKUP(C17,$W$9:$W$49,$X$9:$X$49)," ")+$O$20</f>
        <v>-4</v>
      </c>
      <c r="G17" s="30">
        <f>G15*3</f>
        <v>6</v>
      </c>
      <c r="H17" t="s">
        <v>108</v>
      </c>
      <c r="K17" s="165"/>
      <c r="L17" s="165"/>
      <c r="M17" s="165"/>
      <c r="N17" s="165"/>
      <c r="O17" s="165"/>
      <c r="P17" s="165"/>
      <c r="W17" s="28">
        <v>9</v>
      </c>
      <c r="X17" s="28">
        <v>-1</v>
      </c>
      <c r="AB17" s="92">
        <f t="shared" si="1"/>
        <v>0</v>
      </c>
      <c r="AD17" s="92" t="s">
        <v>573</v>
      </c>
      <c r="AH17" s="92" t="str">
        <f t="shared" si="0"/>
        <v>Lupič</v>
      </c>
      <c r="AI17" s="92" t="s">
        <v>82</v>
      </c>
      <c r="AJ17" s="92" t="s">
        <v>90</v>
      </c>
      <c r="AK17" s="92" t="s">
        <v>420</v>
      </c>
      <c r="AL17" s="92" t="s">
        <v>421</v>
      </c>
    </row>
    <row r="18" spans="1:38" ht="15" customHeight="1" x14ac:dyDescent="0.3">
      <c r="A18" s="1" t="s">
        <v>313</v>
      </c>
      <c r="J18" s="261" t="s">
        <v>412</v>
      </c>
      <c r="K18" s="261"/>
      <c r="L18" s="261"/>
      <c r="M18" s="261"/>
      <c r="N18" s="252" t="s">
        <v>66</v>
      </c>
      <c r="O18" s="257" t="s">
        <v>67</v>
      </c>
      <c r="P18" s="258"/>
      <c r="W18" s="28">
        <v>10</v>
      </c>
      <c r="X18" s="28">
        <v>0</v>
      </c>
      <c r="AB18" s="92">
        <f t="shared" si="1"/>
        <v>0</v>
      </c>
      <c r="AD18" s="92" t="s">
        <v>574</v>
      </c>
      <c r="AH18" s="92" t="str">
        <f t="shared" si="0"/>
        <v>Lupička</v>
      </c>
      <c r="AI18" s="92" t="s">
        <v>284</v>
      </c>
      <c r="AJ18" s="92" t="s">
        <v>282</v>
      </c>
      <c r="AK18" s="92" t="s">
        <v>80</v>
      </c>
      <c r="AL18" s="92" t="s">
        <v>285</v>
      </c>
    </row>
    <row r="19" spans="1:38" ht="15" customHeight="1" x14ac:dyDescent="0.3">
      <c r="A19" s="7"/>
      <c r="B19" s="94"/>
      <c r="C19" s="94"/>
      <c r="D19" s="94"/>
      <c r="E19" s="94"/>
      <c r="F19" s="94"/>
      <c r="G19" s="94"/>
      <c r="H19" s="95"/>
      <c r="J19" s="308"/>
      <c r="K19" s="309"/>
      <c r="L19" s="309"/>
      <c r="M19" s="310"/>
      <c r="N19" s="255" t="s">
        <v>22</v>
      </c>
      <c r="O19" s="259"/>
      <c r="P19" s="260"/>
      <c r="W19" s="28">
        <v>11</v>
      </c>
      <c r="X19" s="28">
        <v>0</v>
      </c>
      <c r="AB19" s="92">
        <f t="shared" si="1"/>
        <v>0</v>
      </c>
      <c r="AD19" s="92" t="s">
        <v>453</v>
      </c>
      <c r="AH19" s="92" t="str">
        <f t="shared" si="0"/>
        <v>Mág</v>
      </c>
      <c r="AI19" s="92" t="s">
        <v>420</v>
      </c>
      <c r="AJ19" s="92" t="s">
        <v>87</v>
      </c>
      <c r="AK19" s="92" t="s">
        <v>89</v>
      </c>
      <c r="AL19" s="92" t="s">
        <v>286</v>
      </c>
    </row>
    <row r="20" spans="1:38" ht="15" customHeight="1" x14ac:dyDescent="0.3">
      <c r="A20" s="219"/>
      <c r="B20" s="220"/>
      <c r="C20" s="220"/>
      <c r="D20" s="220"/>
      <c r="E20" s="220"/>
      <c r="F20" s="220"/>
      <c r="G20" s="220"/>
      <c r="H20" s="221"/>
      <c r="J20" s="308"/>
      <c r="K20" s="309"/>
      <c r="L20" s="309"/>
      <c r="M20" s="310"/>
      <c r="N20" s="255" t="s">
        <v>44</v>
      </c>
      <c r="O20" s="259"/>
      <c r="P20" s="260"/>
      <c r="W20" s="28">
        <v>12</v>
      </c>
      <c r="X20" s="28">
        <v>0</v>
      </c>
      <c r="AB20" s="92">
        <f t="shared" si="1"/>
        <v>0</v>
      </c>
      <c r="AD20" s="92" t="s">
        <v>454</v>
      </c>
      <c r="AH20" s="92" t="str">
        <f t="shared" si="0"/>
        <v>Mágyně</v>
      </c>
      <c r="AI20" s="92" t="s">
        <v>421</v>
      </c>
      <c r="AJ20" s="92" t="s">
        <v>283</v>
      </c>
      <c r="AK20" s="92" t="s">
        <v>84</v>
      </c>
      <c r="AL20" s="92" t="s">
        <v>287</v>
      </c>
    </row>
    <row r="21" spans="1:38" ht="15" customHeight="1" x14ac:dyDescent="0.3">
      <c r="A21" s="219"/>
      <c r="B21" s="220"/>
      <c r="C21" s="220"/>
      <c r="D21" s="220"/>
      <c r="E21" s="220"/>
      <c r="F21" s="220"/>
      <c r="G21" s="220"/>
      <c r="H21" s="221"/>
      <c r="J21" s="308"/>
      <c r="K21" s="309"/>
      <c r="L21" s="309"/>
      <c r="M21" s="310"/>
      <c r="N21" s="255" t="s">
        <v>942</v>
      </c>
      <c r="O21" s="259"/>
      <c r="P21" s="260"/>
      <c r="W21" s="28">
        <v>13</v>
      </c>
      <c r="X21" s="28">
        <v>1</v>
      </c>
      <c r="AB21" s="92">
        <f t="shared" si="1"/>
        <v>0</v>
      </c>
      <c r="AD21" s="92" t="s">
        <v>278</v>
      </c>
      <c r="AH21" s="92" t="str">
        <f t="shared" si="0"/>
        <v>Stopař</v>
      </c>
      <c r="AI21" s="92" t="s">
        <v>84</v>
      </c>
      <c r="AJ21" s="92" t="s">
        <v>235</v>
      </c>
      <c r="AK21" s="92" t="s">
        <v>83</v>
      </c>
      <c r="AL21" s="92" t="s">
        <v>288</v>
      </c>
    </row>
    <row r="22" spans="1:38" ht="15" customHeight="1" x14ac:dyDescent="0.3">
      <c r="A22" s="216"/>
      <c r="B22" s="217"/>
      <c r="C22" s="217"/>
      <c r="D22" s="217"/>
      <c r="E22" s="217"/>
      <c r="F22" s="217"/>
      <c r="G22" s="217"/>
      <c r="H22" s="218"/>
      <c r="J22" s="308"/>
      <c r="K22" s="309"/>
      <c r="L22" s="309"/>
      <c r="M22" s="310"/>
      <c r="N22" s="15"/>
      <c r="O22" s="259"/>
      <c r="P22" s="260"/>
      <c r="W22" s="28">
        <v>14</v>
      </c>
      <c r="X22" s="28">
        <v>1</v>
      </c>
      <c r="AB22" s="92">
        <f t="shared" si="1"/>
        <v>0</v>
      </c>
      <c r="AD22" s="92" t="s">
        <v>59</v>
      </c>
      <c r="AH22" s="92" t="str">
        <f t="shared" si="0"/>
        <v>Stopařka</v>
      </c>
      <c r="AI22" s="92" t="s">
        <v>287</v>
      </c>
      <c r="AJ22" s="92" t="s">
        <v>82</v>
      </c>
      <c r="AK22" s="92" t="s">
        <v>76</v>
      </c>
      <c r="AL22" s="92" t="s">
        <v>289</v>
      </c>
    </row>
    <row r="23" spans="1:38" ht="15" customHeight="1" x14ac:dyDescent="0.3">
      <c r="A23" s="183"/>
      <c r="B23" s="184"/>
      <c r="C23" s="184"/>
      <c r="D23" s="184"/>
      <c r="E23" s="184"/>
      <c r="F23" s="184"/>
      <c r="G23" s="184"/>
      <c r="H23" s="185"/>
      <c r="J23" s="308"/>
      <c r="K23" s="309"/>
      <c r="L23" s="309"/>
      <c r="M23" s="310"/>
      <c r="N23" s="15"/>
      <c r="O23" s="259"/>
      <c r="P23" s="260"/>
      <c r="W23" s="28">
        <v>15</v>
      </c>
      <c r="X23" s="28">
        <v>2</v>
      </c>
      <c r="AH23" s="92" t="str">
        <f t="shared" si="0"/>
        <v>Šaman</v>
      </c>
      <c r="AI23" s="92" t="s">
        <v>83</v>
      </c>
      <c r="AJ23" s="92" t="s">
        <v>284</v>
      </c>
      <c r="AK23" s="92" t="s">
        <v>81</v>
      </c>
      <c r="AL23" s="92" t="s">
        <v>290</v>
      </c>
    </row>
    <row r="24" spans="1:38" ht="15" customHeight="1" x14ac:dyDescent="0.3">
      <c r="A24" s="1" t="s">
        <v>437</v>
      </c>
      <c r="I24" s="9"/>
      <c r="J24" s="308"/>
      <c r="K24" s="309"/>
      <c r="L24" s="309"/>
      <c r="M24" s="310"/>
      <c r="N24" s="15"/>
      <c r="O24" s="259"/>
      <c r="P24" s="260"/>
      <c r="W24" s="28">
        <v>16</v>
      </c>
      <c r="X24" s="28">
        <v>2</v>
      </c>
      <c r="AH24" s="92" t="str">
        <f t="shared" si="0"/>
        <v>Šamanka</v>
      </c>
      <c r="AI24" s="92" t="s">
        <v>288</v>
      </c>
      <c r="AJ24" s="92" t="s">
        <v>420</v>
      </c>
      <c r="AK24" s="92" t="s">
        <v>62</v>
      </c>
      <c r="AL24" s="92" t="s">
        <v>300</v>
      </c>
    </row>
    <row r="25" spans="1:38" ht="15" customHeight="1" x14ac:dyDescent="0.3">
      <c r="A25" s="296" t="s">
        <v>438</v>
      </c>
      <c r="B25" s="296"/>
      <c r="C25" s="296"/>
      <c r="D25" s="173" t="s">
        <v>439</v>
      </c>
      <c r="E25" s="298" t="s">
        <v>425</v>
      </c>
      <c r="F25" s="299"/>
      <c r="S25" s="50" t="s">
        <v>115</v>
      </c>
      <c r="W25" s="28">
        <v>17</v>
      </c>
      <c r="X25" s="28">
        <v>3</v>
      </c>
      <c r="AH25" s="92" t="str">
        <f t="shared" si="0"/>
        <v>Šermíř</v>
      </c>
      <c r="AI25" s="92" t="s">
        <v>76</v>
      </c>
      <c r="AJ25" s="92" t="s">
        <v>421</v>
      </c>
      <c r="AK25" s="92" t="s">
        <v>61</v>
      </c>
      <c r="AL25" s="92" t="s">
        <v>292</v>
      </c>
    </row>
    <row r="26" spans="1:38" ht="14.25" customHeight="1" x14ac:dyDescent="0.3">
      <c r="A26" s="262" t="s">
        <v>446</v>
      </c>
      <c r="B26" s="297"/>
      <c r="C26" s="263"/>
      <c r="D26" s="60">
        <f>LOOKUP($A$26,Věci!$A$3:$A$14,Věci!$D$3:$D$14)</f>
        <v>0</v>
      </c>
      <c r="E26" s="300" t="str">
        <f>LOOKUP($A$26,Věci!$A$3:$A$14,Věci!$E$3:$E$14)</f>
        <v>Lehká</v>
      </c>
      <c r="F26" s="301"/>
      <c r="G26" s="155" t="s">
        <v>106</v>
      </c>
      <c r="H26" s="297" t="str">
        <f>LOOKUP($A$26,Věci!$A$3:$A$14,Věci!$F$3:$F$14)</f>
        <v xml:space="preserve"> -</v>
      </c>
      <c r="I26" s="297"/>
      <c r="J26" s="297"/>
      <c r="K26" s="297"/>
      <c r="L26" s="263"/>
      <c r="M26" t="s">
        <v>943</v>
      </c>
      <c r="P26" s="60"/>
      <c r="S26" s="51" t="s">
        <v>118</v>
      </c>
      <c r="W26" s="28">
        <v>18</v>
      </c>
      <c r="X26" s="28">
        <v>3</v>
      </c>
      <c r="AH26" s="92" t="str">
        <f t="shared" si="0"/>
        <v>Šermířka</v>
      </c>
      <c r="AI26" s="92" t="s">
        <v>289</v>
      </c>
      <c r="AJ26" s="92" t="s">
        <v>80</v>
      </c>
      <c r="AK26" s="92" t="s">
        <v>77</v>
      </c>
      <c r="AL26" s="92" t="s">
        <v>291</v>
      </c>
    </row>
    <row r="27" spans="1:38" ht="5.4" customHeight="1" x14ac:dyDescent="0.3">
      <c r="S27" s="51" t="s">
        <v>309</v>
      </c>
      <c r="W27" s="28">
        <v>19</v>
      </c>
      <c r="X27" s="28">
        <v>4</v>
      </c>
      <c r="AH27" s="92" t="str">
        <f t="shared" si="0"/>
        <v>Zaklínač</v>
      </c>
      <c r="AI27" s="92" t="s">
        <v>61</v>
      </c>
      <c r="AJ27" s="92" t="s">
        <v>285</v>
      </c>
    </row>
    <row r="28" spans="1:38" ht="12.9" customHeight="1" thickBot="1" x14ac:dyDescent="0.35">
      <c r="A28" s="283" t="s">
        <v>257</v>
      </c>
      <c r="B28" s="283"/>
      <c r="C28" s="283"/>
      <c r="D28" s="283"/>
      <c r="H28" s="276" t="s">
        <v>931</v>
      </c>
      <c r="I28" s="277"/>
      <c r="J28" s="277"/>
      <c r="K28" s="278"/>
      <c r="S28" s="51" t="s">
        <v>16</v>
      </c>
      <c r="W28" s="28">
        <v>20</v>
      </c>
      <c r="X28" s="28">
        <v>4</v>
      </c>
      <c r="AH28" s="92" t="str">
        <f t="shared" si="0"/>
        <v>Zaklínačka</v>
      </c>
      <c r="AI28" s="92" t="s">
        <v>292</v>
      </c>
      <c r="AJ28" s="92" t="s">
        <v>89</v>
      </c>
    </row>
    <row r="29" spans="1:38" ht="12.9" customHeight="1" x14ac:dyDescent="0.3">
      <c r="A29" s="166" t="s">
        <v>41</v>
      </c>
      <c r="B29" s="167"/>
      <c r="C29" s="168" t="s">
        <v>425</v>
      </c>
      <c r="D29" s="168" t="s">
        <v>121</v>
      </c>
      <c r="E29" s="169" t="s">
        <v>43</v>
      </c>
      <c r="F29" s="167"/>
      <c r="G29" s="169" t="s">
        <v>97</v>
      </c>
      <c r="H29" s="168" t="s">
        <v>101</v>
      </c>
      <c r="I29" s="168" t="s">
        <v>98</v>
      </c>
      <c r="J29" s="168" t="s">
        <v>99</v>
      </c>
      <c r="K29" s="168" t="s">
        <v>100</v>
      </c>
      <c r="L29" s="305" t="s">
        <v>106</v>
      </c>
      <c r="M29" s="306"/>
      <c r="N29" s="306"/>
      <c r="O29" s="306"/>
      <c r="P29" s="307"/>
      <c r="S29" s="51" t="s">
        <v>117</v>
      </c>
      <c r="W29" s="28">
        <v>21</v>
      </c>
      <c r="X29" s="28">
        <v>5</v>
      </c>
      <c r="AH29" s="92" t="str">
        <f t="shared" si="0"/>
        <v>Žádné</v>
      </c>
      <c r="AI29" s="92" t="s">
        <v>950</v>
      </c>
      <c r="AJ29" s="92" t="s">
        <v>286</v>
      </c>
    </row>
    <row r="30" spans="1:38" ht="12.9" customHeight="1" x14ac:dyDescent="0.3">
      <c r="A30" s="279"/>
      <c r="B30" s="274"/>
      <c r="C30" s="31" t="str">
        <f>IFERROR(HLOOKUP(Věci!$E$17,Věci!$A$17:$N$82,MATCH('1-Postava'!A30,Věci!$A$17:$A$82,0),FALSE)," ")</f>
        <v xml:space="preserve"> </v>
      </c>
      <c r="D30" s="31" t="str">
        <f>IFERROR(HLOOKUP(Věci!$L$17,Věci!$A$17:$N$82,MATCH('1-Postava'!A30,Věci!$A$17:$A$82,0),FALSE)," ")</f>
        <v xml:space="preserve"> </v>
      </c>
      <c r="E30" s="282"/>
      <c r="F30" s="275"/>
      <c r="G30" s="31" t="str">
        <f>IFERROR(HLOOKUP(Věci!$K$17,Věci!$A$17:$N$82,MATCH('1-Postava'!A30,Věci!$A$17:$A$82,0),FALSE)," ")</f>
        <v xml:space="preserve"> </v>
      </c>
      <c r="H30" s="55"/>
      <c r="I30" s="55"/>
      <c r="J30" s="55"/>
      <c r="K30" s="55"/>
      <c r="L30" s="286"/>
      <c r="M30" s="287"/>
      <c r="N30" s="287"/>
      <c r="O30" s="287"/>
      <c r="P30" s="288"/>
      <c r="S30" s="51" t="s">
        <v>19</v>
      </c>
      <c r="W30" s="28">
        <v>22</v>
      </c>
      <c r="X30" s="28">
        <v>5</v>
      </c>
      <c r="AH30" s="92">
        <f t="shared" si="0"/>
        <v>0</v>
      </c>
      <c r="AJ30" s="92" t="s">
        <v>84</v>
      </c>
    </row>
    <row r="31" spans="1:38" ht="12.9" customHeight="1" x14ac:dyDescent="0.3">
      <c r="A31" s="279"/>
      <c r="B31" s="274"/>
      <c r="C31" s="31" t="str">
        <f>IFERROR(HLOOKUP(Věci!$E$17,Věci!$A$17:$N$82,MATCH('1-Postava'!A31,Věci!$A$17:$A$82,0),FALSE)," ")</f>
        <v xml:space="preserve"> </v>
      </c>
      <c r="D31" s="31" t="str">
        <f>IFERROR(HLOOKUP(Věci!$L$17,Věci!$A$17:$N$82,MATCH('1-Postava'!A31,Věci!$A$17:$A$82,0),FALSE)," ")</f>
        <v xml:space="preserve"> </v>
      </c>
      <c r="E31" s="282"/>
      <c r="F31" s="275"/>
      <c r="G31" s="31" t="str">
        <f>IFERROR(HLOOKUP(Věci!$K$17,Věci!$A$17:$N$82,MATCH('1-Postava'!A31,Věci!$A$17:$A$82,0),FALSE)," ")</f>
        <v xml:space="preserve"> </v>
      </c>
      <c r="H31" s="55"/>
      <c r="I31" s="55"/>
      <c r="J31" s="55"/>
      <c r="K31" s="55"/>
      <c r="L31" s="286"/>
      <c r="M31" s="287"/>
      <c r="N31" s="287"/>
      <c r="O31" s="287"/>
      <c r="P31" s="288"/>
      <c r="S31" s="51" t="s">
        <v>154</v>
      </c>
      <c r="W31" s="28">
        <v>23</v>
      </c>
      <c r="X31" s="28">
        <v>6</v>
      </c>
      <c r="AH31" s="92">
        <f t="shared" si="0"/>
        <v>0</v>
      </c>
      <c r="AJ31" s="92" t="s">
        <v>287</v>
      </c>
    </row>
    <row r="32" spans="1:38" ht="12.9" customHeight="1" x14ac:dyDescent="0.3">
      <c r="A32" s="279"/>
      <c r="B32" s="274"/>
      <c r="C32" s="31" t="str">
        <f>IFERROR(HLOOKUP(Věci!$E$17,Věci!$A$17:$N$82,MATCH('1-Postava'!A32,Věci!$A$17:$A$82,0),FALSE)," ")</f>
        <v xml:space="preserve"> </v>
      </c>
      <c r="D32" s="31" t="str">
        <f>IFERROR(HLOOKUP(Věci!$L$17,Věci!$A$17:$N$82,MATCH('1-Postava'!A32,Věci!$A$17:$A$82,0),FALSE)," ")</f>
        <v xml:space="preserve"> </v>
      </c>
      <c r="E32" s="282"/>
      <c r="F32" s="275"/>
      <c r="G32" s="31" t="str">
        <f>IFERROR(HLOOKUP(Věci!$K$17,Věci!$A$17:$N$82,MATCH('1-Postava'!A32,Věci!$A$17:$A$82,0),FALSE)," ")</f>
        <v xml:space="preserve"> </v>
      </c>
      <c r="H32" s="55"/>
      <c r="I32" s="55"/>
      <c r="J32" s="55"/>
      <c r="K32" s="55"/>
      <c r="L32" s="286"/>
      <c r="M32" s="287"/>
      <c r="N32" s="287"/>
      <c r="O32" s="287"/>
      <c r="P32" s="288"/>
      <c r="S32" s="51" t="s">
        <v>18</v>
      </c>
      <c r="W32" s="28">
        <v>24</v>
      </c>
      <c r="X32" s="28">
        <v>6</v>
      </c>
      <c r="AH32" s="92">
        <f t="shared" si="0"/>
        <v>0</v>
      </c>
      <c r="AJ32" s="92" t="s">
        <v>83</v>
      </c>
    </row>
    <row r="33" spans="1:36" ht="12.9" customHeight="1" x14ac:dyDescent="0.3">
      <c r="A33" s="279"/>
      <c r="B33" s="274"/>
      <c r="C33" s="31" t="str">
        <f>IFERROR(HLOOKUP(Věci!$E$17,Věci!$A$17:$N$82,MATCH('1-Postava'!A33,Věci!$A$17:$A$82,0),FALSE)," ")</f>
        <v xml:space="preserve"> </v>
      </c>
      <c r="D33" s="31" t="str">
        <f>IFERROR(HLOOKUP(Věci!$L$17,Věci!$A$17:$N$82,MATCH('1-Postava'!A33,Věci!$A$17:$A$82,0),FALSE)," ")</f>
        <v xml:space="preserve"> </v>
      </c>
      <c r="E33" s="282"/>
      <c r="F33" s="275"/>
      <c r="G33" s="31" t="str">
        <f>IFERROR(HLOOKUP(Věci!$K$17,Věci!$A$17:$N$82,MATCH('1-Postava'!A33,Věci!$A$17:$A$82,0),FALSE)," ")</f>
        <v xml:space="preserve"> </v>
      </c>
      <c r="H33" s="55"/>
      <c r="I33" s="55"/>
      <c r="J33" s="55"/>
      <c r="K33" s="55"/>
      <c r="L33" s="286"/>
      <c r="M33" s="287"/>
      <c r="N33" s="287"/>
      <c r="O33" s="287"/>
      <c r="P33" s="288"/>
      <c r="S33" s="51" t="s">
        <v>17</v>
      </c>
      <c r="W33" s="28">
        <v>25</v>
      </c>
      <c r="X33" s="28">
        <v>7</v>
      </c>
      <c r="AH33" s="92">
        <f t="shared" si="0"/>
        <v>0</v>
      </c>
      <c r="AJ33" s="92" t="s">
        <v>288</v>
      </c>
    </row>
    <row r="34" spans="1:36" ht="12.9" customHeight="1" x14ac:dyDescent="0.3">
      <c r="A34" s="279"/>
      <c r="B34" s="275"/>
      <c r="C34" s="31" t="str">
        <f>IFERROR(HLOOKUP(Věci!$E$17,Věci!$A$17:$N$82,MATCH('1-Postava'!A34,Věci!$A$17:$A$82,0),FALSE)," ")</f>
        <v xml:space="preserve"> </v>
      </c>
      <c r="D34" s="31" t="str">
        <f>IFERROR(HLOOKUP(Věci!$L$17,Věci!$A$17:$N$82,MATCH('1-Postava'!A34,Věci!$A$17:$A$82,0),FALSE)," ")</f>
        <v xml:space="preserve"> </v>
      </c>
      <c r="E34" s="282"/>
      <c r="F34" s="275"/>
      <c r="G34" s="31" t="str">
        <f>IFERROR(HLOOKUP(Věci!$K$17,Věci!$A$17:$N$82,MATCH('1-Postava'!A34,Věci!$A$17:$A$82,0),FALSE)," ")</f>
        <v xml:space="preserve"> </v>
      </c>
      <c r="H34" s="55"/>
      <c r="I34" s="55"/>
      <c r="J34" s="55"/>
      <c r="K34" s="55"/>
      <c r="L34" s="286"/>
      <c r="M34" s="287"/>
      <c r="N34" s="287"/>
      <c r="O34" s="287"/>
      <c r="P34" s="288"/>
      <c r="S34" s="51" t="s">
        <v>116</v>
      </c>
      <c r="W34" s="28">
        <v>26</v>
      </c>
      <c r="X34" s="28">
        <v>7</v>
      </c>
      <c r="AH34" s="92">
        <f t="shared" si="0"/>
        <v>0</v>
      </c>
      <c r="AJ34" s="92" t="s">
        <v>76</v>
      </c>
    </row>
    <row r="35" spans="1:36" ht="12.9" customHeight="1" thickBot="1" x14ac:dyDescent="0.35">
      <c r="A35" s="284" t="s">
        <v>124</v>
      </c>
      <c r="B35" s="285"/>
      <c r="C35" s="49" t="str">
        <f>IFERROR(HLOOKUP(Věci!$E$17,Věci!$A$17:$N$82,MATCH('1-Postava'!A35,Věci!$A$17:$A$82,0),FALSE)," ")</f>
        <v>Lehká</v>
      </c>
      <c r="D35" s="49">
        <f>IFERROR(HLOOKUP(Věci!$L$17,Věci!$A$17:$N$82,MATCH('1-Postava'!A35,Věci!$A$17:$A$82,0),FALSE)," ")</f>
        <v>1</v>
      </c>
      <c r="E35" s="280"/>
      <c r="F35" s="281"/>
      <c r="G35" s="49">
        <f>IFERROR(HLOOKUP(Věci!$K$17,Věci!$A$17:$N$82,MATCH('1-Postava'!A35,Věci!$A$17:$A$82,0),FALSE)," ")</f>
        <v>-6</v>
      </c>
      <c r="H35" s="56"/>
      <c r="I35" s="56"/>
      <c r="J35" s="56"/>
      <c r="K35" s="56"/>
      <c r="L35" s="289"/>
      <c r="M35" s="290"/>
      <c r="N35" s="290"/>
      <c r="O35" s="290"/>
      <c r="P35" s="291"/>
      <c r="S35" s="51" t="s">
        <v>153</v>
      </c>
      <c r="W35" s="28">
        <v>27</v>
      </c>
      <c r="X35" s="28">
        <v>8</v>
      </c>
      <c r="AH35" s="92">
        <f t="shared" si="0"/>
        <v>0</v>
      </c>
      <c r="AJ35" s="92" t="s">
        <v>289</v>
      </c>
    </row>
    <row r="36" spans="1:36" ht="12.9" customHeight="1" x14ac:dyDescent="0.3">
      <c r="S36" s="51" t="s">
        <v>119</v>
      </c>
      <c r="W36" s="28">
        <v>28</v>
      </c>
      <c r="X36" s="28">
        <v>8</v>
      </c>
      <c r="AH36" s="92">
        <f t="shared" si="0"/>
        <v>0</v>
      </c>
      <c r="AJ36" s="92" t="s">
        <v>290</v>
      </c>
    </row>
    <row r="37" spans="1:36" ht="12.9" customHeight="1" x14ac:dyDescent="0.3">
      <c r="A37" s="33" t="s">
        <v>104</v>
      </c>
      <c r="B37" s="274"/>
      <c r="C37" s="274"/>
      <c r="D37" s="274"/>
      <c r="E37" s="275"/>
      <c r="G37" s="46" t="s">
        <v>104</v>
      </c>
      <c r="H37" s="311"/>
      <c r="I37" s="312"/>
      <c r="J37" s="312"/>
      <c r="K37" s="312"/>
      <c r="L37" s="313"/>
      <c r="M37" s="171"/>
      <c r="N37" s="172" t="s">
        <v>408</v>
      </c>
      <c r="O37" s="171"/>
      <c r="P37" s="171"/>
      <c r="W37" s="28">
        <v>29</v>
      </c>
      <c r="X37" s="28">
        <v>9</v>
      </c>
      <c r="AH37" s="92">
        <f t="shared" si="0"/>
        <v>0</v>
      </c>
      <c r="AJ37" s="92" t="s">
        <v>81</v>
      </c>
    </row>
    <row r="38" spans="1:36" ht="12.9" customHeight="1" x14ac:dyDescent="0.3">
      <c r="A38" s="34"/>
      <c r="B38" s="42" t="s">
        <v>22</v>
      </c>
      <c r="C38" s="42" t="s">
        <v>28</v>
      </c>
      <c r="D38" s="42" t="s">
        <v>102</v>
      </c>
      <c r="E38" s="43" t="s">
        <v>103</v>
      </c>
      <c r="G38" s="298"/>
      <c r="H38" s="320"/>
      <c r="I38" s="109" t="s">
        <v>22</v>
      </c>
      <c r="J38" s="42" t="s">
        <v>28</v>
      </c>
      <c r="K38" s="42" t="s">
        <v>102</v>
      </c>
      <c r="L38" s="43" t="s">
        <v>103</v>
      </c>
      <c r="N38" s="62"/>
      <c r="O38" s="54" t="s">
        <v>427</v>
      </c>
      <c r="P38" s="31">
        <f>'1-Postava'!P47</f>
        <v>-4</v>
      </c>
      <c r="S38" s="50" t="s">
        <v>447</v>
      </c>
      <c r="T38" s="50" t="s">
        <v>920</v>
      </c>
      <c r="W38" s="28">
        <v>30</v>
      </c>
      <c r="X38" s="28">
        <v>9</v>
      </c>
      <c r="AH38" s="92">
        <f t="shared" si="0"/>
        <v>0</v>
      </c>
      <c r="AJ38" s="92" t="s">
        <v>62</v>
      </c>
    </row>
    <row r="39" spans="1:36" ht="12.9" customHeight="1" x14ac:dyDescent="0.3">
      <c r="A39" s="35" t="s">
        <v>105</v>
      </c>
      <c r="B39" s="36" t="str">
        <f>IFERROR(HLOOKUP(B$38,Věci!$A$17:$N$82,MATCH($B$37,Věci!$A$17:$A$82,0),FALSE)," ")</f>
        <v xml:space="preserve"> </v>
      </c>
      <c r="C39" s="36" t="str">
        <f>IFERROR(HLOOKUP(C$38,Věci!$A$17:$N$82,MATCH($B$37,Věci!$A$17:$A$82,0),FALSE)," ")</f>
        <v xml:space="preserve"> </v>
      </c>
      <c r="D39" s="36" t="str">
        <f>IFERROR(HLOOKUP(D$38,Věci!$A$17:$N$82,MATCH($B$37,Věci!$A$17:$A$82,0),FALSE)," ")</f>
        <v xml:space="preserve"> </v>
      </c>
      <c r="E39" s="37" t="str">
        <f>IFERROR(HLOOKUP(E$38,Věci!$A$17:$N$82,MATCH($B$37,Věci!$A$17:$A$82,0),FALSE)," ")</f>
        <v xml:space="preserve"> </v>
      </c>
      <c r="G39" s="321" t="s">
        <v>105</v>
      </c>
      <c r="H39" s="322"/>
      <c r="I39" s="36" t="str">
        <f>IFERROR(HLOOKUP(I$38,Věci!$A$17:$N$82,MATCH(COPY_ZBRAN3,Věci!$A$17:$A$82,0),FALSE)," ")</f>
        <v xml:space="preserve"> </v>
      </c>
      <c r="J39" s="36" t="str">
        <f>IFERROR(HLOOKUP(J$38,Věci!$A$17:$N$82,MATCH(COPY_ZBRAN3,Věci!$A$17:$A$82,0),FALSE)," ")</f>
        <v xml:space="preserve"> </v>
      </c>
      <c r="K39" s="36" t="str">
        <f>IFERROR(HLOOKUP(K$38,Věci!$A$17:$N$82,MATCH(COPY_ZBRAN3,Věci!$A$17:$A$82,0),FALSE)," ")</f>
        <v xml:space="preserve"> </v>
      </c>
      <c r="L39" s="37" t="str">
        <f>IFERROR(HLOOKUP(L$38,Věci!$A$17:$N$82,MATCH(COPY_ZBRAN3,Věci!$A$17:$A$82,0),FALSE)," ")</f>
        <v xml:space="preserve"> </v>
      </c>
      <c r="N39" s="62"/>
      <c r="O39" s="54" t="s">
        <v>584</v>
      </c>
      <c r="P39" s="31">
        <f>Akrobacie</f>
        <v>0</v>
      </c>
      <c r="S39" s="51" t="s">
        <v>919</v>
      </c>
      <c r="T39" s="51" t="s">
        <v>50</v>
      </c>
      <c r="W39" s="28">
        <v>31</v>
      </c>
      <c r="X39" s="28">
        <v>10</v>
      </c>
      <c r="AH39" s="92">
        <f t="shared" si="0"/>
        <v>0</v>
      </c>
      <c r="AJ39" s="92" t="s">
        <v>300</v>
      </c>
    </row>
    <row r="40" spans="1:36" ht="12.9" customHeight="1" x14ac:dyDescent="0.3">
      <c r="A40" s="38" t="s">
        <v>932</v>
      </c>
      <c r="B40" s="39" t="str">
        <f>IFERROR(HLOOKUP('1-Postava'!H$29,$A$29:$P$35,MATCH($B$37,$A$29:$A$35,0),FALSE)," ")</f>
        <v xml:space="preserve"> </v>
      </c>
      <c r="C40" s="39" t="str">
        <f>IFERROR(HLOOKUP('1-Postava'!I$29,$A$29:$P$35,MATCH($B$37,$A$29:$A$35,0),FALSE)," ")</f>
        <v xml:space="preserve"> </v>
      </c>
      <c r="D40" s="39" t="str">
        <f>IFERROR(HLOOKUP('1-Postava'!J$29,$A$29:$P$35,MATCH($B$37,$A$29:$A$35,0),FALSE)," ")</f>
        <v xml:space="preserve"> </v>
      </c>
      <c r="E40" s="40" t="str">
        <f>IFERROR(HLOOKUP('1-Postava'!K$29,$A$29:$P$35,MATCH($B$37,$A$29:$A$35,0),FALSE)," ")</f>
        <v xml:space="preserve"> </v>
      </c>
      <c r="G40" s="316" t="s">
        <v>932</v>
      </c>
      <c r="H40" s="317"/>
      <c r="I40" s="39" t="str">
        <f>IFERROR(HLOOKUP('1-Postava'!H$29,$A$29:$P$35,MATCH(COPY_ZBRAN3,$A$29:$A$35,0),FALSE)," ")</f>
        <v xml:space="preserve"> </v>
      </c>
      <c r="J40" s="39" t="str">
        <f>IFERROR(HLOOKUP('1-Postava'!I$29,$A$29:$P$35,MATCH(COPY_ZBRAN3,$A$29:$A$35,0),FALSE)," ")</f>
        <v xml:space="preserve"> </v>
      </c>
      <c r="K40" s="39" t="str">
        <f>IFERROR(HLOOKUP('1-Postava'!J$29,$A$29:$P$35,MATCH(COPY_ZBRAN3,$A$29:$A$35,0),FALSE)," ")</f>
        <v xml:space="preserve"> </v>
      </c>
      <c r="L40" s="40" t="str">
        <f>IFERROR(HLOOKUP('1-Postava'!K$29,$A$29:$P$35,MATCH(COPY_ZBRAN3,$A$29:$A$35,0),FALSE)," ")</f>
        <v xml:space="preserve"> </v>
      </c>
      <c r="N40" s="62"/>
      <c r="O40" s="54" t="s">
        <v>428</v>
      </c>
      <c r="P40" s="31">
        <f>O21</f>
        <v>0</v>
      </c>
      <c r="S40" s="51" t="s">
        <v>917</v>
      </c>
      <c r="T40" s="51" t="s">
        <v>56</v>
      </c>
      <c r="W40" s="28">
        <v>32</v>
      </c>
      <c r="X40" s="28">
        <v>10</v>
      </c>
      <c r="AH40" s="92">
        <f t="shared" si="0"/>
        <v>0</v>
      </c>
      <c r="AJ40" s="92" t="s">
        <v>279</v>
      </c>
    </row>
    <row r="41" spans="1:36" ht="12.9" customHeight="1" x14ac:dyDescent="0.3">
      <c r="A41" s="38" t="s">
        <v>157</v>
      </c>
      <c r="B41" s="39">
        <f>$P$45</f>
        <v>-4</v>
      </c>
      <c r="C41" s="39" t="str">
        <f>IFERROR(HLOOKUP($G$29,$A$29:$P$35,MATCH($B$37,$A$29:$A$35,0),FALSE)," ")</f>
        <v xml:space="preserve"> </v>
      </c>
      <c r="D41" s="39" t="str">
        <f>C41</f>
        <v xml:space="preserve"> </v>
      </c>
      <c r="E41" s="40">
        <f>$P$47</f>
        <v>-4</v>
      </c>
      <c r="G41" s="314" t="s">
        <v>157</v>
      </c>
      <c r="H41" s="315"/>
      <c r="I41" s="39">
        <f>$P$45</f>
        <v>-4</v>
      </c>
      <c r="J41" s="39" t="str">
        <f>IFERROR(HLOOKUP($G$29,$A$29:$P$35,MATCH(COPY_ZBRAN3,$A$29:$A$35,0),FALSE)," ")</f>
        <v xml:space="preserve"> </v>
      </c>
      <c r="K41" s="39" t="str">
        <f>J41</f>
        <v xml:space="preserve"> </v>
      </c>
      <c r="L41" s="40">
        <f>$P$47</f>
        <v>-4</v>
      </c>
      <c r="N41" s="62"/>
      <c r="O41" s="170" t="s">
        <v>426</v>
      </c>
      <c r="P41" s="30">
        <f>SUM(P38:P40)</f>
        <v>-4</v>
      </c>
      <c r="S41" s="51" t="s">
        <v>918</v>
      </c>
      <c r="T41" s="51" t="s">
        <v>47</v>
      </c>
      <c r="W41" s="28">
        <v>33</v>
      </c>
      <c r="X41" s="28">
        <v>11</v>
      </c>
      <c r="AH41" s="92">
        <f t="shared" si="0"/>
        <v>0</v>
      </c>
      <c r="AJ41" s="92" t="s">
        <v>86</v>
      </c>
    </row>
    <row r="42" spans="1:36" ht="12.9" customHeight="1" x14ac:dyDescent="0.3">
      <c r="A42" s="44" t="s">
        <v>107</v>
      </c>
      <c r="B42" s="45">
        <f>SUM(B39:B41)</f>
        <v>-4</v>
      </c>
      <c r="C42" s="45">
        <f t="shared" ref="C42:E42" si="4">SUM(C39:C41)</f>
        <v>0</v>
      </c>
      <c r="D42" s="45">
        <f t="shared" si="4"/>
        <v>0</v>
      </c>
      <c r="E42" s="45">
        <f t="shared" si="4"/>
        <v>-4</v>
      </c>
      <c r="G42" s="294" t="s">
        <v>107</v>
      </c>
      <c r="H42" s="295"/>
      <c r="I42" s="250">
        <f>SUM(I39:I41)</f>
        <v>-4</v>
      </c>
      <c r="J42" s="250">
        <f t="shared" ref="J42:L42" si="5">SUM(J39:J41)</f>
        <v>0</v>
      </c>
      <c r="K42" s="250">
        <f t="shared" si="5"/>
        <v>0</v>
      </c>
      <c r="L42" s="249">
        <f t="shared" si="5"/>
        <v>-4</v>
      </c>
      <c r="W42" s="28">
        <v>34</v>
      </c>
      <c r="X42" s="28">
        <v>11</v>
      </c>
      <c r="AH42" s="92">
        <f t="shared" si="0"/>
        <v>0</v>
      </c>
      <c r="AJ42" s="92" t="s">
        <v>61</v>
      </c>
    </row>
    <row r="43" spans="1:36" ht="6.6" customHeight="1" x14ac:dyDescent="0.3">
      <c r="W43" s="28">
        <v>35</v>
      </c>
      <c r="X43" s="28">
        <v>12</v>
      </c>
      <c r="AH43" s="92">
        <f t="shared" si="0"/>
        <v>0</v>
      </c>
      <c r="AJ43" s="92" t="s">
        <v>292</v>
      </c>
    </row>
    <row r="44" spans="1:36" ht="12.9" customHeight="1" x14ac:dyDescent="0.3">
      <c r="A44" s="33" t="s">
        <v>104</v>
      </c>
      <c r="B44" s="274"/>
      <c r="C44" s="274"/>
      <c r="D44" s="274"/>
      <c r="E44" s="275"/>
      <c r="G44" s="148" t="s">
        <v>104</v>
      </c>
      <c r="H44" s="149"/>
      <c r="I44" s="282"/>
      <c r="J44" s="274"/>
      <c r="K44" s="274"/>
      <c r="L44" s="275"/>
      <c r="O44" s="1"/>
      <c r="P44" s="5" t="s">
        <v>429</v>
      </c>
      <c r="W44" s="28">
        <v>36</v>
      </c>
      <c r="X44" s="28">
        <v>12</v>
      </c>
      <c r="AH44" s="92">
        <f t="shared" si="0"/>
        <v>0</v>
      </c>
      <c r="AJ44" s="92" t="s">
        <v>77</v>
      </c>
    </row>
    <row r="45" spans="1:36" ht="12.9" customHeight="1" x14ac:dyDescent="0.3">
      <c r="A45" s="34"/>
      <c r="B45" s="42" t="s">
        <v>22</v>
      </c>
      <c r="C45" s="42" t="s">
        <v>28</v>
      </c>
      <c r="D45" s="42" t="s">
        <v>102</v>
      </c>
      <c r="E45" s="43" t="s">
        <v>103</v>
      </c>
      <c r="G45" s="152"/>
      <c r="H45" s="153"/>
      <c r="I45" s="110" t="s">
        <v>22</v>
      </c>
      <c r="J45" s="42" t="s">
        <v>28</v>
      </c>
      <c r="K45" s="42" t="s">
        <v>102</v>
      </c>
      <c r="L45" s="43" t="s">
        <v>103</v>
      </c>
      <c r="N45" s="54"/>
      <c r="O45" s="54" t="s">
        <v>22</v>
      </c>
      <c r="P45" s="108">
        <f>D16+$O$19</f>
        <v>-4</v>
      </c>
      <c r="W45" s="28">
        <v>37</v>
      </c>
      <c r="X45" s="28">
        <v>13</v>
      </c>
      <c r="AH45" s="92">
        <f t="shared" si="0"/>
        <v>0</v>
      </c>
      <c r="AJ45" s="92" t="s">
        <v>291</v>
      </c>
    </row>
    <row r="46" spans="1:36" ht="12.9" customHeight="1" x14ac:dyDescent="0.3">
      <c r="A46" s="35" t="s">
        <v>105</v>
      </c>
      <c r="B46" s="36" t="str">
        <f>IFERROR(HLOOKUP(B$45,Věci!$A$17:$N$82,MATCH($B$44,Věci!$A$17:$A$82,0),FALSE)," ")</f>
        <v xml:space="preserve"> </v>
      </c>
      <c r="C46" s="144" t="str">
        <f>IFERROR(HLOOKUP(C$45,Věci!$A$17:$N$82,MATCH(COPY_ZBRAN2A,Věci!$A$17:$A$82,0),FALSE)," ")</f>
        <v xml:space="preserve"> </v>
      </c>
      <c r="D46" s="36" t="str">
        <f>IFERROR(HLOOKUP(D$45,Věci!$A$17:$N$82,MATCH($B$44,Věci!$A$17:$A$82,0),FALSE)," ")</f>
        <v xml:space="preserve"> </v>
      </c>
      <c r="E46" s="37" t="str">
        <f>IFERROR(HLOOKUP(E$45,Věci!$A$17:$N$82,MATCH($B$44,Věci!$A$17:$A$82,0),FALSE)," ")</f>
        <v xml:space="preserve"> </v>
      </c>
      <c r="G46" s="150" t="s">
        <v>105</v>
      </c>
      <c r="H46" s="151"/>
      <c r="I46" s="36" t="str">
        <f>IFERROR(HLOOKUP(I$45,Věci!$A$17:$N$82,MATCH(COPY_ZBRAN4,Věci!$A$17:$A$82,0),FALSE)," ")</f>
        <v xml:space="preserve"> </v>
      </c>
      <c r="J46" s="36" t="str">
        <f>IFERROR(HLOOKUP(J$45,Věci!$A$17:$N$82,MATCH(COPY_ZBRAN4,Věci!$A$17:$A$82,0),FALSE)," ")</f>
        <v xml:space="preserve"> </v>
      </c>
      <c r="K46" s="36" t="str">
        <f>IFERROR(HLOOKUP(K$45,Věci!$A$17:$N$82,MATCH(COPY_ZBRAN4,Věci!$A$17:$A$82,0),FALSE)," ")</f>
        <v xml:space="preserve"> </v>
      </c>
      <c r="L46" s="37" t="str">
        <f>IFERROR(HLOOKUP(L$45,Věci!$A$17:$N$82,MATCH(COPY_ZBRAN4,Věci!$A$17:$A$82,0),FALSE)," ")</f>
        <v xml:space="preserve"> </v>
      </c>
      <c r="O46" s="54" t="s">
        <v>522</v>
      </c>
      <c r="P46" s="108">
        <f>'2-Znalosti'!E31</f>
        <v>0</v>
      </c>
      <c r="W46" s="28">
        <v>38</v>
      </c>
      <c r="X46" s="28">
        <v>13</v>
      </c>
    </row>
    <row r="47" spans="1:36" ht="12.9" customHeight="1" x14ac:dyDescent="0.3">
      <c r="A47" s="38" t="s">
        <v>932</v>
      </c>
      <c r="B47" s="39" t="str">
        <f>IFERROR(HLOOKUP('1-Postava'!H$29,$A$29:$P$35,MATCH($B$44,$A$29:$A$35,0),FALSE)," ")</f>
        <v xml:space="preserve"> </v>
      </c>
      <c r="C47" s="39" t="str">
        <f>IFERROR(HLOOKUP('1-Postava'!I$29,$A$29:$P$35,MATCH($B$44,$A$29:$A$35,0),FALSE)," ")</f>
        <v xml:space="preserve"> </v>
      </c>
      <c r="D47" s="39" t="str">
        <f>IFERROR(HLOOKUP('1-Postava'!J$29,$A$29:$P$35,MATCH($B$44,$A$29:$A$35,0),FALSE)," ")</f>
        <v xml:space="preserve"> </v>
      </c>
      <c r="E47" s="40" t="str">
        <f>IFERROR(HLOOKUP('1-Postava'!K$29,$A$29:$P$35,MATCH($B$44,$A$29:$A$35,0),FALSE)," ")</f>
        <v xml:space="preserve"> </v>
      </c>
      <c r="G47" s="316" t="s">
        <v>932</v>
      </c>
      <c r="H47" s="317"/>
      <c r="I47" s="39" t="str">
        <f>IFERROR(HLOOKUP('1-Postava'!H$29,$A$29:$P$35,MATCH(COPY_ZBRAN4,$A$29:$A$35,0),FALSE)," ")</f>
        <v xml:space="preserve"> </v>
      </c>
      <c r="J47" s="39" t="str">
        <f>IFERROR(HLOOKUP('1-Postava'!I$29,$A$29:$P$35,MATCH(COPY_ZBRAN4,$A$29:$A$35,0),FALSE)," ")</f>
        <v xml:space="preserve"> </v>
      </c>
      <c r="K47" s="39" t="str">
        <f>IFERROR(HLOOKUP('1-Postava'!J$29,$A$29:$P$35,MATCH(COPY_ZBRAN4,$A$29:$A$35,0),FALSE)," ")</f>
        <v xml:space="preserve"> </v>
      </c>
      <c r="L47" s="40" t="str">
        <f>IFERROR(HLOOKUP('1-Postava'!K$29,$A$29:$P$35,MATCH(COPY_ZBRAN4,$A$29:$A$35,0),FALSE)," ")</f>
        <v xml:space="preserve"> </v>
      </c>
      <c r="N47" s="54"/>
      <c r="O47" s="54" t="s">
        <v>411</v>
      </c>
      <c r="P47" s="154">
        <f>OBR</f>
        <v>-4</v>
      </c>
      <c r="W47" s="28">
        <v>39</v>
      </c>
      <c r="X47" s="28">
        <v>14</v>
      </c>
    </row>
    <row r="48" spans="1:36" ht="12.9" customHeight="1" x14ac:dyDescent="0.3">
      <c r="A48" s="38" t="s">
        <v>157</v>
      </c>
      <c r="B48" s="39">
        <f>$P$45</f>
        <v>-4</v>
      </c>
      <c r="C48" s="39" t="str">
        <f>IFERROR(HLOOKUP($G$29,$A$29:$P$35,MATCH(COPY_ZBRAN2A,$A$29:$A$35,0),FALSE)," ")</f>
        <v xml:space="preserve"> </v>
      </c>
      <c r="D48" s="39" t="str">
        <f>C48</f>
        <v xml:space="preserve"> </v>
      </c>
      <c r="E48" s="40">
        <f>$P$47</f>
        <v>-4</v>
      </c>
      <c r="G48" s="318" t="s">
        <v>157</v>
      </c>
      <c r="H48" s="319"/>
      <c r="I48" s="39">
        <f>$P$45</f>
        <v>-4</v>
      </c>
      <c r="J48" s="39" t="str">
        <f>IFERROR(HLOOKUP($G$29,$A$29:$P$35,MATCH(COPY_ZBRAN4,$A$29:$A$35,0),FALSE)," ")</f>
        <v xml:space="preserve"> </v>
      </c>
      <c r="K48" s="39" t="str">
        <f>J48</f>
        <v xml:space="preserve"> </v>
      </c>
      <c r="L48" s="41">
        <f>'1-Postava'!$P$47</f>
        <v>-4</v>
      </c>
      <c r="W48" s="28">
        <v>40</v>
      </c>
      <c r="X48" s="28">
        <v>14</v>
      </c>
    </row>
    <row r="49" spans="1:24" ht="12.9" customHeight="1" x14ac:dyDescent="0.3">
      <c r="A49" s="44" t="s">
        <v>107</v>
      </c>
      <c r="B49" s="45">
        <f>SUM(B46:B48)</f>
        <v>-4</v>
      </c>
      <c r="C49" s="45">
        <f t="shared" ref="C49" si="6">SUM(C46:C48)</f>
        <v>0</v>
      </c>
      <c r="D49" s="45">
        <f t="shared" ref="D49" si="7">SUM(D46:D48)</f>
        <v>0</v>
      </c>
      <c r="E49" s="45">
        <f t="shared" ref="E49" si="8">SUM(E46:E48)</f>
        <v>-4</v>
      </c>
      <c r="G49" s="292" t="s">
        <v>107</v>
      </c>
      <c r="H49" s="293"/>
      <c r="I49" s="250">
        <f>SUM(I46:I48)</f>
        <v>-4</v>
      </c>
      <c r="J49" s="250">
        <f t="shared" ref="J49:L49" si="9">SUM(J46:J48)</f>
        <v>0</v>
      </c>
      <c r="K49" s="250">
        <f t="shared" si="9"/>
        <v>0</v>
      </c>
      <c r="L49" s="249">
        <f t="shared" si="9"/>
        <v>-4</v>
      </c>
      <c r="W49" s="28" t="s">
        <v>72</v>
      </c>
      <c r="X49" s="28" t="s">
        <v>72</v>
      </c>
    </row>
    <row r="50" spans="1:24" ht="6" customHeight="1" x14ac:dyDescent="0.3"/>
    <row r="51" spans="1:24" ht="12.9" customHeight="1" x14ac:dyDescent="0.3">
      <c r="A51" s="33" t="s">
        <v>104</v>
      </c>
      <c r="B51" s="274"/>
      <c r="C51" s="274"/>
      <c r="D51" s="274"/>
      <c r="E51" s="275"/>
      <c r="G51" s="148" t="s">
        <v>104</v>
      </c>
      <c r="H51" s="149"/>
      <c r="I51" s="282" t="s">
        <v>124</v>
      </c>
      <c r="J51" s="274"/>
      <c r="K51" s="274"/>
      <c r="L51" s="275"/>
    </row>
    <row r="52" spans="1:24" ht="12.9" customHeight="1" x14ac:dyDescent="0.3">
      <c r="A52" s="34"/>
      <c r="B52" s="42" t="s">
        <v>22</v>
      </c>
      <c r="C52" s="42" t="s">
        <v>28</v>
      </c>
      <c r="D52" s="42" t="s">
        <v>102</v>
      </c>
      <c r="E52" s="43" t="s">
        <v>103</v>
      </c>
      <c r="G52" s="229"/>
      <c r="H52" s="230"/>
      <c r="I52" s="110" t="s">
        <v>22</v>
      </c>
      <c r="J52" s="42" t="s">
        <v>28</v>
      </c>
      <c r="K52" s="42" t="s">
        <v>102</v>
      </c>
      <c r="L52" s="43" t="s">
        <v>103</v>
      </c>
      <c r="P52" s="5" t="s">
        <v>430</v>
      </c>
    </row>
    <row r="53" spans="1:24" ht="12.9" customHeight="1" x14ac:dyDescent="0.3">
      <c r="A53" s="35" t="s">
        <v>105</v>
      </c>
      <c r="B53" s="36" t="str">
        <f>IFERROR(HLOOKUP(B$52,Věci!$A$17:$N$82,MATCH($B$51,Věci!$A$17:$A$82,0),FALSE)," ")</f>
        <v xml:space="preserve"> </v>
      </c>
      <c r="C53" s="144" t="str">
        <f>IFERROR(HLOOKUP(C$52,Věci!$A$17:$N$82,MATCH($B$51,Věci!$A$17:$A$82,0),FALSE)," ")</f>
        <v xml:space="preserve"> </v>
      </c>
      <c r="D53" s="36" t="str">
        <f>IFERROR(HLOOKUP(D$52,Věci!$A$17:$N$82,MATCH($B$51,Věci!$A$17:$A$82,0),FALSE)," ")</f>
        <v xml:space="preserve"> </v>
      </c>
      <c r="E53" s="37" t="str">
        <f>IFERROR(HLOOKUP(E$52,Věci!$A$17:$N$82,MATCH($B$51,Věci!$A$17:$A$82,0),FALSE)," ")</f>
        <v xml:space="preserve"> </v>
      </c>
      <c r="G53" s="231" t="s">
        <v>105</v>
      </c>
      <c r="H53" s="232"/>
      <c r="I53" s="36">
        <f>IFERROR(HLOOKUP(I$52,Věci!$A$17:$N$82,MATCH(COPY_ZBRAN6,Věci!$A$17:$A$82,0),FALSE)," ")</f>
        <v>1</v>
      </c>
      <c r="J53" s="36">
        <f>IFERROR(HLOOKUP(J$52,Věci!$A$17:$N$82,MATCH(COPY_ZBRAN6,Věci!$A$17:$A$82,0),FALSE)," ")</f>
        <v>1</v>
      </c>
      <c r="K53" s="36">
        <f>IFERROR(HLOOKUP(K$52,Věci!$A$17:$N$82,MATCH(COPY_ZBRAN6,Věci!$A$17:$A$82,0),FALSE)," ")</f>
        <v>-1</v>
      </c>
      <c r="L53" s="37">
        <f>IFERROR(HLOOKUP(L$52,Věci!$A$17:$N$82,MATCH(COPY_ZBRAN6,Věci!$A$17:$A$82,0),FALSE)," ")</f>
        <v>1</v>
      </c>
      <c r="N53" s="62"/>
      <c r="O53" s="54" t="s">
        <v>433</v>
      </c>
      <c r="P53" s="31">
        <f>D26</f>
        <v>0</v>
      </c>
    </row>
    <row r="54" spans="1:24" ht="12.9" customHeight="1" x14ac:dyDescent="0.3">
      <c r="A54" s="38" t="s">
        <v>932</v>
      </c>
      <c r="B54" s="39" t="str">
        <f>IFERROR(HLOOKUP('1-Postava'!H$29,$A$29:$P$35,MATCH($B$51,$A$29:$A$35,0),FALSE)," ")</f>
        <v xml:space="preserve"> </v>
      </c>
      <c r="C54" s="39" t="str">
        <f>IFERROR(HLOOKUP('1-Postava'!I$29,$A$29:$P$35,MATCH($B$51,$A$29:$A$35,0),FALSE)," ")</f>
        <v xml:space="preserve"> </v>
      </c>
      <c r="D54" s="39" t="str">
        <f>IFERROR(HLOOKUP('1-Postava'!J$29,$A$29:$P$35,MATCH($B$51,$A$29:$A$35,0),FALSE)," ")</f>
        <v xml:space="preserve"> </v>
      </c>
      <c r="E54" s="40" t="str">
        <f>IFERROR(HLOOKUP('1-Postava'!K$29,$A$29:$P$35,MATCH($B$51,$A$29:$A$35,0),FALSE)," ")</f>
        <v xml:space="preserve"> </v>
      </c>
      <c r="G54" s="316" t="s">
        <v>932</v>
      </c>
      <c r="H54" s="317"/>
      <c r="I54" s="39">
        <f>IFERROR(HLOOKUP('1-Postava'!H$29,$A$29:$P$35,MATCH(COPY_ZBRAN6,$A$29:$A$35,0),FALSE)," ")</f>
        <v>0</v>
      </c>
      <c r="J54" s="39">
        <f>IFERROR(HLOOKUP('1-Postava'!I$29,$A$29:$P$35,MATCH(COPY_ZBRAN6,$A$29:$A$35,0),FALSE)," ")</f>
        <v>0</v>
      </c>
      <c r="K54" s="39">
        <f>IFERROR(HLOOKUP('1-Postava'!J$29,$A$29:$P$35,MATCH(COPY_ZBRAN6,$A$29:$A$35,0),FALSE)," ")</f>
        <v>0</v>
      </c>
      <c r="L54" s="40">
        <f>IFERROR(HLOOKUP('1-Postava'!K$29,$A$29:$P$35,MATCH(COPY_ZBRAN6,$A$29:$A$35,0),FALSE)," ")</f>
        <v>0</v>
      </c>
      <c r="N54" s="62"/>
      <c r="O54" s="54" t="s">
        <v>432</v>
      </c>
      <c r="P54" s="31">
        <f>P26</f>
        <v>0</v>
      </c>
    </row>
    <row r="55" spans="1:24" ht="12.9" customHeight="1" x14ac:dyDescent="0.3">
      <c r="A55" s="38" t="s">
        <v>157</v>
      </c>
      <c r="B55" s="39">
        <f>$P$45</f>
        <v>-4</v>
      </c>
      <c r="C55" s="39" t="str">
        <f>IFERROR(HLOOKUP($G$29,$A$29:$P$35,MATCH(COPY_ZBRAN5,$A$29:$A$35,0),FALSE)," ")</f>
        <v xml:space="preserve"> </v>
      </c>
      <c r="D55" s="39" t="str">
        <f>C55</f>
        <v xml:space="preserve"> </v>
      </c>
      <c r="E55" s="40">
        <f>$P$47</f>
        <v>-4</v>
      </c>
      <c r="G55" s="318" t="s">
        <v>157</v>
      </c>
      <c r="H55" s="319"/>
      <c r="I55" s="39">
        <f>$P$45</f>
        <v>-4</v>
      </c>
      <c r="J55" s="39">
        <f>IFERROR(HLOOKUP($G$29,$A$29:$P$35,MATCH(COPY_ZBRAN6,$A$29:$A$35,0),FALSE)," ")</f>
        <v>-6</v>
      </c>
      <c r="K55" s="39">
        <f>J55</f>
        <v>-6</v>
      </c>
      <c r="L55" s="41">
        <f>'1-Postava'!$P$47</f>
        <v>-4</v>
      </c>
      <c r="N55" s="62"/>
      <c r="O55" s="170" t="s">
        <v>431</v>
      </c>
      <c r="P55" s="154">
        <f>SUM(P53:P54)</f>
        <v>0</v>
      </c>
    </row>
    <row r="56" spans="1:24" ht="12.6" customHeight="1" x14ac:dyDescent="0.3">
      <c r="A56" s="44" t="s">
        <v>107</v>
      </c>
      <c r="B56" s="45">
        <f>SUM(B53:B55)</f>
        <v>-4</v>
      </c>
      <c r="C56" s="45">
        <f t="shared" ref="C56" si="10">SUM(C53:C55)</f>
        <v>0</v>
      </c>
      <c r="D56" s="45">
        <f t="shared" ref="D56" si="11">SUM(D53:D55)</f>
        <v>0</v>
      </c>
      <c r="E56" s="249">
        <f t="shared" ref="E56" si="12">SUM(E53:E55)</f>
        <v>-4</v>
      </c>
      <c r="G56" s="292" t="s">
        <v>107</v>
      </c>
      <c r="H56" s="293"/>
      <c r="I56" s="250">
        <f>SUM(I53:I55)</f>
        <v>-3</v>
      </c>
      <c r="J56" s="250">
        <f t="shared" ref="J56" si="13">SUM(J53:J55)</f>
        <v>-5</v>
      </c>
      <c r="K56" s="250">
        <f t="shared" ref="K56" si="14">SUM(K53:K55)</f>
        <v>-7</v>
      </c>
      <c r="L56" s="249">
        <f t="shared" ref="L56" si="15">SUM(L53:L55)</f>
        <v>-3</v>
      </c>
    </row>
    <row r="57" spans="1:24" ht="15" customHeight="1" x14ac:dyDescent="0.3">
      <c r="A57" s="171" t="s">
        <v>435</v>
      </c>
    </row>
    <row r="58" spans="1:24" x14ac:dyDescent="0.3">
      <c r="A58" t="s">
        <v>625</v>
      </c>
      <c r="C58" t="s">
        <v>626</v>
      </c>
      <c r="F58" t="s">
        <v>627</v>
      </c>
      <c r="J58" t="s">
        <v>434</v>
      </c>
    </row>
    <row r="66" spans="22:22" x14ac:dyDescent="0.3">
      <c r="V66" s="10"/>
    </row>
  </sheetData>
  <mergeCells count="66">
    <mergeCell ref="G56:H56"/>
    <mergeCell ref="H37:L37"/>
    <mergeCell ref="G41:H41"/>
    <mergeCell ref="I51:L51"/>
    <mergeCell ref="G54:H54"/>
    <mergeCell ref="G55:H55"/>
    <mergeCell ref="G48:H48"/>
    <mergeCell ref="G38:H38"/>
    <mergeCell ref="G39:H39"/>
    <mergeCell ref="G40:H40"/>
    <mergeCell ref="G47:H47"/>
    <mergeCell ref="AH4:AL4"/>
    <mergeCell ref="L29:P29"/>
    <mergeCell ref="L30:P30"/>
    <mergeCell ref="L31:P31"/>
    <mergeCell ref="L32:P32"/>
    <mergeCell ref="J23:M23"/>
    <mergeCell ref="O22:P22"/>
    <mergeCell ref="O23:P23"/>
    <mergeCell ref="J22:M22"/>
    <mergeCell ref="AB4:AF4"/>
    <mergeCell ref="O21:P21"/>
    <mergeCell ref="J19:M19"/>
    <mergeCell ref="J21:M21"/>
    <mergeCell ref="J20:M20"/>
    <mergeCell ref="J24:M24"/>
    <mergeCell ref="O24:P24"/>
    <mergeCell ref="A25:C25"/>
    <mergeCell ref="A26:C26"/>
    <mergeCell ref="E25:F25"/>
    <mergeCell ref="E26:F26"/>
    <mergeCell ref="H26:L26"/>
    <mergeCell ref="L33:P33"/>
    <mergeCell ref="L34:P34"/>
    <mergeCell ref="L35:P35"/>
    <mergeCell ref="G49:H49"/>
    <mergeCell ref="B44:E44"/>
    <mergeCell ref="I44:L44"/>
    <mergeCell ref="G42:H42"/>
    <mergeCell ref="B51:E51"/>
    <mergeCell ref="H28:K28"/>
    <mergeCell ref="A32:B32"/>
    <mergeCell ref="E35:F35"/>
    <mergeCell ref="E31:F31"/>
    <mergeCell ref="E32:F32"/>
    <mergeCell ref="E33:F33"/>
    <mergeCell ref="E34:F34"/>
    <mergeCell ref="A28:D28"/>
    <mergeCell ref="A30:B30"/>
    <mergeCell ref="B37:E37"/>
    <mergeCell ref="A33:B33"/>
    <mergeCell ref="A31:B31"/>
    <mergeCell ref="E30:F30"/>
    <mergeCell ref="A34:B34"/>
    <mergeCell ref="A35:B35"/>
    <mergeCell ref="B2:C2"/>
    <mergeCell ref="N2:P2"/>
    <mergeCell ref="E2:J2"/>
    <mergeCell ref="K11:P11"/>
    <mergeCell ref="L3:M3"/>
    <mergeCell ref="E3:J3"/>
    <mergeCell ref="O18:P18"/>
    <mergeCell ref="O19:P19"/>
    <mergeCell ref="O20:P20"/>
    <mergeCell ref="J18:M18"/>
    <mergeCell ref="B3:C3"/>
  </mergeCells>
  <conditionalFormatting sqref="N2 C46 E7:E12 I39:L40 B39:E41 B47:E47 I47:L47">
    <cfRule type="cellIs" dxfId="61" priority="127" operator="equal">
      <formula>" "</formula>
    </cfRule>
  </conditionalFormatting>
  <conditionalFormatting sqref="P53:P55 G17 G15 F7:F12 C30:D35 P38:P41 C15:D17 P47">
    <cfRule type="cellIs" dxfId="60" priority="117" operator="notEqual">
      <formula>" "</formula>
    </cfRule>
  </conditionalFormatting>
  <conditionalFormatting sqref="I44 H37 B37:E37 B44">
    <cfRule type="containsBlanks" dxfId="59" priority="111">
      <formula>LEN(TRIM(B37))=0</formula>
    </cfRule>
  </conditionalFormatting>
  <conditionalFormatting sqref="I44 B44">
    <cfRule type="containsBlanks" dxfId="58" priority="55">
      <formula>LEN(TRIM(B44))=0</formula>
    </cfRule>
  </conditionalFormatting>
  <conditionalFormatting sqref="C46 J39 C39">
    <cfRule type="cellIs" dxfId="57" priority="52" operator="equal">
      <formula>"x"</formula>
    </cfRule>
  </conditionalFormatting>
  <conditionalFormatting sqref="P45">
    <cfRule type="containsBlanks" dxfId="56" priority="50">
      <formula>LEN(TRIM(P45))=0</formula>
    </cfRule>
  </conditionalFormatting>
  <conditionalFormatting sqref="P46">
    <cfRule type="containsBlanks" dxfId="55" priority="44">
      <formula>LEN(TRIM(P46))=0</formula>
    </cfRule>
  </conditionalFormatting>
  <conditionalFormatting sqref="F4">
    <cfRule type="cellIs" dxfId="54" priority="41" operator="notEqual">
      <formula>" "</formula>
    </cfRule>
  </conditionalFormatting>
  <conditionalFormatting sqref="B48">
    <cfRule type="cellIs" dxfId="53" priority="39" operator="equal">
      <formula>" "</formula>
    </cfRule>
  </conditionalFormatting>
  <conditionalFormatting sqref="C48">
    <cfRule type="cellIs" dxfId="52" priority="38" operator="equal">
      <formula>" "</formula>
    </cfRule>
  </conditionalFormatting>
  <conditionalFormatting sqref="B54:D54">
    <cfRule type="cellIs" dxfId="51" priority="37" operator="equal">
      <formula>" "</formula>
    </cfRule>
  </conditionalFormatting>
  <conditionalFormatting sqref="B51">
    <cfRule type="containsBlanks" dxfId="50" priority="36">
      <formula>LEN(TRIM(B51))=0</formula>
    </cfRule>
  </conditionalFormatting>
  <conditionalFormatting sqref="B51">
    <cfRule type="containsBlanks" dxfId="49" priority="35">
      <formula>LEN(TRIM(B51))=0</formula>
    </cfRule>
  </conditionalFormatting>
  <conditionalFormatting sqref="B55">
    <cfRule type="cellIs" dxfId="48" priority="33" operator="equal">
      <formula>" "</formula>
    </cfRule>
  </conditionalFormatting>
  <conditionalFormatting sqref="C55">
    <cfRule type="cellIs" dxfId="47" priority="32" operator="equal">
      <formula>" "</formula>
    </cfRule>
  </conditionalFormatting>
  <conditionalFormatting sqref="E48">
    <cfRule type="cellIs" dxfId="46" priority="31" operator="equal">
      <formula>" "</formula>
    </cfRule>
  </conditionalFormatting>
  <conditionalFormatting sqref="E55">
    <cfRule type="cellIs" dxfId="45" priority="30" operator="equal">
      <formula>" "</formula>
    </cfRule>
  </conditionalFormatting>
  <conditionalFormatting sqref="J41:L41">
    <cfRule type="cellIs" dxfId="44" priority="29" operator="equal">
      <formula>" "</formula>
    </cfRule>
  </conditionalFormatting>
  <conditionalFormatting sqref="I46:L46">
    <cfRule type="cellIs" dxfId="43" priority="28" operator="equal">
      <formula>" "</formula>
    </cfRule>
  </conditionalFormatting>
  <conditionalFormatting sqref="J46">
    <cfRule type="cellIs" dxfId="42" priority="27" operator="equal">
      <formula>"x"</formula>
    </cfRule>
  </conditionalFormatting>
  <conditionalFormatting sqref="J48">
    <cfRule type="cellIs" dxfId="41" priority="26" operator="equal">
      <formula>" "</formula>
    </cfRule>
  </conditionalFormatting>
  <conditionalFormatting sqref="K48">
    <cfRule type="cellIs" dxfId="40" priority="25" operator="equal">
      <formula>" "</formula>
    </cfRule>
  </conditionalFormatting>
  <conditionalFormatting sqref="I54:K54">
    <cfRule type="cellIs" dxfId="39" priority="24" operator="equal">
      <formula>" "</formula>
    </cfRule>
  </conditionalFormatting>
  <conditionalFormatting sqref="I51">
    <cfRule type="containsBlanks" dxfId="38" priority="23">
      <formula>LEN(TRIM(I51))=0</formula>
    </cfRule>
  </conditionalFormatting>
  <conditionalFormatting sqref="I51">
    <cfRule type="containsBlanks" dxfId="37" priority="22">
      <formula>LEN(TRIM(I51))=0</formula>
    </cfRule>
  </conditionalFormatting>
  <conditionalFormatting sqref="I53:L53">
    <cfRule type="cellIs" dxfId="36" priority="21" operator="equal">
      <formula>" "</formula>
    </cfRule>
  </conditionalFormatting>
  <conditionalFormatting sqref="J53">
    <cfRule type="cellIs" dxfId="35" priority="20" operator="equal">
      <formula>"x"</formula>
    </cfRule>
  </conditionalFormatting>
  <conditionalFormatting sqref="J55">
    <cfRule type="cellIs" dxfId="34" priority="19" operator="equal">
      <formula>" "</formula>
    </cfRule>
  </conditionalFormatting>
  <conditionalFormatting sqref="K55">
    <cfRule type="cellIs" dxfId="33" priority="18" operator="equal">
      <formula>" "</formula>
    </cfRule>
  </conditionalFormatting>
  <conditionalFormatting sqref="I55">
    <cfRule type="cellIs" dxfId="32" priority="17" operator="equal">
      <formula>" "</formula>
    </cfRule>
  </conditionalFormatting>
  <conditionalFormatting sqref="I48">
    <cfRule type="cellIs" dxfId="31" priority="16" operator="equal">
      <formula>" "</formula>
    </cfRule>
  </conditionalFormatting>
  <conditionalFormatting sqref="I41">
    <cfRule type="cellIs" dxfId="30" priority="15" operator="equal">
      <formula>" "</formula>
    </cfRule>
  </conditionalFormatting>
  <conditionalFormatting sqref="G30:G34">
    <cfRule type="cellIs" dxfId="29" priority="14" operator="notEqual">
      <formula>" "</formula>
    </cfRule>
  </conditionalFormatting>
  <conditionalFormatting sqref="G35">
    <cfRule type="cellIs" dxfId="28" priority="13" operator="notEqual">
      <formula>" "</formula>
    </cfRule>
  </conditionalFormatting>
  <conditionalFormatting sqref="E54">
    <cfRule type="cellIs" dxfId="27" priority="12" operator="equal">
      <formula>" "</formula>
    </cfRule>
  </conditionalFormatting>
  <conditionalFormatting sqref="L54">
    <cfRule type="cellIs" dxfId="26" priority="11" operator="equal">
      <formula>" "</formula>
    </cfRule>
  </conditionalFormatting>
  <conditionalFormatting sqref="D46:E46">
    <cfRule type="cellIs" dxfId="25" priority="10" operator="equal">
      <formula>" "</formula>
    </cfRule>
  </conditionalFormatting>
  <conditionalFormatting sqref="D53:E53">
    <cfRule type="cellIs" dxfId="24" priority="9" operator="equal">
      <formula>" "</formula>
    </cfRule>
  </conditionalFormatting>
  <conditionalFormatting sqref="C53">
    <cfRule type="cellIs" dxfId="23" priority="8" operator="equal">
      <formula>" "</formula>
    </cfRule>
  </conditionalFormatting>
  <conditionalFormatting sqref="C53">
    <cfRule type="cellIs" dxfId="22" priority="7" operator="equal">
      <formula>"x"</formula>
    </cfRule>
  </conditionalFormatting>
  <conditionalFormatting sqref="B46">
    <cfRule type="cellIs" dxfId="21" priority="6" operator="equal">
      <formula>" "</formula>
    </cfRule>
  </conditionalFormatting>
  <conditionalFormatting sqref="B53">
    <cfRule type="cellIs" dxfId="20" priority="5" operator="equal">
      <formula>" "</formula>
    </cfRule>
  </conditionalFormatting>
  <conditionalFormatting sqref="D48">
    <cfRule type="cellIs" dxfId="19" priority="4" operator="equal">
      <formula>" "</formula>
    </cfRule>
  </conditionalFormatting>
  <conditionalFormatting sqref="D55">
    <cfRule type="cellIs" dxfId="18" priority="3" operator="equal">
      <formula>" "</formula>
    </cfRule>
  </conditionalFormatting>
  <conditionalFormatting sqref="K4">
    <cfRule type="cellIs" dxfId="17" priority="2" operator="notEqual">
      <formula>" "</formula>
    </cfRule>
  </conditionalFormatting>
  <conditionalFormatting sqref="I4">
    <cfRule type="cellIs" dxfId="0" priority="1" operator="notEqual">
      <formula>" "</formula>
    </cfRule>
  </conditionalFormatting>
  <dataValidations count="8">
    <dataValidation type="list" allowBlank="1" showInputMessage="1" showErrorMessage="1" sqref="Z1">
      <formula1>"HP,PJ"</formula1>
    </dataValidation>
    <dataValidation type="list" allowBlank="1" showInputMessage="1" showErrorMessage="1" sqref="B3">
      <formula1>Seznam_rasy</formula1>
    </dataValidation>
    <dataValidation type="list" allowBlank="1" showInputMessage="1" showErrorMessage="1" sqref="B2">
      <formula1>Seznam_povolání</formula1>
    </dataValidation>
    <dataValidation type="list" allowBlank="1" showDropDown="1" showInputMessage="1" showErrorMessage="1" sqref="E7:E12">
      <formula1>$W$9:$W$49</formula1>
    </dataValidation>
    <dataValidation type="list" allowBlank="1" showInputMessage="1" showErrorMessage="1" sqref="B37:E37 B44:E44 I44:L44 B51:E51 H37 I51:L51">
      <formula1>$A$30:$A$35</formula1>
    </dataValidation>
    <dataValidation type="list" allowBlank="1" showInputMessage="1" showErrorMessage="1" sqref="N2:P2">
      <formula1>$S$3:$S$7</formula1>
    </dataValidation>
    <dataValidation type="list" allowBlank="1" showInputMessage="1" showErrorMessage="1" sqref="E30:F35">
      <formula1>$S$26:$S$36</formula1>
    </dataValidation>
    <dataValidation type="list" allowBlank="1" showInputMessage="1" showErrorMessage="1" sqref="K4">
      <formula1>"0,1,2,3,4"</formula1>
    </dataValidation>
  </dataValidations>
  <pageMargins left="0.39370078740157483" right="0.39370078740157483" top="0.39370078740157483" bottom="0.59055118110236227" header="0.31496062992125984" footer="0.31496062992125984"/>
  <pageSetup paperSize="9" scale="95" orientation="portrait" horizontalDpi="4294967293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Věci!$A$3:$A$14</xm:f>
          </x14:formula1>
          <xm:sqref>A26:C26</xm:sqref>
        </x14:dataValidation>
        <x14:dataValidation type="list" allowBlank="1" showInputMessage="1" showErrorMessage="1">
          <x14:formula1>
            <xm:f>Věci!$A$18:$A$82</xm:f>
          </x14:formula1>
          <xm:sqref>A30:B35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>
    <tabColor rgb="FF92D050"/>
  </sheetPr>
  <dimension ref="A1:AG109"/>
  <sheetViews>
    <sheetView zoomScaleNormal="100" workbookViewId="0">
      <selection activeCell="T5" sqref="T5"/>
    </sheetView>
  </sheetViews>
  <sheetFormatPr defaultRowHeight="14.4" x14ac:dyDescent="0.3"/>
  <cols>
    <col min="1" max="1" width="26.5546875" customWidth="1"/>
    <col min="2" max="2" width="10.5546875" bestFit="1" customWidth="1"/>
    <col min="3" max="3" width="4.77734375" customWidth="1"/>
    <col min="4" max="4" width="5.88671875" style="140" customWidth="1"/>
    <col min="5" max="5" width="4.77734375" style="140" customWidth="1"/>
    <col min="6" max="6" width="1.109375" customWidth="1"/>
    <col min="7" max="7" width="36.88671875" customWidth="1"/>
    <col min="8" max="8" width="10.33203125" customWidth="1"/>
    <col min="9" max="11" width="4.77734375" customWidth="1"/>
    <col min="12" max="12" width="2.88671875" customWidth="1"/>
    <col min="13" max="13" width="5.88671875" customWidth="1"/>
    <col min="14" max="14" width="17" customWidth="1"/>
    <col min="15" max="15" width="6.6640625" customWidth="1"/>
    <col min="16" max="16" width="8.109375" customWidth="1"/>
    <col min="17" max="17" width="7.33203125" customWidth="1"/>
    <col min="18" max="19" width="4" customWidth="1"/>
    <col min="20" max="20" width="8.109375" customWidth="1"/>
    <col min="21" max="21" width="8.44140625" customWidth="1"/>
    <col min="22" max="22" width="2.44140625" customWidth="1"/>
    <col min="23" max="23" width="22.88671875" customWidth="1"/>
    <col min="24" max="24" width="5.6640625" customWidth="1"/>
    <col min="25" max="25" width="4.44140625" customWidth="1"/>
    <col min="26" max="26" width="19.5546875" style="13" customWidth="1"/>
    <col min="27" max="28" width="6.44140625" style="13" customWidth="1"/>
    <col min="29" max="29" width="5.5546875" style="13" bestFit="1" customWidth="1"/>
    <col min="30" max="30" width="8" style="13" bestFit="1" customWidth="1"/>
    <col min="31" max="31" width="18.44140625" style="13" customWidth="1"/>
    <col min="32" max="32" width="8.6640625" bestFit="1" customWidth="1"/>
    <col min="33" max="33" width="22.5546875" customWidth="1"/>
  </cols>
  <sheetData>
    <row r="1" spans="1:33" ht="21" customHeight="1" x14ac:dyDescent="0.5">
      <c r="A1" s="6" t="s">
        <v>642</v>
      </c>
      <c r="I1" s="211"/>
      <c r="J1" s="157" t="s">
        <v>24</v>
      </c>
      <c r="K1" s="211"/>
      <c r="W1" s="17" t="s">
        <v>559</v>
      </c>
      <c r="Z1"/>
      <c r="AE1" s="16" t="s">
        <v>363</v>
      </c>
    </row>
    <row r="2" spans="1:33" ht="15" customHeight="1" x14ac:dyDescent="0.3">
      <c r="A2" s="114" t="s">
        <v>315</v>
      </c>
      <c r="B2" s="111" t="s">
        <v>26</v>
      </c>
      <c r="C2" s="111" t="s">
        <v>450</v>
      </c>
      <c r="D2" s="111" t="s">
        <v>921</v>
      </c>
      <c r="E2" s="111" t="s">
        <v>258</v>
      </c>
      <c r="G2" s="134" t="s">
        <v>565</v>
      </c>
      <c r="H2" s="135"/>
      <c r="I2" s="137"/>
      <c r="J2" s="135"/>
      <c r="K2" t="s">
        <v>564</v>
      </c>
      <c r="W2" s="18" t="s">
        <v>25</v>
      </c>
      <c r="X2" s="133" t="s">
        <v>5</v>
      </c>
      <c r="Z2"/>
      <c r="AD2" s="13" t="s">
        <v>74</v>
      </c>
      <c r="AE2" s="13" t="s">
        <v>21</v>
      </c>
    </row>
    <row r="3" spans="1:33" ht="15" customHeight="1" x14ac:dyDescent="0.3">
      <c r="A3" s="142" t="s">
        <v>584</v>
      </c>
      <c r="B3" s="222" t="s">
        <v>40</v>
      </c>
      <c r="C3" s="223">
        <f t="shared" ref="C3:C27" si="0">IFERROR(HLOOKUP($Q$8,$N$8:$Q$13,MATCH($B3,$N$8:$N$13,0),FALSE)," ")</f>
        <v>0</v>
      </c>
      <c r="D3" s="224" t="s">
        <v>50</v>
      </c>
      <c r="E3" s="224">
        <f>IFERROR(HLOOKUP($O$8,$N$8:$Q$13,MATCH($B3,$N$8:$N$13,0),FALSE)+X5+OBR," ")</f>
        <v>-6</v>
      </c>
      <c r="G3" s="326" t="s">
        <v>572</v>
      </c>
      <c r="H3" s="327"/>
      <c r="I3" s="327"/>
      <c r="J3" s="328"/>
      <c r="K3" s="136">
        <f>LOOKUP(G3,'2-Znalosti'!N31:N34,'2-Znalosti'!O31:O34)</f>
        <v>8</v>
      </c>
      <c r="W3" s="143" t="s">
        <v>584</v>
      </c>
      <c r="X3" s="14"/>
      <c r="Z3"/>
      <c r="AD3" s="126" t="str">
        <f ca="1">HLOOKUP(Povolání!$B$3,Povolání!$A$3:$J$45,MATCH(AE3,Povolání!$A$3:$A$45,0),FALSE)</f>
        <v>-</v>
      </c>
      <c r="AE3" s="126" t="str">
        <f ca="1">LOOKUP('1-Postava'!B2,'2-Znalosti'!T16:T61,'2-Znalosti'!U16:U62)</f>
        <v>Žádné</v>
      </c>
    </row>
    <row r="4" spans="1:33" ht="15" customHeight="1" x14ac:dyDescent="0.3">
      <c r="A4" s="142" t="s">
        <v>586</v>
      </c>
      <c r="B4" s="222" t="s">
        <v>40</v>
      </c>
      <c r="C4" s="223">
        <f t="shared" si="0"/>
        <v>0</v>
      </c>
      <c r="D4" s="224" t="s">
        <v>47</v>
      </c>
      <c r="E4" s="224">
        <f>IFERROR(HLOOKUP($O$8,$N$8:$Q$13,MATCH($B4,$N$8:$N$13,0),FALSE)+X6+SIL," ")</f>
        <v>-6</v>
      </c>
      <c r="H4" s="4" t="s">
        <v>568</v>
      </c>
      <c r="I4" s="136">
        <f>K3</f>
        <v>8</v>
      </c>
      <c r="J4" t="s">
        <v>566</v>
      </c>
      <c r="W4" s="143" t="s">
        <v>586</v>
      </c>
      <c r="X4" s="14"/>
      <c r="Z4"/>
      <c r="AB4"/>
      <c r="AC4"/>
      <c r="AD4"/>
      <c r="AE4"/>
    </row>
    <row r="5" spans="1:33" ht="15" customHeight="1" x14ac:dyDescent="0.3">
      <c r="A5" s="142" t="s">
        <v>53</v>
      </c>
      <c r="B5" s="222" t="s">
        <v>40</v>
      </c>
      <c r="C5" s="223">
        <f t="shared" si="0"/>
        <v>0</v>
      </c>
      <c r="D5" s="224" t="s">
        <v>49</v>
      </c>
      <c r="E5" s="224">
        <f>IFERROR(HLOOKUP($O$8,$N$8:$Q$13,MATCH($B5,$N$8:$N$13,0),FALSE)+X7+INT," ")</f>
        <v>-6</v>
      </c>
      <c r="G5" s="116" t="s">
        <v>567</v>
      </c>
      <c r="L5" s="135"/>
      <c r="N5" s="130" t="s">
        <v>397</v>
      </c>
      <c r="W5" s="143" t="s">
        <v>53</v>
      </c>
      <c r="X5" s="14"/>
      <c r="Z5"/>
      <c r="AB5"/>
      <c r="AC5"/>
      <c r="AD5"/>
      <c r="AE5" s="127" t="s">
        <v>260</v>
      </c>
      <c r="AF5" s="127" t="s">
        <v>21</v>
      </c>
      <c r="AG5" s="127" t="s">
        <v>106</v>
      </c>
    </row>
    <row r="6" spans="1:33" ht="15" customHeight="1" x14ac:dyDescent="0.3">
      <c r="A6" s="142" t="s">
        <v>634</v>
      </c>
      <c r="B6" s="222" t="s">
        <v>40</v>
      </c>
      <c r="C6" s="223">
        <f t="shared" si="0"/>
        <v>0</v>
      </c>
      <c r="D6" s="224" t="s">
        <v>50</v>
      </c>
      <c r="E6" s="224">
        <f>IFERROR(HLOOKUP($O$8,$N$8:$Q$13,MATCH($B6,$N$8:$N$13,0),FALSE)+X8+OBR," ")</f>
        <v>-6</v>
      </c>
      <c r="G6" s="202"/>
      <c r="H6" s="203"/>
      <c r="I6" s="204"/>
      <c r="J6" s="204"/>
      <c r="K6" s="209"/>
      <c r="L6" s="208">
        <v>1</v>
      </c>
      <c r="N6" s="130" t="s">
        <v>398</v>
      </c>
      <c r="W6" s="143" t="s">
        <v>634</v>
      </c>
      <c r="X6" s="14"/>
      <c r="Z6"/>
      <c r="AB6"/>
      <c r="AC6"/>
      <c r="AD6"/>
      <c r="AE6" s="176" t="s">
        <v>952</v>
      </c>
      <c r="AF6" s="9" t="s">
        <v>951</v>
      </c>
      <c r="AG6" s="131" t="s">
        <v>57</v>
      </c>
    </row>
    <row r="7" spans="1:33" ht="15" customHeight="1" x14ac:dyDescent="0.3">
      <c r="A7" s="142" t="s">
        <v>587</v>
      </c>
      <c r="B7" s="222" t="s">
        <v>40</v>
      </c>
      <c r="C7" s="223">
        <f t="shared" si="0"/>
        <v>0</v>
      </c>
      <c r="D7" s="224" t="s">
        <v>50</v>
      </c>
      <c r="E7" s="224">
        <f>IFERROR(HLOOKUP($O$8,$N$8:$Q$13,MATCH($B7,$N$8:$N$13,0),FALSE)+X9+OBR," ")</f>
        <v>-6</v>
      </c>
      <c r="G7" s="205"/>
      <c r="H7" s="199"/>
      <c r="I7" s="200"/>
      <c r="J7" s="200"/>
      <c r="K7" s="201"/>
      <c r="L7" s="208">
        <v>1</v>
      </c>
      <c r="W7" s="143" t="s">
        <v>587</v>
      </c>
      <c r="X7" s="14"/>
      <c r="Z7"/>
      <c r="AB7"/>
      <c r="AC7"/>
      <c r="AD7"/>
      <c r="AE7" s="176"/>
      <c r="AF7" s="9"/>
      <c r="AG7" s="131"/>
    </row>
    <row r="8" spans="1:33" ht="15" customHeight="1" x14ac:dyDescent="0.3">
      <c r="A8" s="142" t="s">
        <v>316</v>
      </c>
      <c r="B8" s="222" t="s">
        <v>40</v>
      </c>
      <c r="C8" s="223">
        <f t="shared" si="0"/>
        <v>0</v>
      </c>
      <c r="D8" s="224" t="s">
        <v>922</v>
      </c>
      <c r="E8" s="224">
        <f>IFERROR(HLOOKUP($O$8,$N$8:$Q$13,MATCH($B8,$N$8:$N$13,0),FALSE)+X10+CHAR," ")</f>
        <v>-6</v>
      </c>
      <c r="G8" s="202"/>
      <c r="H8" s="203"/>
      <c r="I8" s="204"/>
      <c r="J8" s="204"/>
      <c r="K8" s="209"/>
      <c r="L8" s="208">
        <v>2</v>
      </c>
      <c r="N8" s="19" t="s">
        <v>4</v>
      </c>
      <c r="O8" s="20" t="s">
        <v>422</v>
      </c>
      <c r="P8" s="21" t="s">
        <v>448</v>
      </c>
      <c r="Q8" s="21" t="s">
        <v>449</v>
      </c>
      <c r="W8" s="143" t="s">
        <v>316</v>
      </c>
      <c r="X8" s="14"/>
      <c r="Z8"/>
      <c r="AB8"/>
      <c r="AC8"/>
      <c r="AD8"/>
      <c r="AE8" s="176"/>
      <c r="AF8" s="9"/>
      <c r="AG8" s="128"/>
    </row>
    <row r="9" spans="1:33" ht="15" customHeight="1" x14ac:dyDescent="0.3">
      <c r="A9" s="142" t="s">
        <v>635</v>
      </c>
      <c r="B9" s="222" t="s">
        <v>40</v>
      </c>
      <c r="C9" s="223">
        <f t="shared" si="0"/>
        <v>0</v>
      </c>
      <c r="D9" s="224" t="s">
        <v>47</v>
      </c>
      <c r="E9" s="224">
        <f>IFERROR(HLOOKUP($O$8,$N$8:$Q$13,MATCH($B9,$N$8:$N$13,0),FALSE)+X11+SIL," ")</f>
        <v>-6</v>
      </c>
      <c r="G9" s="205"/>
      <c r="H9" s="199"/>
      <c r="I9" s="200"/>
      <c r="J9" s="200"/>
      <c r="K9" s="201"/>
      <c r="L9" s="208">
        <v>2</v>
      </c>
      <c r="N9" s="12" t="s">
        <v>40</v>
      </c>
      <c r="O9" s="174">
        <v>-2</v>
      </c>
      <c r="P9" s="22">
        <v>0</v>
      </c>
      <c r="Q9" s="22">
        <v>0</v>
      </c>
      <c r="W9" s="143" t="s">
        <v>635</v>
      </c>
      <c r="X9" s="14"/>
      <c r="Z9"/>
      <c r="AB9"/>
      <c r="AC9"/>
      <c r="AD9"/>
      <c r="AE9" s="176"/>
      <c r="AF9" s="9"/>
      <c r="AG9" s="131"/>
    </row>
    <row r="10" spans="1:33" ht="15" customHeight="1" x14ac:dyDescent="0.3">
      <c r="A10" s="142" t="s">
        <v>451</v>
      </c>
      <c r="B10" s="222" t="s">
        <v>40</v>
      </c>
      <c r="C10" s="223">
        <f t="shared" si="0"/>
        <v>0</v>
      </c>
      <c r="D10" s="224" t="s">
        <v>49</v>
      </c>
      <c r="E10" s="224">
        <f>IFERROR(HLOOKUP($O$8,$N$8:$Q$13,MATCH($B10,$N$8:$N$13,0),FALSE)+X12+INT," ")</f>
        <v>-6</v>
      </c>
      <c r="G10" s="202"/>
      <c r="H10" s="203"/>
      <c r="I10" s="204"/>
      <c r="J10" s="204"/>
      <c r="K10" s="209"/>
      <c r="L10" s="208">
        <v>3</v>
      </c>
      <c r="N10" s="8" t="s">
        <v>29</v>
      </c>
      <c r="O10" s="174">
        <v>-1</v>
      </c>
      <c r="P10" s="22">
        <v>1</v>
      </c>
      <c r="Q10" s="22">
        <f>SUM($P$9:P10)</f>
        <v>1</v>
      </c>
      <c r="W10" s="143" t="s">
        <v>451</v>
      </c>
      <c r="X10" s="14"/>
      <c r="Z10"/>
      <c r="AE10" s="176"/>
      <c r="AF10" s="9"/>
      <c r="AG10" s="131"/>
    </row>
    <row r="11" spans="1:33" ht="15" customHeight="1" x14ac:dyDescent="0.3">
      <c r="A11" s="142" t="s">
        <v>638</v>
      </c>
      <c r="B11" s="222" t="s">
        <v>40</v>
      </c>
      <c r="C11" s="223">
        <f t="shared" si="0"/>
        <v>0</v>
      </c>
      <c r="D11" s="224" t="s">
        <v>54</v>
      </c>
      <c r="E11" s="224">
        <f>IFERROR(HLOOKUP($O$8,$N$8:$Q$13,MATCH($B11,$N$8:$N$13,0),FALSE)+X13+VOL," ")</f>
        <v>-6</v>
      </c>
      <c r="G11" s="205"/>
      <c r="H11" s="199"/>
      <c r="I11" s="200"/>
      <c r="J11" s="200"/>
      <c r="K11" s="201"/>
      <c r="L11" s="208">
        <v>3</v>
      </c>
      <c r="N11" s="8" t="s">
        <v>30</v>
      </c>
      <c r="O11" s="174">
        <v>0</v>
      </c>
      <c r="P11" s="22">
        <v>1</v>
      </c>
      <c r="Q11" s="22">
        <f>SUM($P$9:P11)</f>
        <v>2</v>
      </c>
      <c r="W11" s="143" t="s">
        <v>638</v>
      </c>
      <c r="X11" s="14"/>
      <c r="Z11"/>
      <c r="AA11"/>
      <c r="AB11"/>
      <c r="AC11"/>
      <c r="AD11"/>
      <c r="AE11" s="176"/>
      <c r="AF11" s="9"/>
      <c r="AG11" s="131"/>
    </row>
    <row r="12" spans="1:33" ht="15" customHeight="1" x14ac:dyDescent="0.3">
      <c r="A12" s="142" t="s">
        <v>639</v>
      </c>
      <c r="B12" s="222" t="s">
        <v>40</v>
      </c>
      <c r="C12" s="223">
        <f t="shared" si="0"/>
        <v>0</v>
      </c>
      <c r="D12" s="224" t="s">
        <v>54</v>
      </c>
      <c r="E12" s="224">
        <f>IFERROR(HLOOKUP($O$8,$N$8:$Q$13,MATCH($B12,$N$8:$N$13,0),FALSE)+X14+VOL," ")</f>
        <v>-6</v>
      </c>
      <c r="G12" s="202"/>
      <c r="H12" s="203"/>
      <c r="I12" s="204"/>
      <c r="J12" s="204"/>
      <c r="K12" s="209"/>
      <c r="L12" s="208">
        <v>4</v>
      </c>
      <c r="N12" s="11" t="s">
        <v>31</v>
      </c>
      <c r="O12" s="174">
        <v>1</v>
      </c>
      <c r="P12" s="22">
        <v>1</v>
      </c>
      <c r="Q12" s="22">
        <f>SUM($P$9:P12)</f>
        <v>3</v>
      </c>
      <c r="W12" s="143" t="s">
        <v>639</v>
      </c>
      <c r="X12" s="14"/>
      <c r="Z12"/>
      <c r="AA12"/>
      <c r="AB12"/>
      <c r="AC12"/>
      <c r="AD12"/>
      <c r="AE12" s="176"/>
      <c r="AF12" s="9"/>
      <c r="AG12" s="131"/>
    </row>
    <row r="13" spans="1:33" ht="15" customHeight="1" x14ac:dyDescent="0.3">
      <c r="A13" s="142" t="s">
        <v>322</v>
      </c>
      <c r="B13" s="222" t="s">
        <v>40</v>
      </c>
      <c r="C13" s="223">
        <f t="shared" si="0"/>
        <v>0</v>
      </c>
      <c r="D13" s="224" t="s">
        <v>54</v>
      </c>
      <c r="E13" s="224">
        <f>IFERROR(HLOOKUP($O$8,$N$8:$Q$13,MATCH($B13,$N$8:$N$13,0),FALSE)+X15+VOL," ")</f>
        <v>-6</v>
      </c>
      <c r="G13" s="205"/>
      <c r="H13" s="199"/>
      <c r="I13" s="200"/>
      <c r="J13" s="200"/>
      <c r="K13" s="201"/>
      <c r="L13" s="208">
        <v>4</v>
      </c>
      <c r="N13" s="188" t="s">
        <v>32</v>
      </c>
      <c r="O13" s="189">
        <v>2</v>
      </c>
      <c r="P13" s="190">
        <v>1</v>
      </c>
      <c r="Q13" s="190">
        <f>SUM($P$9:P13)</f>
        <v>4</v>
      </c>
      <c r="R13" s="129"/>
      <c r="S13" s="129"/>
      <c r="W13" s="143" t="s">
        <v>322</v>
      </c>
      <c r="X13" s="14"/>
      <c r="Z13"/>
      <c r="AA13"/>
      <c r="AB13"/>
      <c r="AC13"/>
      <c r="AD13"/>
      <c r="AE13" s="176"/>
      <c r="AF13" s="9"/>
      <c r="AG13" s="228"/>
    </row>
    <row r="14" spans="1:33" ht="15" customHeight="1" x14ac:dyDescent="0.3">
      <c r="A14" s="142" t="s">
        <v>591</v>
      </c>
      <c r="B14" s="222" t="s">
        <v>40</v>
      </c>
      <c r="C14" s="223">
        <f t="shared" si="0"/>
        <v>0</v>
      </c>
      <c r="D14" s="224" t="s">
        <v>54</v>
      </c>
      <c r="E14" s="224">
        <f>IFERROR(HLOOKUP($O$8,$N$8:$Q$13,MATCH($B14,$N$8:$N$13,0),FALSE)+X16+VOL," ")</f>
        <v>-6</v>
      </c>
      <c r="G14" s="202"/>
      <c r="H14" s="203"/>
      <c r="I14" s="204"/>
      <c r="J14" s="204"/>
      <c r="K14" s="209"/>
      <c r="L14" s="208">
        <v>5</v>
      </c>
      <c r="S14" s="129"/>
      <c r="W14" s="143" t="s">
        <v>591</v>
      </c>
      <c r="X14" s="14"/>
      <c r="Z14"/>
      <c r="AA14"/>
      <c r="AB14"/>
      <c r="AC14"/>
      <c r="AD14"/>
      <c r="AE14" s="176"/>
      <c r="AF14" s="9"/>
      <c r="AG14" s="128"/>
    </row>
    <row r="15" spans="1:33" ht="15" customHeight="1" x14ac:dyDescent="0.3">
      <c r="A15" s="142" t="s">
        <v>590</v>
      </c>
      <c r="B15" s="222" t="s">
        <v>40</v>
      </c>
      <c r="C15" s="223">
        <f t="shared" si="0"/>
        <v>0</v>
      </c>
      <c r="D15" s="224" t="s">
        <v>49</v>
      </c>
      <c r="E15" s="224">
        <f>IFERROR(HLOOKUP($O$8,$N$8:$Q$13,MATCH($B15,$N$8:$N$13,0),FALSE)+X17+INT," ")</f>
        <v>-6</v>
      </c>
      <c r="G15" s="205"/>
      <c r="H15" s="199"/>
      <c r="I15" s="200"/>
      <c r="J15" s="200"/>
      <c r="K15" s="201"/>
      <c r="L15" s="208">
        <v>5</v>
      </c>
      <c r="P15" t="s">
        <v>310</v>
      </c>
      <c r="Q15" t="s">
        <v>311</v>
      </c>
      <c r="T15" s="175" t="s">
        <v>357</v>
      </c>
      <c r="U15" s="13"/>
      <c r="V15" s="13"/>
      <c r="W15" s="143" t="s">
        <v>590</v>
      </c>
      <c r="X15" s="14"/>
      <c r="Z15"/>
      <c r="AA15"/>
      <c r="AB15"/>
      <c r="AC15"/>
      <c r="AD15"/>
      <c r="AE15" s="176"/>
      <c r="AF15" s="9"/>
      <c r="AG15" s="128"/>
    </row>
    <row r="16" spans="1:33" ht="15" customHeight="1" x14ac:dyDescent="0.3">
      <c r="A16" s="142" t="s">
        <v>636</v>
      </c>
      <c r="B16" s="222" t="s">
        <v>40</v>
      </c>
      <c r="C16" s="223">
        <f t="shared" si="0"/>
        <v>0</v>
      </c>
      <c r="D16" s="224" t="s">
        <v>56</v>
      </c>
      <c r="E16" s="224">
        <f>IFERROR(HLOOKUP($O$8,$N$8:$Q$13,MATCH($B16,$N$8:$N$13,0),FALSE)+X18+ZRČ," ")</f>
        <v>-6</v>
      </c>
      <c r="G16" s="202"/>
      <c r="H16" s="203"/>
      <c r="I16" s="204"/>
      <c r="J16" s="204"/>
      <c r="K16" s="209"/>
      <c r="L16" s="208">
        <v>6</v>
      </c>
      <c r="P16" s="28"/>
      <c r="Q16" s="28">
        <v>0</v>
      </c>
      <c r="T16" s="92" t="s">
        <v>299</v>
      </c>
      <c r="U16" s="92" t="s">
        <v>299</v>
      </c>
      <c r="W16" s="143" t="s">
        <v>636</v>
      </c>
      <c r="X16" s="14"/>
      <c r="Z16"/>
      <c r="AA16"/>
      <c r="AB16"/>
      <c r="AC16"/>
      <c r="AD16"/>
      <c r="AE16" s="176"/>
      <c r="AF16" s="9"/>
      <c r="AG16" s="131"/>
    </row>
    <row r="17" spans="1:33" ht="15" customHeight="1" x14ac:dyDescent="0.3">
      <c r="A17" s="142" t="s">
        <v>303</v>
      </c>
      <c r="B17" s="222" t="s">
        <v>40</v>
      </c>
      <c r="C17" s="223">
        <f t="shared" si="0"/>
        <v>0</v>
      </c>
      <c r="D17" s="224" t="s">
        <v>49</v>
      </c>
      <c r="E17" s="224">
        <f>IFERROR(HLOOKUP($O$8,$N$8:$Q$13,MATCH($B17,$N$8:$N$13,0),FALSE)+X19+INT," ")</f>
        <v>-6</v>
      </c>
      <c r="G17" s="205"/>
      <c r="H17" s="199"/>
      <c r="I17" s="200"/>
      <c r="J17" s="200"/>
      <c r="K17" s="201"/>
      <c r="L17" s="208">
        <v>6</v>
      </c>
      <c r="P17" s="28">
        <v>0</v>
      </c>
      <c r="Q17" s="28">
        <v>0</v>
      </c>
      <c r="T17" s="92" t="s">
        <v>296</v>
      </c>
      <c r="U17" s="92" t="s">
        <v>299</v>
      </c>
      <c r="W17" s="143" t="s">
        <v>303</v>
      </c>
      <c r="X17" s="14"/>
      <c r="Z17"/>
      <c r="AA17"/>
      <c r="AB17"/>
      <c r="AC17"/>
      <c r="AD17"/>
      <c r="AE17" s="176"/>
      <c r="AF17" s="9"/>
      <c r="AG17" s="128"/>
    </row>
    <row r="18" spans="1:33" ht="15" customHeight="1" x14ac:dyDescent="0.3">
      <c r="A18" s="142" t="s">
        <v>560</v>
      </c>
      <c r="B18" s="222" t="s">
        <v>40</v>
      </c>
      <c r="C18" s="223">
        <f t="shared" si="0"/>
        <v>0</v>
      </c>
      <c r="D18" s="224" t="s">
        <v>922</v>
      </c>
      <c r="E18" s="224">
        <f>IFERROR(HLOOKUP($O$8,$N$8:$Q$13,MATCH($B18,$N$8:$N$13,0),FALSE)+X20+CHAR," ")</f>
        <v>-6</v>
      </c>
      <c r="G18" s="202"/>
      <c r="H18" s="203"/>
      <c r="I18" s="204"/>
      <c r="J18" s="204"/>
      <c r="K18" s="209"/>
      <c r="L18" s="208">
        <v>7</v>
      </c>
      <c r="P18" s="28" t="s">
        <v>158</v>
      </c>
      <c r="Q18" s="28">
        <v>1</v>
      </c>
      <c r="T18" s="92" t="s">
        <v>418</v>
      </c>
      <c r="U18" s="92" t="s">
        <v>418</v>
      </c>
      <c r="W18" s="143" t="s">
        <v>560</v>
      </c>
      <c r="X18" s="14"/>
      <c r="Z18"/>
      <c r="AA18"/>
      <c r="AB18"/>
      <c r="AC18"/>
      <c r="AD18"/>
      <c r="AE18" s="176"/>
      <c r="AF18" s="9"/>
      <c r="AG18" s="131"/>
    </row>
    <row r="19" spans="1:33" ht="15" customHeight="1" x14ac:dyDescent="0.3">
      <c r="A19" s="142" t="s">
        <v>592</v>
      </c>
      <c r="B19" s="222" t="s">
        <v>40</v>
      </c>
      <c r="C19" s="223">
        <f t="shared" si="0"/>
        <v>0</v>
      </c>
      <c r="D19" s="224" t="s">
        <v>54</v>
      </c>
      <c r="E19" s="224">
        <f>IFERROR(HLOOKUP($O$8,$N$8:$Q$13,MATCH($B19,$N$8:$N$13,0),FALSE)+X21+VOL," ")</f>
        <v>-6</v>
      </c>
      <c r="G19" s="205"/>
      <c r="H19" s="199"/>
      <c r="I19" s="200"/>
      <c r="J19" s="200"/>
      <c r="K19" s="201"/>
      <c r="L19" s="208">
        <v>7</v>
      </c>
      <c r="P19" s="28" t="s">
        <v>159</v>
      </c>
      <c r="Q19" s="28">
        <v>2</v>
      </c>
      <c r="T19" s="92" t="s">
        <v>419</v>
      </c>
      <c r="U19" s="92" t="s">
        <v>418</v>
      </c>
      <c r="W19" s="143" t="s">
        <v>592</v>
      </c>
      <c r="X19" s="14"/>
      <c r="Z19"/>
      <c r="AA19"/>
      <c r="AB19"/>
      <c r="AC19"/>
      <c r="AD19"/>
      <c r="AE19" s="176"/>
      <c r="AF19" s="9"/>
      <c r="AG19" s="131"/>
    </row>
    <row r="20" spans="1:33" ht="15" customHeight="1" x14ac:dyDescent="0.3">
      <c r="A20" s="142" t="s">
        <v>409</v>
      </c>
      <c r="B20" s="222" t="s">
        <v>40</v>
      </c>
      <c r="C20" s="223">
        <f t="shared" si="0"/>
        <v>0</v>
      </c>
      <c r="D20" s="224" t="s">
        <v>56</v>
      </c>
      <c r="E20" s="224">
        <f>IFERROR(HLOOKUP($O$8,$N$8:$Q$13,MATCH($B20,$N$8:$N$13,0),FALSE)+X22+ZRČ," ")</f>
        <v>-6</v>
      </c>
      <c r="G20" s="202"/>
      <c r="H20" s="203"/>
      <c r="I20" s="204"/>
      <c r="J20" s="204"/>
      <c r="K20" s="209"/>
      <c r="L20" s="208">
        <v>8</v>
      </c>
      <c r="P20" s="28" t="s">
        <v>160</v>
      </c>
      <c r="Q20" s="28">
        <v>3</v>
      </c>
      <c r="T20" s="92" t="s">
        <v>51</v>
      </c>
      <c r="U20" s="92" t="s">
        <v>51</v>
      </c>
      <c r="W20" s="143" t="s">
        <v>409</v>
      </c>
      <c r="X20" s="14"/>
      <c r="Z20"/>
      <c r="AA20"/>
      <c r="AB20"/>
      <c r="AC20"/>
      <c r="AD20"/>
      <c r="AE20" s="176"/>
      <c r="AF20" s="9"/>
      <c r="AG20" s="131"/>
    </row>
    <row r="21" spans="1:33" ht="15" customHeight="1" x14ac:dyDescent="0.3">
      <c r="A21" s="142" t="s">
        <v>63</v>
      </c>
      <c r="B21" s="222" t="s">
        <v>40</v>
      </c>
      <c r="C21" s="223">
        <f t="shared" si="0"/>
        <v>0</v>
      </c>
      <c r="D21" s="224" t="s">
        <v>922</v>
      </c>
      <c r="E21" s="224">
        <f>IFERROR(HLOOKUP($O$8,$N$8:$Q$13,MATCH($B21,$N$8:$N$13,0),FALSE)+X23+CHAR," ")</f>
        <v>-6</v>
      </c>
      <c r="G21" s="205"/>
      <c r="H21" s="199"/>
      <c r="I21" s="200"/>
      <c r="J21" s="200"/>
      <c r="K21" s="201"/>
      <c r="L21" s="208">
        <v>8</v>
      </c>
      <c r="P21" s="28" t="s">
        <v>161</v>
      </c>
      <c r="Q21" s="28">
        <v>4</v>
      </c>
      <c r="T21" s="92" t="s">
        <v>280</v>
      </c>
      <c r="U21" s="92" t="s">
        <v>75</v>
      </c>
      <c r="W21" s="143" t="s">
        <v>63</v>
      </c>
      <c r="X21" s="14"/>
      <c r="Z21"/>
      <c r="AA21"/>
      <c r="AB21"/>
      <c r="AC21"/>
      <c r="AD21"/>
      <c r="AE21" s="176"/>
      <c r="AF21" s="9"/>
      <c r="AG21" s="128"/>
    </row>
    <row r="22" spans="1:33" ht="15" customHeight="1" x14ac:dyDescent="0.3">
      <c r="A22" s="142" t="s">
        <v>385</v>
      </c>
      <c r="B22" s="222" t="s">
        <v>40</v>
      </c>
      <c r="C22" s="223">
        <f t="shared" si="0"/>
        <v>0</v>
      </c>
      <c r="D22" s="224" t="s">
        <v>50</v>
      </c>
      <c r="E22" s="224">
        <f>IFERROR(HLOOKUP($O$8,$N$8:$Q$13,MATCH($B22,$N$8:$N$13,0),FALSE)+X24+OBR," ")</f>
        <v>-6</v>
      </c>
      <c r="G22" s="202"/>
      <c r="H22" s="203"/>
      <c r="I22" s="204"/>
      <c r="J22" s="204"/>
      <c r="K22" s="209"/>
      <c r="L22" s="208">
        <v>9</v>
      </c>
      <c r="P22" s="28" t="s">
        <v>93</v>
      </c>
      <c r="Q22" s="28">
        <v>5</v>
      </c>
      <c r="T22" s="92" t="s">
        <v>75</v>
      </c>
      <c r="U22" s="92" t="s">
        <v>75</v>
      </c>
      <c r="W22" s="143" t="s">
        <v>385</v>
      </c>
      <c r="X22" s="14"/>
      <c r="Z22"/>
      <c r="AA22"/>
      <c r="AB22"/>
      <c r="AC22"/>
      <c r="AD22"/>
      <c r="AE22" s="176"/>
      <c r="AF22" s="9"/>
      <c r="AG22" s="131"/>
    </row>
    <row r="23" spans="1:33" ht="15" customHeight="1" x14ac:dyDescent="0.3">
      <c r="A23" s="142" t="s">
        <v>637</v>
      </c>
      <c r="B23" s="222" t="s">
        <v>40</v>
      </c>
      <c r="C23" s="223">
        <f t="shared" si="0"/>
        <v>0</v>
      </c>
      <c r="D23" s="224" t="s">
        <v>922</v>
      </c>
      <c r="E23" s="224">
        <f>IFERROR(HLOOKUP($O$8,$N$8:$Q$13,MATCH($B23,$N$8:$N$13,0),FALSE)+X25+CHAR," ")</f>
        <v>-6</v>
      </c>
      <c r="G23" s="205"/>
      <c r="H23" s="199"/>
      <c r="I23" s="200"/>
      <c r="J23" s="200"/>
      <c r="K23" s="201"/>
      <c r="L23" s="208">
        <v>9</v>
      </c>
      <c r="P23" s="28" t="s">
        <v>162</v>
      </c>
      <c r="Q23" s="28">
        <v>6</v>
      </c>
      <c r="T23" s="92" t="s">
        <v>79</v>
      </c>
      <c r="U23" s="92" t="s">
        <v>79</v>
      </c>
      <c r="W23" s="143" t="s">
        <v>637</v>
      </c>
      <c r="X23" s="14"/>
      <c r="Z23"/>
      <c r="AA23"/>
      <c r="AB23"/>
      <c r="AC23"/>
      <c r="AD23"/>
      <c r="AE23" s="176"/>
      <c r="AF23" s="9"/>
      <c r="AG23" s="131"/>
    </row>
    <row r="24" spans="1:33" ht="15" customHeight="1" x14ac:dyDescent="0.3">
      <c r="A24" s="142" t="s">
        <v>410</v>
      </c>
      <c r="B24" s="222" t="s">
        <v>40</v>
      </c>
      <c r="C24" s="223">
        <f t="shared" si="0"/>
        <v>0</v>
      </c>
      <c r="D24" s="224" t="s">
        <v>56</v>
      </c>
      <c r="E24" s="224">
        <f>IFERROR(HLOOKUP($O$8,$N$8:$Q$13,MATCH($B24,$N$8:$N$13,0),FALSE)+X26+ZRČ," ")</f>
        <v>-6</v>
      </c>
      <c r="G24" s="202"/>
      <c r="H24" s="203"/>
      <c r="I24" s="204"/>
      <c r="J24" s="204"/>
      <c r="K24" s="209"/>
      <c r="L24" s="208">
        <v>10</v>
      </c>
      <c r="P24" s="28" t="s">
        <v>163</v>
      </c>
      <c r="Q24" s="28">
        <v>7</v>
      </c>
      <c r="T24" s="92" t="s">
        <v>281</v>
      </c>
      <c r="U24" s="92" t="s">
        <v>79</v>
      </c>
      <c r="W24" s="143" t="s">
        <v>410</v>
      </c>
      <c r="X24" s="14"/>
      <c r="Z24"/>
      <c r="AA24"/>
      <c r="AB24"/>
      <c r="AC24"/>
      <c r="AD24"/>
      <c r="AE24" s="176"/>
      <c r="AF24" s="9"/>
      <c r="AG24" s="131"/>
    </row>
    <row r="25" spans="1:33" ht="15" customHeight="1" x14ac:dyDescent="0.3">
      <c r="A25" s="142" t="s">
        <v>261</v>
      </c>
      <c r="B25" s="222" t="s">
        <v>40</v>
      </c>
      <c r="C25" s="223">
        <f t="shared" si="0"/>
        <v>0</v>
      </c>
      <c r="D25" s="224" t="s">
        <v>47</v>
      </c>
      <c r="E25" s="224">
        <f>IFERROR(HLOOKUP($O$8,$N$8:$Q$13,MATCH($B25,$N$8:$N$13,0),FALSE)+X27+SIL," ")</f>
        <v>-6</v>
      </c>
      <c r="G25" s="205"/>
      <c r="H25" s="199"/>
      <c r="I25" s="200"/>
      <c r="J25" s="200"/>
      <c r="K25" s="201"/>
      <c r="L25" s="208">
        <v>10</v>
      </c>
      <c r="P25" s="28" t="s">
        <v>164</v>
      </c>
      <c r="Q25" s="28">
        <v>8</v>
      </c>
      <c r="T25" s="92" t="s">
        <v>90</v>
      </c>
      <c r="U25" s="92" t="s">
        <v>90</v>
      </c>
      <c r="W25" s="143" t="s">
        <v>261</v>
      </c>
      <c r="X25" s="14"/>
      <c r="Z25"/>
      <c r="AA25"/>
      <c r="AB25"/>
      <c r="AC25"/>
      <c r="AD25"/>
      <c r="AE25" s="176"/>
      <c r="AF25" s="9"/>
      <c r="AG25" s="131"/>
    </row>
    <row r="26" spans="1:33" ht="15" customHeight="1" x14ac:dyDescent="0.3">
      <c r="A26" s="142" t="s">
        <v>520</v>
      </c>
      <c r="B26" s="222" t="s">
        <v>40</v>
      </c>
      <c r="C26" s="223">
        <f t="shared" si="0"/>
        <v>0</v>
      </c>
      <c r="D26" s="224" t="s">
        <v>56</v>
      </c>
      <c r="E26" s="224">
        <f>IFERROR(HLOOKUP($O$8,$N$8:$Q$13,MATCH($B26,$N$8:$N$13,0),FALSE)+X28+ZRČ," ")</f>
        <v>-6</v>
      </c>
      <c r="G26" s="202"/>
      <c r="H26" s="203"/>
      <c r="I26" s="204"/>
      <c r="J26" s="204"/>
      <c r="K26" s="209"/>
      <c r="L26" s="115">
        <v>11</v>
      </c>
      <c r="P26" s="28" t="s">
        <v>165</v>
      </c>
      <c r="Q26" s="28">
        <v>9</v>
      </c>
      <c r="T26" s="92" t="s">
        <v>282</v>
      </c>
      <c r="U26" s="92" t="s">
        <v>90</v>
      </c>
      <c r="W26" s="143" t="s">
        <v>520</v>
      </c>
      <c r="X26" s="14"/>
      <c r="Z26"/>
      <c r="AA26"/>
      <c r="AB26"/>
      <c r="AC26"/>
      <c r="AD26"/>
      <c r="AE26" s="176"/>
      <c r="AF26" s="9"/>
      <c r="AG26" s="93"/>
    </row>
    <row r="27" spans="1:33" ht="15" customHeight="1" x14ac:dyDescent="0.3">
      <c r="A27" s="142" t="s">
        <v>589</v>
      </c>
      <c r="B27" s="222" t="s">
        <v>40</v>
      </c>
      <c r="C27" s="223">
        <f t="shared" si="0"/>
        <v>0</v>
      </c>
      <c r="D27" s="224" t="s">
        <v>47</v>
      </c>
      <c r="E27" s="224">
        <f>IFERROR(HLOOKUP($O$8,$N$8:$Q$13,MATCH($B27,$N$8:$N$13,0),FALSE)+X29+SIL," ")</f>
        <v>-6</v>
      </c>
      <c r="G27" s="205"/>
      <c r="H27" s="199"/>
      <c r="I27" s="200"/>
      <c r="J27" s="200"/>
      <c r="K27" s="201"/>
      <c r="L27" s="208">
        <v>11</v>
      </c>
      <c r="P27" s="28" t="s">
        <v>166</v>
      </c>
      <c r="Q27" s="28">
        <v>10</v>
      </c>
      <c r="T27" s="92" t="s">
        <v>87</v>
      </c>
      <c r="U27" s="92" t="s">
        <v>87</v>
      </c>
      <c r="W27" s="143" t="s">
        <v>589</v>
      </c>
      <c r="X27" s="14"/>
      <c r="AA27"/>
      <c r="AB27"/>
      <c r="AE27"/>
      <c r="AG27" s="10"/>
    </row>
    <row r="28" spans="1:33" ht="15" customHeight="1" x14ac:dyDescent="0.3">
      <c r="A28" s="1" t="s">
        <v>312</v>
      </c>
      <c r="B28" s="226" t="s">
        <v>640</v>
      </c>
      <c r="C28" s="225">
        <f>SUM(C3:C27)</f>
        <v>0</v>
      </c>
      <c r="D28" s="13" t="s">
        <v>948</v>
      </c>
      <c r="E28" s="378">
        <f>'1-Postava'!K4*6</f>
        <v>0</v>
      </c>
      <c r="G28" s="202"/>
      <c r="H28" s="203"/>
      <c r="I28" s="204"/>
      <c r="J28" s="204"/>
      <c r="K28" s="209"/>
      <c r="L28" s="208">
        <v>12</v>
      </c>
      <c r="T28" s="92" t="s">
        <v>283</v>
      </c>
      <c r="U28" s="92" t="s">
        <v>87</v>
      </c>
      <c r="W28" s="23"/>
      <c r="X28" s="14"/>
      <c r="AA28"/>
      <c r="AB28"/>
      <c r="AE28"/>
      <c r="AG28" s="10"/>
    </row>
    <row r="29" spans="1:33" ht="15" customHeight="1" x14ac:dyDescent="0.3">
      <c r="A29" s="112" t="s">
        <v>639</v>
      </c>
      <c r="B29" s="90" t="str">
        <f>IF('1-Postava'!E10&lt;=6,"Průměrně",IF('1-Postava'!E10&lt;=12,"Dobře","Velmi dobře"))</f>
        <v>Průměrně</v>
      </c>
      <c r="C29" s="89">
        <v>0</v>
      </c>
      <c r="D29" s="223" t="s">
        <v>54</v>
      </c>
      <c r="E29" s="191">
        <f>IFERROR(HLOOKUP($O$8,$N$8:$Q$14,MATCH($B29,$N$8:$N$14,0),FALSE)+VOL," ")</f>
        <v>-4</v>
      </c>
      <c r="G29" s="205"/>
      <c r="H29" s="199"/>
      <c r="I29" s="200"/>
      <c r="J29" s="200"/>
      <c r="K29" s="201"/>
      <c r="L29" s="208">
        <v>12</v>
      </c>
      <c r="T29" s="92" t="s">
        <v>235</v>
      </c>
      <c r="U29" s="92" t="s">
        <v>86</v>
      </c>
      <c r="AA29"/>
      <c r="AB29"/>
      <c r="AE29"/>
      <c r="AG29" s="10"/>
    </row>
    <row r="30" spans="1:33" ht="15" customHeight="1" x14ac:dyDescent="0.3">
      <c r="B30" s="253" t="s">
        <v>936</v>
      </c>
      <c r="G30" s="202"/>
      <c r="H30" s="203"/>
      <c r="I30" s="204"/>
      <c r="J30" s="204"/>
      <c r="K30" s="209"/>
      <c r="L30" s="208">
        <v>13</v>
      </c>
      <c r="N30" s="206" t="s">
        <v>565</v>
      </c>
      <c r="O30" s="206" t="s">
        <v>568</v>
      </c>
      <c r="P30" s="206"/>
      <c r="T30" s="92" t="s">
        <v>82</v>
      </c>
      <c r="U30" s="92" t="s">
        <v>82</v>
      </c>
      <c r="AA30"/>
      <c r="AB30"/>
      <c r="AE30"/>
      <c r="AG30" s="10"/>
    </row>
    <row r="31" spans="1:33" ht="15" customHeight="1" x14ac:dyDescent="0.3">
      <c r="A31" s="182" t="s">
        <v>459</v>
      </c>
      <c r="B31" s="180" t="s">
        <v>232</v>
      </c>
      <c r="C31" s="125">
        <f>IF(A31="Hudba",E23,IF(A31="Alchymie",ZRČ,E15+LOOKUP(COPY_RASA,Rasy!$B$4:$B$20,Rasy!$K$4:$K$20)))</f>
        <v>-6</v>
      </c>
      <c r="D31" s="138" t="s">
        <v>22</v>
      </c>
      <c r="E31" s="181"/>
      <c r="G31" s="205"/>
      <c r="H31" s="199"/>
      <c r="I31" s="200"/>
      <c r="J31" s="200"/>
      <c r="K31" s="201"/>
      <c r="L31" s="208">
        <v>13</v>
      </c>
      <c r="N31" s="207" t="s">
        <v>572</v>
      </c>
      <c r="O31" s="206">
        <v>8</v>
      </c>
      <c r="P31" s="206" t="s">
        <v>566</v>
      </c>
      <c r="T31" s="92" t="s">
        <v>284</v>
      </c>
      <c r="U31" s="92" t="s">
        <v>82</v>
      </c>
      <c r="AA31"/>
      <c r="AB31"/>
      <c r="AE31"/>
      <c r="AG31" s="10"/>
    </row>
    <row r="32" spans="1:33" ht="15" customHeight="1" x14ac:dyDescent="0.3">
      <c r="G32" s="202"/>
      <c r="H32" s="203"/>
      <c r="I32" s="204"/>
      <c r="J32" s="204"/>
      <c r="K32" s="209"/>
      <c r="L32" s="208">
        <v>14</v>
      </c>
      <c r="N32" s="207" t="s">
        <v>571</v>
      </c>
      <c r="O32" s="206">
        <v>6</v>
      </c>
      <c r="P32" s="206" t="s">
        <v>566</v>
      </c>
      <c r="T32" s="92" t="s">
        <v>420</v>
      </c>
      <c r="U32" s="92" t="s">
        <v>420</v>
      </c>
      <c r="AA32"/>
      <c r="AB32"/>
      <c r="AE32"/>
      <c r="AG32" s="93"/>
    </row>
    <row r="33" spans="1:33" ht="15" customHeight="1" x14ac:dyDescent="0.3">
      <c r="A33" s="251" t="s">
        <v>314</v>
      </c>
      <c r="B33" s="335" t="s">
        <v>42</v>
      </c>
      <c r="C33" s="335"/>
      <c r="D33" s="335"/>
      <c r="E33" s="335"/>
      <c r="G33" s="205"/>
      <c r="H33" s="199"/>
      <c r="I33" s="200"/>
      <c r="J33" s="200"/>
      <c r="K33" s="201"/>
      <c r="L33" s="208">
        <v>14</v>
      </c>
      <c r="N33" s="207" t="s">
        <v>569</v>
      </c>
      <c r="O33" s="206">
        <v>24</v>
      </c>
      <c r="P33" s="206" t="s">
        <v>566</v>
      </c>
      <c r="T33" s="92" t="s">
        <v>421</v>
      </c>
      <c r="U33" s="92" t="s">
        <v>420</v>
      </c>
      <c r="AA33"/>
      <c r="AB33"/>
      <c r="AE33"/>
      <c r="AG33" s="93"/>
    </row>
    <row r="34" spans="1:33" ht="15" customHeight="1" x14ac:dyDescent="0.3">
      <c r="A34" s="141" t="str">
        <f t="shared" ref="A34:A53" si="1">AE6</f>
        <v>BEZ SCHOPNOSTÍ</v>
      </c>
      <c r="B34" s="332" t="str">
        <f t="shared" ref="B34:B53" si="2">IFERROR(HLOOKUP($AG$5,$AE$5:$AG$77,MATCH(A34,$AE$5:$AE$77,0),FALSE)," ")</f>
        <v xml:space="preserve"> -</v>
      </c>
      <c r="C34" s="333"/>
      <c r="D34" s="333"/>
      <c r="E34" s="334"/>
      <c r="G34" s="202"/>
      <c r="H34" s="203"/>
      <c r="I34" s="204"/>
      <c r="J34" s="204"/>
      <c r="K34" s="209"/>
      <c r="L34" s="208">
        <v>15</v>
      </c>
      <c r="N34" s="207" t="s">
        <v>570</v>
      </c>
      <c r="O34" s="206">
        <v>16</v>
      </c>
      <c r="P34" s="206" t="s">
        <v>566</v>
      </c>
      <c r="T34" s="92" t="s">
        <v>80</v>
      </c>
      <c r="U34" s="92" t="s">
        <v>80</v>
      </c>
      <c r="AA34"/>
      <c r="AB34"/>
      <c r="AE34"/>
      <c r="AG34" s="93"/>
    </row>
    <row r="35" spans="1:33" ht="15" customHeight="1" x14ac:dyDescent="0.3">
      <c r="A35" s="141">
        <f t="shared" si="1"/>
        <v>0</v>
      </c>
      <c r="B35" s="332" t="str">
        <f t="shared" si="2"/>
        <v xml:space="preserve"> </v>
      </c>
      <c r="C35" s="333"/>
      <c r="D35" s="333"/>
      <c r="E35" s="334"/>
      <c r="G35" s="205"/>
      <c r="H35" s="199"/>
      <c r="I35" s="200"/>
      <c r="J35" s="200"/>
      <c r="K35" s="201"/>
      <c r="L35" s="208">
        <v>15</v>
      </c>
      <c r="T35" s="92" t="s">
        <v>285</v>
      </c>
      <c r="U35" s="92" t="s">
        <v>80</v>
      </c>
      <c r="AA35"/>
      <c r="AB35"/>
      <c r="AE35"/>
      <c r="AG35" s="93"/>
    </row>
    <row r="36" spans="1:33" ht="15" customHeight="1" x14ac:dyDescent="0.3">
      <c r="A36" s="141">
        <f t="shared" si="1"/>
        <v>0</v>
      </c>
      <c r="B36" s="332" t="str">
        <f t="shared" si="2"/>
        <v xml:space="preserve"> </v>
      </c>
      <c r="C36" s="333"/>
      <c r="D36" s="333"/>
      <c r="E36" s="334"/>
      <c r="G36" s="202"/>
      <c r="H36" s="203"/>
      <c r="I36" s="204"/>
      <c r="J36" s="204"/>
      <c r="K36" s="209"/>
      <c r="L36" s="208">
        <v>16</v>
      </c>
      <c r="T36" s="92" t="s">
        <v>89</v>
      </c>
      <c r="U36" s="92" t="s">
        <v>89</v>
      </c>
      <c r="AA36"/>
      <c r="AB36"/>
      <c r="AE36"/>
      <c r="AG36" s="93"/>
    </row>
    <row r="37" spans="1:33" ht="15" customHeight="1" x14ac:dyDescent="0.3">
      <c r="A37" s="141">
        <f t="shared" si="1"/>
        <v>0</v>
      </c>
      <c r="B37" s="332" t="str">
        <f t="shared" si="2"/>
        <v xml:space="preserve"> </v>
      </c>
      <c r="C37" s="333"/>
      <c r="D37" s="333"/>
      <c r="E37" s="334"/>
      <c r="G37" s="205"/>
      <c r="H37" s="199"/>
      <c r="I37" s="200"/>
      <c r="J37" s="200"/>
      <c r="K37" s="201"/>
      <c r="L37" s="208">
        <v>16</v>
      </c>
      <c r="T37" s="92" t="s">
        <v>286</v>
      </c>
      <c r="U37" s="92" t="s">
        <v>89</v>
      </c>
      <c r="AA37"/>
      <c r="AB37"/>
      <c r="AE37"/>
      <c r="AG37" s="93"/>
    </row>
    <row r="38" spans="1:33" ht="15" customHeight="1" x14ac:dyDescent="0.3">
      <c r="A38" s="141">
        <f t="shared" si="1"/>
        <v>0</v>
      </c>
      <c r="B38" s="332" t="str">
        <f t="shared" si="2"/>
        <v xml:space="preserve"> </v>
      </c>
      <c r="C38" s="333"/>
      <c r="D38" s="333"/>
      <c r="E38" s="334"/>
      <c r="G38" s="202"/>
      <c r="H38" s="203"/>
      <c r="I38" s="204"/>
      <c r="J38" s="204"/>
      <c r="K38" s="209"/>
      <c r="L38" s="208">
        <v>17</v>
      </c>
      <c r="T38" s="92" t="s">
        <v>84</v>
      </c>
      <c r="U38" s="92" t="s">
        <v>84</v>
      </c>
      <c r="AA38"/>
      <c r="AB38"/>
      <c r="AE38"/>
      <c r="AG38" s="93"/>
    </row>
    <row r="39" spans="1:33" ht="15" customHeight="1" x14ac:dyDescent="0.3">
      <c r="A39" s="141">
        <f t="shared" si="1"/>
        <v>0</v>
      </c>
      <c r="B39" s="332" t="str">
        <f t="shared" si="2"/>
        <v xml:space="preserve"> </v>
      </c>
      <c r="C39" s="333"/>
      <c r="D39" s="333"/>
      <c r="E39" s="334"/>
      <c r="G39" s="205"/>
      <c r="H39" s="199"/>
      <c r="I39" s="200"/>
      <c r="J39" s="200"/>
      <c r="K39" s="201"/>
      <c r="L39" s="208">
        <v>17</v>
      </c>
      <c r="T39" s="92" t="s">
        <v>287</v>
      </c>
      <c r="U39" s="92" t="s">
        <v>84</v>
      </c>
      <c r="AA39"/>
      <c r="AB39"/>
    </row>
    <row r="40" spans="1:33" ht="15" customHeight="1" x14ac:dyDescent="0.3">
      <c r="A40" s="141">
        <f t="shared" si="1"/>
        <v>0</v>
      </c>
      <c r="B40" s="332" t="str">
        <f t="shared" si="2"/>
        <v xml:space="preserve"> </v>
      </c>
      <c r="C40" s="333"/>
      <c r="D40" s="333"/>
      <c r="E40" s="334"/>
      <c r="G40" s="202"/>
      <c r="H40" s="203"/>
      <c r="I40" s="204"/>
      <c r="J40" s="204"/>
      <c r="K40" s="209"/>
      <c r="L40" s="208">
        <v>18</v>
      </c>
      <c r="T40" s="92" t="s">
        <v>83</v>
      </c>
      <c r="U40" s="92" t="s">
        <v>83</v>
      </c>
      <c r="AA40"/>
      <c r="AB40"/>
    </row>
    <row r="41" spans="1:33" ht="15" customHeight="1" x14ac:dyDescent="0.3">
      <c r="A41" s="141">
        <f t="shared" si="1"/>
        <v>0</v>
      </c>
      <c r="B41" s="332" t="str">
        <f t="shared" si="2"/>
        <v xml:space="preserve"> </v>
      </c>
      <c r="C41" s="333"/>
      <c r="D41" s="333"/>
      <c r="E41" s="334"/>
      <c r="G41" s="205"/>
      <c r="H41" s="199"/>
      <c r="I41" s="200"/>
      <c r="J41" s="200"/>
      <c r="K41" s="201"/>
      <c r="L41" s="208">
        <v>18</v>
      </c>
      <c r="T41" s="92" t="s">
        <v>288</v>
      </c>
      <c r="U41" s="92" t="s">
        <v>83</v>
      </c>
      <c r="AA41"/>
      <c r="AB41"/>
    </row>
    <row r="42" spans="1:33" ht="15" customHeight="1" x14ac:dyDescent="0.3">
      <c r="A42" s="141">
        <f t="shared" si="1"/>
        <v>0</v>
      </c>
      <c r="B42" s="332" t="str">
        <f t="shared" si="2"/>
        <v xml:space="preserve"> </v>
      </c>
      <c r="C42" s="333"/>
      <c r="D42" s="333"/>
      <c r="E42" s="334"/>
      <c r="G42" s="202"/>
      <c r="H42" s="203"/>
      <c r="I42" s="204"/>
      <c r="J42" s="204"/>
      <c r="K42" s="209"/>
      <c r="L42" s="208">
        <v>19</v>
      </c>
      <c r="T42" s="92" t="s">
        <v>76</v>
      </c>
      <c r="U42" s="92" t="s">
        <v>76</v>
      </c>
      <c r="AA42"/>
      <c r="AB42"/>
    </row>
    <row r="43" spans="1:33" ht="15" customHeight="1" x14ac:dyDescent="0.3">
      <c r="A43" s="141">
        <f t="shared" si="1"/>
        <v>0</v>
      </c>
      <c r="B43" s="332" t="str">
        <f t="shared" si="2"/>
        <v xml:space="preserve"> </v>
      </c>
      <c r="C43" s="333"/>
      <c r="D43" s="333"/>
      <c r="E43" s="334"/>
      <c r="G43" s="205"/>
      <c r="H43" s="199"/>
      <c r="I43" s="200"/>
      <c r="J43" s="200"/>
      <c r="K43" s="201"/>
      <c r="L43" s="208">
        <v>19</v>
      </c>
      <c r="T43" s="92" t="s">
        <v>289</v>
      </c>
      <c r="U43" s="92" t="s">
        <v>76</v>
      </c>
      <c r="AA43"/>
      <c r="AB43"/>
    </row>
    <row r="44" spans="1:33" ht="15" customHeight="1" x14ac:dyDescent="0.3">
      <c r="A44" s="141">
        <f t="shared" si="1"/>
        <v>0</v>
      </c>
      <c r="B44" s="332" t="str">
        <f t="shared" si="2"/>
        <v xml:space="preserve"> </v>
      </c>
      <c r="C44" s="333"/>
      <c r="D44" s="333"/>
      <c r="E44" s="334"/>
      <c r="G44" s="202"/>
      <c r="H44" s="203"/>
      <c r="I44" s="204"/>
      <c r="J44" s="204"/>
      <c r="K44" s="209"/>
      <c r="L44" s="208">
        <v>20</v>
      </c>
      <c r="T44" s="92" t="s">
        <v>62</v>
      </c>
      <c r="U44" s="92" t="s">
        <v>62</v>
      </c>
      <c r="AA44"/>
      <c r="AB44"/>
    </row>
    <row r="45" spans="1:33" ht="15" customHeight="1" x14ac:dyDescent="0.3">
      <c r="A45" s="141">
        <f t="shared" si="1"/>
        <v>0</v>
      </c>
      <c r="B45" s="332" t="str">
        <f t="shared" si="2"/>
        <v xml:space="preserve"> </v>
      </c>
      <c r="C45" s="333"/>
      <c r="D45" s="333"/>
      <c r="E45" s="334"/>
      <c r="G45" s="205"/>
      <c r="H45" s="199"/>
      <c r="I45" s="200"/>
      <c r="J45" s="200"/>
      <c r="K45" s="201"/>
      <c r="L45" s="208">
        <v>20</v>
      </c>
      <c r="T45" s="92" t="s">
        <v>300</v>
      </c>
      <c r="U45" s="92" t="s">
        <v>62</v>
      </c>
      <c r="AA45"/>
      <c r="AB45"/>
    </row>
    <row r="46" spans="1:33" ht="15" customHeight="1" x14ac:dyDescent="0.3">
      <c r="A46" s="141">
        <f t="shared" si="1"/>
        <v>0</v>
      </c>
      <c r="B46" s="332" t="str">
        <f t="shared" si="2"/>
        <v xml:space="preserve"> </v>
      </c>
      <c r="C46" s="333"/>
      <c r="D46" s="333"/>
      <c r="E46" s="334"/>
      <c r="G46" s="202"/>
      <c r="H46" s="203"/>
      <c r="I46" s="204"/>
      <c r="J46" s="204"/>
      <c r="K46" s="209"/>
      <c r="L46" s="208">
        <v>21</v>
      </c>
      <c r="T46" s="92" t="s">
        <v>279</v>
      </c>
      <c r="U46" s="92" t="s">
        <v>51</v>
      </c>
      <c r="AA46"/>
      <c r="AB46"/>
    </row>
    <row r="47" spans="1:33" ht="15" customHeight="1" x14ac:dyDescent="0.3">
      <c r="A47" s="141">
        <f t="shared" si="1"/>
        <v>0</v>
      </c>
      <c r="B47" s="332" t="str">
        <f t="shared" si="2"/>
        <v xml:space="preserve"> </v>
      </c>
      <c r="C47" s="333"/>
      <c r="D47" s="333"/>
      <c r="E47" s="334"/>
      <c r="G47" s="205"/>
      <c r="H47" s="199"/>
      <c r="I47" s="200"/>
      <c r="J47" s="200"/>
      <c r="K47" s="201"/>
      <c r="L47" s="208">
        <v>21</v>
      </c>
      <c r="T47" s="92" t="s">
        <v>86</v>
      </c>
      <c r="U47" s="92" t="s">
        <v>86</v>
      </c>
      <c r="AA47"/>
      <c r="AB47"/>
    </row>
    <row r="48" spans="1:33" ht="15" customHeight="1" x14ac:dyDescent="0.3">
      <c r="A48" s="141">
        <f t="shared" si="1"/>
        <v>0</v>
      </c>
      <c r="B48" s="332" t="str">
        <f t="shared" si="2"/>
        <v xml:space="preserve"> </v>
      </c>
      <c r="C48" s="333"/>
      <c r="D48" s="333"/>
      <c r="E48" s="334"/>
      <c r="G48" s="202"/>
      <c r="H48" s="203"/>
      <c r="I48" s="204"/>
      <c r="J48" s="204"/>
      <c r="K48" s="209"/>
      <c r="L48" s="208">
        <v>22</v>
      </c>
      <c r="T48" s="92" t="s">
        <v>61</v>
      </c>
      <c r="U48" s="92" t="s">
        <v>61</v>
      </c>
      <c r="AA48"/>
      <c r="AB48"/>
    </row>
    <row r="49" spans="1:28" ht="15" customHeight="1" x14ac:dyDescent="0.3">
      <c r="A49" s="141">
        <f t="shared" si="1"/>
        <v>0</v>
      </c>
      <c r="B49" s="332" t="str">
        <f t="shared" si="2"/>
        <v xml:space="preserve"> </v>
      </c>
      <c r="C49" s="333"/>
      <c r="D49" s="333"/>
      <c r="E49" s="334"/>
      <c r="G49" s="205"/>
      <c r="H49" s="199"/>
      <c r="I49" s="200"/>
      <c r="J49" s="200"/>
      <c r="K49" s="201"/>
      <c r="L49" s="208">
        <v>22</v>
      </c>
      <c r="T49" s="92" t="s">
        <v>292</v>
      </c>
      <c r="U49" s="92" t="s">
        <v>61</v>
      </c>
      <c r="AA49"/>
      <c r="AB49"/>
    </row>
    <row r="50" spans="1:28" ht="15" customHeight="1" x14ac:dyDescent="0.3">
      <c r="A50" s="141">
        <f t="shared" si="1"/>
        <v>0</v>
      </c>
      <c r="B50" s="332" t="str">
        <f t="shared" si="2"/>
        <v xml:space="preserve"> </v>
      </c>
      <c r="C50" s="333"/>
      <c r="D50" s="333"/>
      <c r="E50" s="334"/>
      <c r="G50" s="202"/>
      <c r="H50" s="203"/>
      <c r="I50" s="204"/>
      <c r="J50" s="204"/>
      <c r="K50" s="209"/>
      <c r="L50" s="115">
        <v>23</v>
      </c>
      <c r="T50" s="92" t="s">
        <v>950</v>
      </c>
      <c r="U50" s="92" t="s">
        <v>950</v>
      </c>
      <c r="AA50"/>
      <c r="AB50"/>
    </row>
    <row r="51" spans="1:28" ht="15" customHeight="1" x14ac:dyDescent="0.3">
      <c r="A51" s="141">
        <f t="shared" si="1"/>
        <v>0</v>
      </c>
      <c r="B51" s="332" t="str">
        <f t="shared" si="2"/>
        <v xml:space="preserve"> </v>
      </c>
      <c r="C51" s="333"/>
      <c r="D51" s="333"/>
      <c r="E51" s="334"/>
      <c r="G51" s="205"/>
      <c r="H51" s="199"/>
      <c r="I51" s="200"/>
      <c r="J51" s="200"/>
      <c r="K51" s="201"/>
      <c r="L51" s="115">
        <v>23</v>
      </c>
      <c r="T51" s="92" t="s">
        <v>77</v>
      </c>
      <c r="U51" s="92" t="s">
        <v>77</v>
      </c>
      <c r="AA51"/>
      <c r="AB51"/>
    </row>
    <row r="52" spans="1:28" ht="15" customHeight="1" x14ac:dyDescent="0.3">
      <c r="A52" s="141">
        <f t="shared" si="1"/>
        <v>0</v>
      </c>
      <c r="B52" s="332" t="str">
        <f t="shared" si="2"/>
        <v xml:space="preserve"> </v>
      </c>
      <c r="C52" s="333"/>
      <c r="D52" s="333"/>
      <c r="E52" s="334"/>
      <c r="G52" s="202"/>
      <c r="H52" s="203"/>
      <c r="I52" s="204"/>
      <c r="J52" s="204"/>
      <c r="K52" s="209"/>
      <c r="L52" s="115">
        <v>24</v>
      </c>
      <c r="T52" s="92" t="s">
        <v>291</v>
      </c>
      <c r="U52" s="92" t="s">
        <v>77</v>
      </c>
      <c r="AA52"/>
      <c r="AB52"/>
    </row>
    <row r="53" spans="1:28" ht="15" customHeight="1" thickBot="1" x14ac:dyDescent="0.35">
      <c r="A53" s="227">
        <f t="shared" si="1"/>
        <v>0</v>
      </c>
      <c r="B53" s="323" t="str">
        <f t="shared" si="2"/>
        <v xml:space="preserve"> </v>
      </c>
      <c r="C53" s="324"/>
      <c r="D53" s="324"/>
      <c r="E53" s="325"/>
      <c r="G53" s="205"/>
      <c r="H53" s="199"/>
      <c r="I53" s="200"/>
      <c r="J53" s="200"/>
      <c r="K53" s="201"/>
      <c r="L53" s="115">
        <v>24</v>
      </c>
      <c r="T53" s="92"/>
      <c r="U53" s="92"/>
      <c r="AA53"/>
      <c r="AB53"/>
    </row>
    <row r="54" spans="1:28" ht="15" customHeight="1" thickTop="1" x14ac:dyDescent="0.3">
      <c r="G54" s="202"/>
      <c r="H54" s="203"/>
      <c r="I54" s="204"/>
      <c r="J54" s="204"/>
      <c r="K54" s="209"/>
      <c r="L54" s="115">
        <v>25</v>
      </c>
      <c r="AA54"/>
      <c r="AB54"/>
    </row>
    <row r="55" spans="1:28" ht="15" customHeight="1" x14ac:dyDescent="0.3">
      <c r="G55" s="205"/>
      <c r="H55" s="199"/>
      <c r="I55" s="200"/>
      <c r="J55" s="200"/>
      <c r="K55" s="201"/>
      <c r="L55" s="115">
        <v>25</v>
      </c>
      <c r="AA55"/>
      <c r="AB55"/>
    </row>
    <row r="56" spans="1:28" ht="15" customHeight="1" x14ac:dyDescent="0.3">
      <c r="A56" s="134" t="s">
        <v>562</v>
      </c>
      <c r="B56" s="135"/>
      <c r="C56" s="135"/>
      <c r="D56" s="135"/>
      <c r="E56"/>
      <c r="G56" s="202"/>
      <c r="H56" s="203"/>
      <c r="I56" s="204"/>
      <c r="J56" s="204"/>
      <c r="K56" s="209"/>
      <c r="L56" s="115">
        <v>26</v>
      </c>
      <c r="AA56"/>
      <c r="AB56"/>
    </row>
    <row r="57" spans="1:28" ht="15" customHeight="1" x14ac:dyDescent="0.3">
      <c r="A57" s="192"/>
      <c r="B57" s="329"/>
      <c r="C57" s="330"/>
      <c r="D57" s="331"/>
      <c r="E57" s="193"/>
      <c r="G57" s="205"/>
      <c r="H57" s="199"/>
      <c r="I57" s="200"/>
      <c r="J57" s="200"/>
      <c r="K57" s="201"/>
      <c r="L57" s="115">
        <v>26</v>
      </c>
      <c r="AA57"/>
      <c r="AB57"/>
    </row>
    <row r="58" spans="1:28" ht="15" customHeight="1" x14ac:dyDescent="0.3">
      <c r="A58" s="194"/>
      <c r="B58" s="195"/>
      <c r="C58" s="196"/>
      <c r="D58" s="196"/>
      <c r="E58" s="197"/>
      <c r="G58" s="202"/>
      <c r="H58" s="203"/>
      <c r="I58" s="204"/>
      <c r="J58" s="204"/>
      <c r="K58" s="209"/>
      <c r="L58" s="115">
        <v>27</v>
      </c>
      <c r="AA58"/>
      <c r="AB58"/>
    </row>
    <row r="59" spans="1:28" ht="15" customHeight="1" x14ac:dyDescent="0.3">
      <c r="A59" s="198"/>
      <c r="B59" s="199"/>
      <c r="C59" s="200"/>
      <c r="D59" s="200"/>
      <c r="E59" s="201"/>
      <c r="G59" s="205"/>
      <c r="H59" s="199"/>
      <c r="I59" s="200"/>
      <c r="J59" s="200"/>
      <c r="K59" s="201"/>
      <c r="L59" s="115">
        <v>27</v>
      </c>
      <c r="AA59"/>
      <c r="AB59"/>
    </row>
    <row r="60" spans="1:28" ht="15" customHeight="1" x14ac:dyDescent="0.3">
      <c r="A60" s="192"/>
      <c r="B60" s="329"/>
      <c r="C60" s="330"/>
      <c r="D60" s="331"/>
      <c r="E60" s="193"/>
      <c r="G60" s="202"/>
      <c r="H60" s="203"/>
      <c r="I60" s="204"/>
      <c r="J60" s="204"/>
      <c r="K60" s="209"/>
      <c r="L60" s="115">
        <v>28</v>
      </c>
      <c r="AA60"/>
      <c r="AB60"/>
    </row>
    <row r="61" spans="1:28" ht="15" customHeight="1" x14ac:dyDescent="0.3">
      <c r="A61" s="194"/>
      <c r="B61" s="195"/>
      <c r="C61" s="196"/>
      <c r="D61" s="196"/>
      <c r="E61" s="197"/>
      <c r="G61" s="205"/>
      <c r="H61" s="199"/>
      <c r="I61" s="200"/>
      <c r="J61" s="200"/>
      <c r="K61" s="201"/>
      <c r="L61" s="115">
        <v>28</v>
      </c>
      <c r="AA61"/>
      <c r="AB61"/>
    </row>
    <row r="62" spans="1:28" ht="15" customHeight="1" x14ac:dyDescent="0.3">
      <c r="A62" s="198"/>
      <c r="B62" s="199"/>
      <c r="C62" s="200"/>
      <c r="D62" s="200"/>
      <c r="E62" s="201"/>
      <c r="G62" s="202"/>
      <c r="H62" s="203"/>
      <c r="I62" s="204"/>
      <c r="J62" s="204"/>
      <c r="K62" s="209"/>
      <c r="L62" s="115">
        <v>29</v>
      </c>
      <c r="AA62"/>
      <c r="AB62"/>
    </row>
    <row r="63" spans="1:28" ht="15" customHeight="1" x14ac:dyDescent="0.3">
      <c r="A63" s="134" t="s">
        <v>563</v>
      </c>
      <c r="D63"/>
      <c r="E63"/>
      <c r="G63" s="205"/>
      <c r="H63" s="199"/>
      <c r="I63" s="200"/>
      <c r="J63" s="200"/>
      <c r="K63" s="201"/>
      <c r="L63" s="115">
        <v>29</v>
      </c>
    </row>
    <row r="64" spans="1:28" ht="15" customHeight="1" x14ac:dyDescent="0.3">
      <c r="A64" s="192"/>
      <c r="B64" s="329"/>
      <c r="C64" s="330"/>
      <c r="D64" s="331"/>
      <c r="E64" s="193"/>
      <c r="G64" s="202"/>
      <c r="H64" s="203"/>
      <c r="I64" s="204"/>
      <c r="J64" s="204"/>
      <c r="K64" s="209"/>
      <c r="L64" s="115">
        <v>30</v>
      </c>
    </row>
    <row r="65" spans="1:12" ht="15" customHeight="1" x14ac:dyDescent="0.3">
      <c r="A65" s="194"/>
      <c r="B65" s="195"/>
      <c r="C65" s="196"/>
      <c r="D65" s="196"/>
      <c r="E65" s="197"/>
      <c r="G65" s="205"/>
      <c r="H65" s="199"/>
      <c r="I65" s="200"/>
      <c r="J65" s="200"/>
      <c r="K65" s="201"/>
      <c r="L65" s="115">
        <v>30</v>
      </c>
    </row>
    <row r="66" spans="1:12" ht="15" customHeight="1" x14ac:dyDescent="0.3">
      <c r="A66" s="198"/>
      <c r="B66" s="199"/>
      <c r="C66" s="200"/>
      <c r="D66" s="200"/>
      <c r="E66" s="201"/>
      <c r="G66" s="202"/>
      <c r="H66" s="203"/>
      <c r="I66" s="204"/>
      <c r="J66" s="204"/>
      <c r="K66" s="209"/>
      <c r="L66" s="115">
        <v>31</v>
      </c>
    </row>
    <row r="67" spans="1:12" ht="15" customHeight="1" x14ac:dyDescent="0.3">
      <c r="A67" s="192"/>
      <c r="B67" s="329"/>
      <c r="C67" s="330"/>
      <c r="D67" s="331"/>
      <c r="E67" s="193"/>
      <c r="G67" s="205"/>
      <c r="H67" s="199"/>
      <c r="I67" s="200"/>
      <c r="J67" s="200"/>
      <c r="K67" s="201"/>
      <c r="L67" s="115">
        <v>31</v>
      </c>
    </row>
    <row r="68" spans="1:12" ht="15" customHeight="1" x14ac:dyDescent="0.3">
      <c r="A68" s="194"/>
      <c r="B68" s="195"/>
      <c r="C68" s="196"/>
      <c r="D68" s="196"/>
      <c r="E68" s="197"/>
      <c r="G68" s="205"/>
      <c r="H68" s="199"/>
      <c r="I68" s="200"/>
      <c r="J68" s="200"/>
      <c r="K68" s="201"/>
      <c r="L68" s="115">
        <v>32</v>
      </c>
    </row>
    <row r="69" spans="1:12" ht="15" customHeight="1" x14ac:dyDescent="0.3">
      <c r="A69" s="198"/>
      <c r="B69" s="199"/>
      <c r="C69" s="200"/>
      <c r="D69" s="200"/>
      <c r="E69" s="201"/>
      <c r="G69" s="134" t="s">
        <v>561</v>
      </c>
      <c r="H69" s="135"/>
      <c r="I69" s="135"/>
      <c r="J69" s="135"/>
    </row>
    <row r="70" spans="1:12" ht="15" customHeight="1" x14ac:dyDescent="0.3">
      <c r="A70" s="192"/>
      <c r="B70" s="329"/>
      <c r="C70" s="330"/>
      <c r="D70" s="331"/>
      <c r="E70" s="193"/>
      <c r="G70" s="192"/>
      <c r="H70" s="329"/>
      <c r="I70" s="330"/>
      <c r="J70" s="331"/>
      <c r="K70" s="193"/>
    </row>
    <row r="71" spans="1:12" ht="15" customHeight="1" x14ac:dyDescent="0.3">
      <c r="A71" s="194"/>
      <c r="B71" s="195"/>
      <c r="C71" s="196"/>
      <c r="D71" s="196"/>
      <c r="E71" s="197"/>
      <c r="G71" s="194"/>
      <c r="H71" s="195"/>
      <c r="I71" s="196"/>
      <c r="J71" s="196"/>
      <c r="K71" s="197"/>
    </row>
    <row r="72" spans="1:12" ht="15" customHeight="1" x14ac:dyDescent="0.3">
      <c r="A72" s="198"/>
      <c r="B72" s="199"/>
      <c r="C72" s="200"/>
      <c r="D72" s="200"/>
      <c r="E72" s="201"/>
      <c r="G72" s="198"/>
      <c r="H72" s="199"/>
      <c r="I72" s="200"/>
      <c r="J72" s="200"/>
      <c r="K72" s="201"/>
    </row>
    <row r="73" spans="1:12" ht="15" customHeight="1" x14ac:dyDescent="0.3"/>
    <row r="74" spans="1:12" ht="15" customHeight="1" x14ac:dyDescent="0.3"/>
    <row r="75" spans="1:12" ht="15" customHeight="1" x14ac:dyDescent="0.3"/>
    <row r="76" spans="1:12" ht="15" customHeight="1" x14ac:dyDescent="0.3"/>
    <row r="77" spans="1:12" ht="15" customHeight="1" x14ac:dyDescent="0.3"/>
    <row r="78" spans="1:12" ht="15" customHeight="1" x14ac:dyDescent="0.3"/>
    <row r="79" spans="1:12" ht="15" customHeight="1" x14ac:dyDescent="0.3"/>
    <row r="80" spans="1:12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</sheetData>
  <sortState ref="W3:X27">
    <sortCondition ref="W3:W27"/>
  </sortState>
  <dataConsolidate topLabels="1"/>
  <mergeCells count="28">
    <mergeCell ref="B33:E33"/>
    <mergeCell ref="B34:E34"/>
    <mergeCell ref="B35:E35"/>
    <mergeCell ref="B36:E36"/>
    <mergeCell ref="B37:E37"/>
    <mergeCell ref="B46:E46"/>
    <mergeCell ref="B47:E47"/>
    <mergeCell ref="B38:E38"/>
    <mergeCell ref="B39:E39"/>
    <mergeCell ref="B40:E40"/>
    <mergeCell ref="B41:E41"/>
    <mergeCell ref="B42:E42"/>
    <mergeCell ref="B53:E53"/>
    <mergeCell ref="G3:J3"/>
    <mergeCell ref="B67:D67"/>
    <mergeCell ref="B70:D70"/>
    <mergeCell ref="H70:J70"/>
    <mergeCell ref="B64:D64"/>
    <mergeCell ref="B57:D57"/>
    <mergeCell ref="B60:D60"/>
    <mergeCell ref="B48:E48"/>
    <mergeCell ref="B49:E49"/>
    <mergeCell ref="B50:E50"/>
    <mergeCell ref="B51:E51"/>
    <mergeCell ref="B52:E52"/>
    <mergeCell ref="B43:E43"/>
    <mergeCell ref="B44:E44"/>
    <mergeCell ref="B45:E45"/>
  </mergeCells>
  <conditionalFormatting sqref="E29 A3:C27 E3:E27 B30:B31">
    <cfRule type="expression" dxfId="16" priority="2835">
      <formula>$B3="Vůbec"</formula>
    </cfRule>
  </conditionalFormatting>
  <conditionalFormatting sqref="B34">
    <cfRule type="expression" dxfId="15" priority="1108">
      <formula>#REF!="X"</formula>
    </cfRule>
  </conditionalFormatting>
  <conditionalFormatting sqref="B35">
    <cfRule type="expression" dxfId="14" priority="12">
      <formula>#REF!="X"</formula>
    </cfRule>
  </conditionalFormatting>
  <conditionalFormatting sqref="B36">
    <cfRule type="expression" dxfId="13" priority="11">
      <formula>#REF!="X"</formula>
    </cfRule>
  </conditionalFormatting>
  <conditionalFormatting sqref="B37:B53">
    <cfRule type="expression" dxfId="12" priority="10">
      <formula>#REF!="X"</formula>
    </cfRule>
  </conditionalFormatting>
  <conditionalFormatting sqref="G6:K68">
    <cfRule type="expression" dxfId="11" priority="9">
      <formula>$L6&gt;$I$4</formula>
    </cfRule>
  </conditionalFormatting>
  <conditionalFormatting sqref="D3:D27 E29 C3:C27 E3:E27">
    <cfRule type="containsBlanks" dxfId="10" priority="6">
      <formula>LEN(TRIM(C3))=0</formula>
    </cfRule>
  </conditionalFormatting>
  <conditionalFormatting sqref="D3:D27">
    <cfRule type="expression" dxfId="9" priority="8">
      <formula>$B3="Vůbec"</formula>
    </cfRule>
  </conditionalFormatting>
  <conditionalFormatting sqref="A11:E13">
    <cfRule type="expression" dxfId="8" priority="7" stopIfTrue="1">
      <formula>$A11=$A$29</formula>
    </cfRule>
  </conditionalFormatting>
  <conditionalFormatting sqref="D29">
    <cfRule type="containsBlanks" dxfId="7" priority="3">
      <formula>LEN(TRIM(D29))=0</formula>
    </cfRule>
  </conditionalFormatting>
  <conditionalFormatting sqref="D29">
    <cfRule type="expression" dxfId="6" priority="2">
      <formula>$B29="Vůbec"</formula>
    </cfRule>
  </conditionalFormatting>
  <conditionalFormatting sqref="C28">
    <cfRule type="cellIs" dxfId="5" priority="1" operator="greaterThan">
      <formula>$E$28</formula>
    </cfRule>
  </conditionalFormatting>
  <dataValidations count="10">
    <dataValidation type="list" allowBlank="1" showInputMessage="1" showErrorMessage="1" sqref="A3:A8">
      <formula1>$W5</formula1>
    </dataValidation>
    <dataValidation type="list" allowBlank="1" showInputMessage="1" showErrorMessage="1" sqref="A9:A16">
      <formula1>$W12</formula1>
    </dataValidation>
    <dataValidation type="list" allowBlank="1" showInputMessage="1" showErrorMessage="1" sqref="A26">
      <formula1>$W24</formula1>
    </dataValidation>
    <dataValidation type="list" allowBlank="1" showInputMessage="1" showErrorMessage="1" sqref="A29">
      <formula1>$W$11:$W$13</formula1>
    </dataValidation>
    <dataValidation type="list" allowBlank="1" showDropDown="1" showInputMessage="1" showErrorMessage="1" sqref="A34:A53">
      <formula1>SEZNAM1</formula1>
    </dataValidation>
    <dataValidation type="list" allowBlank="1" showInputMessage="1" showErrorMessage="1" sqref="B3:B27">
      <formula1>$N$9:$N$13</formula1>
    </dataValidation>
    <dataValidation type="list" allowBlank="1" showInputMessage="1" showErrorMessage="1" sqref="A31 A27 A19:A25">
      <formula1>#REF!</formula1>
    </dataValidation>
    <dataValidation type="list" allowBlank="1" showInputMessage="1" showErrorMessage="1" sqref="A17">
      <formula1>$W25</formula1>
    </dataValidation>
    <dataValidation type="list" allowBlank="1" showInputMessage="1" showErrorMessage="1" sqref="A18">
      <formula1>$W27</formula1>
    </dataValidation>
    <dataValidation type="list" allowBlank="1" showInputMessage="1" showErrorMessage="1" sqref="G3:J3">
      <formula1>$N$31:$N$34</formula1>
    </dataValidation>
  </dataValidations>
  <pageMargins left="0.39370078740157483" right="0.39370078740157483" top="0.39370078740157483" bottom="0.59055118110236227" header="0.31496062992125984" footer="0.31496062992125984"/>
  <pageSetup paperSize="9" scale="7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2663" r:id="rId4" name="CommandButton1">
          <controlPr defaultSize="0" autoLine="0" r:id="rId5">
            <anchor moveWithCells="1">
              <from>
                <xdr:col>13</xdr:col>
                <xdr:colOff>449580</xdr:colOff>
                <xdr:row>0</xdr:row>
                <xdr:rowOff>259080</xdr:rowOff>
              </from>
              <to>
                <xdr:col>18</xdr:col>
                <xdr:colOff>7620</xdr:colOff>
                <xdr:row>2</xdr:row>
                <xdr:rowOff>175260</xdr:rowOff>
              </to>
            </anchor>
          </controlPr>
        </control>
      </mc:Choice>
      <mc:Fallback>
        <control shapeId="2266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FFFF00"/>
  </sheetPr>
  <dimension ref="A1:I36"/>
  <sheetViews>
    <sheetView workbookViewId="0">
      <selection activeCell="D19" sqref="D19:I19"/>
    </sheetView>
  </sheetViews>
  <sheetFormatPr defaultRowHeight="14.4" x14ac:dyDescent="0.3"/>
  <cols>
    <col min="1" max="1" width="13.33203125" customWidth="1"/>
    <col min="2" max="2" width="4.33203125" customWidth="1"/>
    <col min="3" max="3" width="4.6640625" customWidth="1"/>
    <col min="7" max="7" width="17.6640625" customWidth="1"/>
  </cols>
  <sheetData>
    <row r="1" spans="1:9" ht="21" x14ac:dyDescent="0.4">
      <c r="A1" s="70" t="s">
        <v>236</v>
      </c>
      <c r="I1" t="s">
        <v>521</v>
      </c>
    </row>
    <row r="2" spans="1:9" x14ac:dyDescent="0.3">
      <c r="A2" s="67" t="s">
        <v>237</v>
      </c>
      <c r="B2" s="347" t="s">
        <v>244</v>
      </c>
      <c r="C2" s="348"/>
      <c r="D2" s="339" t="s">
        <v>238</v>
      </c>
      <c r="E2" s="340"/>
      <c r="F2" s="340"/>
      <c r="G2" s="340"/>
      <c r="H2" s="340"/>
      <c r="I2" s="341"/>
    </row>
    <row r="3" spans="1:9" ht="23.25" customHeight="1" x14ac:dyDescent="0.3">
      <c r="A3" s="365" t="s">
        <v>27</v>
      </c>
      <c r="B3" s="355">
        <f>'1-Postava'!F4</f>
        <v>3</v>
      </c>
      <c r="C3" s="356"/>
      <c r="D3" s="79"/>
      <c r="E3" s="80"/>
      <c r="F3" s="80"/>
      <c r="G3" s="80"/>
      <c r="H3" s="80"/>
      <c r="I3" s="81"/>
    </row>
    <row r="4" spans="1:9" ht="85.5" customHeight="1" x14ac:dyDescent="0.3">
      <c r="A4" s="366"/>
      <c r="B4" s="75"/>
      <c r="C4" s="76"/>
      <c r="D4" s="77"/>
      <c r="E4" s="77"/>
      <c r="F4" s="77"/>
      <c r="G4" s="77"/>
      <c r="H4" s="77"/>
      <c r="I4" s="78"/>
    </row>
    <row r="5" spans="1:9" ht="30" customHeight="1" x14ac:dyDescent="0.3">
      <c r="A5" s="71" t="s">
        <v>245</v>
      </c>
      <c r="B5" s="352"/>
      <c r="C5" s="353"/>
      <c r="D5" s="353"/>
      <c r="E5" s="353"/>
      <c r="F5" s="353"/>
      <c r="G5" s="353"/>
      <c r="H5" s="353"/>
      <c r="I5" s="354"/>
    </row>
    <row r="6" spans="1:9" ht="23.25" customHeight="1" x14ac:dyDescent="0.3">
      <c r="A6" s="365" t="s">
        <v>231</v>
      </c>
      <c r="B6" s="355">
        <f>'1-Postava'!I4</f>
        <v>0</v>
      </c>
      <c r="C6" s="356"/>
      <c r="D6" s="336"/>
      <c r="E6" s="337"/>
      <c r="F6" s="337"/>
      <c r="G6" s="337"/>
      <c r="H6" s="337"/>
      <c r="I6" s="338"/>
    </row>
    <row r="7" spans="1:9" ht="45" customHeight="1" x14ac:dyDescent="0.3">
      <c r="A7" s="366"/>
      <c r="B7" s="82"/>
      <c r="C7" s="74"/>
      <c r="D7" s="83"/>
      <c r="E7" s="83"/>
      <c r="F7" s="83"/>
      <c r="G7" s="83"/>
      <c r="H7" s="83"/>
      <c r="I7" s="84"/>
    </row>
    <row r="8" spans="1:9" ht="20.100000000000001" customHeight="1" x14ac:dyDescent="0.3">
      <c r="A8" s="365"/>
      <c r="B8" s="85"/>
      <c r="C8" s="86"/>
      <c r="D8" s="357"/>
      <c r="E8" s="358"/>
      <c r="F8" s="358"/>
      <c r="G8" s="358"/>
      <c r="H8" s="358"/>
      <c r="I8" s="359"/>
    </row>
    <row r="9" spans="1:9" ht="20.100000000000001" customHeight="1" x14ac:dyDescent="0.3">
      <c r="A9" s="366"/>
      <c r="B9" s="87"/>
      <c r="C9" s="88"/>
      <c r="D9" s="360"/>
      <c r="E9" s="361"/>
      <c r="F9" s="361"/>
      <c r="G9" s="361"/>
      <c r="H9" s="361"/>
      <c r="I9" s="362"/>
    </row>
    <row r="10" spans="1:9" ht="30" customHeight="1" x14ac:dyDescent="0.3">
      <c r="A10" s="72" t="s">
        <v>246</v>
      </c>
      <c r="B10" s="363"/>
      <c r="C10" s="364"/>
      <c r="D10" s="351"/>
      <c r="E10" s="342"/>
      <c r="F10" s="342"/>
      <c r="G10" s="342"/>
      <c r="H10" s="342"/>
      <c r="I10" s="343"/>
    </row>
    <row r="11" spans="1:9" ht="30" customHeight="1" x14ac:dyDescent="0.3">
      <c r="A11" s="72" t="s">
        <v>247</v>
      </c>
      <c r="B11" s="363"/>
      <c r="C11" s="364"/>
      <c r="D11" s="351"/>
      <c r="E11" s="342"/>
      <c r="F11" s="342"/>
      <c r="G11" s="342"/>
      <c r="H11" s="342"/>
      <c r="I11" s="343"/>
    </row>
    <row r="12" spans="1:9" ht="30.75" customHeight="1" x14ac:dyDescent="0.3">
      <c r="A12" s="72" t="s">
        <v>248</v>
      </c>
      <c r="B12" s="363"/>
      <c r="C12" s="364"/>
      <c r="D12" s="351"/>
      <c r="E12" s="342"/>
      <c r="F12" s="342"/>
      <c r="G12" s="342"/>
      <c r="H12" s="342"/>
      <c r="I12" s="343"/>
    </row>
    <row r="13" spans="1:9" ht="15" customHeight="1" x14ac:dyDescent="0.3">
      <c r="A13" s="369" t="s">
        <v>255</v>
      </c>
      <c r="B13" s="363"/>
      <c r="C13" s="364"/>
      <c r="D13" s="351"/>
      <c r="E13" s="342"/>
      <c r="F13" s="342"/>
      <c r="G13" s="342"/>
      <c r="H13" s="342"/>
      <c r="I13" s="343"/>
    </row>
    <row r="14" spans="1:9" ht="15" customHeight="1" x14ac:dyDescent="0.3">
      <c r="A14" s="370"/>
      <c r="B14" s="363"/>
      <c r="C14" s="364"/>
      <c r="D14" s="351"/>
      <c r="E14" s="342"/>
      <c r="F14" s="342"/>
      <c r="G14" s="342"/>
      <c r="H14" s="342"/>
      <c r="I14" s="343"/>
    </row>
    <row r="15" spans="1:9" x14ac:dyDescent="0.3">
      <c r="A15" s="369" t="s">
        <v>256</v>
      </c>
      <c r="B15" s="363"/>
      <c r="C15" s="364"/>
      <c r="D15" s="351"/>
      <c r="E15" s="342"/>
      <c r="F15" s="342"/>
      <c r="G15" s="342"/>
      <c r="H15" s="342"/>
      <c r="I15" s="343"/>
    </row>
    <row r="16" spans="1:9" x14ac:dyDescent="0.3">
      <c r="A16" s="370"/>
      <c r="B16" s="363"/>
      <c r="C16" s="364"/>
      <c r="D16" s="351"/>
      <c r="E16" s="342"/>
      <c r="F16" s="342"/>
      <c r="G16" s="342"/>
      <c r="H16" s="342"/>
      <c r="I16" s="343"/>
    </row>
    <row r="17" spans="1:9" ht="8.25" customHeight="1" x14ac:dyDescent="0.3"/>
    <row r="18" spans="1:9" ht="39.9" customHeight="1" x14ac:dyDescent="0.3">
      <c r="A18" s="68" t="s">
        <v>240</v>
      </c>
      <c r="B18" s="69"/>
      <c r="C18" s="73"/>
      <c r="D18" s="342"/>
      <c r="E18" s="342"/>
      <c r="F18" s="342"/>
      <c r="G18" s="342"/>
      <c r="H18" s="342"/>
      <c r="I18" s="343"/>
    </row>
    <row r="19" spans="1:9" ht="39.9" customHeight="1" x14ac:dyDescent="0.3">
      <c r="A19" s="68" t="s">
        <v>241</v>
      </c>
      <c r="B19" s="69"/>
      <c r="C19" s="73"/>
      <c r="D19" s="342"/>
      <c r="E19" s="342"/>
      <c r="F19" s="342"/>
      <c r="G19" s="342"/>
      <c r="H19" s="342"/>
      <c r="I19" s="343"/>
    </row>
    <row r="20" spans="1:9" ht="39.9" customHeight="1" x14ac:dyDescent="0.3">
      <c r="A20" s="68" t="s">
        <v>242</v>
      </c>
      <c r="B20" s="69"/>
      <c r="C20" s="73"/>
      <c r="D20" s="342"/>
      <c r="E20" s="342"/>
      <c r="F20" s="342"/>
      <c r="G20" s="342"/>
      <c r="H20" s="342"/>
      <c r="I20" s="343"/>
    </row>
    <row r="21" spans="1:9" ht="6.75" customHeight="1" x14ac:dyDescent="0.3"/>
    <row r="22" spans="1:9" x14ac:dyDescent="0.3">
      <c r="A22" s="67" t="s">
        <v>237</v>
      </c>
      <c r="B22" s="347" t="s">
        <v>243</v>
      </c>
      <c r="C22" s="348"/>
      <c r="D22" s="339" t="s">
        <v>238</v>
      </c>
      <c r="E22" s="340"/>
      <c r="F22" s="340"/>
      <c r="G22" s="340"/>
      <c r="H22" s="340"/>
      <c r="I22" s="341"/>
    </row>
    <row r="23" spans="1:9" x14ac:dyDescent="0.3">
      <c r="A23" s="367" t="s">
        <v>249</v>
      </c>
      <c r="B23" s="371"/>
      <c r="C23" s="372"/>
      <c r="D23" s="336"/>
      <c r="E23" s="337"/>
      <c r="F23" s="337"/>
      <c r="G23" s="337"/>
      <c r="H23" s="337"/>
      <c r="I23" s="338"/>
    </row>
    <row r="24" spans="1:9" x14ac:dyDescent="0.3">
      <c r="A24" s="368"/>
      <c r="B24" s="349"/>
      <c r="C24" s="350"/>
      <c r="D24" s="344"/>
      <c r="E24" s="345"/>
      <c r="F24" s="345"/>
      <c r="G24" s="345"/>
      <c r="H24" s="345"/>
      <c r="I24" s="346"/>
    </row>
    <row r="25" spans="1:9" x14ac:dyDescent="0.3">
      <c r="A25" s="367" t="s">
        <v>250</v>
      </c>
      <c r="B25" s="371"/>
      <c r="C25" s="372"/>
      <c r="D25" s="336"/>
      <c r="E25" s="337"/>
      <c r="F25" s="337"/>
      <c r="G25" s="337"/>
      <c r="H25" s="337"/>
      <c r="I25" s="338"/>
    </row>
    <row r="26" spans="1:9" x14ac:dyDescent="0.3">
      <c r="A26" s="368"/>
      <c r="B26" s="349"/>
      <c r="C26" s="350"/>
      <c r="D26" s="344"/>
      <c r="E26" s="345"/>
      <c r="F26" s="345"/>
      <c r="G26" s="345"/>
      <c r="H26" s="345"/>
      <c r="I26" s="346"/>
    </row>
    <row r="27" spans="1:9" x14ac:dyDescent="0.3">
      <c r="A27" s="367" t="s">
        <v>251</v>
      </c>
      <c r="B27" s="371"/>
      <c r="C27" s="372"/>
      <c r="D27" s="336"/>
      <c r="E27" s="337"/>
      <c r="F27" s="337"/>
      <c r="G27" s="337"/>
      <c r="H27" s="337"/>
      <c r="I27" s="338"/>
    </row>
    <row r="28" spans="1:9" x14ac:dyDescent="0.3">
      <c r="A28" s="368"/>
      <c r="B28" s="349"/>
      <c r="C28" s="350"/>
      <c r="D28" s="344"/>
      <c r="E28" s="345"/>
      <c r="F28" s="345"/>
      <c r="G28" s="345"/>
      <c r="H28" s="345"/>
      <c r="I28" s="346"/>
    </row>
    <row r="29" spans="1:9" x14ac:dyDescent="0.3">
      <c r="A29" s="373" t="s">
        <v>252</v>
      </c>
      <c r="B29" s="371"/>
      <c r="C29" s="372"/>
      <c r="D29" s="336"/>
      <c r="E29" s="337"/>
      <c r="F29" s="337"/>
      <c r="G29" s="337"/>
      <c r="H29" s="337"/>
      <c r="I29" s="338"/>
    </row>
    <row r="30" spans="1:9" x14ac:dyDescent="0.3">
      <c r="A30" s="374"/>
      <c r="B30" s="349"/>
      <c r="C30" s="350"/>
      <c r="D30" s="344"/>
      <c r="E30" s="345"/>
      <c r="F30" s="345"/>
      <c r="G30" s="345"/>
      <c r="H30" s="345"/>
      <c r="I30" s="346"/>
    </row>
    <row r="31" spans="1:9" x14ac:dyDescent="0.3">
      <c r="A31" s="367" t="s">
        <v>254</v>
      </c>
      <c r="B31" s="371"/>
      <c r="C31" s="372"/>
      <c r="D31" s="336"/>
      <c r="E31" s="337"/>
      <c r="F31" s="337"/>
      <c r="G31" s="337"/>
      <c r="H31" s="337"/>
      <c r="I31" s="338"/>
    </row>
    <row r="32" spans="1:9" x14ac:dyDescent="0.3">
      <c r="A32" s="368"/>
      <c r="B32" s="349"/>
      <c r="C32" s="350"/>
      <c r="D32" s="344"/>
      <c r="E32" s="345"/>
      <c r="F32" s="345"/>
      <c r="G32" s="345"/>
      <c r="H32" s="345"/>
      <c r="I32" s="346"/>
    </row>
    <row r="33" spans="1:9" x14ac:dyDescent="0.3">
      <c r="A33" s="367" t="s">
        <v>239</v>
      </c>
      <c r="B33" s="371"/>
      <c r="C33" s="372"/>
      <c r="D33" s="336"/>
      <c r="E33" s="337"/>
      <c r="F33" s="337"/>
      <c r="G33" s="337"/>
      <c r="H33" s="337"/>
      <c r="I33" s="338"/>
    </row>
    <row r="34" spans="1:9" x14ac:dyDescent="0.3">
      <c r="A34" s="368"/>
      <c r="B34" s="349"/>
      <c r="C34" s="350"/>
      <c r="D34" s="344"/>
      <c r="E34" s="345"/>
      <c r="F34" s="345"/>
      <c r="G34" s="345"/>
      <c r="H34" s="345"/>
      <c r="I34" s="346"/>
    </row>
    <row r="35" spans="1:9" x14ac:dyDescent="0.3">
      <c r="A35" s="367" t="s">
        <v>253</v>
      </c>
      <c r="B35" s="371"/>
      <c r="C35" s="372"/>
      <c r="D35" s="336"/>
      <c r="E35" s="337"/>
      <c r="F35" s="337"/>
      <c r="G35" s="337"/>
      <c r="H35" s="337"/>
      <c r="I35" s="338"/>
    </row>
    <row r="36" spans="1:9" x14ac:dyDescent="0.3">
      <c r="A36" s="368"/>
      <c r="B36" s="349"/>
      <c r="C36" s="350"/>
      <c r="D36" s="344"/>
      <c r="E36" s="345"/>
      <c r="F36" s="345"/>
      <c r="G36" s="345"/>
      <c r="H36" s="345"/>
      <c r="I36" s="346"/>
    </row>
  </sheetData>
  <mergeCells count="66">
    <mergeCell ref="D15:I15"/>
    <mergeCell ref="B16:C16"/>
    <mergeCell ref="D16:I16"/>
    <mergeCell ref="D13:I13"/>
    <mergeCell ref="A31:A32"/>
    <mergeCell ref="B31:C31"/>
    <mergeCell ref="D31:I31"/>
    <mergeCell ref="B32:C32"/>
    <mergeCell ref="D32:I32"/>
    <mergeCell ref="D28:I28"/>
    <mergeCell ref="A27:A28"/>
    <mergeCell ref="A29:A30"/>
    <mergeCell ref="B29:C29"/>
    <mergeCell ref="D29:I29"/>
    <mergeCell ref="B30:C30"/>
    <mergeCell ref="D30:I30"/>
    <mergeCell ref="A25:A26"/>
    <mergeCell ref="A15:A16"/>
    <mergeCell ref="B15:C15"/>
    <mergeCell ref="A33:A34"/>
    <mergeCell ref="B34:C34"/>
    <mergeCell ref="B33:C33"/>
    <mergeCell ref="B25:C25"/>
    <mergeCell ref="B26:C26"/>
    <mergeCell ref="B27:C27"/>
    <mergeCell ref="D34:I34"/>
    <mergeCell ref="A35:A36"/>
    <mergeCell ref="B35:C35"/>
    <mergeCell ref="D35:I35"/>
    <mergeCell ref="B36:C36"/>
    <mergeCell ref="D36:I36"/>
    <mergeCell ref="B12:C12"/>
    <mergeCell ref="B14:C14"/>
    <mergeCell ref="A3:A4"/>
    <mergeCell ref="A6:A7"/>
    <mergeCell ref="A23:A24"/>
    <mergeCell ref="B24:C24"/>
    <mergeCell ref="A8:A9"/>
    <mergeCell ref="A13:A14"/>
    <mergeCell ref="B13:C13"/>
    <mergeCell ref="B22:C22"/>
    <mergeCell ref="B23:C23"/>
    <mergeCell ref="B2:C2"/>
    <mergeCell ref="B28:C28"/>
    <mergeCell ref="D10:I10"/>
    <mergeCell ref="D11:I11"/>
    <mergeCell ref="D12:I12"/>
    <mergeCell ref="D14:I14"/>
    <mergeCell ref="B5:I5"/>
    <mergeCell ref="B6:C6"/>
    <mergeCell ref="D8:I9"/>
    <mergeCell ref="B10:C10"/>
    <mergeCell ref="B11:C11"/>
    <mergeCell ref="D19:I19"/>
    <mergeCell ref="D20:I20"/>
    <mergeCell ref="D2:I2"/>
    <mergeCell ref="D6:I6"/>
    <mergeCell ref="B3:C3"/>
    <mergeCell ref="D23:I23"/>
    <mergeCell ref="D33:I33"/>
    <mergeCell ref="D22:I22"/>
    <mergeCell ref="D18:I18"/>
    <mergeCell ref="D24:I24"/>
    <mergeCell ref="D25:I25"/>
    <mergeCell ref="D26:I26"/>
    <mergeCell ref="D27:I27"/>
  </mergeCells>
  <pageMargins left="0.70866141732283472" right="0.70866141732283472" top="0.39370078740157483" bottom="0.59055118110236227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theme="0" tint="-0.249977111117893"/>
  </sheetPr>
  <dimension ref="B1:S31"/>
  <sheetViews>
    <sheetView workbookViewId="0">
      <pane ySplit="3" topLeftCell="A4" activePane="bottomLeft" state="frozen"/>
      <selection activeCell="Y8" sqref="Y8"/>
      <selection pane="bottomLeft" activeCell="K3" sqref="K3"/>
    </sheetView>
  </sheetViews>
  <sheetFormatPr defaultRowHeight="14.4" x14ac:dyDescent="0.3"/>
  <cols>
    <col min="1" max="1" width="3.6640625" customWidth="1"/>
    <col min="2" max="2" width="13.44140625" customWidth="1"/>
    <col min="3" max="3" width="3.44140625" bestFit="1" customWidth="1"/>
    <col min="4" max="4" width="4" customWidth="1"/>
    <col min="5" max="5" width="4.33203125" bestFit="1" customWidth="1"/>
    <col min="6" max="6" width="4" customWidth="1"/>
    <col min="7" max="8" width="4.5546875" bestFit="1" customWidth="1"/>
    <col min="9" max="9" width="17.6640625" customWidth="1"/>
    <col min="10" max="10" width="4.44140625" customWidth="1"/>
    <col min="11" max="12" width="4.5546875" customWidth="1"/>
    <col min="13" max="13" width="4.5546875" bestFit="1" customWidth="1"/>
    <col min="14" max="14" width="4.6640625" customWidth="1"/>
    <col min="15" max="15" width="6.5546875" customWidth="1"/>
    <col min="16" max="16" width="6" customWidth="1"/>
    <col min="17" max="17" width="5.6640625" customWidth="1"/>
    <col min="18" max="18" width="6.44140625" customWidth="1"/>
    <col min="19" max="20" width="3" bestFit="1" customWidth="1"/>
    <col min="21" max="21" width="3.88671875" customWidth="1"/>
  </cols>
  <sheetData>
    <row r="1" spans="2:19" ht="23.4" x14ac:dyDescent="0.45">
      <c r="B1" s="104" t="s">
        <v>68</v>
      </c>
    </row>
    <row r="2" spans="2:19" x14ac:dyDescent="0.3">
      <c r="N2" s="7" t="s">
        <v>259</v>
      </c>
      <c r="O2" s="94"/>
      <c r="P2" s="94"/>
      <c r="Q2" s="94"/>
      <c r="R2" s="95"/>
    </row>
    <row r="3" spans="2:19" x14ac:dyDescent="0.3">
      <c r="B3" s="25" t="s">
        <v>20</v>
      </c>
      <c r="C3" t="s">
        <v>47</v>
      </c>
      <c r="D3" t="s">
        <v>50</v>
      </c>
      <c r="E3" t="s">
        <v>56</v>
      </c>
      <c r="F3" t="s">
        <v>49</v>
      </c>
      <c r="G3" t="s">
        <v>54</v>
      </c>
      <c r="H3" t="s">
        <v>45</v>
      </c>
      <c r="I3" s="25" t="s">
        <v>312</v>
      </c>
      <c r="J3" s="25" t="s">
        <v>94</v>
      </c>
      <c r="K3" s="25" t="s">
        <v>301</v>
      </c>
      <c r="L3" s="25" t="s">
        <v>44</v>
      </c>
      <c r="M3" s="25" t="s">
        <v>96</v>
      </c>
      <c r="N3" s="53" t="s">
        <v>167</v>
      </c>
      <c r="O3" s="97" t="s">
        <v>168</v>
      </c>
      <c r="P3" s="97" t="s">
        <v>169</v>
      </c>
      <c r="Q3" s="97" t="s">
        <v>170</v>
      </c>
      <c r="R3" s="98" t="s">
        <v>171</v>
      </c>
    </row>
    <row r="4" spans="2:19" x14ac:dyDescent="0.3">
      <c r="B4" s="26"/>
      <c r="C4" t="s">
        <v>57</v>
      </c>
      <c r="D4" t="s">
        <v>57</v>
      </c>
      <c r="E4" t="s">
        <v>57</v>
      </c>
      <c r="F4" t="s">
        <v>57</v>
      </c>
      <c r="G4" t="s">
        <v>57</v>
      </c>
      <c r="H4" t="s">
        <v>57</v>
      </c>
      <c r="I4" s="26" t="s">
        <v>57</v>
      </c>
      <c r="J4" s="27" t="s">
        <v>57</v>
      </c>
      <c r="K4" s="27" t="s">
        <v>57</v>
      </c>
      <c r="L4" s="27" t="s">
        <v>57</v>
      </c>
      <c r="M4" s="26" t="s">
        <v>57</v>
      </c>
      <c r="N4" s="99" t="s">
        <v>57</v>
      </c>
      <c r="O4" s="100" t="s">
        <v>57</v>
      </c>
      <c r="P4" s="100" t="s">
        <v>57</v>
      </c>
      <c r="Q4" s="100" t="s">
        <v>57</v>
      </c>
      <c r="R4" s="101" t="s">
        <v>57</v>
      </c>
    </row>
    <row r="5" spans="2:19" x14ac:dyDescent="0.3">
      <c r="B5" s="146" t="s">
        <v>273</v>
      </c>
      <c r="C5">
        <v>5</v>
      </c>
      <c r="D5">
        <v>4</v>
      </c>
      <c r="E5">
        <v>3</v>
      </c>
      <c r="F5">
        <v>1</v>
      </c>
      <c r="G5">
        <v>4</v>
      </c>
      <c r="H5">
        <v>1</v>
      </c>
      <c r="I5" s="26" t="s">
        <v>320</v>
      </c>
      <c r="J5" s="27">
        <v>0</v>
      </c>
      <c r="K5" s="27">
        <v>0</v>
      </c>
      <c r="L5" s="27">
        <v>0</v>
      </c>
      <c r="M5" s="26" t="s">
        <v>33</v>
      </c>
      <c r="N5" s="99">
        <f t="shared" ref="N5" si="0">FLOOR(R5/4,1)</f>
        <v>15</v>
      </c>
      <c r="O5" s="100">
        <f t="shared" ref="O5" si="1">FLOOR(R5/5*2,1)</f>
        <v>24</v>
      </c>
      <c r="P5" s="100">
        <f t="shared" ref="P5" si="2">FLOOR(R5/3*2,1)</f>
        <v>40</v>
      </c>
      <c r="Q5" s="100">
        <f t="shared" ref="Q5" si="3">FLOOR(R5/5*4,1)</f>
        <v>48</v>
      </c>
      <c r="R5" s="101">
        <v>60</v>
      </c>
      <c r="S5">
        <f>C5+F5+E5+D5+G5+H5</f>
        <v>18</v>
      </c>
    </row>
    <row r="6" spans="2:19" x14ac:dyDescent="0.3">
      <c r="B6" s="146" t="s">
        <v>452</v>
      </c>
      <c r="C6">
        <v>5</v>
      </c>
      <c r="D6">
        <v>4</v>
      </c>
      <c r="E6">
        <v>3</v>
      </c>
      <c r="F6">
        <v>1</v>
      </c>
      <c r="G6">
        <v>4</v>
      </c>
      <c r="H6">
        <v>1</v>
      </c>
      <c r="I6" s="26" t="s">
        <v>320</v>
      </c>
      <c r="J6" s="27">
        <v>0</v>
      </c>
      <c r="K6" s="27">
        <v>0</v>
      </c>
      <c r="L6" s="27">
        <v>0</v>
      </c>
      <c r="M6" s="26" t="s">
        <v>33</v>
      </c>
      <c r="N6" s="99">
        <f t="shared" ref="N6:N20" si="4">FLOOR(R6/4,1)</f>
        <v>15</v>
      </c>
      <c r="O6" s="100">
        <f t="shared" ref="O6:O20" si="5">FLOOR(R6/5*2,1)</f>
        <v>24</v>
      </c>
      <c r="P6" s="100">
        <f t="shared" ref="P6:P20" si="6">FLOOR(R6/3*2,1)</f>
        <v>40</v>
      </c>
      <c r="Q6" s="100">
        <f t="shared" ref="Q6:Q20" si="7">FLOOR(R6/5*4,1)</f>
        <v>48</v>
      </c>
      <c r="R6" s="101">
        <v>60</v>
      </c>
      <c r="S6">
        <f t="shared" ref="S6:S20" si="8">C6+F6+E6+D6+G6+H6</f>
        <v>18</v>
      </c>
    </row>
    <row r="7" spans="2:19" x14ac:dyDescent="0.3">
      <c r="B7" s="146" t="s">
        <v>294</v>
      </c>
      <c r="C7">
        <v>3</v>
      </c>
      <c r="D7">
        <v>3</v>
      </c>
      <c r="E7">
        <v>3</v>
      </c>
      <c r="F7">
        <v>3</v>
      </c>
      <c r="G7">
        <v>3</v>
      </c>
      <c r="H7">
        <v>3</v>
      </c>
      <c r="I7" s="26" t="s">
        <v>320</v>
      </c>
      <c r="J7" s="27">
        <v>0</v>
      </c>
      <c r="K7" s="27">
        <v>0</v>
      </c>
      <c r="L7" s="27">
        <v>0</v>
      </c>
      <c r="M7" s="26" t="s">
        <v>33</v>
      </c>
      <c r="N7" s="99">
        <f t="shared" si="4"/>
        <v>17</v>
      </c>
      <c r="O7" s="100">
        <f t="shared" si="5"/>
        <v>27</v>
      </c>
      <c r="P7" s="100">
        <f t="shared" si="6"/>
        <v>45</v>
      </c>
      <c r="Q7" s="100">
        <f t="shared" si="7"/>
        <v>54</v>
      </c>
      <c r="R7" s="101">
        <v>68</v>
      </c>
      <c r="S7">
        <f t="shared" si="8"/>
        <v>18</v>
      </c>
    </row>
    <row r="8" spans="2:19" x14ac:dyDescent="0.3">
      <c r="B8" s="146" t="s">
        <v>293</v>
      </c>
      <c r="C8">
        <v>3</v>
      </c>
      <c r="D8">
        <v>3</v>
      </c>
      <c r="E8">
        <v>3</v>
      </c>
      <c r="F8">
        <v>3</v>
      </c>
      <c r="G8">
        <v>3</v>
      </c>
      <c r="H8">
        <v>3</v>
      </c>
      <c r="I8" s="26" t="s">
        <v>320</v>
      </c>
      <c r="J8" s="27">
        <v>0</v>
      </c>
      <c r="K8" s="27">
        <v>0</v>
      </c>
      <c r="L8" s="27">
        <v>0</v>
      </c>
      <c r="M8" s="26" t="s">
        <v>33</v>
      </c>
      <c r="N8" s="99">
        <f t="shared" si="4"/>
        <v>17</v>
      </c>
      <c r="O8" s="100">
        <f t="shared" si="5"/>
        <v>27</v>
      </c>
      <c r="P8" s="100">
        <f t="shared" si="6"/>
        <v>45</v>
      </c>
      <c r="Q8" s="100">
        <f t="shared" si="7"/>
        <v>54</v>
      </c>
      <c r="R8" s="101">
        <v>68</v>
      </c>
      <c r="S8">
        <f t="shared" si="8"/>
        <v>18</v>
      </c>
    </row>
    <row r="9" spans="2:19" x14ac:dyDescent="0.3">
      <c r="B9" s="146" t="s">
        <v>69</v>
      </c>
      <c r="C9">
        <v>1</v>
      </c>
      <c r="D9">
        <v>4</v>
      </c>
      <c r="E9">
        <v>4</v>
      </c>
      <c r="F9">
        <v>4</v>
      </c>
      <c r="G9">
        <v>1</v>
      </c>
      <c r="H9">
        <v>4</v>
      </c>
      <c r="I9" s="26" t="s">
        <v>318</v>
      </c>
      <c r="J9" s="27">
        <v>-1</v>
      </c>
      <c r="K9" s="27">
        <v>1</v>
      </c>
      <c r="L9" s="27">
        <v>0</v>
      </c>
      <c r="M9" s="26" t="s">
        <v>33</v>
      </c>
      <c r="N9" s="99">
        <f t="shared" si="4"/>
        <v>35</v>
      </c>
      <c r="O9" s="100">
        <f t="shared" si="5"/>
        <v>56</v>
      </c>
      <c r="P9" s="100">
        <f t="shared" si="6"/>
        <v>93</v>
      </c>
      <c r="Q9" s="100">
        <f t="shared" si="7"/>
        <v>112</v>
      </c>
      <c r="R9" s="101">
        <v>140</v>
      </c>
      <c r="S9">
        <f t="shared" si="8"/>
        <v>18</v>
      </c>
    </row>
    <row r="10" spans="2:19" x14ac:dyDescent="0.3">
      <c r="B10" s="146" t="s">
        <v>275</v>
      </c>
      <c r="C10">
        <v>1</v>
      </c>
      <c r="D10">
        <v>4</v>
      </c>
      <c r="E10">
        <v>4</v>
      </c>
      <c r="F10">
        <v>4</v>
      </c>
      <c r="G10">
        <v>1</v>
      </c>
      <c r="H10">
        <v>4</v>
      </c>
      <c r="I10" s="26" t="s">
        <v>318</v>
      </c>
      <c r="J10" s="27">
        <v>-1</v>
      </c>
      <c r="K10" s="27">
        <v>1</v>
      </c>
      <c r="L10" s="27">
        <v>0</v>
      </c>
      <c r="M10" s="26" t="s">
        <v>33</v>
      </c>
      <c r="N10" s="99">
        <f t="shared" si="4"/>
        <v>35</v>
      </c>
      <c r="O10" s="100">
        <f t="shared" si="5"/>
        <v>56</v>
      </c>
      <c r="P10" s="100">
        <f t="shared" si="6"/>
        <v>93</v>
      </c>
      <c r="Q10" s="100">
        <f t="shared" si="7"/>
        <v>112</v>
      </c>
      <c r="R10" s="101">
        <v>140</v>
      </c>
      <c r="S10">
        <f t="shared" si="8"/>
        <v>18</v>
      </c>
    </row>
    <row r="11" spans="2:19" ht="12.75" customHeight="1" x14ac:dyDescent="0.3">
      <c r="B11" s="146" t="s">
        <v>70</v>
      </c>
      <c r="C11">
        <v>0</v>
      </c>
      <c r="D11">
        <v>4</v>
      </c>
      <c r="E11">
        <v>5</v>
      </c>
      <c r="F11">
        <v>1</v>
      </c>
      <c r="G11">
        <v>5</v>
      </c>
      <c r="H11">
        <v>3</v>
      </c>
      <c r="I11" s="26" t="s">
        <v>320</v>
      </c>
      <c r="J11" s="27">
        <v>0</v>
      </c>
      <c r="K11" s="27">
        <v>0</v>
      </c>
      <c r="L11" s="27">
        <v>0</v>
      </c>
      <c r="M11" s="26" t="s">
        <v>78</v>
      </c>
      <c r="N11" s="99">
        <f t="shared" si="4"/>
        <v>22</v>
      </c>
      <c r="O11" s="100">
        <f t="shared" si="5"/>
        <v>35</v>
      </c>
      <c r="P11" s="100">
        <f t="shared" si="6"/>
        <v>58</v>
      </c>
      <c r="Q11" s="100">
        <f t="shared" si="7"/>
        <v>70</v>
      </c>
      <c r="R11" s="101">
        <v>88</v>
      </c>
      <c r="S11">
        <f t="shared" si="8"/>
        <v>18</v>
      </c>
    </row>
    <row r="12" spans="2:19" x14ac:dyDescent="0.3">
      <c r="B12" s="146" t="s">
        <v>276</v>
      </c>
      <c r="C12">
        <v>0</v>
      </c>
      <c r="D12">
        <v>4</v>
      </c>
      <c r="E12">
        <v>5</v>
      </c>
      <c r="F12">
        <v>1</v>
      </c>
      <c r="G12">
        <v>5</v>
      </c>
      <c r="H12">
        <v>3</v>
      </c>
      <c r="I12" s="26" t="s">
        <v>320</v>
      </c>
      <c r="J12" s="27">
        <v>0</v>
      </c>
      <c r="K12" s="27">
        <v>0</v>
      </c>
      <c r="L12" s="27">
        <v>0</v>
      </c>
      <c r="M12" s="26" t="s">
        <v>78</v>
      </c>
      <c r="N12" s="99">
        <f t="shared" si="4"/>
        <v>22</v>
      </c>
      <c r="O12" s="100">
        <f t="shared" si="5"/>
        <v>35</v>
      </c>
      <c r="P12" s="100">
        <f t="shared" si="6"/>
        <v>58</v>
      </c>
      <c r="Q12" s="100">
        <f t="shared" si="7"/>
        <v>70</v>
      </c>
      <c r="R12" s="101">
        <v>88</v>
      </c>
      <c r="S12">
        <f t="shared" si="8"/>
        <v>18</v>
      </c>
    </row>
    <row r="13" spans="2:19" x14ac:dyDescent="0.3">
      <c r="B13" s="146" t="s">
        <v>71</v>
      </c>
      <c r="C13">
        <v>6</v>
      </c>
      <c r="D13">
        <v>4</v>
      </c>
      <c r="E13">
        <v>1</v>
      </c>
      <c r="F13">
        <v>0</v>
      </c>
      <c r="G13">
        <v>4</v>
      </c>
      <c r="H13">
        <v>1</v>
      </c>
      <c r="I13" s="26" t="s">
        <v>320</v>
      </c>
      <c r="J13" s="27">
        <v>0</v>
      </c>
      <c r="K13" s="27">
        <v>-1</v>
      </c>
      <c r="L13" s="27">
        <v>0</v>
      </c>
      <c r="M13" s="26" t="s">
        <v>34</v>
      </c>
      <c r="N13" s="99">
        <f t="shared" si="4"/>
        <v>13</v>
      </c>
      <c r="O13" s="100">
        <f t="shared" si="5"/>
        <v>22</v>
      </c>
      <c r="P13" s="100">
        <f t="shared" si="6"/>
        <v>36</v>
      </c>
      <c r="Q13" s="100">
        <f t="shared" si="7"/>
        <v>44</v>
      </c>
      <c r="R13" s="101">
        <v>55</v>
      </c>
      <c r="S13">
        <f t="shared" si="8"/>
        <v>16</v>
      </c>
    </row>
    <row r="14" spans="2:19" x14ac:dyDescent="0.3">
      <c r="B14" s="146" t="s">
        <v>277</v>
      </c>
      <c r="C14">
        <v>6</v>
      </c>
      <c r="D14">
        <v>4</v>
      </c>
      <c r="E14">
        <v>1</v>
      </c>
      <c r="F14">
        <v>0</v>
      </c>
      <c r="G14">
        <v>4</v>
      </c>
      <c r="H14">
        <v>1</v>
      </c>
      <c r="I14" s="26" t="s">
        <v>320</v>
      </c>
      <c r="J14" s="27">
        <v>0</v>
      </c>
      <c r="K14" s="27">
        <v>-1</v>
      </c>
      <c r="L14" s="27">
        <v>0</v>
      </c>
      <c r="M14" s="26" t="s">
        <v>34</v>
      </c>
      <c r="N14" s="99">
        <f t="shared" si="4"/>
        <v>13</v>
      </c>
      <c r="O14" s="100">
        <f t="shared" si="5"/>
        <v>22</v>
      </c>
      <c r="P14" s="100">
        <f t="shared" si="6"/>
        <v>36</v>
      </c>
      <c r="Q14" s="100">
        <f t="shared" si="7"/>
        <v>44</v>
      </c>
      <c r="R14" s="101">
        <v>55</v>
      </c>
      <c r="S14">
        <f t="shared" si="8"/>
        <v>16</v>
      </c>
    </row>
    <row r="15" spans="2:19" x14ac:dyDescent="0.3">
      <c r="B15" s="146" t="s">
        <v>573</v>
      </c>
      <c r="C15">
        <v>6</v>
      </c>
      <c r="D15">
        <v>2</v>
      </c>
      <c r="E15">
        <v>2</v>
      </c>
      <c r="F15">
        <v>1</v>
      </c>
      <c r="G15">
        <v>4</v>
      </c>
      <c r="H15">
        <v>3</v>
      </c>
      <c r="I15" s="26" t="s">
        <v>317</v>
      </c>
      <c r="J15" s="27">
        <v>2</v>
      </c>
      <c r="K15" s="27">
        <v>0</v>
      </c>
      <c r="L15" s="27">
        <v>0</v>
      </c>
      <c r="M15" s="26" t="s">
        <v>34</v>
      </c>
      <c r="N15" s="99">
        <f t="shared" si="4"/>
        <v>15</v>
      </c>
      <c r="O15" s="100">
        <f t="shared" si="5"/>
        <v>24</v>
      </c>
      <c r="P15" s="100">
        <f t="shared" si="6"/>
        <v>40</v>
      </c>
      <c r="Q15" s="100">
        <f t="shared" si="7"/>
        <v>48</v>
      </c>
      <c r="R15" s="101">
        <v>60</v>
      </c>
      <c r="S15">
        <f t="shared" si="8"/>
        <v>18</v>
      </c>
    </row>
    <row r="16" spans="2:19" x14ac:dyDescent="0.3">
      <c r="B16" s="146" t="s">
        <v>574</v>
      </c>
      <c r="C16">
        <v>6</v>
      </c>
      <c r="D16">
        <v>2</v>
      </c>
      <c r="E16">
        <v>2</v>
      </c>
      <c r="F16">
        <v>1</v>
      </c>
      <c r="G16">
        <v>4</v>
      </c>
      <c r="H16">
        <v>3</v>
      </c>
      <c r="I16" s="26" t="s">
        <v>317</v>
      </c>
      <c r="J16" s="27">
        <v>2</v>
      </c>
      <c r="K16" s="27">
        <v>0</v>
      </c>
      <c r="L16" s="27">
        <v>0</v>
      </c>
      <c r="M16" s="26" t="s">
        <v>34</v>
      </c>
      <c r="N16" s="99">
        <f t="shared" si="4"/>
        <v>15</v>
      </c>
      <c r="O16" s="100">
        <f t="shared" si="5"/>
        <v>24</v>
      </c>
      <c r="P16" s="100">
        <f t="shared" si="6"/>
        <v>40</v>
      </c>
      <c r="Q16" s="100">
        <f t="shared" si="7"/>
        <v>48</v>
      </c>
      <c r="R16" s="101">
        <v>60</v>
      </c>
      <c r="S16">
        <f t="shared" si="8"/>
        <v>18</v>
      </c>
    </row>
    <row r="17" spans="2:19" x14ac:dyDescent="0.3">
      <c r="B17" s="146" t="s">
        <v>453</v>
      </c>
      <c r="C17">
        <v>2</v>
      </c>
      <c r="D17">
        <v>4</v>
      </c>
      <c r="E17">
        <v>3</v>
      </c>
      <c r="F17">
        <v>4</v>
      </c>
      <c r="G17">
        <v>2</v>
      </c>
      <c r="H17">
        <v>3</v>
      </c>
      <c r="I17" s="26" t="s">
        <v>318</v>
      </c>
      <c r="J17" s="27">
        <v>0</v>
      </c>
      <c r="K17" s="27">
        <v>0</v>
      </c>
      <c r="L17" s="27">
        <v>2</v>
      </c>
      <c r="M17" s="26" t="s">
        <v>33</v>
      </c>
      <c r="N17" s="99">
        <f t="shared" si="4"/>
        <v>18</v>
      </c>
      <c r="O17" s="100">
        <f t="shared" si="5"/>
        <v>30</v>
      </c>
      <c r="P17" s="100">
        <f t="shared" si="6"/>
        <v>50</v>
      </c>
      <c r="Q17" s="100">
        <f t="shared" si="7"/>
        <v>60</v>
      </c>
      <c r="R17" s="101">
        <v>75</v>
      </c>
      <c r="S17">
        <f t="shared" si="8"/>
        <v>18</v>
      </c>
    </row>
    <row r="18" spans="2:19" x14ac:dyDescent="0.3">
      <c r="B18" s="146" t="s">
        <v>454</v>
      </c>
      <c r="C18">
        <v>2</v>
      </c>
      <c r="D18">
        <v>4</v>
      </c>
      <c r="E18">
        <v>3</v>
      </c>
      <c r="F18">
        <v>4</v>
      </c>
      <c r="G18">
        <v>2</v>
      </c>
      <c r="H18">
        <v>3</v>
      </c>
      <c r="I18" s="26" t="s">
        <v>318</v>
      </c>
      <c r="J18" s="27">
        <v>0</v>
      </c>
      <c r="K18" s="27">
        <v>0</v>
      </c>
      <c r="L18" s="27">
        <v>2</v>
      </c>
      <c r="M18" s="26" t="s">
        <v>33</v>
      </c>
      <c r="N18" s="99">
        <f t="shared" si="4"/>
        <v>18</v>
      </c>
      <c r="O18" s="100">
        <f t="shared" si="5"/>
        <v>30</v>
      </c>
      <c r="P18" s="100">
        <f t="shared" si="6"/>
        <v>50</v>
      </c>
      <c r="Q18" s="100">
        <f t="shared" si="7"/>
        <v>60</v>
      </c>
      <c r="R18" s="101">
        <v>75</v>
      </c>
      <c r="S18">
        <f t="shared" si="8"/>
        <v>18</v>
      </c>
    </row>
    <row r="19" spans="2:19" x14ac:dyDescent="0.3">
      <c r="B19" s="146" t="s">
        <v>278</v>
      </c>
      <c r="C19">
        <v>3</v>
      </c>
      <c r="D19">
        <v>2</v>
      </c>
      <c r="E19">
        <v>4</v>
      </c>
      <c r="F19">
        <v>3</v>
      </c>
      <c r="G19">
        <v>4</v>
      </c>
      <c r="H19">
        <v>2</v>
      </c>
      <c r="I19" s="26" t="s">
        <v>322</v>
      </c>
      <c r="J19" s="27">
        <v>1</v>
      </c>
      <c r="K19" s="27">
        <v>-1</v>
      </c>
      <c r="L19" s="27">
        <v>-1</v>
      </c>
      <c r="M19" s="26" t="s">
        <v>78</v>
      </c>
      <c r="N19" s="99">
        <f t="shared" si="4"/>
        <v>27</v>
      </c>
      <c r="O19" s="100">
        <f t="shared" si="5"/>
        <v>44</v>
      </c>
      <c r="P19" s="100">
        <f t="shared" si="6"/>
        <v>73</v>
      </c>
      <c r="Q19" s="100">
        <f t="shared" si="7"/>
        <v>88</v>
      </c>
      <c r="R19" s="101">
        <v>110</v>
      </c>
      <c r="S19">
        <f t="shared" si="8"/>
        <v>18</v>
      </c>
    </row>
    <row r="20" spans="2:19" x14ac:dyDescent="0.3">
      <c r="B20" s="146" t="s">
        <v>59</v>
      </c>
      <c r="C20">
        <v>3</v>
      </c>
      <c r="D20">
        <v>2</v>
      </c>
      <c r="E20">
        <v>4</v>
      </c>
      <c r="F20">
        <v>3</v>
      </c>
      <c r="G20">
        <v>4</v>
      </c>
      <c r="H20">
        <v>2</v>
      </c>
      <c r="I20" s="26" t="s">
        <v>322</v>
      </c>
      <c r="J20" s="27">
        <v>1</v>
      </c>
      <c r="K20" s="27">
        <v>-1</v>
      </c>
      <c r="L20" s="27">
        <v>-1</v>
      </c>
      <c r="M20" s="26" t="s">
        <v>78</v>
      </c>
      <c r="N20" s="99">
        <f t="shared" si="4"/>
        <v>33</v>
      </c>
      <c r="O20" s="100">
        <f t="shared" si="5"/>
        <v>54</v>
      </c>
      <c r="P20" s="100">
        <f t="shared" si="6"/>
        <v>90</v>
      </c>
      <c r="Q20" s="100">
        <f t="shared" si="7"/>
        <v>108</v>
      </c>
      <c r="R20" s="101">
        <v>135</v>
      </c>
      <c r="S20">
        <f t="shared" si="8"/>
        <v>18</v>
      </c>
    </row>
    <row r="21" spans="2:19" x14ac:dyDescent="0.3">
      <c r="N21" s="63" t="e">
        <f>LOOKUP('1-Postava'!#REF!,$B$5:$B$20,N5:N20)</f>
        <v>#REF!</v>
      </c>
      <c r="O21" s="63" t="e">
        <f>LOOKUP('1-Postava'!#REF!,$B$5:$B$20,O5:O20)</f>
        <v>#REF!</v>
      </c>
      <c r="P21" s="63" t="e">
        <f>LOOKUP('1-Postava'!#REF!,$B$5:$B$20,P5:P20)</f>
        <v>#REF!</v>
      </c>
      <c r="Q21" s="63" t="e">
        <f>LOOKUP('1-Postava'!#REF!,$B$5:$B$20,Q5:Q20)</f>
        <v>#REF!</v>
      </c>
      <c r="R21" s="63" t="e">
        <f>LOOKUP('1-Postava'!#REF!,$B$5:$B$20,R5:R20)</f>
        <v>#REF!</v>
      </c>
    </row>
    <row r="23" spans="2:19" x14ac:dyDescent="0.3">
      <c r="B23" s="26" t="s">
        <v>46</v>
      </c>
    </row>
    <row r="24" spans="2:19" x14ac:dyDescent="0.3">
      <c r="B24" t="s">
        <v>317</v>
      </c>
    </row>
    <row r="25" spans="2:19" x14ac:dyDescent="0.3">
      <c r="B25" t="s">
        <v>318</v>
      </c>
    </row>
    <row r="26" spans="2:19" x14ac:dyDescent="0.3">
      <c r="B26" t="s">
        <v>319</v>
      </c>
    </row>
    <row r="27" spans="2:19" x14ac:dyDescent="0.3">
      <c r="B27" t="s">
        <v>320</v>
      </c>
    </row>
    <row r="28" spans="2:19" x14ac:dyDescent="0.3">
      <c r="B28" t="s">
        <v>321</v>
      </c>
    </row>
    <row r="29" spans="2:19" x14ac:dyDescent="0.3">
      <c r="B29" t="s">
        <v>322</v>
      </c>
    </row>
    <row r="30" spans="2:19" x14ac:dyDescent="0.3">
      <c r="B30" t="s">
        <v>323</v>
      </c>
    </row>
    <row r="31" spans="2:19" x14ac:dyDescent="0.3">
      <c r="B31" t="s">
        <v>324</v>
      </c>
    </row>
  </sheetData>
  <sortState ref="B5:AE20">
    <sortCondition ref="B5:B20"/>
  </sortState>
  <dataValidations count="1">
    <dataValidation type="list" allowBlank="1" showInputMessage="1" showErrorMessage="1" sqref="I5:I20">
      <formula1>$B$24:$B$31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theme="0" tint="-0.249977111117893"/>
  </sheetPr>
  <dimension ref="A1:J45"/>
  <sheetViews>
    <sheetView workbookViewId="0">
      <pane ySplit="3" topLeftCell="A4" activePane="bottomLeft" state="frozen"/>
      <selection activeCell="Y8" sqref="Y8"/>
      <selection pane="bottomLeft" activeCell="I20" sqref="I20"/>
    </sheetView>
  </sheetViews>
  <sheetFormatPr defaultRowHeight="14.4" x14ac:dyDescent="0.3"/>
  <cols>
    <col min="1" max="1" width="16" customWidth="1"/>
    <col min="2" max="2" width="11.88671875" customWidth="1"/>
    <col min="3" max="3" width="4.33203125" customWidth="1"/>
    <col min="4" max="4" width="5.6640625" bestFit="1" customWidth="1"/>
    <col min="5" max="5" width="5.33203125" bestFit="1" customWidth="1"/>
    <col min="6" max="6" width="5" bestFit="1" customWidth="1"/>
    <col min="7" max="8" width="5.5546875" bestFit="1" customWidth="1"/>
    <col min="9" max="9" width="5.5546875" customWidth="1"/>
    <col min="10" max="10" width="6.44140625" style="156" bestFit="1" customWidth="1"/>
  </cols>
  <sheetData>
    <row r="1" spans="1:10" ht="23.4" x14ac:dyDescent="0.45">
      <c r="A1" s="104" t="s">
        <v>73</v>
      </c>
    </row>
    <row r="2" spans="1:10" x14ac:dyDescent="0.3">
      <c r="C2" s="375" t="s">
        <v>417</v>
      </c>
      <c r="D2" s="376"/>
      <c r="E2" s="376"/>
      <c r="F2" s="376"/>
      <c r="G2" s="376"/>
      <c r="H2" s="377"/>
      <c r="I2" s="256"/>
      <c r="J2" s="161"/>
    </row>
    <row r="3" spans="1:10" x14ac:dyDescent="0.3">
      <c r="A3" t="s">
        <v>21</v>
      </c>
      <c r="B3" t="s">
        <v>74</v>
      </c>
      <c r="C3" s="105" t="s">
        <v>47</v>
      </c>
      <c r="D3" s="106" t="s">
        <v>50</v>
      </c>
      <c r="E3" s="106" t="s">
        <v>56</v>
      </c>
      <c r="F3" s="106" t="s">
        <v>49</v>
      </c>
      <c r="G3" s="106" t="s">
        <v>54</v>
      </c>
      <c r="H3" s="107" t="s">
        <v>45</v>
      </c>
      <c r="I3" s="161" t="s">
        <v>955</v>
      </c>
      <c r="J3" s="161" t="s">
        <v>416</v>
      </c>
    </row>
    <row r="4" spans="1:10" x14ac:dyDescent="0.3">
      <c r="A4" s="26" t="s">
        <v>72</v>
      </c>
      <c r="B4" t="s">
        <v>57</v>
      </c>
      <c r="C4" s="160">
        <v>0</v>
      </c>
      <c r="D4" s="66">
        <v>0</v>
      </c>
      <c r="E4" s="66">
        <v>0</v>
      </c>
      <c r="F4" s="66">
        <v>0</v>
      </c>
      <c r="G4" s="57">
        <v>0</v>
      </c>
      <c r="H4" s="96">
        <v>0</v>
      </c>
      <c r="I4" s="379">
        <v>0</v>
      </c>
      <c r="J4" s="177">
        <v>0</v>
      </c>
    </row>
    <row r="5" spans="1:10" x14ac:dyDescent="0.3">
      <c r="A5" s="26" t="s">
        <v>299</v>
      </c>
      <c r="B5" t="s">
        <v>55</v>
      </c>
      <c r="C5" s="8">
        <v>2</v>
      </c>
      <c r="D5" s="66">
        <v>3</v>
      </c>
      <c r="E5" s="66">
        <v>0</v>
      </c>
      <c r="F5" s="66">
        <v>1</v>
      </c>
      <c r="G5" s="57">
        <v>0</v>
      </c>
      <c r="H5" s="96">
        <v>0</v>
      </c>
      <c r="I5" s="379">
        <v>0</v>
      </c>
      <c r="J5" s="178">
        <v>8</v>
      </c>
    </row>
    <row r="6" spans="1:10" x14ac:dyDescent="0.3">
      <c r="A6" s="26" t="s">
        <v>296</v>
      </c>
      <c r="B6" t="s">
        <v>55</v>
      </c>
      <c r="C6" s="8">
        <v>2</v>
      </c>
      <c r="D6" s="66">
        <v>3</v>
      </c>
      <c r="E6" s="66">
        <v>0</v>
      </c>
      <c r="F6" s="66">
        <v>1</v>
      </c>
      <c r="G6" s="57">
        <v>0</v>
      </c>
      <c r="H6" s="96">
        <v>0</v>
      </c>
      <c r="I6" s="379">
        <v>0</v>
      </c>
      <c r="J6" s="178">
        <v>8</v>
      </c>
    </row>
    <row r="7" spans="1:10" ht="13.5" customHeight="1" x14ac:dyDescent="0.3">
      <c r="A7" s="26" t="s">
        <v>298</v>
      </c>
      <c r="B7" t="s">
        <v>64</v>
      </c>
      <c r="C7" s="160">
        <v>0</v>
      </c>
      <c r="D7" s="57">
        <v>0</v>
      </c>
      <c r="E7" s="66">
        <v>2</v>
      </c>
      <c r="F7" s="57">
        <v>3</v>
      </c>
      <c r="G7" s="57">
        <v>1</v>
      </c>
      <c r="H7" s="96">
        <v>0</v>
      </c>
      <c r="I7" s="379">
        <v>18</v>
      </c>
      <c r="J7" s="178">
        <v>8</v>
      </c>
    </row>
    <row r="8" spans="1:10" ht="13.5" customHeight="1" x14ac:dyDescent="0.3">
      <c r="A8" s="26" t="s">
        <v>418</v>
      </c>
      <c r="B8" t="s">
        <v>60</v>
      </c>
      <c r="C8" s="8">
        <v>0</v>
      </c>
      <c r="D8" s="66">
        <v>0</v>
      </c>
      <c r="E8" s="66">
        <v>3</v>
      </c>
      <c r="F8" s="66">
        <v>2</v>
      </c>
      <c r="G8" s="66">
        <v>1</v>
      </c>
      <c r="H8" s="96">
        <v>0</v>
      </c>
      <c r="I8" s="379">
        <v>0</v>
      </c>
      <c r="J8" s="178">
        <v>8</v>
      </c>
    </row>
    <row r="9" spans="1:10" ht="13.5" customHeight="1" x14ac:dyDescent="0.3">
      <c r="A9" s="26" t="s">
        <v>419</v>
      </c>
      <c r="B9" t="s">
        <v>60</v>
      </c>
      <c r="C9" s="8">
        <v>0</v>
      </c>
      <c r="D9" s="66">
        <v>0</v>
      </c>
      <c r="E9" s="66">
        <v>3</v>
      </c>
      <c r="F9" s="66">
        <v>2</v>
      </c>
      <c r="G9" s="66">
        <v>1</v>
      </c>
      <c r="H9" s="96">
        <v>0</v>
      </c>
      <c r="I9" s="379">
        <v>0</v>
      </c>
      <c r="J9" s="178">
        <v>8</v>
      </c>
    </row>
    <row r="10" spans="1:10" x14ac:dyDescent="0.3">
      <c r="A10" s="26" t="s">
        <v>51</v>
      </c>
      <c r="B10" t="s">
        <v>55</v>
      </c>
      <c r="C10" s="8">
        <v>0</v>
      </c>
      <c r="D10" s="57">
        <v>1</v>
      </c>
      <c r="E10" s="57">
        <v>2</v>
      </c>
      <c r="F10" s="57">
        <v>0</v>
      </c>
      <c r="G10" s="57">
        <v>0</v>
      </c>
      <c r="H10" s="96">
        <v>3</v>
      </c>
      <c r="I10" s="379">
        <v>0</v>
      </c>
      <c r="J10" s="178">
        <v>8</v>
      </c>
    </row>
    <row r="11" spans="1:10" x14ac:dyDescent="0.3">
      <c r="A11" s="26" t="s">
        <v>280</v>
      </c>
      <c r="B11" t="s">
        <v>48</v>
      </c>
      <c r="C11" s="8">
        <v>4</v>
      </c>
      <c r="D11" s="57">
        <v>1</v>
      </c>
      <c r="E11" s="57">
        <v>1</v>
      </c>
      <c r="F11" s="57">
        <v>0</v>
      </c>
      <c r="G11" s="57">
        <v>0</v>
      </c>
      <c r="H11" s="96">
        <v>0</v>
      </c>
      <c r="I11" s="379">
        <v>0</v>
      </c>
      <c r="J11" s="178">
        <v>16</v>
      </c>
    </row>
    <row r="12" spans="1:10" x14ac:dyDescent="0.3">
      <c r="A12" s="26" t="s">
        <v>75</v>
      </c>
      <c r="B12" t="s">
        <v>48</v>
      </c>
      <c r="C12" s="8">
        <v>4</v>
      </c>
      <c r="D12" s="57">
        <v>1</v>
      </c>
      <c r="E12" s="57">
        <v>1</v>
      </c>
      <c r="F12" s="66">
        <v>0</v>
      </c>
      <c r="G12" s="66">
        <v>0</v>
      </c>
      <c r="H12" s="96">
        <v>0</v>
      </c>
      <c r="I12" s="379">
        <v>0</v>
      </c>
      <c r="J12" s="178">
        <v>16</v>
      </c>
    </row>
    <row r="13" spans="1:10" x14ac:dyDescent="0.3">
      <c r="A13" s="26" t="s">
        <v>79</v>
      </c>
      <c r="B13" t="s">
        <v>58</v>
      </c>
      <c r="C13" s="8">
        <v>0</v>
      </c>
      <c r="D13" s="66">
        <v>0</v>
      </c>
      <c r="E13" s="66">
        <v>0</v>
      </c>
      <c r="F13" s="66">
        <v>3</v>
      </c>
      <c r="G13" s="66">
        <v>1</v>
      </c>
      <c r="H13" s="96">
        <v>2</v>
      </c>
      <c r="I13" s="379">
        <v>24</v>
      </c>
      <c r="J13" s="178">
        <v>8</v>
      </c>
    </row>
    <row r="14" spans="1:10" x14ac:dyDescent="0.3">
      <c r="A14" s="26" t="s">
        <v>281</v>
      </c>
      <c r="B14" t="s">
        <v>58</v>
      </c>
      <c r="C14" s="8">
        <v>0</v>
      </c>
      <c r="D14" s="66">
        <v>0</v>
      </c>
      <c r="E14" s="66">
        <v>0</v>
      </c>
      <c r="F14" s="66">
        <v>3</v>
      </c>
      <c r="G14" s="66">
        <v>1</v>
      </c>
      <c r="H14" s="96">
        <v>2</v>
      </c>
      <c r="I14" s="379">
        <v>24</v>
      </c>
      <c r="J14" s="178">
        <v>8</v>
      </c>
    </row>
    <row r="15" spans="1:10" x14ac:dyDescent="0.3">
      <c r="A15" s="26" t="s">
        <v>85</v>
      </c>
      <c r="B15" t="s">
        <v>64</v>
      </c>
      <c r="C15" s="160">
        <v>0</v>
      </c>
      <c r="D15" s="57">
        <v>0</v>
      </c>
      <c r="E15" s="66">
        <v>2</v>
      </c>
      <c r="F15" s="57">
        <v>3</v>
      </c>
      <c r="G15" s="57">
        <v>1</v>
      </c>
      <c r="H15" s="96">
        <v>0</v>
      </c>
      <c r="I15" s="379">
        <v>18</v>
      </c>
      <c r="J15" s="178">
        <v>8</v>
      </c>
    </row>
    <row r="16" spans="1:10" x14ac:dyDescent="0.3">
      <c r="A16" s="26" t="s">
        <v>90</v>
      </c>
      <c r="B16" t="s">
        <v>88</v>
      </c>
      <c r="C16" s="8">
        <v>0</v>
      </c>
      <c r="D16" s="66">
        <v>0</v>
      </c>
      <c r="E16" s="66">
        <v>0</v>
      </c>
      <c r="F16" s="66">
        <v>3</v>
      </c>
      <c r="G16" s="66">
        <v>2</v>
      </c>
      <c r="H16" s="96">
        <v>1</v>
      </c>
      <c r="I16" s="379">
        <v>18</v>
      </c>
      <c r="J16" s="178">
        <v>8</v>
      </c>
    </row>
    <row r="17" spans="1:10" x14ac:dyDescent="0.3">
      <c r="A17" s="26" t="s">
        <v>282</v>
      </c>
      <c r="B17" t="s">
        <v>88</v>
      </c>
      <c r="C17" s="8">
        <v>0</v>
      </c>
      <c r="D17" s="66">
        <v>0</v>
      </c>
      <c r="E17" s="66">
        <v>0</v>
      </c>
      <c r="F17" s="66">
        <v>3</v>
      </c>
      <c r="G17" s="66">
        <v>2</v>
      </c>
      <c r="H17" s="96">
        <v>1</v>
      </c>
      <c r="I17" s="379">
        <v>18</v>
      </c>
      <c r="J17" s="178">
        <v>8</v>
      </c>
    </row>
    <row r="18" spans="1:10" x14ac:dyDescent="0.3">
      <c r="A18" s="26" t="s">
        <v>87</v>
      </c>
      <c r="B18" t="s">
        <v>88</v>
      </c>
      <c r="C18" s="8">
        <v>0</v>
      </c>
      <c r="D18" s="66">
        <v>0</v>
      </c>
      <c r="E18" s="66">
        <v>0</v>
      </c>
      <c r="F18" s="66">
        <v>1</v>
      </c>
      <c r="G18" s="66">
        <v>2</v>
      </c>
      <c r="H18" s="96">
        <v>3</v>
      </c>
      <c r="I18" s="379">
        <v>18</v>
      </c>
      <c r="J18" s="178">
        <v>8</v>
      </c>
    </row>
    <row r="19" spans="1:10" x14ac:dyDescent="0.3">
      <c r="A19" s="26" t="s">
        <v>283</v>
      </c>
      <c r="B19" t="s">
        <v>88</v>
      </c>
      <c r="C19" s="8">
        <v>0</v>
      </c>
      <c r="D19" s="66">
        <v>0</v>
      </c>
      <c r="E19" s="66">
        <v>0</v>
      </c>
      <c r="F19" s="66">
        <v>1</v>
      </c>
      <c r="G19" s="66">
        <v>2</v>
      </c>
      <c r="H19" s="96">
        <v>3</v>
      </c>
      <c r="I19" s="379">
        <v>18</v>
      </c>
      <c r="J19" s="178">
        <v>8</v>
      </c>
    </row>
    <row r="20" spans="1:10" x14ac:dyDescent="0.3">
      <c r="A20" s="26" t="s">
        <v>235</v>
      </c>
      <c r="B20" t="s">
        <v>64</v>
      </c>
      <c r="C20" s="8">
        <v>0</v>
      </c>
      <c r="D20" s="66">
        <v>0</v>
      </c>
      <c r="E20" s="66">
        <v>2</v>
      </c>
      <c r="F20" s="66">
        <v>3</v>
      </c>
      <c r="G20" s="66">
        <v>0</v>
      </c>
      <c r="H20" s="96">
        <v>1</v>
      </c>
      <c r="I20" s="379">
        <v>12</v>
      </c>
      <c r="J20" s="178">
        <v>8</v>
      </c>
    </row>
    <row r="21" spans="1:10" x14ac:dyDescent="0.3">
      <c r="A21" s="26" t="s">
        <v>82</v>
      </c>
      <c r="B21" t="s">
        <v>55</v>
      </c>
      <c r="C21" s="8">
        <v>0</v>
      </c>
      <c r="D21" s="66">
        <v>2</v>
      </c>
      <c r="E21" s="66">
        <v>3</v>
      </c>
      <c r="F21" s="66">
        <v>0</v>
      </c>
      <c r="G21" s="66">
        <v>1</v>
      </c>
      <c r="H21" s="96">
        <v>0</v>
      </c>
      <c r="I21" s="379">
        <v>0</v>
      </c>
      <c r="J21" s="178">
        <v>8</v>
      </c>
    </row>
    <row r="22" spans="1:10" x14ac:dyDescent="0.3">
      <c r="A22" s="26" t="s">
        <v>284</v>
      </c>
      <c r="B22" t="s">
        <v>55</v>
      </c>
      <c r="C22" s="8">
        <v>0</v>
      </c>
      <c r="D22" s="66">
        <v>2</v>
      </c>
      <c r="E22" s="66">
        <v>3</v>
      </c>
      <c r="F22" s="66">
        <v>0</v>
      </c>
      <c r="G22" s="66">
        <v>1</v>
      </c>
      <c r="H22" s="96">
        <v>0</v>
      </c>
      <c r="I22" s="379">
        <v>0</v>
      </c>
      <c r="J22" s="178">
        <v>8</v>
      </c>
    </row>
    <row r="23" spans="1:10" x14ac:dyDescent="0.3">
      <c r="A23" s="26" t="s">
        <v>420</v>
      </c>
      <c r="B23" t="s">
        <v>58</v>
      </c>
      <c r="C23" s="8">
        <v>0</v>
      </c>
      <c r="D23" s="66">
        <v>0</v>
      </c>
      <c r="E23" s="66">
        <v>0</v>
      </c>
      <c r="F23" s="66">
        <v>2</v>
      </c>
      <c r="G23" s="66">
        <v>2</v>
      </c>
      <c r="H23" s="96">
        <v>2</v>
      </c>
      <c r="I23" s="379">
        <v>24</v>
      </c>
      <c r="J23" s="178">
        <v>8</v>
      </c>
    </row>
    <row r="24" spans="1:10" x14ac:dyDescent="0.3">
      <c r="A24" s="26" t="s">
        <v>421</v>
      </c>
      <c r="B24" t="s">
        <v>58</v>
      </c>
      <c r="C24" s="8">
        <v>0</v>
      </c>
      <c r="D24" s="66">
        <v>0</v>
      </c>
      <c r="E24" s="66">
        <v>0</v>
      </c>
      <c r="F24" s="66">
        <v>2</v>
      </c>
      <c r="G24" s="66">
        <v>2</v>
      </c>
      <c r="H24" s="96">
        <v>2</v>
      </c>
      <c r="I24" s="379">
        <v>24</v>
      </c>
      <c r="J24" s="178">
        <v>8</v>
      </c>
    </row>
    <row r="25" spans="1:10" x14ac:dyDescent="0.3">
      <c r="A25" s="26" t="s">
        <v>80</v>
      </c>
      <c r="B25" t="s">
        <v>58</v>
      </c>
      <c r="C25" s="8">
        <v>0</v>
      </c>
      <c r="D25" s="66">
        <v>0</v>
      </c>
      <c r="E25" s="66">
        <v>1</v>
      </c>
      <c r="F25" s="66">
        <v>3</v>
      </c>
      <c r="G25" s="66">
        <v>2</v>
      </c>
      <c r="H25" s="96">
        <v>0</v>
      </c>
      <c r="I25" s="379">
        <v>24</v>
      </c>
      <c r="J25" s="178">
        <v>8</v>
      </c>
    </row>
    <row r="26" spans="1:10" x14ac:dyDescent="0.3">
      <c r="A26" s="26" t="s">
        <v>285</v>
      </c>
      <c r="B26" t="s">
        <v>58</v>
      </c>
      <c r="C26" s="8">
        <v>0</v>
      </c>
      <c r="D26" s="66">
        <v>0</v>
      </c>
      <c r="E26" s="66">
        <v>1</v>
      </c>
      <c r="F26" s="66">
        <v>3</v>
      </c>
      <c r="G26" s="66">
        <v>2</v>
      </c>
      <c r="H26" s="96">
        <v>0</v>
      </c>
      <c r="I26" s="379">
        <v>24</v>
      </c>
      <c r="J26" s="178">
        <v>8</v>
      </c>
    </row>
    <row r="27" spans="1:10" x14ac:dyDescent="0.3">
      <c r="A27" s="26" t="s">
        <v>89</v>
      </c>
      <c r="B27" t="s">
        <v>88</v>
      </c>
      <c r="C27" s="8">
        <v>2</v>
      </c>
      <c r="D27" s="66">
        <v>0</v>
      </c>
      <c r="E27" s="66">
        <v>0</v>
      </c>
      <c r="F27" s="66">
        <v>0</v>
      </c>
      <c r="G27" s="66">
        <v>3</v>
      </c>
      <c r="H27" s="96">
        <v>1</v>
      </c>
      <c r="I27" s="379">
        <v>0</v>
      </c>
      <c r="J27" s="178">
        <v>12</v>
      </c>
    </row>
    <row r="28" spans="1:10" x14ac:dyDescent="0.3">
      <c r="A28" s="26" t="s">
        <v>286</v>
      </c>
      <c r="B28" t="s">
        <v>88</v>
      </c>
      <c r="C28" s="8">
        <v>2</v>
      </c>
      <c r="D28" s="66">
        <v>0</v>
      </c>
      <c r="E28" s="66">
        <v>0</v>
      </c>
      <c r="F28" s="66">
        <v>0</v>
      </c>
      <c r="G28" s="66">
        <v>3</v>
      </c>
      <c r="H28" s="96">
        <v>1</v>
      </c>
      <c r="I28" s="379">
        <v>0</v>
      </c>
      <c r="J28" s="178">
        <v>12</v>
      </c>
    </row>
    <row r="29" spans="1:10" x14ac:dyDescent="0.3">
      <c r="A29" s="26" t="s">
        <v>84</v>
      </c>
      <c r="B29" t="s">
        <v>64</v>
      </c>
      <c r="C29" s="8">
        <v>1</v>
      </c>
      <c r="D29" s="57">
        <v>0</v>
      </c>
      <c r="E29" s="66">
        <v>3</v>
      </c>
      <c r="F29" s="66">
        <v>0</v>
      </c>
      <c r="G29" s="66">
        <v>2</v>
      </c>
      <c r="H29" s="96">
        <v>0</v>
      </c>
      <c r="I29" s="379">
        <v>12</v>
      </c>
      <c r="J29" s="178">
        <v>12</v>
      </c>
    </row>
    <row r="30" spans="1:10" x14ac:dyDescent="0.3">
      <c r="A30" s="26" t="s">
        <v>287</v>
      </c>
      <c r="B30" t="s">
        <v>64</v>
      </c>
      <c r="C30" s="8">
        <v>1</v>
      </c>
      <c r="D30" s="66">
        <v>0</v>
      </c>
      <c r="E30" s="66">
        <v>3</v>
      </c>
      <c r="F30" s="66">
        <v>0</v>
      </c>
      <c r="G30" s="66">
        <v>2</v>
      </c>
      <c r="H30" s="96">
        <v>0</v>
      </c>
      <c r="I30" s="379">
        <v>12</v>
      </c>
      <c r="J30" s="178">
        <v>12</v>
      </c>
    </row>
    <row r="31" spans="1:10" x14ac:dyDescent="0.3">
      <c r="A31" s="26" t="s">
        <v>83</v>
      </c>
      <c r="B31" t="s">
        <v>60</v>
      </c>
      <c r="C31" s="8">
        <v>0</v>
      </c>
      <c r="D31" s="66">
        <v>0</v>
      </c>
      <c r="E31" s="66">
        <v>1</v>
      </c>
      <c r="F31" s="66">
        <v>0</v>
      </c>
      <c r="G31" s="66">
        <v>3</v>
      </c>
      <c r="H31" s="96">
        <v>2</v>
      </c>
      <c r="I31" s="379">
        <v>0</v>
      </c>
      <c r="J31" s="178">
        <v>8</v>
      </c>
    </row>
    <row r="32" spans="1:10" x14ac:dyDescent="0.3">
      <c r="A32" s="26" t="s">
        <v>288</v>
      </c>
      <c r="B32" t="s">
        <v>60</v>
      </c>
      <c r="C32" s="8">
        <v>0</v>
      </c>
      <c r="D32" s="66">
        <v>0</v>
      </c>
      <c r="E32" s="66">
        <v>1</v>
      </c>
      <c r="F32" s="66">
        <v>0</v>
      </c>
      <c r="G32" s="66">
        <v>3</v>
      </c>
      <c r="H32" s="96">
        <v>2</v>
      </c>
      <c r="I32" s="379">
        <v>0</v>
      </c>
      <c r="J32" s="178">
        <v>8</v>
      </c>
    </row>
    <row r="33" spans="1:10" x14ac:dyDescent="0.3">
      <c r="A33" s="26" t="s">
        <v>76</v>
      </c>
      <c r="B33" t="s">
        <v>48</v>
      </c>
      <c r="C33" s="8">
        <v>2</v>
      </c>
      <c r="D33" s="66">
        <v>3</v>
      </c>
      <c r="E33" s="66">
        <v>0</v>
      </c>
      <c r="F33" s="66">
        <v>0</v>
      </c>
      <c r="G33" s="66">
        <v>0</v>
      </c>
      <c r="H33" s="96">
        <v>1</v>
      </c>
      <c r="I33" s="379">
        <v>0</v>
      </c>
      <c r="J33" s="178">
        <v>16</v>
      </c>
    </row>
    <row r="34" spans="1:10" x14ac:dyDescent="0.3">
      <c r="A34" s="26" t="s">
        <v>289</v>
      </c>
      <c r="B34" t="s">
        <v>48</v>
      </c>
      <c r="C34" s="8">
        <v>2</v>
      </c>
      <c r="D34" s="66">
        <v>3</v>
      </c>
      <c r="E34" s="66">
        <v>0</v>
      </c>
      <c r="F34" s="66">
        <v>0</v>
      </c>
      <c r="G34" s="66">
        <v>0</v>
      </c>
      <c r="H34" s="96">
        <v>1</v>
      </c>
      <c r="I34" s="379">
        <v>0</v>
      </c>
      <c r="J34" s="178">
        <v>16</v>
      </c>
    </row>
    <row r="35" spans="1:10" x14ac:dyDescent="0.3">
      <c r="A35" s="26" t="s">
        <v>290</v>
      </c>
      <c r="B35" t="s">
        <v>58</v>
      </c>
      <c r="C35" s="8">
        <v>0</v>
      </c>
      <c r="D35" s="66">
        <v>0</v>
      </c>
      <c r="E35" s="66">
        <v>0</v>
      </c>
      <c r="F35" s="66">
        <v>1</v>
      </c>
      <c r="G35" s="66">
        <v>3</v>
      </c>
      <c r="H35" s="96">
        <v>2</v>
      </c>
      <c r="I35" s="379">
        <v>24</v>
      </c>
      <c r="J35" s="178">
        <v>8</v>
      </c>
    </row>
    <row r="36" spans="1:10" x14ac:dyDescent="0.3">
      <c r="A36" s="26" t="s">
        <v>81</v>
      </c>
      <c r="B36" t="s">
        <v>58</v>
      </c>
      <c r="C36" s="8">
        <v>0</v>
      </c>
      <c r="D36" s="66">
        <v>0</v>
      </c>
      <c r="E36" s="66">
        <v>0</v>
      </c>
      <c r="F36" s="66">
        <v>1</v>
      </c>
      <c r="G36" s="66">
        <v>3</v>
      </c>
      <c r="H36" s="96">
        <v>2</v>
      </c>
      <c r="I36" s="379">
        <v>24</v>
      </c>
      <c r="J36" s="178">
        <v>8</v>
      </c>
    </row>
    <row r="37" spans="1:10" x14ac:dyDescent="0.3">
      <c r="A37" s="26" t="s">
        <v>62</v>
      </c>
      <c r="B37" t="s">
        <v>60</v>
      </c>
      <c r="C37" s="8">
        <v>0</v>
      </c>
      <c r="D37" s="66">
        <v>0</v>
      </c>
      <c r="E37" s="66">
        <v>1</v>
      </c>
      <c r="F37" s="66">
        <v>4</v>
      </c>
      <c r="G37" s="66">
        <v>0</v>
      </c>
      <c r="H37" s="96">
        <v>1</v>
      </c>
      <c r="I37" s="379">
        <v>0</v>
      </c>
      <c r="J37" s="178">
        <v>8</v>
      </c>
    </row>
    <row r="38" spans="1:10" x14ac:dyDescent="0.3">
      <c r="A38" s="26" t="s">
        <v>300</v>
      </c>
      <c r="B38" t="s">
        <v>60</v>
      </c>
      <c r="C38" s="8">
        <v>0</v>
      </c>
      <c r="D38" s="66">
        <v>0</v>
      </c>
      <c r="E38" s="66">
        <v>1</v>
      </c>
      <c r="F38" s="66">
        <v>4</v>
      </c>
      <c r="G38" s="66">
        <v>0</v>
      </c>
      <c r="H38" s="96">
        <v>1</v>
      </c>
      <c r="I38" s="379">
        <v>0</v>
      </c>
      <c r="J38" s="178">
        <v>8</v>
      </c>
    </row>
    <row r="39" spans="1:10" x14ac:dyDescent="0.3">
      <c r="A39" s="26" t="s">
        <v>279</v>
      </c>
      <c r="B39" t="s">
        <v>55</v>
      </c>
      <c r="C39" s="8">
        <v>0</v>
      </c>
      <c r="D39" s="66">
        <v>1</v>
      </c>
      <c r="E39" s="66">
        <v>2</v>
      </c>
      <c r="F39" s="66">
        <v>0</v>
      </c>
      <c r="G39" s="66">
        <v>0</v>
      </c>
      <c r="H39" s="96">
        <v>3</v>
      </c>
      <c r="I39" s="379">
        <v>0</v>
      </c>
      <c r="J39" s="178">
        <v>8</v>
      </c>
    </row>
    <row r="40" spans="1:10" x14ac:dyDescent="0.3">
      <c r="A40" s="26" t="s">
        <v>86</v>
      </c>
      <c r="B40" t="s">
        <v>64</v>
      </c>
      <c r="C40" s="8">
        <v>0</v>
      </c>
      <c r="D40" s="66">
        <v>0</v>
      </c>
      <c r="E40" s="66">
        <v>2</v>
      </c>
      <c r="F40" s="66">
        <v>3</v>
      </c>
      <c r="G40" s="66">
        <v>0</v>
      </c>
      <c r="H40" s="96">
        <v>1</v>
      </c>
      <c r="I40" s="379">
        <v>12</v>
      </c>
      <c r="J40" s="178">
        <v>8</v>
      </c>
    </row>
    <row r="41" spans="1:10" x14ac:dyDescent="0.3">
      <c r="A41" s="26" t="s">
        <v>61</v>
      </c>
      <c r="B41" t="s">
        <v>64</v>
      </c>
      <c r="C41" s="8">
        <v>2</v>
      </c>
      <c r="D41" s="66">
        <v>2</v>
      </c>
      <c r="E41" s="66">
        <v>0</v>
      </c>
      <c r="F41" s="66">
        <v>0</v>
      </c>
      <c r="G41" s="66">
        <v>2</v>
      </c>
      <c r="H41" s="96">
        <v>0</v>
      </c>
      <c r="I41" s="379">
        <v>12</v>
      </c>
      <c r="J41" s="178">
        <v>12</v>
      </c>
    </row>
    <row r="42" spans="1:10" x14ac:dyDescent="0.3">
      <c r="A42" s="26" t="s">
        <v>292</v>
      </c>
      <c r="B42" t="s">
        <v>64</v>
      </c>
      <c r="C42" s="8">
        <v>2</v>
      </c>
      <c r="D42" s="66">
        <v>2</v>
      </c>
      <c r="E42" s="66">
        <v>0</v>
      </c>
      <c r="F42" s="66">
        <v>0</v>
      </c>
      <c r="G42" s="66">
        <v>2</v>
      </c>
      <c r="H42" s="96">
        <v>0</v>
      </c>
      <c r="I42" s="379">
        <v>12</v>
      </c>
      <c r="J42" s="178">
        <v>12</v>
      </c>
    </row>
    <row r="43" spans="1:10" x14ac:dyDescent="0.3">
      <c r="A43" s="26" t="s">
        <v>950</v>
      </c>
      <c r="B43" t="s">
        <v>92</v>
      </c>
      <c r="C43" s="8">
        <v>0</v>
      </c>
      <c r="D43" s="57">
        <v>0</v>
      </c>
      <c r="E43" s="57">
        <v>0</v>
      </c>
      <c r="F43" s="57">
        <v>0</v>
      </c>
      <c r="G43" s="57">
        <v>0</v>
      </c>
      <c r="H43" s="96">
        <v>0</v>
      </c>
      <c r="I43" s="379">
        <v>0</v>
      </c>
      <c r="J43" s="178">
        <v>0</v>
      </c>
    </row>
    <row r="44" spans="1:10" x14ac:dyDescent="0.3">
      <c r="A44" s="26" t="s">
        <v>77</v>
      </c>
      <c r="B44" t="s">
        <v>48</v>
      </c>
      <c r="C44" s="8">
        <v>3</v>
      </c>
      <c r="D44" s="66">
        <v>3</v>
      </c>
      <c r="E44" s="66">
        <v>0</v>
      </c>
      <c r="F44" s="66">
        <v>0</v>
      </c>
      <c r="G44" s="66">
        <v>0</v>
      </c>
      <c r="H44" s="96">
        <v>0</v>
      </c>
      <c r="I44" s="379">
        <v>0</v>
      </c>
      <c r="J44" s="178">
        <v>16</v>
      </c>
    </row>
    <row r="45" spans="1:10" x14ac:dyDescent="0.3">
      <c r="A45" s="26" t="s">
        <v>291</v>
      </c>
      <c r="B45" t="s">
        <v>48</v>
      </c>
      <c r="C45" s="8">
        <v>3</v>
      </c>
      <c r="D45" s="66">
        <v>3</v>
      </c>
      <c r="E45" s="66">
        <v>0</v>
      </c>
      <c r="F45" s="66">
        <v>0</v>
      </c>
      <c r="G45" s="66">
        <v>0</v>
      </c>
      <c r="H45" s="96">
        <v>0</v>
      </c>
      <c r="I45" s="379">
        <v>0</v>
      </c>
      <c r="J45" s="178">
        <v>16</v>
      </c>
    </row>
  </sheetData>
  <mergeCells count="1">
    <mergeCell ref="C2:H2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>
    <tabColor theme="4" tint="-0.499984740745262"/>
  </sheetPr>
  <dimension ref="A1:N274"/>
  <sheetViews>
    <sheetView workbookViewId="0">
      <pane ySplit="8" topLeftCell="A130" activePane="bottomLeft" state="frozen"/>
      <selection pane="bottomLeft" activeCell="L70" sqref="L70"/>
    </sheetView>
  </sheetViews>
  <sheetFormatPr defaultRowHeight="14.4" x14ac:dyDescent="0.3"/>
  <cols>
    <col min="1" max="1" width="30" customWidth="1"/>
    <col min="2" max="2" width="9.44140625" customWidth="1"/>
    <col min="3" max="3" width="12" customWidth="1"/>
    <col min="4" max="4" width="9.88671875" customWidth="1"/>
    <col min="5" max="5" width="6.88671875" customWidth="1"/>
    <col min="6" max="7" width="3.109375" customWidth="1"/>
    <col min="8" max="8" width="2.6640625" customWidth="1"/>
    <col min="9" max="9" width="3.109375" customWidth="1"/>
    <col min="10" max="10" width="3.5546875" customWidth="1"/>
    <col min="11" max="11" width="3.6640625" customWidth="1"/>
    <col min="15" max="15" width="8.33203125" bestFit="1" customWidth="1"/>
  </cols>
  <sheetData>
    <row r="1" spans="1:14" ht="21" x14ac:dyDescent="0.4">
      <c r="A1" s="70" t="s">
        <v>328</v>
      </c>
      <c r="B1" s="70"/>
      <c r="N1" s="64" t="s">
        <v>339</v>
      </c>
    </row>
    <row r="2" spans="1:14" x14ac:dyDescent="0.3">
      <c r="N2" s="121" t="s">
        <v>326</v>
      </c>
    </row>
    <row r="3" spans="1:14" ht="21" x14ac:dyDescent="0.4">
      <c r="A3" s="118" t="s">
        <v>329</v>
      </c>
      <c r="B3" s="118"/>
      <c r="C3" s="119" t="s">
        <v>326</v>
      </c>
      <c r="E3" s="159" t="s">
        <v>914</v>
      </c>
      <c r="N3" s="121" t="s">
        <v>327</v>
      </c>
    </row>
    <row r="5" spans="1:14" ht="15.6" x14ac:dyDescent="0.3">
      <c r="A5" s="5" t="s">
        <v>349</v>
      </c>
      <c r="B5" s="5"/>
      <c r="C5" s="123">
        <f>SUM(D9:D196)/IF(C3="Nákup",1,4)</f>
        <v>0</v>
      </c>
      <c r="D5" s="113" t="s">
        <v>330</v>
      </c>
      <c r="E5" s="1">
        <f>FLOOR(C5/10,1)</f>
        <v>0</v>
      </c>
      <c r="F5" t="s">
        <v>331</v>
      </c>
      <c r="G5" s="1">
        <f>TRUNC(C5-10*E5,0)</f>
        <v>0</v>
      </c>
      <c r="H5" t="s">
        <v>332</v>
      </c>
      <c r="I5" s="1">
        <f>ROUND((C5-E5*10-G5)*20,0)</f>
        <v>0</v>
      </c>
      <c r="J5" t="s">
        <v>333</v>
      </c>
    </row>
    <row r="6" spans="1:14" x14ac:dyDescent="0.3">
      <c r="C6" t="s">
        <v>334</v>
      </c>
    </row>
    <row r="7" spans="1:14" ht="13.5" customHeight="1" x14ac:dyDescent="0.3"/>
    <row r="8" spans="1:14" x14ac:dyDescent="0.3">
      <c r="A8" s="120" t="s">
        <v>237</v>
      </c>
      <c r="B8" s="120" t="s">
        <v>475</v>
      </c>
      <c r="C8" s="120" t="s">
        <v>335</v>
      </c>
      <c r="D8" s="120" t="s">
        <v>336</v>
      </c>
    </row>
    <row r="9" spans="1:14" x14ac:dyDescent="0.3">
      <c r="A9" s="102" t="s">
        <v>463</v>
      </c>
      <c r="B9" s="102"/>
      <c r="C9" s="102"/>
      <c r="D9" s="102"/>
    </row>
    <row r="10" spans="1:14" ht="12.9" customHeight="1" x14ac:dyDescent="0.3">
      <c r="A10" s="61" t="s">
        <v>464</v>
      </c>
      <c r="B10" s="61">
        <v>50</v>
      </c>
      <c r="C10" s="61"/>
      <c r="D10" s="122">
        <f>B10*C10*IF($C$3="Nákup",1,0.25)</f>
        <v>0</v>
      </c>
    </row>
    <row r="11" spans="1:14" ht="12.9" customHeight="1" x14ac:dyDescent="0.3">
      <c r="A11" s="61" t="s">
        <v>465</v>
      </c>
      <c r="B11" s="61">
        <v>100</v>
      </c>
      <c r="C11" s="61"/>
      <c r="D11" s="122">
        <f t="shared" ref="D11:D20" si="0">B11*C11*IF($C$3="Nákup",1,0.25)</f>
        <v>0</v>
      </c>
    </row>
    <row r="12" spans="1:14" ht="12.9" customHeight="1" x14ac:dyDescent="0.3">
      <c r="A12" s="61" t="s">
        <v>466</v>
      </c>
      <c r="B12" s="61">
        <v>180</v>
      </c>
      <c r="C12" s="61"/>
      <c r="D12" s="122">
        <f t="shared" si="0"/>
        <v>0</v>
      </c>
    </row>
    <row r="13" spans="1:14" ht="12.9" customHeight="1" x14ac:dyDescent="0.3">
      <c r="A13" s="61" t="s">
        <v>467</v>
      </c>
      <c r="B13" s="61">
        <v>250</v>
      </c>
      <c r="C13" s="61"/>
      <c r="D13" s="122">
        <f t="shared" si="0"/>
        <v>0</v>
      </c>
    </row>
    <row r="14" spans="1:14" ht="12.9" customHeight="1" x14ac:dyDescent="0.3">
      <c r="A14" s="61" t="s">
        <v>468</v>
      </c>
      <c r="B14" s="61">
        <v>200</v>
      </c>
      <c r="C14" s="61"/>
      <c r="D14" s="122">
        <f t="shared" si="0"/>
        <v>0</v>
      </c>
    </row>
    <row r="15" spans="1:14" ht="12.9" customHeight="1" x14ac:dyDescent="0.3">
      <c r="A15" s="61" t="s">
        <v>469</v>
      </c>
      <c r="B15" s="61">
        <v>300</v>
      </c>
      <c r="C15" s="61"/>
      <c r="D15" s="122">
        <f t="shared" si="0"/>
        <v>0</v>
      </c>
    </row>
    <row r="16" spans="1:14" ht="12.9" customHeight="1" x14ac:dyDescent="0.3">
      <c r="A16" s="61" t="s">
        <v>470</v>
      </c>
      <c r="B16" s="61">
        <v>500</v>
      </c>
      <c r="C16" s="61"/>
      <c r="D16" s="122">
        <f t="shared" si="0"/>
        <v>0</v>
      </c>
    </row>
    <row r="17" spans="1:4" ht="12.9" customHeight="1" x14ac:dyDescent="0.3">
      <c r="A17" s="61" t="s">
        <v>471</v>
      </c>
      <c r="B17" s="61">
        <v>400</v>
      </c>
      <c r="C17" s="61"/>
      <c r="D17" s="122">
        <f t="shared" si="0"/>
        <v>0</v>
      </c>
    </row>
    <row r="18" spans="1:4" ht="12.9" customHeight="1" x14ac:dyDescent="0.3">
      <c r="A18" s="61" t="s">
        <v>472</v>
      </c>
      <c r="B18" s="61">
        <v>600</v>
      </c>
      <c r="C18" s="61"/>
      <c r="D18" s="122">
        <f t="shared" si="0"/>
        <v>0</v>
      </c>
    </row>
    <row r="19" spans="1:4" ht="12.9" customHeight="1" x14ac:dyDescent="0.3">
      <c r="A19" s="61" t="s">
        <v>473</v>
      </c>
      <c r="B19" s="61">
        <v>800</v>
      </c>
      <c r="C19" s="61"/>
      <c r="D19" s="122">
        <f t="shared" si="0"/>
        <v>0</v>
      </c>
    </row>
    <row r="20" spans="1:4" ht="12.9" customHeight="1" x14ac:dyDescent="0.3">
      <c r="A20" s="61" t="s">
        <v>474</v>
      </c>
      <c r="B20" s="61">
        <v>700</v>
      </c>
      <c r="C20" s="61"/>
      <c r="D20" s="122">
        <f t="shared" si="0"/>
        <v>0</v>
      </c>
    </row>
    <row r="21" spans="1:4" ht="12.9" customHeight="1" x14ac:dyDescent="0.3">
      <c r="A21" s="102" t="s">
        <v>337</v>
      </c>
      <c r="B21" s="102"/>
    </row>
    <row r="22" spans="1:4" ht="12.9" customHeight="1" x14ac:dyDescent="0.3">
      <c r="A22" s="61" t="s">
        <v>446</v>
      </c>
      <c r="B22" s="186">
        <v>10</v>
      </c>
      <c r="C22" s="61"/>
      <c r="D22" s="122">
        <f>B22*C22*IF($C$3="Nákup",1,0.25)</f>
        <v>0</v>
      </c>
    </row>
    <row r="23" spans="1:4" ht="12.9" customHeight="1" x14ac:dyDescent="0.3">
      <c r="A23" s="61" t="s">
        <v>524</v>
      </c>
      <c r="B23" s="186">
        <v>1</v>
      </c>
      <c r="C23" s="61"/>
      <c r="D23" s="122">
        <f t="shared" ref="D23:D33" si="1">B23*C23*IF($C$3="Nákup",1,0.25)</f>
        <v>0</v>
      </c>
    </row>
    <row r="24" spans="1:4" ht="12.9" customHeight="1" x14ac:dyDescent="0.3">
      <c r="A24" s="61" t="s">
        <v>525</v>
      </c>
      <c r="B24" s="186">
        <v>50</v>
      </c>
      <c r="C24" s="61"/>
      <c r="D24" s="122">
        <f t="shared" si="1"/>
        <v>0</v>
      </c>
    </row>
    <row r="25" spans="1:4" ht="12.9" customHeight="1" x14ac:dyDescent="0.3">
      <c r="A25" s="61" t="s">
        <v>442</v>
      </c>
      <c r="B25" s="186">
        <v>100</v>
      </c>
      <c r="C25" s="61"/>
      <c r="D25" s="122">
        <f t="shared" si="1"/>
        <v>0</v>
      </c>
    </row>
    <row r="26" spans="1:4" ht="12.9" customHeight="1" x14ac:dyDescent="0.3">
      <c r="A26" s="61" t="s">
        <v>476</v>
      </c>
      <c r="B26" s="186">
        <v>250</v>
      </c>
      <c r="C26" s="61"/>
      <c r="D26" s="122">
        <f t="shared" si="1"/>
        <v>0</v>
      </c>
    </row>
    <row r="27" spans="1:4" ht="12.9" customHeight="1" x14ac:dyDescent="0.3">
      <c r="A27" s="61" t="s">
        <v>443</v>
      </c>
      <c r="B27" s="186">
        <v>25</v>
      </c>
      <c r="C27" s="61"/>
      <c r="D27" s="122">
        <f t="shared" si="1"/>
        <v>0</v>
      </c>
    </row>
    <row r="28" spans="1:4" ht="12.9" customHeight="1" x14ac:dyDescent="0.3">
      <c r="A28" s="61" t="s">
        <v>477</v>
      </c>
      <c r="B28" s="186">
        <v>30</v>
      </c>
      <c r="C28" s="61"/>
      <c r="D28" s="122">
        <f t="shared" si="1"/>
        <v>0</v>
      </c>
    </row>
    <row r="29" spans="1:4" ht="12.9" customHeight="1" x14ac:dyDescent="0.3">
      <c r="A29" s="61" t="s">
        <v>478</v>
      </c>
      <c r="B29" s="186">
        <v>60</v>
      </c>
      <c r="C29" s="61"/>
      <c r="D29" s="122">
        <f t="shared" si="1"/>
        <v>0</v>
      </c>
    </row>
    <row r="30" spans="1:4" ht="12.9" customHeight="1" x14ac:dyDescent="0.3">
      <c r="A30" s="61" t="s">
        <v>479</v>
      </c>
      <c r="B30" s="186">
        <v>300</v>
      </c>
      <c r="C30" s="61"/>
      <c r="D30" s="122">
        <f t="shared" si="1"/>
        <v>0</v>
      </c>
    </row>
    <row r="31" spans="1:4" ht="12.9" customHeight="1" x14ac:dyDescent="0.3">
      <c r="A31" s="61" t="s">
        <v>480</v>
      </c>
      <c r="B31" s="186">
        <v>1200</v>
      </c>
      <c r="C31" s="61"/>
      <c r="D31" s="122">
        <f t="shared" si="1"/>
        <v>0</v>
      </c>
    </row>
    <row r="32" spans="1:4" ht="12.9" customHeight="1" x14ac:dyDescent="0.3">
      <c r="A32" s="61" t="s">
        <v>481</v>
      </c>
      <c r="B32" s="186">
        <v>2100</v>
      </c>
      <c r="C32" s="61"/>
      <c r="D32" s="122">
        <f t="shared" si="1"/>
        <v>0</v>
      </c>
    </row>
    <row r="33" spans="1:4" ht="12" customHeight="1" x14ac:dyDescent="0.3">
      <c r="A33" s="61" t="s">
        <v>482</v>
      </c>
      <c r="B33" s="186">
        <v>2000</v>
      </c>
      <c r="C33" s="61"/>
      <c r="D33" s="122">
        <f t="shared" si="1"/>
        <v>0</v>
      </c>
    </row>
    <row r="34" spans="1:4" ht="12.9" customHeight="1" x14ac:dyDescent="0.3">
      <c r="A34" s="102" t="s">
        <v>348</v>
      </c>
      <c r="B34" s="187"/>
    </row>
    <row r="35" spans="1:4" ht="12.9" customHeight="1" x14ac:dyDescent="0.3">
      <c r="A35" s="61" t="s">
        <v>132</v>
      </c>
      <c r="B35" s="186">
        <v>18</v>
      </c>
      <c r="C35" s="61"/>
      <c r="D35" s="122">
        <f>B35*C35*IF($C$3="Nákup",1,0.25)</f>
        <v>0</v>
      </c>
    </row>
    <row r="36" spans="1:4" ht="12.9" customHeight="1" x14ac:dyDescent="0.3">
      <c r="A36" s="61" t="s">
        <v>212</v>
      </c>
      <c r="B36" s="186">
        <v>10</v>
      </c>
      <c r="C36" s="61"/>
      <c r="D36" s="122">
        <f t="shared" ref="D36:D75" si="2">B36*C36*IF($C$3="Nákup",1,0.25)</f>
        <v>0</v>
      </c>
    </row>
    <row r="37" spans="1:4" ht="12.9" customHeight="1" x14ac:dyDescent="0.3">
      <c r="A37" s="61" t="s">
        <v>264</v>
      </c>
      <c r="B37" s="186">
        <v>115</v>
      </c>
      <c r="C37" s="61"/>
      <c r="D37" s="122">
        <f t="shared" si="2"/>
        <v>0</v>
      </c>
    </row>
    <row r="38" spans="1:4" ht="12.9" customHeight="1" x14ac:dyDescent="0.3">
      <c r="A38" s="61" t="s">
        <v>172</v>
      </c>
      <c r="B38" s="186">
        <v>1</v>
      </c>
      <c r="C38" s="61"/>
      <c r="D38" s="122">
        <f t="shared" si="2"/>
        <v>0</v>
      </c>
    </row>
    <row r="39" spans="1:4" ht="12.9" customHeight="1" x14ac:dyDescent="0.3">
      <c r="A39" s="61" t="s">
        <v>135</v>
      </c>
      <c r="B39" s="186">
        <v>70</v>
      </c>
      <c r="C39" s="61"/>
      <c r="D39" s="122">
        <f t="shared" si="2"/>
        <v>0</v>
      </c>
    </row>
    <row r="40" spans="1:4" ht="12.9" customHeight="1" x14ac:dyDescent="0.3">
      <c r="A40" s="61" t="s">
        <v>457</v>
      </c>
      <c r="B40" s="186">
        <v>1.2</v>
      </c>
      <c r="C40" s="61"/>
      <c r="D40" s="122">
        <f t="shared" si="2"/>
        <v>0</v>
      </c>
    </row>
    <row r="41" spans="1:4" ht="12.9" customHeight="1" x14ac:dyDescent="0.3">
      <c r="A41" s="61" t="s">
        <v>456</v>
      </c>
      <c r="B41" s="186">
        <v>0.1</v>
      </c>
      <c r="C41" s="61"/>
      <c r="D41" s="122">
        <f t="shared" si="2"/>
        <v>0</v>
      </c>
    </row>
    <row r="42" spans="1:4" ht="12.9" customHeight="1" x14ac:dyDescent="0.3">
      <c r="A42" s="61" t="s">
        <v>266</v>
      </c>
      <c r="B42" s="186">
        <v>20</v>
      </c>
      <c r="C42" s="61"/>
      <c r="D42" s="122">
        <f t="shared" si="2"/>
        <v>0</v>
      </c>
    </row>
    <row r="43" spans="1:4" ht="12.9" customHeight="1" x14ac:dyDescent="0.3">
      <c r="A43" s="61" t="s">
        <v>223</v>
      </c>
      <c r="B43" s="186">
        <v>160</v>
      </c>
      <c r="C43" s="61"/>
      <c r="D43" s="122">
        <f t="shared" si="2"/>
        <v>0</v>
      </c>
    </row>
    <row r="44" spans="1:4" ht="12.9" customHeight="1" x14ac:dyDescent="0.3">
      <c r="A44" s="61" t="s">
        <v>211</v>
      </c>
      <c r="B44" s="186">
        <v>60</v>
      </c>
      <c r="C44" s="61"/>
      <c r="D44" s="122">
        <f t="shared" si="2"/>
        <v>0</v>
      </c>
    </row>
    <row r="45" spans="1:4" ht="12.9" customHeight="1" x14ac:dyDescent="0.3">
      <c r="A45" s="61" t="s">
        <v>127</v>
      </c>
      <c r="B45" s="186">
        <v>15</v>
      </c>
      <c r="C45" s="61"/>
      <c r="D45" s="122">
        <f t="shared" si="2"/>
        <v>0</v>
      </c>
    </row>
    <row r="46" spans="1:4" ht="12.9" customHeight="1" x14ac:dyDescent="0.3">
      <c r="A46" s="61" t="s">
        <v>217</v>
      </c>
      <c r="B46" s="186">
        <v>150</v>
      </c>
      <c r="C46" s="61"/>
      <c r="D46" s="122">
        <f t="shared" si="2"/>
        <v>0</v>
      </c>
    </row>
    <row r="47" spans="1:4" ht="12.9" customHeight="1" x14ac:dyDescent="0.3">
      <c r="A47" s="61" t="s">
        <v>218</v>
      </c>
      <c r="B47" s="186">
        <v>300</v>
      </c>
      <c r="C47" s="61"/>
      <c r="D47" s="122">
        <f t="shared" si="2"/>
        <v>0</v>
      </c>
    </row>
    <row r="48" spans="1:4" ht="12.9" customHeight="1" x14ac:dyDescent="0.3">
      <c r="A48" s="61" t="s">
        <v>142</v>
      </c>
      <c r="B48" s="186">
        <v>1</v>
      </c>
      <c r="C48" s="61"/>
      <c r="D48" s="122">
        <f t="shared" si="2"/>
        <v>0</v>
      </c>
    </row>
    <row r="49" spans="1:4" ht="12.9" customHeight="1" x14ac:dyDescent="0.3">
      <c r="A49" s="61" t="s">
        <v>215</v>
      </c>
      <c r="B49" s="186">
        <v>15</v>
      </c>
      <c r="C49" s="61"/>
      <c r="D49" s="122">
        <f t="shared" si="2"/>
        <v>0</v>
      </c>
    </row>
    <row r="50" spans="1:4" ht="12.9" customHeight="1" x14ac:dyDescent="0.3">
      <c r="A50" s="61" t="s">
        <v>929</v>
      </c>
      <c r="B50" s="186">
        <v>120</v>
      </c>
      <c r="C50" s="61"/>
      <c r="D50" s="122">
        <f t="shared" si="2"/>
        <v>0</v>
      </c>
    </row>
    <row r="51" spans="1:4" ht="12.9" customHeight="1" x14ac:dyDescent="0.3">
      <c r="A51" s="61" t="s">
        <v>214</v>
      </c>
      <c r="B51" s="186">
        <v>8</v>
      </c>
      <c r="C51" s="61"/>
      <c r="D51" s="122">
        <f t="shared" si="2"/>
        <v>0</v>
      </c>
    </row>
    <row r="52" spans="1:4" ht="12.9" customHeight="1" x14ac:dyDescent="0.3">
      <c r="A52" s="61" t="s">
        <v>216</v>
      </c>
      <c r="B52" s="186">
        <v>240</v>
      </c>
      <c r="C52" s="61"/>
      <c r="D52" s="122">
        <f t="shared" si="2"/>
        <v>0</v>
      </c>
    </row>
    <row r="53" spans="1:4" ht="12.9" customHeight="1" x14ac:dyDescent="0.3">
      <c r="A53" s="61" t="s">
        <v>219</v>
      </c>
      <c r="B53" s="186">
        <v>320</v>
      </c>
      <c r="C53" s="61"/>
      <c r="D53" s="122">
        <f t="shared" si="2"/>
        <v>0</v>
      </c>
    </row>
    <row r="54" spans="1:4" ht="12.9" customHeight="1" x14ac:dyDescent="0.3">
      <c r="A54" s="61" t="s">
        <v>222</v>
      </c>
      <c r="B54" s="186">
        <v>50</v>
      </c>
      <c r="C54" s="61"/>
      <c r="D54" s="122">
        <f t="shared" si="2"/>
        <v>0</v>
      </c>
    </row>
    <row r="55" spans="1:4" ht="12.9" customHeight="1" x14ac:dyDescent="0.3">
      <c r="A55" s="61" t="s">
        <v>220</v>
      </c>
      <c r="B55" s="186">
        <v>520</v>
      </c>
      <c r="C55" s="61"/>
      <c r="D55" s="122">
        <f t="shared" si="2"/>
        <v>0</v>
      </c>
    </row>
    <row r="56" spans="1:4" ht="12.9" customHeight="1" x14ac:dyDescent="0.3">
      <c r="A56" s="61" t="s">
        <v>221</v>
      </c>
      <c r="B56" s="186">
        <v>140</v>
      </c>
      <c r="C56" s="61"/>
      <c r="D56" s="122">
        <f t="shared" si="2"/>
        <v>0</v>
      </c>
    </row>
    <row r="57" spans="1:4" ht="12.9" customHeight="1" x14ac:dyDescent="0.3">
      <c r="A57" s="61" t="s">
        <v>130</v>
      </c>
      <c r="B57" s="186">
        <v>5</v>
      </c>
      <c r="C57" s="61"/>
      <c r="D57" s="122">
        <f t="shared" si="2"/>
        <v>0</v>
      </c>
    </row>
    <row r="58" spans="1:4" ht="12.9" customHeight="1" x14ac:dyDescent="0.3">
      <c r="A58" s="61" t="s">
        <v>140</v>
      </c>
      <c r="B58" s="186">
        <v>2</v>
      </c>
      <c r="C58" s="61"/>
      <c r="D58" s="122">
        <f t="shared" si="2"/>
        <v>0</v>
      </c>
    </row>
    <row r="59" spans="1:4" ht="12.9" customHeight="1" x14ac:dyDescent="0.3">
      <c r="A59" s="61" t="s">
        <v>148</v>
      </c>
      <c r="B59" s="186">
        <v>15</v>
      </c>
      <c r="C59" s="61"/>
      <c r="D59" s="122">
        <f t="shared" si="2"/>
        <v>0</v>
      </c>
    </row>
    <row r="60" spans="1:4" ht="12.9" customHeight="1" x14ac:dyDescent="0.3">
      <c r="A60" s="61" t="s">
        <v>183</v>
      </c>
      <c r="B60" s="186">
        <v>0.1</v>
      </c>
      <c r="C60" s="61"/>
      <c r="D60" s="122">
        <f t="shared" si="2"/>
        <v>0</v>
      </c>
    </row>
    <row r="61" spans="1:4" ht="12.9" customHeight="1" x14ac:dyDescent="0.3">
      <c r="A61" s="61" t="s">
        <v>143</v>
      </c>
      <c r="B61" s="186">
        <v>1</v>
      </c>
      <c r="C61" s="61"/>
      <c r="D61" s="122">
        <f t="shared" si="2"/>
        <v>0</v>
      </c>
    </row>
    <row r="62" spans="1:4" ht="12.9" customHeight="1" x14ac:dyDescent="0.3">
      <c r="A62" s="61" t="s">
        <v>413</v>
      </c>
      <c r="B62" s="186">
        <v>40</v>
      </c>
      <c r="C62" s="61"/>
      <c r="D62" s="122">
        <f t="shared" si="2"/>
        <v>0</v>
      </c>
    </row>
    <row r="63" spans="1:4" ht="12.9" customHeight="1" x14ac:dyDescent="0.3">
      <c r="A63" s="61" t="s">
        <v>147</v>
      </c>
      <c r="B63" s="186">
        <v>50</v>
      </c>
      <c r="C63" s="61"/>
      <c r="D63" s="122">
        <f t="shared" si="2"/>
        <v>0</v>
      </c>
    </row>
    <row r="64" spans="1:4" ht="12.9" customHeight="1" x14ac:dyDescent="0.3">
      <c r="A64" s="61" t="s">
        <v>269</v>
      </c>
      <c r="B64" s="186">
        <v>30</v>
      </c>
      <c r="C64" s="61"/>
      <c r="D64" s="122">
        <f t="shared" si="2"/>
        <v>0</v>
      </c>
    </row>
    <row r="65" spans="1:4" ht="12.9" customHeight="1" x14ac:dyDescent="0.3">
      <c r="A65" s="61" t="s">
        <v>210</v>
      </c>
      <c r="B65" s="186">
        <v>200</v>
      </c>
      <c r="C65" s="61"/>
      <c r="D65" s="122">
        <f t="shared" si="2"/>
        <v>0</v>
      </c>
    </row>
    <row r="66" spans="1:4" ht="12.9" customHeight="1" x14ac:dyDescent="0.3">
      <c r="A66" s="61" t="s">
        <v>213</v>
      </c>
      <c r="B66" s="186">
        <v>18</v>
      </c>
      <c r="C66" s="61"/>
      <c r="D66" s="122">
        <f t="shared" si="2"/>
        <v>0</v>
      </c>
    </row>
    <row r="67" spans="1:4" ht="12.9" customHeight="1" x14ac:dyDescent="0.3">
      <c r="A67" s="61" t="s">
        <v>131</v>
      </c>
      <c r="B67" s="186">
        <v>50</v>
      </c>
      <c r="C67" s="61"/>
      <c r="D67" s="122">
        <f t="shared" si="2"/>
        <v>0</v>
      </c>
    </row>
    <row r="68" spans="1:4" ht="12.9" customHeight="1" x14ac:dyDescent="0.3">
      <c r="A68" s="61" t="s">
        <v>137</v>
      </c>
      <c r="B68" s="186">
        <v>120</v>
      </c>
      <c r="C68" s="61"/>
      <c r="D68" s="122">
        <f t="shared" si="2"/>
        <v>0</v>
      </c>
    </row>
    <row r="69" spans="1:4" ht="12.9" customHeight="1" x14ac:dyDescent="0.3">
      <c r="A69" s="61" t="s">
        <v>927</v>
      </c>
      <c r="B69" s="186">
        <v>30</v>
      </c>
      <c r="C69" s="61"/>
      <c r="D69" s="122">
        <f t="shared" si="2"/>
        <v>0</v>
      </c>
    </row>
    <row r="70" spans="1:4" ht="12.9" customHeight="1" x14ac:dyDescent="0.3">
      <c r="A70" s="61" t="s">
        <v>155</v>
      </c>
      <c r="B70" s="186">
        <v>50</v>
      </c>
      <c r="C70" s="61"/>
      <c r="D70" s="122">
        <f t="shared" si="2"/>
        <v>0</v>
      </c>
    </row>
    <row r="71" spans="1:4" ht="12.9" customHeight="1" x14ac:dyDescent="0.3">
      <c r="A71" s="61" t="s">
        <v>156</v>
      </c>
      <c r="B71" s="186">
        <v>100</v>
      </c>
      <c r="C71" s="61"/>
      <c r="D71" s="122">
        <f t="shared" si="2"/>
        <v>0</v>
      </c>
    </row>
    <row r="72" spans="1:4" ht="12.9" customHeight="1" x14ac:dyDescent="0.3">
      <c r="A72" s="61" t="s">
        <v>133</v>
      </c>
      <c r="B72" s="186">
        <v>40</v>
      </c>
      <c r="C72" s="61"/>
      <c r="D72" s="122">
        <f t="shared" si="2"/>
        <v>0</v>
      </c>
    </row>
    <row r="73" spans="1:4" ht="12.9" customHeight="1" x14ac:dyDescent="0.3">
      <c r="A73" s="61" t="s">
        <v>134</v>
      </c>
      <c r="B73" s="186">
        <v>80</v>
      </c>
      <c r="C73" s="61"/>
      <c r="D73" s="122">
        <f t="shared" si="2"/>
        <v>0</v>
      </c>
    </row>
    <row r="74" spans="1:4" ht="12.9" customHeight="1" x14ac:dyDescent="0.3">
      <c r="A74" s="61" t="s">
        <v>485</v>
      </c>
      <c r="B74" s="186">
        <v>1000</v>
      </c>
      <c r="C74" s="61"/>
      <c r="D74" s="122">
        <f t="shared" si="2"/>
        <v>0</v>
      </c>
    </row>
    <row r="75" spans="1:4" ht="12.9" customHeight="1" x14ac:dyDescent="0.3">
      <c r="A75" s="61" t="s">
        <v>486</v>
      </c>
      <c r="B75" s="186">
        <v>2000</v>
      </c>
      <c r="C75" s="61"/>
      <c r="D75" s="122">
        <f t="shared" si="2"/>
        <v>0</v>
      </c>
    </row>
    <row r="76" spans="1:4" ht="12.9" customHeight="1" x14ac:dyDescent="0.3">
      <c r="A76" s="102" t="s">
        <v>347</v>
      </c>
      <c r="B76" s="187"/>
    </row>
    <row r="77" spans="1:4" ht="12.9" customHeight="1" x14ac:dyDescent="0.3">
      <c r="A77" s="61" t="s">
        <v>206</v>
      </c>
      <c r="B77" s="186">
        <v>0.05</v>
      </c>
      <c r="C77" s="61"/>
      <c r="D77" s="122">
        <f>B77*C77*IF($C$3="Nákup",1,0.25)</f>
        <v>0</v>
      </c>
    </row>
    <row r="78" spans="1:4" ht="12.9" customHeight="1" x14ac:dyDescent="0.3">
      <c r="A78" s="61" t="s">
        <v>483</v>
      </c>
      <c r="B78" s="186">
        <v>0.2</v>
      </c>
      <c r="C78" s="61"/>
      <c r="D78" s="122">
        <f t="shared" ref="D78:D80" si="3">B78*C78*IF($C$3="Nákup",1,0.25)</f>
        <v>0</v>
      </c>
    </row>
    <row r="79" spans="1:4" ht="12.9" customHeight="1" x14ac:dyDescent="0.3">
      <c r="A79" s="61" t="s">
        <v>484</v>
      </c>
      <c r="B79" s="186">
        <v>2</v>
      </c>
      <c r="C79" s="61"/>
      <c r="D79" s="122">
        <f t="shared" si="3"/>
        <v>0</v>
      </c>
    </row>
    <row r="80" spans="1:4" ht="12.9" customHeight="1" x14ac:dyDescent="0.3">
      <c r="A80" s="61" t="s">
        <v>263</v>
      </c>
      <c r="B80" s="186">
        <v>0.1</v>
      </c>
      <c r="C80" s="61"/>
      <c r="D80" s="122">
        <f t="shared" si="3"/>
        <v>0</v>
      </c>
    </row>
    <row r="81" spans="1:4" ht="12.9" customHeight="1" x14ac:dyDescent="0.3">
      <c r="A81" s="102" t="s">
        <v>462</v>
      </c>
      <c r="B81" s="102"/>
    </row>
    <row r="82" spans="1:4" ht="12.9" customHeight="1" x14ac:dyDescent="0.3">
      <c r="A82" s="61" t="s">
        <v>513</v>
      </c>
      <c r="B82" s="61">
        <v>2</v>
      </c>
      <c r="C82" s="61"/>
      <c r="D82" s="122">
        <f>B82*C82*IF($C$3="Nákup",1,0.25)</f>
        <v>0</v>
      </c>
    </row>
    <row r="83" spans="1:4" ht="12.9" customHeight="1" x14ac:dyDescent="0.3">
      <c r="A83" s="61" t="s">
        <v>526</v>
      </c>
      <c r="B83" s="61">
        <v>120</v>
      </c>
      <c r="C83" s="61"/>
      <c r="D83" s="122">
        <f t="shared" ref="D83:D99" si="4">B83*C83*IF($C$3="Nákup",1,0.25)</f>
        <v>0</v>
      </c>
    </row>
    <row r="84" spans="1:4" ht="12.9" customHeight="1" x14ac:dyDescent="0.3">
      <c r="A84" s="61" t="s">
        <v>509</v>
      </c>
      <c r="B84" s="61">
        <v>3</v>
      </c>
      <c r="C84" s="61"/>
      <c r="D84" s="122">
        <f t="shared" si="4"/>
        <v>0</v>
      </c>
    </row>
    <row r="85" spans="1:4" ht="12.9" customHeight="1" x14ac:dyDescent="0.3">
      <c r="A85" s="61" t="s">
        <v>527</v>
      </c>
      <c r="B85" s="61">
        <v>0.3</v>
      </c>
      <c r="C85" s="61"/>
      <c r="D85" s="122">
        <f t="shared" si="4"/>
        <v>0</v>
      </c>
    </row>
    <row r="86" spans="1:4" ht="12.9" customHeight="1" x14ac:dyDescent="0.3">
      <c r="A86" s="61" t="s">
        <v>229</v>
      </c>
      <c r="B86" s="61">
        <v>0.35</v>
      </c>
      <c r="C86" s="61"/>
      <c r="D86" s="122">
        <f t="shared" si="4"/>
        <v>0</v>
      </c>
    </row>
    <row r="87" spans="1:4" ht="12.9" customHeight="1" x14ac:dyDescent="0.3">
      <c r="A87" s="61" t="s">
        <v>514</v>
      </c>
      <c r="B87" s="61">
        <v>750</v>
      </c>
      <c r="C87" s="61"/>
      <c r="D87" s="122">
        <f t="shared" si="4"/>
        <v>0</v>
      </c>
    </row>
    <row r="88" spans="1:4" ht="12.9" customHeight="1" x14ac:dyDescent="0.3">
      <c r="A88" s="61" t="s">
        <v>528</v>
      </c>
      <c r="B88" s="61">
        <v>600</v>
      </c>
      <c r="C88" s="61"/>
      <c r="D88" s="122">
        <f t="shared" si="4"/>
        <v>0</v>
      </c>
    </row>
    <row r="89" spans="1:4" ht="12.9" customHeight="1" x14ac:dyDescent="0.3">
      <c r="A89" s="61" t="s">
        <v>529</v>
      </c>
      <c r="B89" s="61">
        <v>450</v>
      </c>
      <c r="C89" s="61"/>
      <c r="D89" s="122">
        <f t="shared" si="4"/>
        <v>0</v>
      </c>
    </row>
    <row r="90" spans="1:4" ht="12.9" customHeight="1" x14ac:dyDescent="0.3">
      <c r="A90" s="61" t="s">
        <v>228</v>
      </c>
      <c r="B90" s="61">
        <v>50</v>
      </c>
      <c r="C90" s="61"/>
      <c r="D90" s="122">
        <f t="shared" si="4"/>
        <v>0</v>
      </c>
    </row>
    <row r="91" spans="1:4" ht="12.9" customHeight="1" x14ac:dyDescent="0.3">
      <c r="A91" s="61" t="s">
        <v>227</v>
      </c>
      <c r="B91" s="61">
        <v>6</v>
      </c>
      <c r="C91" s="61"/>
      <c r="D91" s="122">
        <f t="shared" si="4"/>
        <v>0</v>
      </c>
    </row>
    <row r="92" spans="1:4" ht="12.9" customHeight="1" x14ac:dyDescent="0.3">
      <c r="A92" s="61" t="s">
        <v>530</v>
      </c>
      <c r="B92" s="61">
        <v>7</v>
      </c>
      <c r="C92" s="61"/>
      <c r="D92" s="122">
        <f t="shared" si="4"/>
        <v>0</v>
      </c>
    </row>
    <row r="93" spans="1:4" ht="12.9" customHeight="1" x14ac:dyDescent="0.3">
      <c r="A93" s="61" t="s">
        <v>531</v>
      </c>
      <c r="B93" s="61">
        <v>50</v>
      </c>
      <c r="C93" s="61"/>
      <c r="D93" s="122">
        <f t="shared" si="4"/>
        <v>0</v>
      </c>
    </row>
    <row r="94" spans="1:4" ht="12.9" customHeight="1" x14ac:dyDescent="0.3">
      <c r="A94" s="61" t="s">
        <v>515</v>
      </c>
      <c r="B94" s="61">
        <v>250</v>
      </c>
      <c r="C94" s="61"/>
      <c r="D94" s="122">
        <f t="shared" si="4"/>
        <v>0</v>
      </c>
    </row>
    <row r="95" spans="1:4" ht="12.9" customHeight="1" x14ac:dyDescent="0.3">
      <c r="A95" s="61" t="s">
        <v>516</v>
      </c>
      <c r="B95" s="61">
        <v>240</v>
      </c>
      <c r="C95" s="61"/>
      <c r="D95" s="122">
        <f t="shared" si="4"/>
        <v>0</v>
      </c>
    </row>
    <row r="96" spans="1:4" ht="12.9" customHeight="1" x14ac:dyDescent="0.3">
      <c r="A96" s="61" t="s">
        <v>517</v>
      </c>
      <c r="B96" s="61">
        <v>220</v>
      </c>
      <c r="C96" s="61"/>
      <c r="D96" s="122">
        <f t="shared" si="4"/>
        <v>0</v>
      </c>
    </row>
    <row r="97" spans="1:4" ht="12.9" customHeight="1" x14ac:dyDescent="0.3">
      <c r="A97" s="61" t="s">
        <v>532</v>
      </c>
      <c r="B97" s="61">
        <v>1200</v>
      </c>
      <c r="C97" s="61"/>
      <c r="D97" s="122">
        <f t="shared" si="4"/>
        <v>0</v>
      </c>
    </row>
    <row r="98" spans="1:4" ht="12.9" customHeight="1" x14ac:dyDescent="0.3">
      <c r="A98" s="61" t="s">
        <v>533</v>
      </c>
      <c r="B98" s="61">
        <v>800</v>
      </c>
      <c r="C98" s="61"/>
      <c r="D98" s="122">
        <f t="shared" si="4"/>
        <v>0</v>
      </c>
    </row>
    <row r="99" spans="1:4" ht="12.9" customHeight="1" x14ac:dyDescent="0.3">
      <c r="A99" s="61" t="s">
        <v>534</v>
      </c>
      <c r="B99" s="61">
        <v>600</v>
      </c>
      <c r="C99" s="61"/>
      <c r="D99" s="122">
        <f t="shared" si="4"/>
        <v>0</v>
      </c>
    </row>
    <row r="100" spans="1:4" ht="12.9" customHeight="1" x14ac:dyDescent="0.3">
      <c r="A100" s="102" t="s">
        <v>535</v>
      </c>
      <c r="B100" s="102"/>
      <c r="C100" s="102"/>
      <c r="D100" s="102"/>
    </row>
    <row r="101" spans="1:4" ht="12.9" customHeight="1" x14ac:dyDescent="0.3">
      <c r="A101" s="61" t="s">
        <v>487</v>
      </c>
      <c r="B101" s="61">
        <v>100</v>
      </c>
      <c r="C101" s="61"/>
      <c r="D101" s="122">
        <f>B101*C101*IF($C$3="Nákup",1,0.25)</f>
        <v>0</v>
      </c>
    </row>
    <row r="102" spans="1:4" ht="12.9" customHeight="1" x14ac:dyDescent="0.3">
      <c r="A102" s="61" t="s">
        <v>488</v>
      </c>
      <c r="B102" s="61">
        <v>200</v>
      </c>
      <c r="C102" s="61"/>
      <c r="D102" s="122">
        <f t="shared" ref="D102:D108" si="5">B102*C102*IF($C$3="Nákup",1,0.25)</f>
        <v>0</v>
      </c>
    </row>
    <row r="103" spans="1:4" ht="12.9" customHeight="1" x14ac:dyDescent="0.3">
      <c r="A103" s="61" t="s">
        <v>489</v>
      </c>
      <c r="B103" s="61">
        <v>300</v>
      </c>
      <c r="C103" s="61"/>
      <c r="D103" s="122">
        <f t="shared" si="5"/>
        <v>0</v>
      </c>
    </row>
    <row r="104" spans="1:4" ht="12.9" customHeight="1" x14ac:dyDescent="0.3">
      <c r="A104" s="61" t="s">
        <v>490</v>
      </c>
      <c r="B104" s="61">
        <v>500</v>
      </c>
      <c r="C104" s="61"/>
      <c r="D104" s="122">
        <f t="shared" si="5"/>
        <v>0</v>
      </c>
    </row>
    <row r="105" spans="1:4" ht="12.9" customHeight="1" x14ac:dyDescent="0.3">
      <c r="A105" s="61" t="s">
        <v>491</v>
      </c>
      <c r="B105" s="61">
        <v>700</v>
      </c>
      <c r="C105" s="61"/>
      <c r="D105" s="122">
        <f t="shared" si="5"/>
        <v>0</v>
      </c>
    </row>
    <row r="106" spans="1:4" ht="12.9" customHeight="1" x14ac:dyDescent="0.3">
      <c r="A106" s="61" t="s">
        <v>492</v>
      </c>
      <c r="B106" s="61">
        <v>1000</v>
      </c>
      <c r="C106" s="61"/>
      <c r="D106" s="122">
        <f t="shared" si="5"/>
        <v>0</v>
      </c>
    </row>
    <row r="107" spans="1:4" ht="12.9" customHeight="1" x14ac:dyDescent="0.3">
      <c r="A107" s="61" t="s">
        <v>493</v>
      </c>
      <c r="B107" s="61">
        <v>30</v>
      </c>
      <c r="C107" s="61"/>
      <c r="D107" s="122">
        <f t="shared" si="5"/>
        <v>0</v>
      </c>
    </row>
    <row r="108" spans="1:4" ht="12.9" customHeight="1" x14ac:dyDescent="0.3">
      <c r="A108" s="61" t="s">
        <v>494</v>
      </c>
      <c r="B108" s="61">
        <v>10</v>
      </c>
      <c r="C108" s="61"/>
      <c r="D108" s="122">
        <f t="shared" si="5"/>
        <v>0</v>
      </c>
    </row>
    <row r="109" spans="1:4" ht="12.9" customHeight="1" x14ac:dyDescent="0.3">
      <c r="A109" s="102" t="s">
        <v>536</v>
      </c>
      <c r="B109" s="102"/>
      <c r="C109" s="102"/>
      <c r="D109" s="102"/>
    </row>
    <row r="110" spans="1:4" ht="12.9" customHeight="1" x14ac:dyDescent="0.3">
      <c r="A110" s="61" t="s">
        <v>341</v>
      </c>
      <c r="B110" s="61">
        <v>20</v>
      </c>
      <c r="C110" s="61"/>
      <c r="D110" s="122">
        <f>B110*C110*IF($C$3="Nákup",1,0.25)</f>
        <v>0</v>
      </c>
    </row>
    <row r="111" spans="1:4" ht="12.9" customHeight="1" x14ac:dyDescent="0.3">
      <c r="A111" s="61" t="s">
        <v>499</v>
      </c>
      <c r="B111" s="61">
        <v>12</v>
      </c>
      <c r="C111" s="61"/>
      <c r="D111" s="122">
        <f t="shared" ref="D111:D130" si="6">B111*C111*IF($C$3="Nákup",1,0.25)</f>
        <v>0</v>
      </c>
    </row>
    <row r="112" spans="1:4" ht="12.9" customHeight="1" x14ac:dyDescent="0.3">
      <c r="A112" s="61" t="s">
        <v>537</v>
      </c>
      <c r="B112" s="61">
        <v>10</v>
      </c>
      <c r="C112" s="61"/>
      <c r="D112" s="122">
        <f t="shared" si="6"/>
        <v>0</v>
      </c>
    </row>
    <row r="113" spans="1:4" ht="12.9" customHeight="1" x14ac:dyDescent="0.3">
      <c r="A113" s="61" t="s">
        <v>500</v>
      </c>
      <c r="B113" s="61">
        <v>6</v>
      </c>
      <c r="C113" s="61"/>
      <c r="D113" s="122">
        <f t="shared" si="6"/>
        <v>0</v>
      </c>
    </row>
    <row r="114" spans="1:4" ht="12.9" customHeight="1" x14ac:dyDescent="0.3">
      <c r="A114" s="61" t="s">
        <v>501</v>
      </c>
      <c r="B114" s="61">
        <v>7</v>
      </c>
      <c r="C114" s="61"/>
      <c r="D114" s="122">
        <f t="shared" si="6"/>
        <v>0</v>
      </c>
    </row>
    <row r="115" spans="1:4" ht="12.9" customHeight="1" x14ac:dyDescent="0.3">
      <c r="A115" s="61" t="s">
        <v>340</v>
      </c>
      <c r="B115" s="61">
        <v>0.5</v>
      </c>
      <c r="C115" s="61"/>
      <c r="D115" s="122">
        <f t="shared" si="6"/>
        <v>0</v>
      </c>
    </row>
    <row r="116" spans="1:4" ht="12.9" customHeight="1" x14ac:dyDescent="0.3">
      <c r="A116" s="61" t="s">
        <v>502</v>
      </c>
      <c r="B116" s="61">
        <v>1</v>
      </c>
      <c r="C116" s="61"/>
      <c r="D116" s="122">
        <f t="shared" si="6"/>
        <v>0</v>
      </c>
    </row>
    <row r="117" spans="1:4" ht="12.9" customHeight="1" x14ac:dyDescent="0.3">
      <c r="A117" s="61" t="s">
        <v>343</v>
      </c>
      <c r="B117" s="61">
        <v>1.5</v>
      </c>
      <c r="C117" s="61"/>
      <c r="D117" s="122">
        <f t="shared" si="6"/>
        <v>0</v>
      </c>
    </row>
    <row r="118" spans="1:4" ht="12.9" customHeight="1" x14ac:dyDescent="0.3">
      <c r="A118" s="61" t="s">
        <v>503</v>
      </c>
      <c r="B118" s="61">
        <v>3</v>
      </c>
      <c r="C118" s="61"/>
      <c r="D118" s="122">
        <f t="shared" si="6"/>
        <v>0</v>
      </c>
    </row>
    <row r="119" spans="1:4" ht="12.9" customHeight="1" x14ac:dyDescent="0.3">
      <c r="A119" s="61" t="s">
        <v>495</v>
      </c>
      <c r="B119" s="61">
        <v>4</v>
      </c>
      <c r="C119" s="61"/>
      <c r="D119" s="122">
        <f t="shared" si="6"/>
        <v>0</v>
      </c>
    </row>
    <row r="120" spans="1:4" ht="12.9" customHeight="1" x14ac:dyDescent="0.3">
      <c r="A120" s="61" t="s">
        <v>496</v>
      </c>
      <c r="B120" s="61">
        <v>2</v>
      </c>
      <c r="C120" s="61"/>
      <c r="D120" s="122">
        <f t="shared" si="6"/>
        <v>0</v>
      </c>
    </row>
    <row r="121" spans="1:4" ht="12.9" customHeight="1" x14ac:dyDescent="0.3">
      <c r="A121" s="61" t="s">
        <v>342</v>
      </c>
      <c r="B121" s="61">
        <v>10</v>
      </c>
      <c r="C121" s="61"/>
      <c r="D121" s="122">
        <f t="shared" si="6"/>
        <v>0</v>
      </c>
    </row>
    <row r="122" spans="1:4" ht="12.9" customHeight="1" x14ac:dyDescent="0.3">
      <c r="A122" s="61" t="s">
        <v>497</v>
      </c>
      <c r="B122" s="61">
        <v>20</v>
      </c>
      <c r="C122" s="61"/>
      <c r="D122" s="122">
        <f t="shared" si="6"/>
        <v>0</v>
      </c>
    </row>
    <row r="123" spans="1:4" ht="12.9" customHeight="1" x14ac:dyDescent="0.3">
      <c r="A123" s="61" t="s">
        <v>498</v>
      </c>
      <c r="B123" s="61">
        <v>50</v>
      </c>
      <c r="C123" s="61"/>
      <c r="D123" s="122">
        <f t="shared" si="6"/>
        <v>0</v>
      </c>
    </row>
    <row r="124" spans="1:4" ht="12.9" customHeight="1" x14ac:dyDescent="0.3">
      <c r="A124" s="61" t="s">
        <v>173</v>
      </c>
      <c r="B124" s="61">
        <v>30</v>
      </c>
      <c r="C124" s="61"/>
      <c r="D124" s="122">
        <f t="shared" si="6"/>
        <v>0</v>
      </c>
    </row>
    <row r="125" spans="1:4" ht="12.9" customHeight="1" x14ac:dyDescent="0.3">
      <c r="A125" s="61" t="s">
        <v>174</v>
      </c>
      <c r="B125" s="61">
        <v>50</v>
      </c>
      <c r="C125" s="61"/>
      <c r="D125" s="122">
        <f t="shared" si="6"/>
        <v>0</v>
      </c>
    </row>
    <row r="126" spans="1:4" ht="12.9" customHeight="1" x14ac:dyDescent="0.3">
      <c r="A126" s="61" t="s">
        <v>175</v>
      </c>
      <c r="B126" s="61">
        <v>70</v>
      </c>
      <c r="C126" s="61"/>
      <c r="D126" s="122">
        <f t="shared" si="6"/>
        <v>0</v>
      </c>
    </row>
    <row r="127" spans="1:4" ht="12.9" customHeight="1" x14ac:dyDescent="0.3">
      <c r="A127" s="61" t="s">
        <v>226</v>
      </c>
      <c r="B127" s="61">
        <v>10</v>
      </c>
      <c r="C127" s="61"/>
      <c r="D127" s="122">
        <f t="shared" si="6"/>
        <v>0</v>
      </c>
    </row>
    <row r="128" spans="1:4" ht="12.9" customHeight="1" x14ac:dyDescent="0.3">
      <c r="A128" s="61" t="s">
        <v>176</v>
      </c>
      <c r="B128" s="61">
        <v>80</v>
      </c>
      <c r="C128" s="61"/>
      <c r="D128" s="122">
        <f t="shared" si="6"/>
        <v>0</v>
      </c>
    </row>
    <row r="129" spans="1:4" ht="12.9" customHeight="1" x14ac:dyDescent="0.3">
      <c r="A129" s="61" t="s">
        <v>177</v>
      </c>
      <c r="B129" s="61">
        <v>110</v>
      </c>
      <c r="C129" s="61"/>
      <c r="D129" s="122">
        <f t="shared" si="6"/>
        <v>0</v>
      </c>
    </row>
    <row r="130" spans="1:4" ht="12.9" customHeight="1" x14ac:dyDescent="0.3">
      <c r="A130" s="61" t="s">
        <v>178</v>
      </c>
      <c r="B130" s="61">
        <v>200</v>
      </c>
      <c r="C130" s="61"/>
      <c r="D130" s="122">
        <f t="shared" si="6"/>
        <v>0</v>
      </c>
    </row>
    <row r="131" spans="1:4" ht="12.9" customHeight="1" x14ac:dyDescent="0.3">
      <c r="A131" s="102" t="s">
        <v>504</v>
      </c>
      <c r="B131" s="102"/>
      <c r="C131" s="102"/>
      <c r="D131" s="102"/>
    </row>
    <row r="132" spans="1:4" ht="12.9" customHeight="1" x14ac:dyDescent="0.3">
      <c r="A132" s="61" t="s">
        <v>346</v>
      </c>
      <c r="B132" s="61">
        <v>0.05</v>
      </c>
      <c r="C132" s="61"/>
      <c r="D132" s="122">
        <f>B132*C132*IF($C$3="Nákup",1,0.25)</f>
        <v>0</v>
      </c>
    </row>
    <row r="133" spans="1:4" ht="12.9" customHeight="1" x14ac:dyDescent="0.3">
      <c r="A133" s="61" t="s">
        <v>538</v>
      </c>
      <c r="B133" s="61">
        <v>1</v>
      </c>
      <c r="C133" s="61"/>
      <c r="D133" s="122">
        <f t="shared" ref="D133:D145" si="7">B133*C133*IF($C$3="Nákup",1,0.25)</f>
        <v>0</v>
      </c>
    </row>
    <row r="134" spans="1:4" ht="12.9" customHeight="1" x14ac:dyDescent="0.3">
      <c r="A134" s="61" t="s">
        <v>539</v>
      </c>
      <c r="B134" s="61">
        <v>3</v>
      </c>
      <c r="C134" s="61"/>
      <c r="D134" s="122">
        <f t="shared" si="7"/>
        <v>0</v>
      </c>
    </row>
    <row r="135" spans="1:4" ht="12.9" customHeight="1" x14ac:dyDescent="0.3">
      <c r="A135" s="61" t="s">
        <v>540</v>
      </c>
      <c r="B135" s="61">
        <v>0.5</v>
      </c>
      <c r="C135" s="61"/>
      <c r="D135" s="122">
        <f t="shared" si="7"/>
        <v>0</v>
      </c>
    </row>
    <row r="136" spans="1:4" ht="12.9" customHeight="1" x14ac:dyDescent="0.3">
      <c r="A136" s="61" t="s">
        <v>541</v>
      </c>
      <c r="B136" s="61">
        <v>4</v>
      </c>
      <c r="C136" s="61"/>
      <c r="D136" s="122">
        <f t="shared" si="7"/>
        <v>0</v>
      </c>
    </row>
    <row r="137" spans="1:4" ht="12.9" customHeight="1" x14ac:dyDescent="0.3">
      <c r="A137" s="61" t="s">
        <v>345</v>
      </c>
      <c r="B137" s="61">
        <v>12</v>
      </c>
      <c r="C137" s="61"/>
      <c r="D137" s="122">
        <f t="shared" si="7"/>
        <v>0</v>
      </c>
    </row>
    <row r="138" spans="1:4" ht="12.9" customHeight="1" x14ac:dyDescent="0.3">
      <c r="A138" s="61" t="s">
        <v>507</v>
      </c>
      <c r="B138" s="61">
        <v>2</v>
      </c>
      <c r="C138" s="61"/>
      <c r="D138" s="122">
        <f t="shared" si="7"/>
        <v>0</v>
      </c>
    </row>
    <row r="139" spans="1:4" ht="12.9" customHeight="1" x14ac:dyDescent="0.3">
      <c r="A139" s="61" t="s">
        <v>542</v>
      </c>
      <c r="B139" s="61">
        <v>5</v>
      </c>
      <c r="C139" s="61"/>
      <c r="D139" s="122">
        <f t="shared" si="7"/>
        <v>0</v>
      </c>
    </row>
    <row r="140" spans="1:4" ht="12.9" customHeight="1" x14ac:dyDescent="0.3">
      <c r="A140" s="61" t="s">
        <v>506</v>
      </c>
      <c r="B140" s="61">
        <v>0.4</v>
      </c>
      <c r="C140" s="61"/>
      <c r="D140" s="122">
        <f t="shared" si="7"/>
        <v>0</v>
      </c>
    </row>
    <row r="141" spans="1:4" ht="12.9" customHeight="1" x14ac:dyDescent="0.3">
      <c r="A141" s="61" t="s">
        <v>543</v>
      </c>
      <c r="B141" s="61">
        <v>8</v>
      </c>
      <c r="C141" s="61"/>
      <c r="D141" s="122">
        <f t="shared" si="7"/>
        <v>0</v>
      </c>
    </row>
    <row r="142" spans="1:4" ht="12.9" customHeight="1" x14ac:dyDescent="0.3">
      <c r="A142" s="61" t="s">
        <v>544</v>
      </c>
      <c r="B142" s="61">
        <v>20</v>
      </c>
      <c r="C142" s="61"/>
      <c r="D142" s="122">
        <f t="shared" si="7"/>
        <v>0</v>
      </c>
    </row>
    <row r="143" spans="1:4" ht="12.9" customHeight="1" x14ac:dyDescent="0.3">
      <c r="A143" s="61" t="s">
        <v>545</v>
      </c>
      <c r="B143" s="61">
        <v>25</v>
      </c>
      <c r="C143" s="61"/>
      <c r="D143" s="122">
        <f t="shared" si="7"/>
        <v>0</v>
      </c>
    </row>
    <row r="144" spans="1:4" ht="12.9" customHeight="1" x14ac:dyDescent="0.3">
      <c r="A144" s="61" t="s">
        <v>546</v>
      </c>
      <c r="B144" s="61">
        <v>3</v>
      </c>
      <c r="C144" s="61"/>
      <c r="D144" s="122">
        <f t="shared" si="7"/>
        <v>0</v>
      </c>
    </row>
    <row r="145" spans="1:4" ht="12.9" customHeight="1" x14ac:dyDescent="0.3">
      <c r="A145" s="61" t="s">
        <v>505</v>
      </c>
      <c r="B145" s="61">
        <v>0.05</v>
      </c>
      <c r="C145" s="61"/>
      <c r="D145" s="122">
        <f t="shared" si="7"/>
        <v>0</v>
      </c>
    </row>
    <row r="146" spans="1:4" ht="12.9" customHeight="1" x14ac:dyDescent="0.3">
      <c r="A146" s="102" t="s">
        <v>547</v>
      </c>
    </row>
    <row r="147" spans="1:4" ht="12.9" customHeight="1" x14ac:dyDescent="0.3">
      <c r="A147" s="61" t="s">
        <v>344</v>
      </c>
      <c r="B147" s="61">
        <v>3.5</v>
      </c>
      <c r="C147" s="61"/>
      <c r="D147" s="122">
        <f>B147*C147*IF($C$3="Nákup",1,0.25)</f>
        <v>0</v>
      </c>
    </row>
    <row r="148" spans="1:4" ht="12.9" customHeight="1" x14ac:dyDescent="0.3">
      <c r="A148" s="61" t="s">
        <v>180</v>
      </c>
      <c r="B148" s="61">
        <v>1</v>
      </c>
      <c r="C148" s="61"/>
      <c r="D148" s="122">
        <f t="shared" ref="D148:D156" si="8">B148*C148*IF($C$3="Nákup",1,0.25)</f>
        <v>0</v>
      </c>
    </row>
    <row r="149" spans="1:4" ht="12.9" customHeight="1" x14ac:dyDescent="0.3">
      <c r="A149" s="61" t="s">
        <v>548</v>
      </c>
      <c r="B149" s="61">
        <v>4</v>
      </c>
      <c r="C149" s="61"/>
      <c r="D149" s="122">
        <f t="shared" si="8"/>
        <v>0</v>
      </c>
    </row>
    <row r="150" spans="1:4" ht="12.9" customHeight="1" x14ac:dyDescent="0.3">
      <c r="A150" s="61" t="s">
        <v>549</v>
      </c>
      <c r="B150" s="61">
        <v>3</v>
      </c>
      <c r="C150" s="61"/>
      <c r="D150" s="122">
        <f t="shared" si="8"/>
        <v>0</v>
      </c>
    </row>
    <row r="151" spans="1:4" ht="12.9" customHeight="1" x14ac:dyDescent="0.3">
      <c r="A151" s="61" t="s">
        <v>181</v>
      </c>
      <c r="B151" s="61">
        <v>15</v>
      </c>
      <c r="C151" s="61"/>
      <c r="D151" s="122">
        <f t="shared" si="8"/>
        <v>0</v>
      </c>
    </row>
    <row r="152" spans="1:4" ht="12.9" customHeight="1" x14ac:dyDescent="0.3">
      <c r="A152" s="61" t="s">
        <v>182</v>
      </c>
      <c r="B152" s="61">
        <v>20</v>
      </c>
      <c r="C152" s="61"/>
      <c r="D152" s="122">
        <f t="shared" si="8"/>
        <v>0</v>
      </c>
    </row>
    <row r="153" spans="1:4" ht="12.9" customHeight="1" x14ac:dyDescent="0.3">
      <c r="A153" s="61" t="s">
        <v>550</v>
      </c>
      <c r="B153" s="61">
        <v>1.5</v>
      </c>
      <c r="C153" s="61"/>
      <c r="D153" s="122">
        <f t="shared" si="8"/>
        <v>0</v>
      </c>
    </row>
    <row r="154" spans="1:4" ht="12.9" customHeight="1" x14ac:dyDescent="0.3">
      <c r="A154" s="61" t="s">
        <v>183</v>
      </c>
      <c r="B154" s="61">
        <v>0.1</v>
      </c>
      <c r="C154" s="61"/>
      <c r="D154" s="122">
        <f t="shared" si="8"/>
        <v>0</v>
      </c>
    </row>
    <row r="155" spans="1:4" ht="12.9" customHeight="1" x14ac:dyDescent="0.3">
      <c r="A155" s="61" t="s">
        <v>184</v>
      </c>
      <c r="B155" s="61">
        <v>1</v>
      </c>
      <c r="C155" s="61"/>
      <c r="D155" s="122">
        <f t="shared" si="8"/>
        <v>0</v>
      </c>
    </row>
    <row r="156" spans="1:4" ht="12.9" customHeight="1" x14ac:dyDescent="0.3">
      <c r="A156" s="61" t="s">
        <v>551</v>
      </c>
      <c r="B156" s="61">
        <v>4</v>
      </c>
      <c r="C156" s="61"/>
      <c r="D156" s="122">
        <f t="shared" si="8"/>
        <v>0</v>
      </c>
    </row>
    <row r="157" spans="1:4" ht="12.9" customHeight="1" x14ac:dyDescent="0.3">
      <c r="A157" s="102" t="s">
        <v>552</v>
      </c>
    </row>
    <row r="158" spans="1:4" ht="12.9" customHeight="1" x14ac:dyDescent="0.3">
      <c r="A158" s="61" t="s">
        <v>338</v>
      </c>
      <c r="B158" s="61">
        <v>3</v>
      </c>
      <c r="C158" s="61"/>
      <c r="D158" s="122">
        <f>B158*C158*IF($C$3="Nákup",1,0.25)</f>
        <v>0</v>
      </c>
    </row>
    <row r="159" spans="1:4" ht="12.9" customHeight="1" x14ac:dyDescent="0.3">
      <c r="A159" s="61" t="s">
        <v>553</v>
      </c>
      <c r="B159" s="61">
        <v>2</v>
      </c>
      <c r="C159" s="61"/>
      <c r="D159" s="122">
        <f t="shared" ref="D159:D171" si="9">B159*C159*IF($C$3="Nákup",1,0.25)</f>
        <v>0</v>
      </c>
    </row>
    <row r="160" spans="1:4" ht="12.9" customHeight="1" x14ac:dyDescent="0.3">
      <c r="A160" s="61" t="s">
        <v>204</v>
      </c>
      <c r="B160" s="61">
        <v>1</v>
      </c>
      <c r="C160" s="61"/>
      <c r="D160" s="122">
        <f t="shared" si="9"/>
        <v>0</v>
      </c>
    </row>
    <row r="161" spans="1:4" ht="12.9" customHeight="1" x14ac:dyDescent="0.3">
      <c r="A161" s="61" t="s">
        <v>202</v>
      </c>
      <c r="B161" s="61">
        <v>9</v>
      </c>
      <c r="C161" s="61"/>
      <c r="D161" s="122">
        <f t="shared" si="9"/>
        <v>0</v>
      </c>
    </row>
    <row r="162" spans="1:4" ht="12.9" customHeight="1" x14ac:dyDescent="0.3">
      <c r="A162" s="61" t="s">
        <v>194</v>
      </c>
      <c r="B162" s="61">
        <v>0.1</v>
      </c>
      <c r="C162" s="61"/>
      <c r="D162" s="122">
        <f t="shared" si="9"/>
        <v>0</v>
      </c>
    </row>
    <row r="163" spans="1:4" ht="12.9" customHeight="1" x14ac:dyDescent="0.3">
      <c r="A163" s="61" t="s">
        <v>196</v>
      </c>
      <c r="B163" s="61">
        <v>6</v>
      </c>
      <c r="C163" s="61"/>
      <c r="D163" s="122">
        <f t="shared" si="9"/>
        <v>0</v>
      </c>
    </row>
    <row r="164" spans="1:4" ht="12.9" customHeight="1" x14ac:dyDescent="0.3">
      <c r="A164" s="61" t="s">
        <v>325</v>
      </c>
      <c r="B164" s="61">
        <v>6</v>
      </c>
      <c r="C164" s="61"/>
      <c r="D164" s="122">
        <f t="shared" si="9"/>
        <v>0</v>
      </c>
    </row>
    <row r="165" spans="1:4" ht="12.9" customHeight="1" x14ac:dyDescent="0.3">
      <c r="A165" s="61" t="s">
        <v>191</v>
      </c>
      <c r="B165" s="61">
        <v>5</v>
      </c>
      <c r="C165" s="61"/>
      <c r="D165" s="122">
        <f t="shared" si="9"/>
        <v>0</v>
      </c>
    </row>
    <row r="166" spans="1:4" ht="12.9" customHeight="1" x14ac:dyDescent="0.3">
      <c r="A166" s="61" t="s">
        <v>203</v>
      </c>
      <c r="B166" s="61">
        <v>0.5</v>
      </c>
      <c r="C166" s="61"/>
      <c r="D166" s="122">
        <f t="shared" si="9"/>
        <v>0</v>
      </c>
    </row>
    <row r="167" spans="1:4" ht="12.9" customHeight="1" x14ac:dyDescent="0.3">
      <c r="A167" s="61" t="s">
        <v>198</v>
      </c>
      <c r="B167" s="61">
        <v>0.35</v>
      </c>
      <c r="C167" s="61"/>
      <c r="D167" s="122">
        <f t="shared" si="9"/>
        <v>0</v>
      </c>
    </row>
    <row r="168" spans="1:4" ht="12.9" customHeight="1" x14ac:dyDescent="0.3">
      <c r="A168" s="61" t="s">
        <v>179</v>
      </c>
      <c r="B168" s="61">
        <v>1</v>
      </c>
      <c r="C168" s="61"/>
      <c r="D168" s="122">
        <f t="shared" si="9"/>
        <v>0</v>
      </c>
    </row>
    <row r="169" spans="1:4" ht="12.9" customHeight="1" x14ac:dyDescent="0.3">
      <c r="A169" s="61" t="s">
        <v>201</v>
      </c>
      <c r="B169" s="61">
        <v>0.5</v>
      </c>
      <c r="C169" s="61"/>
      <c r="D169" s="122">
        <f t="shared" si="9"/>
        <v>0</v>
      </c>
    </row>
    <row r="170" spans="1:4" ht="12.9" customHeight="1" x14ac:dyDescent="0.3">
      <c r="A170" s="61" t="s">
        <v>200</v>
      </c>
      <c r="B170" s="61">
        <v>12</v>
      </c>
      <c r="C170" s="61"/>
      <c r="D170" s="122">
        <f t="shared" si="9"/>
        <v>0</v>
      </c>
    </row>
    <row r="171" spans="1:4" ht="12.9" customHeight="1" x14ac:dyDescent="0.3">
      <c r="A171" s="61" t="s">
        <v>195</v>
      </c>
      <c r="B171" s="61">
        <v>1.5</v>
      </c>
      <c r="C171" s="61"/>
      <c r="D171" s="122">
        <f t="shared" si="9"/>
        <v>0</v>
      </c>
    </row>
    <row r="172" spans="1:4" ht="12.9" customHeight="1" x14ac:dyDescent="0.3">
      <c r="A172" s="102" t="s">
        <v>508</v>
      </c>
    </row>
    <row r="173" spans="1:4" ht="12.9" customHeight="1" x14ac:dyDescent="0.3">
      <c r="A173" s="61" t="s">
        <v>404</v>
      </c>
      <c r="B173" s="61">
        <v>4</v>
      </c>
      <c r="C173" s="61"/>
      <c r="D173" s="122">
        <f>B173*C173*IF($C$3="Nákup",1,0.25)</f>
        <v>0</v>
      </c>
    </row>
    <row r="174" spans="1:4" ht="12.9" customHeight="1" x14ac:dyDescent="0.3">
      <c r="A174" s="61" t="s">
        <v>188</v>
      </c>
      <c r="B174" s="61">
        <v>1</v>
      </c>
      <c r="C174" s="61"/>
      <c r="D174" s="122">
        <f t="shared" ref="D174:D194" si="10">B174*C174*IF($C$3="Nákup",1,0.25)</f>
        <v>0</v>
      </c>
    </row>
    <row r="175" spans="1:4" ht="12.9" customHeight="1" x14ac:dyDescent="0.3">
      <c r="A175" s="61" t="s">
        <v>192</v>
      </c>
      <c r="B175" s="61">
        <v>2</v>
      </c>
      <c r="C175" s="61"/>
      <c r="D175" s="122">
        <f t="shared" si="10"/>
        <v>0</v>
      </c>
    </row>
    <row r="176" spans="1:4" ht="12.9" customHeight="1" x14ac:dyDescent="0.3">
      <c r="A176" s="61" t="s">
        <v>554</v>
      </c>
      <c r="B176" s="61">
        <v>1.5</v>
      </c>
      <c r="C176" s="61"/>
      <c r="D176" s="122">
        <f t="shared" si="10"/>
        <v>0</v>
      </c>
    </row>
    <row r="177" spans="1:4" ht="12.9" customHeight="1" x14ac:dyDescent="0.3">
      <c r="A177" s="61" t="s">
        <v>230</v>
      </c>
      <c r="B177" s="61">
        <v>7</v>
      </c>
      <c r="C177" s="61"/>
      <c r="D177" s="122">
        <f t="shared" si="10"/>
        <v>0</v>
      </c>
    </row>
    <row r="178" spans="1:4" ht="12.9" customHeight="1" x14ac:dyDescent="0.3">
      <c r="A178" s="61" t="s">
        <v>555</v>
      </c>
      <c r="B178" s="61">
        <v>6</v>
      </c>
      <c r="C178" s="61"/>
      <c r="D178" s="122">
        <f t="shared" si="10"/>
        <v>0</v>
      </c>
    </row>
    <row r="179" spans="1:4" ht="12.9" customHeight="1" x14ac:dyDescent="0.3">
      <c r="A179" s="61" t="s">
        <v>510</v>
      </c>
      <c r="B179" s="61">
        <v>5</v>
      </c>
      <c r="C179" s="61"/>
      <c r="D179" s="122">
        <f t="shared" si="10"/>
        <v>0</v>
      </c>
    </row>
    <row r="180" spans="1:4" ht="12.9" customHeight="1" x14ac:dyDescent="0.3">
      <c r="A180" s="61" t="s">
        <v>511</v>
      </c>
      <c r="B180" s="61">
        <v>0.3</v>
      </c>
      <c r="C180" s="61"/>
      <c r="D180" s="122">
        <f t="shared" si="10"/>
        <v>0</v>
      </c>
    </row>
    <row r="181" spans="1:4" ht="12.9" customHeight="1" x14ac:dyDescent="0.3">
      <c r="A181" s="61" t="s">
        <v>205</v>
      </c>
      <c r="B181" s="61">
        <v>10</v>
      </c>
      <c r="C181" s="61"/>
      <c r="D181" s="122">
        <f t="shared" si="10"/>
        <v>0</v>
      </c>
    </row>
    <row r="182" spans="1:4" ht="12.9" customHeight="1" x14ac:dyDescent="0.3">
      <c r="A182" s="61" t="s">
        <v>512</v>
      </c>
      <c r="B182" s="61">
        <v>1</v>
      </c>
      <c r="C182" s="61"/>
      <c r="D182" s="122">
        <f t="shared" si="10"/>
        <v>0</v>
      </c>
    </row>
    <row r="183" spans="1:4" ht="12.9" customHeight="1" x14ac:dyDescent="0.3">
      <c r="A183" s="61" t="s">
        <v>199</v>
      </c>
      <c r="B183" s="61">
        <v>8</v>
      </c>
      <c r="C183" s="61"/>
      <c r="D183" s="122">
        <f t="shared" si="10"/>
        <v>0</v>
      </c>
    </row>
    <row r="184" spans="1:4" ht="12.9" customHeight="1" x14ac:dyDescent="0.3">
      <c r="A184" s="61" t="s">
        <v>191</v>
      </c>
      <c r="B184" s="61">
        <v>2.5</v>
      </c>
      <c r="C184" s="61"/>
      <c r="D184" s="122">
        <f t="shared" si="10"/>
        <v>0</v>
      </c>
    </row>
    <row r="185" spans="1:4" ht="12.9" customHeight="1" x14ac:dyDescent="0.3">
      <c r="A185" s="61" t="s">
        <v>189</v>
      </c>
      <c r="B185" s="61">
        <v>40</v>
      </c>
      <c r="C185" s="61"/>
      <c r="D185" s="122">
        <f t="shared" si="10"/>
        <v>0</v>
      </c>
    </row>
    <row r="186" spans="1:4" ht="12.9" customHeight="1" x14ac:dyDescent="0.3">
      <c r="A186" s="61" t="s">
        <v>190</v>
      </c>
      <c r="B186" s="61">
        <v>10</v>
      </c>
      <c r="C186" s="61"/>
      <c r="D186" s="122">
        <f t="shared" si="10"/>
        <v>0</v>
      </c>
    </row>
    <row r="187" spans="1:4" ht="12.9" customHeight="1" x14ac:dyDescent="0.3">
      <c r="A187" s="61" t="s">
        <v>186</v>
      </c>
      <c r="B187" s="61">
        <v>1</v>
      </c>
      <c r="C187" s="61"/>
      <c r="D187" s="122">
        <f t="shared" si="10"/>
        <v>0</v>
      </c>
    </row>
    <row r="188" spans="1:4" ht="12.9" customHeight="1" x14ac:dyDescent="0.3">
      <c r="A188" s="61" t="s">
        <v>193</v>
      </c>
      <c r="B188" s="61">
        <v>11</v>
      </c>
      <c r="C188" s="61"/>
      <c r="D188" s="122">
        <f t="shared" si="10"/>
        <v>0</v>
      </c>
    </row>
    <row r="189" spans="1:4" ht="12.9" customHeight="1" x14ac:dyDescent="0.3">
      <c r="A189" s="61" t="s">
        <v>187</v>
      </c>
      <c r="B189" s="61">
        <v>0.25</v>
      </c>
      <c r="C189" s="61"/>
      <c r="D189" s="122">
        <f t="shared" si="10"/>
        <v>0</v>
      </c>
    </row>
    <row r="190" spans="1:4" ht="12.9" customHeight="1" x14ac:dyDescent="0.3">
      <c r="A190" s="61" t="s">
        <v>197</v>
      </c>
      <c r="B190" s="61">
        <v>10</v>
      </c>
      <c r="C190" s="61"/>
      <c r="D190" s="122">
        <f t="shared" si="10"/>
        <v>0</v>
      </c>
    </row>
    <row r="191" spans="1:4" ht="12.9" customHeight="1" x14ac:dyDescent="0.3">
      <c r="A191" s="61" t="s">
        <v>556</v>
      </c>
      <c r="B191" s="61">
        <v>3</v>
      </c>
      <c r="C191" s="61"/>
      <c r="D191" s="122">
        <f t="shared" si="10"/>
        <v>0</v>
      </c>
    </row>
    <row r="192" spans="1:4" ht="12.9" customHeight="1" x14ac:dyDescent="0.3">
      <c r="A192" s="61" t="s">
        <v>557</v>
      </c>
      <c r="B192" s="61">
        <v>7.5</v>
      </c>
      <c r="C192" s="61"/>
      <c r="D192" s="122">
        <f t="shared" si="10"/>
        <v>0</v>
      </c>
    </row>
    <row r="193" spans="1:4" ht="12.9" customHeight="1" x14ac:dyDescent="0.3">
      <c r="A193" s="61" t="s">
        <v>558</v>
      </c>
      <c r="B193" s="61">
        <v>1</v>
      </c>
      <c r="C193" s="61"/>
      <c r="D193" s="122">
        <f t="shared" si="10"/>
        <v>0</v>
      </c>
    </row>
    <row r="194" spans="1:4" ht="12.9" customHeight="1" x14ac:dyDescent="0.3">
      <c r="A194" s="61" t="s">
        <v>185</v>
      </c>
      <c r="B194" s="61">
        <v>8</v>
      </c>
      <c r="C194" s="61"/>
      <c r="D194" s="122">
        <f t="shared" si="10"/>
        <v>0</v>
      </c>
    </row>
    <row r="195" spans="1:4" ht="12.9" customHeight="1" x14ac:dyDescent="0.3"/>
    <row r="196" spans="1:4" ht="12.9" customHeight="1" x14ac:dyDescent="0.3"/>
    <row r="197" spans="1:4" ht="12.9" customHeight="1" x14ac:dyDescent="0.3"/>
    <row r="198" spans="1:4" ht="12" customHeight="1" x14ac:dyDescent="0.3"/>
    <row r="199" spans="1:4" ht="12.9" customHeight="1" x14ac:dyDescent="0.3"/>
    <row r="200" spans="1:4" ht="12.9" customHeight="1" x14ac:dyDescent="0.3"/>
    <row r="201" spans="1:4" ht="12.9" customHeight="1" x14ac:dyDescent="0.3"/>
    <row r="202" spans="1:4" ht="12.9" customHeight="1" x14ac:dyDescent="0.3"/>
    <row r="203" spans="1:4" ht="12.9" customHeight="1" x14ac:dyDescent="0.3"/>
    <row r="204" spans="1:4" ht="12.9" customHeight="1" x14ac:dyDescent="0.3"/>
    <row r="205" spans="1:4" ht="12.9" customHeight="1" x14ac:dyDescent="0.3"/>
    <row r="206" spans="1:4" ht="12.9" customHeight="1" x14ac:dyDescent="0.3"/>
    <row r="207" spans="1:4" ht="12.9" customHeight="1" x14ac:dyDescent="0.3"/>
    <row r="208" spans="1:4" ht="12.9" customHeight="1" x14ac:dyDescent="0.3"/>
    <row r="209" ht="12.9" customHeight="1" x14ac:dyDescent="0.3"/>
    <row r="210" ht="12.9" customHeight="1" x14ac:dyDescent="0.3"/>
    <row r="211" ht="12.9" customHeight="1" x14ac:dyDescent="0.3"/>
    <row r="212" ht="12.9" customHeight="1" x14ac:dyDescent="0.3"/>
    <row r="213" ht="12.9" customHeight="1" x14ac:dyDescent="0.3"/>
    <row r="214" ht="12.9" customHeight="1" x14ac:dyDescent="0.3"/>
    <row r="215" ht="12.9" customHeight="1" x14ac:dyDescent="0.3"/>
    <row r="216" ht="12.9" customHeight="1" x14ac:dyDescent="0.3"/>
    <row r="217" ht="12.9" customHeight="1" x14ac:dyDescent="0.3"/>
    <row r="218" ht="12.9" customHeight="1" x14ac:dyDescent="0.3"/>
    <row r="219" ht="12.9" customHeight="1" x14ac:dyDescent="0.3"/>
    <row r="220" ht="12.9" customHeight="1" x14ac:dyDescent="0.3"/>
    <row r="221" ht="12.9" customHeight="1" x14ac:dyDescent="0.3"/>
    <row r="222" ht="12.9" customHeight="1" x14ac:dyDescent="0.3"/>
    <row r="223" ht="12.9" customHeight="1" x14ac:dyDescent="0.3"/>
    <row r="224" ht="12.9" customHeight="1" x14ac:dyDescent="0.3"/>
    <row r="225" ht="12.9" customHeight="1" x14ac:dyDescent="0.3"/>
    <row r="226" ht="12.9" customHeight="1" x14ac:dyDescent="0.3"/>
    <row r="227" ht="12.9" customHeight="1" x14ac:dyDescent="0.3"/>
    <row r="228" ht="12.9" customHeight="1" x14ac:dyDescent="0.3"/>
    <row r="229" ht="12.9" customHeight="1" x14ac:dyDescent="0.3"/>
    <row r="230" ht="12.9" customHeight="1" x14ac:dyDescent="0.3"/>
    <row r="231" ht="12.9" customHeight="1" x14ac:dyDescent="0.3"/>
    <row r="232" ht="12.9" customHeight="1" x14ac:dyDescent="0.3"/>
    <row r="233" ht="12.9" customHeight="1" x14ac:dyDescent="0.3"/>
    <row r="234" ht="12.9" customHeight="1" x14ac:dyDescent="0.3"/>
    <row r="235" ht="12.9" customHeight="1" x14ac:dyDescent="0.3"/>
    <row r="236" ht="12.9" customHeight="1" x14ac:dyDescent="0.3"/>
    <row r="237" ht="12.9" customHeight="1" x14ac:dyDescent="0.3"/>
    <row r="238" ht="12.9" customHeight="1" x14ac:dyDescent="0.3"/>
    <row r="239" ht="12.9" customHeight="1" x14ac:dyDescent="0.3"/>
    <row r="240" ht="12.9" customHeight="1" x14ac:dyDescent="0.3"/>
    <row r="241" ht="12.9" customHeight="1" x14ac:dyDescent="0.3"/>
    <row r="242" ht="12.9" customHeight="1" x14ac:dyDescent="0.3"/>
    <row r="243" ht="12.9" customHeight="1" x14ac:dyDescent="0.3"/>
    <row r="244" ht="12.9" customHeight="1" x14ac:dyDescent="0.3"/>
    <row r="245" ht="12.9" customHeight="1" x14ac:dyDescent="0.3"/>
    <row r="246" ht="12.9" customHeight="1" x14ac:dyDescent="0.3"/>
    <row r="247" ht="12.9" customHeight="1" x14ac:dyDescent="0.3"/>
    <row r="248" ht="12.9" customHeight="1" x14ac:dyDescent="0.3"/>
    <row r="249" ht="12.9" customHeight="1" x14ac:dyDescent="0.3"/>
    <row r="250" ht="12.9" customHeight="1" x14ac:dyDescent="0.3"/>
    <row r="251" ht="12.9" customHeight="1" x14ac:dyDescent="0.3"/>
    <row r="252" ht="12.9" customHeight="1" x14ac:dyDescent="0.3"/>
    <row r="253" ht="12.9" customHeight="1" x14ac:dyDescent="0.3"/>
    <row r="254" ht="12.9" customHeight="1" x14ac:dyDescent="0.3"/>
    <row r="255" ht="12.9" customHeight="1" x14ac:dyDescent="0.3"/>
    <row r="256" ht="12.9" customHeight="1" x14ac:dyDescent="0.3"/>
    <row r="257" ht="12.9" customHeight="1" x14ac:dyDescent="0.3"/>
    <row r="258" ht="12.9" customHeight="1" x14ac:dyDescent="0.3"/>
    <row r="259" ht="12.9" customHeight="1" x14ac:dyDescent="0.3"/>
    <row r="260" ht="12.9" customHeight="1" x14ac:dyDescent="0.3"/>
    <row r="261" ht="12.9" customHeight="1" x14ac:dyDescent="0.3"/>
    <row r="262" ht="12.9" customHeight="1" x14ac:dyDescent="0.3"/>
    <row r="263" ht="12.9" customHeight="1" x14ac:dyDescent="0.3"/>
    <row r="264" ht="12.9" customHeight="1" x14ac:dyDescent="0.3"/>
    <row r="265" ht="12.9" customHeight="1" x14ac:dyDescent="0.3"/>
    <row r="266" ht="12.9" customHeight="1" x14ac:dyDescent="0.3"/>
    <row r="267" ht="12.9" customHeight="1" x14ac:dyDescent="0.3"/>
    <row r="268" ht="12.9" customHeight="1" x14ac:dyDescent="0.3"/>
    <row r="269" ht="12.9" customHeight="1" x14ac:dyDescent="0.3"/>
    <row r="270" ht="12.9" customHeight="1" x14ac:dyDescent="0.3"/>
    <row r="271" ht="12.9" customHeight="1" x14ac:dyDescent="0.3"/>
    <row r="272" ht="12.9" customHeight="1" x14ac:dyDescent="0.3"/>
    <row r="273" ht="12.9" customHeight="1" x14ac:dyDescent="0.3"/>
    <row r="274" ht="12.9" customHeight="1" x14ac:dyDescent="0.3"/>
  </sheetData>
  <autoFilter ref="A8:E273"/>
  <sortState ref="A38:D93">
    <sortCondition ref="A38:A93"/>
  </sortState>
  <dataValidations count="1">
    <dataValidation type="list" allowBlank="1" showInputMessage="1" showErrorMessage="1" sqref="C3">
      <formula1>$N$2:$N$3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82"/>
  <sheetViews>
    <sheetView topLeftCell="A16" workbookViewId="0">
      <selection activeCell="A84" sqref="A84"/>
    </sheetView>
  </sheetViews>
  <sheetFormatPr defaultRowHeight="14.4" x14ac:dyDescent="0.3"/>
  <cols>
    <col min="1" max="1" width="29.109375" customWidth="1"/>
    <col min="2" max="2" width="7.21875" customWidth="1"/>
    <col min="3" max="3" width="9" bestFit="1" customWidth="1"/>
    <col min="6" max="6" width="15.109375" bestFit="1" customWidth="1"/>
    <col min="7" max="10" width="5.77734375" style="211" customWidth="1"/>
    <col min="11" max="11" width="4.77734375" style="211" customWidth="1"/>
    <col min="13" max="13" width="4.77734375" customWidth="1"/>
    <col min="14" max="14" width="6.77734375" customWidth="1"/>
  </cols>
  <sheetData>
    <row r="1" spans="1:6" x14ac:dyDescent="0.3">
      <c r="A1" s="1" t="s">
        <v>120</v>
      </c>
    </row>
    <row r="2" spans="1:6" ht="15.6" x14ac:dyDescent="0.3">
      <c r="A2" s="47" t="s">
        <v>109</v>
      </c>
      <c r="B2" s="47" t="s">
        <v>915</v>
      </c>
      <c r="C2" s="47" t="s">
        <v>916</v>
      </c>
      <c r="D2" s="47" t="s">
        <v>439</v>
      </c>
      <c r="E2" s="48" t="s">
        <v>425</v>
      </c>
      <c r="F2" s="47" t="s">
        <v>305</v>
      </c>
    </row>
    <row r="3" spans="1:6" ht="15.6" x14ac:dyDescent="0.3">
      <c r="A3" s="233" t="s">
        <v>307</v>
      </c>
      <c r="B3" s="234">
        <v>0</v>
      </c>
      <c r="C3" s="234">
        <v>0</v>
      </c>
      <c r="D3" s="234">
        <v>0</v>
      </c>
      <c r="E3" s="234" t="s">
        <v>37</v>
      </c>
      <c r="F3" s="235" t="s">
        <v>308</v>
      </c>
    </row>
    <row r="4" spans="1:6" ht="15.6" x14ac:dyDescent="0.3">
      <c r="A4" s="233" t="s">
        <v>442</v>
      </c>
      <c r="B4" s="234">
        <v>1</v>
      </c>
      <c r="C4" s="234">
        <v>100</v>
      </c>
      <c r="D4" s="234">
        <v>0</v>
      </c>
      <c r="E4" s="234" t="s">
        <v>37</v>
      </c>
      <c r="F4" s="235" t="s">
        <v>624</v>
      </c>
    </row>
    <row r="5" spans="1:6" ht="15.6" x14ac:dyDescent="0.3">
      <c r="A5" s="233" t="s">
        <v>445</v>
      </c>
      <c r="B5" s="234">
        <v>1</v>
      </c>
      <c r="C5" s="234">
        <v>250</v>
      </c>
      <c r="D5" s="234">
        <v>0</v>
      </c>
      <c r="E5" s="234" t="s">
        <v>37</v>
      </c>
      <c r="F5" s="235" t="s">
        <v>623</v>
      </c>
    </row>
    <row r="6" spans="1:6" ht="15.6" x14ac:dyDescent="0.3">
      <c r="A6" s="233" t="s">
        <v>440</v>
      </c>
      <c r="B6" s="234">
        <v>1</v>
      </c>
      <c r="C6" s="234">
        <v>1</v>
      </c>
      <c r="D6" s="234">
        <v>0</v>
      </c>
      <c r="E6" s="234" t="s">
        <v>37</v>
      </c>
      <c r="F6" s="235" t="s">
        <v>622</v>
      </c>
    </row>
    <row r="7" spans="1:6" ht="15.6" x14ac:dyDescent="0.3">
      <c r="A7" s="233" t="s">
        <v>446</v>
      </c>
      <c r="B7" s="234">
        <v>1</v>
      </c>
      <c r="C7" s="234">
        <v>10</v>
      </c>
      <c r="D7" s="234">
        <v>0</v>
      </c>
      <c r="E7" s="234" t="s">
        <v>37</v>
      </c>
      <c r="F7" s="235" t="s">
        <v>57</v>
      </c>
    </row>
    <row r="8" spans="1:6" ht="15.6" x14ac:dyDescent="0.3">
      <c r="A8" s="233" t="s">
        <v>441</v>
      </c>
      <c r="B8" s="234">
        <v>1</v>
      </c>
      <c r="C8" s="234">
        <v>50</v>
      </c>
      <c r="D8" s="234">
        <v>0</v>
      </c>
      <c r="E8" s="234" t="s">
        <v>37</v>
      </c>
      <c r="F8" s="235" t="s">
        <v>621</v>
      </c>
    </row>
    <row r="9" spans="1:6" ht="15.6" x14ac:dyDescent="0.3">
      <c r="A9" s="233" t="s">
        <v>443</v>
      </c>
      <c r="B9" s="234">
        <v>1</v>
      </c>
      <c r="C9" s="234">
        <v>25</v>
      </c>
      <c r="D9" s="234">
        <v>0</v>
      </c>
      <c r="E9" s="234" t="s">
        <v>37</v>
      </c>
      <c r="F9" s="235" t="s">
        <v>306</v>
      </c>
    </row>
    <row r="10" spans="1:6" ht="15.6" x14ac:dyDescent="0.3">
      <c r="A10" s="233" t="s">
        <v>111</v>
      </c>
      <c r="B10" s="234">
        <v>2</v>
      </c>
      <c r="C10" s="234">
        <v>120</v>
      </c>
      <c r="D10" s="234">
        <v>2</v>
      </c>
      <c r="E10" s="234" t="s">
        <v>37</v>
      </c>
      <c r="F10" s="235" t="s">
        <v>57</v>
      </c>
    </row>
    <row r="11" spans="1:6" ht="15.6" x14ac:dyDescent="0.3">
      <c r="A11" s="233" t="s">
        <v>113</v>
      </c>
      <c r="B11" s="234">
        <v>2</v>
      </c>
      <c r="C11" s="234">
        <v>1200</v>
      </c>
      <c r="D11" s="234">
        <v>4</v>
      </c>
      <c r="E11" s="234" t="s">
        <v>38</v>
      </c>
      <c r="F11" s="235" t="s">
        <v>57</v>
      </c>
    </row>
    <row r="12" spans="1:6" ht="15.6" x14ac:dyDescent="0.3">
      <c r="A12" s="233" t="s">
        <v>114</v>
      </c>
      <c r="B12" s="234">
        <v>2</v>
      </c>
      <c r="C12" s="234">
        <v>2100</v>
      </c>
      <c r="D12" s="234">
        <v>5</v>
      </c>
      <c r="E12" s="234" t="s">
        <v>39</v>
      </c>
      <c r="F12" s="235" t="s">
        <v>444</v>
      </c>
    </row>
    <row r="13" spans="1:6" ht="15.6" x14ac:dyDescent="0.3">
      <c r="A13" s="233" t="s">
        <v>112</v>
      </c>
      <c r="B13" s="234">
        <v>2</v>
      </c>
      <c r="C13" s="234">
        <v>600</v>
      </c>
      <c r="D13" s="234">
        <v>3</v>
      </c>
      <c r="E13" s="234" t="s">
        <v>38</v>
      </c>
      <c r="F13" s="235" t="s">
        <v>57</v>
      </c>
    </row>
    <row r="14" spans="1:6" ht="15.6" x14ac:dyDescent="0.3">
      <c r="A14" s="233" t="s">
        <v>110</v>
      </c>
      <c r="B14" s="234">
        <v>2</v>
      </c>
      <c r="C14" s="234">
        <v>60</v>
      </c>
      <c r="D14" s="234">
        <v>1</v>
      </c>
      <c r="E14" s="234" t="s">
        <v>37</v>
      </c>
      <c r="F14" s="235" t="s">
        <v>57</v>
      </c>
    </row>
    <row r="16" spans="1:6" x14ac:dyDescent="0.3">
      <c r="A16" s="1" t="s">
        <v>348</v>
      </c>
    </row>
    <row r="17" spans="1:14" ht="15.6" x14ac:dyDescent="0.3">
      <c r="A17" s="236" t="s">
        <v>109</v>
      </c>
      <c r="B17" s="236" t="s">
        <v>915</v>
      </c>
      <c r="C17" s="236" t="s">
        <v>916</v>
      </c>
      <c r="D17" s="236" t="s">
        <v>923</v>
      </c>
      <c r="E17" s="236" t="s">
        <v>425</v>
      </c>
      <c r="F17" s="236" t="s">
        <v>930</v>
      </c>
      <c r="G17" s="64" t="s">
        <v>22</v>
      </c>
      <c r="H17" s="64" t="s">
        <v>28</v>
      </c>
      <c r="I17" s="64" t="s">
        <v>102</v>
      </c>
      <c r="J17" s="64" t="s">
        <v>103</v>
      </c>
      <c r="K17" s="64" t="s">
        <v>157</v>
      </c>
      <c r="L17" s="236" t="s">
        <v>121</v>
      </c>
      <c r="M17" s="236" t="s">
        <v>122</v>
      </c>
      <c r="N17" s="236" t="s">
        <v>123</v>
      </c>
    </row>
    <row r="18" spans="1:14" ht="15.6" x14ac:dyDescent="0.3">
      <c r="A18" s="237" t="s">
        <v>224</v>
      </c>
      <c r="B18" s="234">
        <v>0</v>
      </c>
      <c r="C18" s="234">
        <v>50</v>
      </c>
      <c r="D18" s="238" t="s">
        <v>92</v>
      </c>
      <c r="E18" s="239" t="s">
        <v>39</v>
      </c>
      <c r="F18" s="14" t="s">
        <v>589</v>
      </c>
      <c r="G18" s="240">
        <v>0</v>
      </c>
      <c r="H18" s="240">
        <v>1</v>
      </c>
      <c r="I18" s="240">
        <v>1</v>
      </c>
      <c r="J18" s="240">
        <v>-1</v>
      </c>
      <c r="K18" s="241">
        <f>BOJ_ZÁPAS</f>
        <v>-6</v>
      </c>
      <c r="L18" s="239">
        <v>1</v>
      </c>
      <c r="M18" s="242" t="s">
        <v>35</v>
      </c>
      <c r="N18" s="242" t="s">
        <v>125</v>
      </c>
    </row>
    <row r="19" spans="1:14" ht="15.6" x14ac:dyDescent="0.3">
      <c r="A19" s="15" t="s">
        <v>925</v>
      </c>
      <c r="B19" s="234">
        <v>2</v>
      </c>
      <c r="C19" s="234">
        <v>36</v>
      </c>
      <c r="D19" s="238" t="s">
        <v>150</v>
      </c>
      <c r="E19" s="239" t="s">
        <v>37</v>
      </c>
      <c r="F19" s="14" t="s">
        <v>587</v>
      </c>
      <c r="G19" s="240">
        <v>2</v>
      </c>
      <c r="H19" s="240">
        <v>3</v>
      </c>
      <c r="I19" s="240">
        <v>3</v>
      </c>
      <c r="J19" s="240">
        <v>3</v>
      </c>
      <c r="K19" s="241">
        <f>BOJ_NOŽE</f>
        <v>-6</v>
      </c>
      <c r="L19" s="239">
        <v>1</v>
      </c>
      <c r="M19" s="242" t="s">
        <v>33</v>
      </c>
      <c r="N19" s="242" t="s">
        <v>125</v>
      </c>
    </row>
    <row r="20" spans="1:14" ht="15.6" x14ac:dyDescent="0.3">
      <c r="A20" s="15" t="s">
        <v>132</v>
      </c>
      <c r="B20" s="234">
        <v>1</v>
      </c>
      <c r="C20" s="234">
        <v>18</v>
      </c>
      <c r="D20" s="238" t="s">
        <v>149</v>
      </c>
      <c r="E20" s="239" t="s">
        <v>37</v>
      </c>
      <c r="F20" s="14" t="s">
        <v>587</v>
      </c>
      <c r="G20" s="240">
        <v>2</v>
      </c>
      <c r="H20" s="240">
        <v>2</v>
      </c>
      <c r="I20" s="240">
        <v>2</v>
      </c>
      <c r="J20" s="240">
        <v>1</v>
      </c>
      <c r="K20" s="241">
        <f>BOJ_NOŽE</f>
        <v>-6</v>
      </c>
      <c r="L20" s="239">
        <v>1</v>
      </c>
      <c r="M20" s="242" t="s">
        <v>33</v>
      </c>
      <c r="N20" s="242" t="s">
        <v>125</v>
      </c>
    </row>
    <row r="21" spans="1:14" ht="15.6" x14ac:dyDescent="0.3">
      <c r="A21" s="243" t="s">
        <v>212</v>
      </c>
      <c r="B21" s="234">
        <v>1</v>
      </c>
      <c r="C21" s="234">
        <v>10</v>
      </c>
      <c r="D21" s="238" t="s">
        <v>151</v>
      </c>
      <c r="E21" s="239" t="s">
        <v>37</v>
      </c>
      <c r="F21" s="14" t="s">
        <v>410</v>
      </c>
      <c r="G21" s="240">
        <v>0</v>
      </c>
      <c r="H21" s="240">
        <v>2</v>
      </c>
      <c r="I21" s="240">
        <v>1</v>
      </c>
      <c r="J21" s="240">
        <v>1</v>
      </c>
      <c r="K21" s="241">
        <f>BOJ_VRH</f>
        <v>-6</v>
      </c>
      <c r="L21" s="239">
        <v>10</v>
      </c>
      <c r="M21" s="242" t="s">
        <v>33</v>
      </c>
      <c r="N21" s="242" t="s">
        <v>125</v>
      </c>
    </row>
    <row r="22" spans="1:14" ht="15.6" x14ac:dyDescent="0.3">
      <c r="A22" s="243" t="s">
        <v>264</v>
      </c>
      <c r="B22" s="234">
        <v>1</v>
      </c>
      <c r="C22" s="234">
        <v>115</v>
      </c>
      <c r="D22" s="238" t="s">
        <v>149</v>
      </c>
      <c r="E22" s="239" t="s">
        <v>37</v>
      </c>
      <c r="F22" s="14" t="s">
        <v>587</v>
      </c>
      <c r="G22" s="240">
        <v>2</v>
      </c>
      <c r="H22" s="240">
        <v>2</v>
      </c>
      <c r="I22" s="240">
        <v>4</v>
      </c>
      <c r="J22" s="240">
        <v>1</v>
      </c>
      <c r="K22" s="241">
        <f>BOJ_NOŽE</f>
        <v>-6</v>
      </c>
      <c r="L22" s="239">
        <v>1</v>
      </c>
      <c r="M22" s="242" t="s">
        <v>33</v>
      </c>
      <c r="N22" s="242" t="s">
        <v>125</v>
      </c>
    </row>
    <row r="23" spans="1:14" ht="15.6" x14ac:dyDescent="0.3">
      <c r="A23" s="243" t="s">
        <v>172</v>
      </c>
      <c r="B23" s="234">
        <v>1</v>
      </c>
      <c r="C23" s="234">
        <v>1</v>
      </c>
      <c r="D23" s="238" t="s">
        <v>151</v>
      </c>
      <c r="E23" s="239" t="s">
        <v>37</v>
      </c>
      <c r="F23" s="14" t="s">
        <v>410</v>
      </c>
      <c r="G23" s="240">
        <v>0</v>
      </c>
      <c r="H23" s="240">
        <v>0</v>
      </c>
      <c r="I23" s="240">
        <v>-3</v>
      </c>
      <c r="J23" s="240">
        <v>-2</v>
      </c>
      <c r="K23" s="241">
        <f>BOJ_VRH</f>
        <v>-6</v>
      </c>
      <c r="L23" s="239">
        <v>10</v>
      </c>
      <c r="M23" s="242" t="s">
        <v>35</v>
      </c>
      <c r="N23" s="242" t="s">
        <v>125</v>
      </c>
    </row>
    <row r="24" spans="1:14" ht="15.6" x14ac:dyDescent="0.3">
      <c r="A24" s="237" t="s">
        <v>262</v>
      </c>
      <c r="B24" s="234">
        <v>1</v>
      </c>
      <c r="C24" s="234">
        <v>4</v>
      </c>
      <c r="D24" s="238" t="s">
        <v>151</v>
      </c>
      <c r="E24" s="239" t="s">
        <v>37</v>
      </c>
      <c r="F24" s="14" t="s">
        <v>410</v>
      </c>
      <c r="G24" s="240">
        <v>0</v>
      </c>
      <c r="H24" s="240">
        <v>1</v>
      </c>
      <c r="I24" s="240">
        <v>-1</v>
      </c>
      <c r="J24" s="240">
        <v>1</v>
      </c>
      <c r="K24" s="241">
        <f>BOJ_VRH</f>
        <v>-6</v>
      </c>
      <c r="L24" s="239">
        <v>6</v>
      </c>
      <c r="M24" s="242" t="s">
        <v>33</v>
      </c>
      <c r="N24" s="242" t="s">
        <v>125</v>
      </c>
    </row>
    <row r="25" spans="1:14" ht="15.6" x14ac:dyDescent="0.3">
      <c r="A25" s="243" t="s">
        <v>135</v>
      </c>
      <c r="B25" s="234">
        <v>2</v>
      </c>
      <c r="C25" s="234">
        <v>70</v>
      </c>
      <c r="D25" s="238" t="s">
        <v>150</v>
      </c>
      <c r="E25" s="239" t="s">
        <v>39</v>
      </c>
      <c r="F25" s="14" t="s">
        <v>634</v>
      </c>
      <c r="G25" s="240">
        <v>-1</v>
      </c>
      <c r="H25" s="240">
        <v>5</v>
      </c>
      <c r="I25" s="240">
        <v>9</v>
      </c>
      <c r="J25" s="240">
        <v>3</v>
      </c>
      <c r="K25" s="241">
        <f>BOJ_KOPÍ</f>
        <v>-6</v>
      </c>
      <c r="L25" s="239">
        <v>2</v>
      </c>
      <c r="M25" s="242" t="s">
        <v>52</v>
      </c>
      <c r="N25" s="242" t="s">
        <v>128</v>
      </c>
    </row>
    <row r="26" spans="1:14" ht="15.6" x14ac:dyDescent="0.3">
      <c r="A26" s="244" t="s">
        <v>16</v>
      </c>
      <c r="B26" s="234">
        <v>0</v>
      </c>
      <c r="C26" s="234">
        <v>0</v>
      </c>
      <c r="D26" s="238" t="s">
        <v>92</v>
      </c>
      <c r="E26" s="239" t="s">
        <v>37</v>
      </c>
      <c r="F26" s="14" t="s">
        <v>589</v>
      </c>
      <c r="G26" s="240">
        <v>0</v>
      </c>
      <c r="H26" s="245">
        <v>0</v>
      </c>
      <c r="I26" s="245">
        <v>1</v>
      </c>
      <c r="J26" s="240">
        <v>-9</v>
      </c>
      <c r="K26" s="241">
        <f>BOJ_ZÁPAS</f>
        <v>-6</v>
      </c>
      <c r="L26" s="239">
        <v>0</v>
      </c>
      <c r="M26" s="242" t="s">
        <v>35</v>
      </c>
      <c r="N26" s="242" t="s">
        <v>125</v>
      </c>
    </row>
    <row r="27" spans="1:14" ht="15.6" x14ac:dyDescent="0.3">
      <c r="A27" s="243" t="s">
        <v>457</v>
      </c>
      <c r="B27" s="234">
        <v>2</v>
      </c>
      <c r="C27" s="234">
        <v>1.2</v>
      </c>
      <c r="D27" s="238" t="s">
        <v>150</v>
      </c>
      <c r="E27" s="239" t="s">
        <v>37</v>
      </c>
      <c r="F27" s="14" t="s">
        <v>634</v>
      </c>
      <c r="G27" s="240">
        <v>0</v>
      </c>
      <c r="H27" s="240">
        <v>4</v>
      </c>
      <c r="I27" s="240">
        <v>1</v>
      </c>
      <c r="J27" s="240">
        <v>3</v>
      </c>
      <c r="K27" s="241">
        <f t="shared" ref="K27:K32" si="0">BOJ_KOPÍ</f>
        <v>-6</v>
      </c>
      <c r="L27" s="239">
        <v>2</v>
      </c>
      <c r="M27" s="242" t="s">
        <v>35</v>
      </c>
      <c r="N27" s="242" t="s">
        <v>125</v>
      </c>
    </row>
    <row r="28" spans="1:14" ht="15.6" x14ac:dyDescent="0.3">
      <c r="A28" s="237" t="s">
        <v>272</v>
      </c>
      <c r="B28" s="234">
        <v>2</v>
      </c>
      <c r="C28" s="234">
        <v>5</v>
      </c>
      <c r="D28" s="238" t="s">
        <v>150</v>
      </c>
      <c r="E28" s="239" t="s">
        <v>37</v>
      </c>
      <c r="F28" s="14" t="s">
        <v>634</v>
      </c>
      <c r="G28" s="240">
        <v>0</v>
      </c>
      <c r="H28" s="240">
        <v>4</v>
      </c>
      <c r="I28" s="240">
        <v>2</v>
      </c>
      <c r="J28" s="240">
        <v>4</v>
      </c>
      <c r="K28" s="241">
        <f t="shared" si="0"/>
        <v>-6</v>
      </c>
      <c r="L28" s="239">
        <v>2</v>
      </c>
      <c r="M28" s="242" t="s">
        <v>35</v>
      </c>
      <c r="N28" s="242" t="s">
        <v>125</v>
      </c>
    </row>
    <row r="29" spans="1:14" ht="15.6" x14ac:dyDescent="0.3">
      <c r="A29" s="237" t="s">
        <v>271</v>
      </c>
      <c r="B29" s="234">
        <v>2</v>
      </c>
      <c r="C29" s="234">
        <v>300</v>
      </c>
      <c r="D29" s="238" t="s">
        <v>150</v>
      </c>
      <c r="E29" s="239" t="s">
        <v>37</v>
      </c>
      <c r="F29" s="14" t="s">
        <v>634</v>
      </c>
      <c r="G29" s="240">
        <v>0</v>
      </c>
      <c r="H29" s="240">
        <v>4</v>
      </c>
      <c r="I29" s="240">
        <v>2</v>
      </c>
      <c r="J29" s="240">
        <v>4</v>
      </c>
      <c r="K29" s="241">
        <f t="shared" si="0"/>
        <v>-6</v>
      </c>
      <c r="L29" s="239">
        <v>2</v>
      </c>
      <c r="M29" s="242" t="s">
        <v>35</v>
      </c>
      <c r="N29" s="242" t="s">
        <v>125</v>
      </c>
    </row>
    <row r="30" spans="1:14" ht="15.6" x14ac:dyDescent="0.3">
      <c r="A30" s="237" t="s">
        <v>207</v>
      </c>
      <c r="B30" s="234">
        <v>2</v>
      </c>
      <c r="C30" s="234">
        <v>2</v>
      </c>
      <c r="D30" s="238" t="s">
        <v>150</v>
      </c>
      <c r="E30" s="239" t="s">
        <v>37</v>
      </c>
      <c r="F30" s="14" t="s">
        <v>634</v>
      </c>
      <c r="G30" s="240">
        <v>0</v>
      </c>
      <c r="H30" s="240">
        <v>4</v>
      </c>
      <c r="I30" s="240">
        <v>2</v>
      </c>
      <c r="J30" s="240">
        <v>4</v>
      </c>
      <c r="K30" s="241">
        <f t="shared" si="0"/>
        <v>-6</v>
      </c>
      <c r="L30" s="239">
        <v>2</v>
      </c>
      <c r="M30" s="242" t="s">
        <v>35</v>
      </c>
      <c r="N30" s="242" t="s">
        <v>125</v>
      </c>
    </row>
    <row r="31" spans="1:14" ht="15.6" x14ac:dyDescent="0.3">
      <c r="A31" s="243" t="s">
        <v>456</v>
      </c>
      <c r="B31" s="234">
        <v>1</v>
      </c>
      <c r="C31" s="234">
        <v>0.1</v>
      </c>
      <c r="D31" s="238" t="s">
        <v>149</v>
      </c>
      <c r="E31" s="239" t="s">
        <v>37</v>
      </c>
      <c r="F31" s="14" t="s">
        <v>634</v>
      </c>
      <c r="G31" s="240">
        <v>0</v>
      </c>
      <c r="H31" s="240">
        <v>3</v>
      </c>
      <c r="I31" s="240">
        <v>0</v>
      </c>
      <c r="J31" s="240">
        <v>2</v>
      </c>
      <c r="K31" s="241">
        <f t="shared" si="0"/>
        <v>-6</v>
      </c>
      <c r="L31" s="239">
        <v>1</v>
      </c>
      <c r="M31" s="242" t="s">
        <v>35</v>
      </c>
      <c r="N31" s="242" t="s">
        <v>125</v>
      </c>
    </row>
    <row r="32" spans="1:14" ht="15.6" x14ac:dyDescent="0.3">
      <c r="A32" s="237" t="s">
        <v>270</v>
      </c>
      <c r="B32" s="234">
        <v>1</v>
      </c>
      <c r="C32" s="234">
        <v>4</v>
      </c>
      <c r="D32" s="238" t="s">
        <v>149</v>
      </c>
      <c r="E32" s="239" t="s">
        <v>37</v>
      </c>
      <c r="F32" s="14" t="s">
        <v>634</v>
      </c>
      <c r="G32" s="240">
        <v>0</v>
      </c>
      <c r="H32" s="240">
        <v>3</v>
      </c>
      <c r="I32" s="240">
        <v>0</v>
      </c>
      <c r="J32" s="240">
        <v>2</v>
      </c>
      <c r="K32" s="241">
        <f t="shared" si="0"/>
        <v>-6</v>
      </c>
      <c r="L32" s="239">
        <v>1</v>
      </c>
      <c r="M32" s="242" t="s">
        <v>35</v>
      </c>
      <c r="N32" s="242" t="s">
        <v>125</v>
      </c>
    </row>
    <row r="33" spans="1:14" ht="15.6" x14ac:dyDescent="0.3">
      <c r="A33" s="237" t="s">
        <v>146</v>
      </c>
      <c r="B33" s="234">
        <v>1</v>
      </c>
      <c r="C33" s="234">
        <v>2</v>
      </c>
      <c r="D33" s="238" t="s">
        <v>151</v>
      </c>
      <c r="E33" s="239" t="s">
        <v>37</v>
      </c>
      <c r="F33" s="14" t="s">
        <v>410</v>
      </c>
      <c r="G33" s="240">
        <v>0</v>
      </c>
      <c r="H33" s="240">
        <v>1</v>
      </c>
      <c r="I33" s="240">
        <v>0</v>
      </c>
      <c r="J33" s="240">
        <v>-2</v>
      </c>
      <c r="K33" s="241">
        <f>BOJ_VRH</f>
        <v>-6</v>
      </c>
      <c r="L33" s="239">
        <v>8</v>
      </c>
      <c r="M33" s="242" t="s">
        <v>33</v>
      </c>
      <c r="N33" s="242" t="s">
        <v>125</v>
      </c>
    </row>
    <row r="34" spans="1:14" ht="15.6" x14ac:dyDescent="0.3">
      <c r="A34" s="237" t="s">
        <v>302</v>
      </c>
      <c r="B34" s="234">
        <v>1</v>
      </c>
      <c r="C34" s="234">
        <v>180</v>
      </c>
      <c r="D34" s="238" t="s">
        <v>151</v>
      </c>
      <c r="E34" s="239" t="s">
        <v>37</v>
      </c>
      <c r="F34" s="14" t="s">
        <v>410</v>
      </c>
      <c r="G34" s="240">
        <v>0</v>
      </c>
      <c r="H34" s="240">
        <v>1</v>
      </c>
      <c r="I34" s="240">
        <v>0</v>
      </c>
      <c r="J34" s="240">
        <v>-2</v>
      </c>
      <c r="K34" s="241">
        <f>BOJ_VRH</f>
        <v>-6</v>
      </c>
      <c r="L34" s="239">
        <v>8</v>
      </c>
      <c r="M34" s="242" t="s">
        <v>33</v>
      </c>
      <c r="N34" s="242" t="s">
        <v>125</v>
      </c>
    </row>
    <row r="35" spans="1:14" ht="15.6" x14ac:dyDescent="0.3">
      <c r="A35" s="243" t="s">
        <v>141</v>
      </c>
      <c r="B35" s="234">
        <v>1</v>
      </c>
      <c r="C35" s="234">
        <v>0</v>
      </c>
      <c r="D35" s="238" t="s">
        <v>151</v>
      </c>
      <c r="E35" s="239" t="s">
        <v>37</v>
      </c>
      <c r="F35" s="14" t="s">
        <v>410</v>
      </c>
      <c r="G35" s="240">
        <v>0</v>
      </c>
      <c r="H35" s="240">
        <v>1</v>
      </c>
      <c r="I35" s="240">
        <v>-1</v>
      </c>
      <c r="J35" s="240">
        <v>-1</v>
      </c>
      <c r="K35" s="241">
        <f>BOJ_VRH</f>
        <v>-6</v>
      </c>
      <c r="L35" s="239">
        <v>10</v>
      </c>
      <c r="M35" s="242" t="s">
        <v>35</v>
      </c>
      <c r="N35" s="242" t="s">
        <v>125</v>
      </c>
    </row>
    <row r="36" spans="1:14" ht="15.6" x14ac:dyDescent="0.3">
      <c r="A36" s="237" t="s">
        <v>138</v>
      </c>
      <c r="B36" s="234">
        <v>1</v>
      </c>
      <c r="C36" s="234">
        <v>400</v>
      </c>
      <c r="D36" s="238" t="s">
        <v>926</v>
      </c>
      <c r="E36" s="239" t="s">
        <v>39</v>
      </c>
      <c r="F36" s="14" t="s">
        <v>385</v>
      </c>
      <c r="G36" s="240">
        <v>-1</v>
      </c>
      <c r="H36" s="240">
        <v>6</v>
      </c>
      <c r="I36" s="240">
        <v>5</v>
      </c>
      <c r="J36" s="240">
        <v>3</v>
      </c>
      <c r="K36" s="241">
        <f>BOJ_ŠERM</f>
        <v>-6</v>
      </c>
      <c r="L36" s="239">
        <v>1</v>
      </c>
      <c r="M36" s="242" t="s">
        <v>52</v>
      </c>
      <c r="N36" s="242" t="s">
        <v>125</v>
      </c>
    </row>
    <row r="37" spans="1:14" ht="15.6" x14ac:dyDescent="0.3">
      <c r="A37" s="15" t="s">
        <v>266</v>
      </c>
      <c r="B37" s="234">
        <v>1</v>
      </c>
      <c r="C37" s="234">
        <v>20</v>
      </c>
      <c r="D37" s="238" t="s">
        <v>149</v>
      </c>
      <c r="E37" s="239" t="s">
        <v>38</v>
      </c>
      <c r="F37" s="14" t="s">
        <v>385</v>
      </c>
      <c r="G37" s="240">
        <v>0</v>
      </c>
      <c r="H37" s="240">
        <v>4</v>
      </c>
      <c r="I37" s="240">
        <v>3</v>
      </c>
      <c r="J37" s="240">
        <v>2</v>
      </c>
      <c r="K37" s="241">
        <f>BOJ_ŠERM</f>
        <v>-6</v>
      </c>
      <c r="L37" s="239">
        <v>1</v>
      </c>
      <c r="M37" s="242" t="s">
        <v>52</v>
      </c>
      <c r="N37" s="242" t="s">
        <v>125</v>
      </c>
    </row>
    <row r="38" spans="1:14" ht="15.6" x14ac:dyDescent="0.3">
      <c r="A38" s="243" t="s">
        <v>223</v>
      </c>
      <c r="B38" s="234">
        <v>2</v>
      </c>
      <c r="C38" s="234">
        <v>160</v>
      </c>
      <c r="D38" s="238" t="s">
        <v>150</v>
      </c>
      <c r="E38" s="239" t="s">
        <v>39</v>
      </c>
      <c r="F38" s="14" t="s">
        <v>635</v>
      </c>
      <c r="G38" s="240">
        <v>-2</v>
      </c>
      <c r="H38" s="240">
        <v>6</v>
      </c>
      <c r="I38" s="240">
        <v>8</v>
      </c>
      <c r="J38" s="240">
        <v>2</v>
      </c>
      <c r="K38" s="241">
        <f>BOJ_DRCENÍ</f>
        <v>-6</v>
      </c>
      <c r="L38" s="239">
        <v>1</v>
      </c>
      <c r="M38" s="242" t="s">
        <v>35</v>
      </c>
      <c r="N38" s="242" t="s">
        <v>128</v>
      </c>
    </row>
    <row r="39" spans="1:14" ht="15.6" x14ac:dyDescent="0.3">
      <c r="A39" s="15" t="s">
        <v>211</v>
      </c>
      <c r="B39" s="234">
        <v>1</v>
      </c>
      <c r="C39" s="234">
        <v>60</v>
      </c>
      <c r="D39" s="238" t="s">
        <v>926</v>
      </c>
      <c r="E39" s="239" t="s">
        <v>38</v>
      </c>
      <c r="F39" s="14" t="s">
        <v>635</v>
      </c>
      <c r="G39" s="240">
        <v>-1</v>
      </c>
      <c r="H39" s="240">
        <v>5</v>
      </c>
      <c r="I39" s="240">
        <v>4</v>
      </c>
      <c r="J39" s="240">
        <v>3</v>
      </c>
      <c r="K39" s="241">
        <f>BOJ_DRCENÍ</f>
        <v>-6</v>
      </c>
      <c r="L39" s="239">
        <v>1</v>
      </c>
      <c r="M39" s="242" t="s">
        <v>35</v>
      </c>
      <c r="N39" s="242" t="s">
        <v>125</v>
      </c>
    </row>
    <row r="40" spans="1:14" ht="15.6" x14ac:dyDescent="0.3">
      <c r="A40" s="243" t="s">
        <v>127</v>
      </c>
      <c r="B40" s="234">
        <v>1</v>
      </c>
      <c r="C40" s="234">
        <v>15</v>
      </c>
      <c r="D40" s="238" t="s">
        <v>926</v>
      </c>
      <c r="E40" s="239" t="s">
        <v>38</v>
      </c>
      <c r="F40" s="14" t="s">
        <v>634</v>
      </c>
      <c r="G40" s="240">
        <v>1</v>
      </c>
      <c r="H40" s="240">
        <v>5</v>
      </c>
      <c r="I40" s="240">
        <v>3</v>
      </c>
      <c r="J40" s="240">
        <v>3</v>
      </c>
      <c r="K40" s="241">
        <f>BOJ_KOPÍ</f>
        <v>-6</v>
      </c>
      <c r="L40" s="239">
        <v>2</v>
      </c>
      <c r="M40" s="242" t="s">
        <v>33</v>
      </c>
      <c r="N40" s="242" t="s">
        <v>128</v>
      </c>
    </row>
    <row r="41" spans="1:14" ht="15.6" x14ac:dyDescent="0.3">
      <c r="A41" s="243" t="s">
        <v>924</v>
      </c>
      <c r="B41" s="234">
        <v>0</v>
      </c>
      <c r="C41" s="234">
        <v>0</v>
      </c>
      <c r="D41" s="238" t="s">
        <v>92</v>
      </c>
      <c r="E41" s="239" t="s">
        <v>37</v>
      </c>
      <c r="F41" s="14" t="s">
        <v>589</v>
      </c>
      <c r="G41" s="240">
        <v>0</v>
      </c>
      <c r="H41" s="240">
        <v>0</v>
      </c>
      <c r="I41" s="240">
        <v>-1</v>
      </c>
      <c r="J41" s="240">
        <v>-9</v>
      </c>
      <c r="K41" s="241">
        <f>BOJ_ZÁPAS</f>
        <v>-6</v>
      </c>
      <c r="L41" s="239">
        <v>0</v>
      </c>
      <c r="M41" s="242" t="s">
        <v>33</v>
      </c>
      <c r="N41" s="242" t="s">
        <v>125</v>
      </c>
    </row>
    <row r="42" spans="1:14" ht="15.6" x14ac:dyDescent="0.3">
      <c r="A42" s="15" t="s">
        <v>217</v>
      </c>
      <c r="B42" s="234">
        <v>2</v>
      </c>
      <c r="C42" s="234">
        <v>150</v>
      </c>
      <c r="D42" s="238" t="s">
        <v>152</v>
      </c>
      <c r="E42" s="239" t="s">
        <v>37</v>
      </c>
      <c r="F42" s="14" t="s">
        <v>409</v>
      </c>
      <c r="G42" s="240">
        <v>1</v>
      </c>
      <c r="H42" s="240">
        <v>4</v>
      </c>
      <c r="I42" s="240">
        <v>5</v>
      </c>
      <c r="J42" s="240">
        <v>2</v>
      </c>
      <c r="K42" s="241">
        <f>BOJ_Střelba</f>
        <v>-6</v>
      </c>
      <c r="L42" s="239">
        <v>16</v>
      </c>
      <c r="M42" s="242" t="s">
        <v>33</v>
      </c>
      <c r="N42" s="242" t="s">
        <v>125</v>
      </c>
    </row>
    <row r="43" spans="1:14" ht="15.6" x14ac:dyDescent="0.3">
      <c r="A43" s="15" t="s">
        <v>218</v>
      </c>
      <c r="B43" s="234">
        <v>2</v>
      </c>
      <c r="C43" s="234">
        <v>300</v>
      </c>
      <c r="D43" s="238" t="s">
        <v>152</v>
      </c>
      <c r="E43" s="239" t="s">
        <v>39</v>
      </c>
      <c r="F43" s="14" t="s">
        <v>409</v>
      </c>
      <c r="G43" s="240">
        <v>-1</v>
      </c>
      <c r="H43" s="240">
        <v>6</v>
      </c>
      <c r="I43" s="240">
        <v>9</v>
      </c>
      <c r="J43" s="240">
        <v>2</v>
      </c>
      <c r="K43" s="241">
        <f>BOJ_Střelba</f>
        <v>-6</v>
      </c>
      <c r="L43" s="239">
        <v>28</v>
      </c>
      <c r="M43" s="242" t="s">
        <v>33</v>
      </c>
      <c r="N43" s="242" t="s">
        <v>128</v>
      </c>
    </row>
    <row r="44" spans="1:14" ht="15.6" x14ac:dyDescent="0.3">
      <c r="A44" s="15" t="s">
        <v>142</v>
      </c>
      <c r="B44" s="234">
        <v>1</v>
      </c>
      <c r="C44" s="234">
        <v>1</v>
      </c>
      <c r="D44" s="238" t="s">
        <v>149</v>
      </c>
      <c r="E44" s="239" t="s">
        <v>38</v>
      </c>
      <c r="F44" s="14" t="s">
        <v>635</v>
      </c>
      <c r="G44" s="240">
        <v>-1</v>
      </c>
      <c r="H44" s="240">
        <v>3</v>
      </c>
      <c r="I44" s="240">
        <v>2</v>
      </c>
      <c r="J44" s="240">
        <v>1</v>
      </c>
      <c r="K44" s="241">
        <f>BOJ_DRCENÍ</f>
        <v>-6</v>
      </c>
      <c r="L44" s="239">
        <v>1</v>
      </c>
      <c r="M44" s="242" t="s">
        <v>35</v>
      </c>
      <c r="N44" s="242" t="s">
        <v>125</v>
      </c>
    </row>
    <row r="45" spans="1:14" ht="15.6" x14ac:dyDescent="0.3">
      <c r="A45" s="237" t="s">
        <v>209</v>
      </c>
      <c r="B45" s="234">
        <v>2</v>
      </c>
      <c r="C45" s="234">
        <v>40</v>
      </c>
      <c r="D45" s="238" t="s">
        <v>150</v>
      </c>
      <c r="E45" s="239" t="s">
        <v>39</v>
      </c>
      <c r="F45" s="14" t="s">
        <v>635</v>
      </c>
      <c r="G45" s="240">
        <v>-2</v>
      </c>
      <c r="H45" s="240">
        <v>5</v>
      </c>
      <c r="I45" s="240">
        <v>9</v>
      </c>
      <c r="J45" s="240">
        <v>2</v>
      </c>
      <c r="K45" s="241">
        <f>BOJ_DRCENÍ</f>
        <v>-6</v>
      </c>
      <c r="L45" s="239">
        <v>1</v>
      </c>
      <c r="M45" s="242" t="s">
        <v>35</v>
      </c>
      <c r="N45" s="242" t="s">
        <v>128</v>
      </c>
    </row>
    <row r="46" spans="1:14" ht="15.6" x14ac:dyDescent="0.3">
      <c r="A46" s="15" t="s">
        <v>215</v>
      </c>
      <c r="B46" s="234">
        <v>2</v>
      </c>
      <c r="C46" s="234">
        <v>15</v>
      </c>
      <c r="D46" s="238" t="s">
        <v>150</v>
      </c>
      <c r="E46" s="239" t="s">
        <v>38</v>
      </c>
      <c r="F46" s="14" t="s">
        <v>409</v>
      </c>
      <c r="G46" s="240">
        <v>0</v>
      </c>
      <c r="H46" s="240">
        <v>5</v>
      </c>
      <c r="I46" s="240">
        <v>4</v>
      </c>
      <c r="J46" s="240">
        <v>1</v>
      </c>
      <c r="K46" s="241">
        <f>BOJ_Střelba</f>
        <v>-6</v>
      </c>
      <c r="L46" s="239">
        <v>33</v>
      </c>
      <c r="M46" s="242" t="s">
        <v>33</v>
      </c>
      <c r="N46" s="242" t="s">
        <v>128</v>
      </c>
    </row>
    <row r="47" spans="1:14" ht="15.6" x14ac:dyDescent="0.3">
      <c r="A47" s="15" t="s">
        <v>929</v>
      </c>
      <c r="B47" s="234">
        <v>2</v>
      </c>
      <c r="C47" s="234">
        <v>120</v>
      </c>
      <c r="D47" s="238" t="s">
        <v>150</v>
      </c>
      <c r="E47" s="239" t="s">
        <v>38</v>
      </c>
      <c r="F47" s="14" t="s">
        <v>409</v>
      </c>
      <c r="G47" s="240">
        <v>0</v>
      </c>
      <c r="H47" s="240">
        <v>6</v>
      </c>
      <c r="I47" s="240">
        <v>5</v>
      </c>
      <c r="J47" s="240">
        <v>1</v>
      </c>
      <c r="K47" s="241">
        <f>BOJ_Střelba</f>
        <v>-6</v>
      </c>
      <c r="L47" s="239">
        <v>50</v>
      </c>
      <c r="M47" s="242" t="s">
        <v>33</v>
      </c>
      <c r="N47" s="242" t="s">
        <v>128</v>
      </c>
    </row>
    <row r="48" spans="1:14" ht="15.6" x14ac:dyDescent="0.3">
      <c r="A48" s="15" t="s">
        <v>214</v>
      </c>
      <c r="B48" s="234">
        <v>2</v>
      </c>
      <c r="C48" s="234">
        <v>8</v>
      </c>
      <c r="D48" s="238" t="s">
        <v>150</v>
      </c>
      <c r="E48" s="239" t="s">
        <v>37</v>
      </c>
      <c r="F48" s="14" t="s">
        <v>409</v>
      </c>
      <c r="G48" s="240">
        <v>1</v>
      </c>
      <c r="H48" s="240">
        <v>4</v>
      </c>
      <c r="I48" s="240">
        <v>2</v>
      </c>
      <c r="J48" s="240">
        <v>1</v>
      </c>
      <c r="K48" s="241">
        <f>BOJ_Střelba</f>
        <v>-6</v>
      </c>
      <c r="L48" s="239">
        <v>20</v>
      </c>
      <c r="M48" s="242" t="s">
        <v>33</v>
      </c>
      <c r="N48" s="242" t="s">
        <v>125</v>
      </c>
    </row>
    <row r="49" spans="1:14" ht="15.6" x14ac:dyDescent="0.3">
      <c r="A49" s="15" t="s">
        <v>216</v>
      </c>
      <c r="B49" s="234">
        <v>2</v>
      </c>
      <c r="C49" s="234">
        <v>240</v>
      </c>
      <c r="D49" s="238" t="s">
        <v>150</v>
      </c>
      <c r="E49" s="239" t="s">
        <v>39</v>
      </c>
      <c r="F49" s="14" t="s">
        <v>409</v>
      </c>
      <c r="G49" s="240">
        <v>-1</v>
      </c>
      <c r="H49" s="240">
        <v>6</v>
      </c>
      <c r="I49" s="240">
        <v>7</v>
      </c>
      <c r="J49" s="240">
        <v>1</v>
      </c>
      <c r="K49" s="241">
        <f>BOJ_Střelba</f>
        <v>-6</v>
      </c>
      <c r="L49" s="239">
        <v>52</v>
      </c>
      <c r="M49" s="242" t="s">
        <v>33</v>
      </c>
      <c r="N49" s="242" t="s">
        <v>128</v>
      </c>
    </row>
    <row r="50" spans="1:14" ht="15.6" x14ac:dyDescent="0.3">
      <c r="A50" s="237" t="s">
        <v>136</v>
      </c>
      <c r="B50" s="234">
        <v>1</v>
      </c>
      <c r="C50" s="234">
        <v>40</v>
      </c>
      <c r="D50" s="238" t="s">
        <v>149</v>
      </c>
      <c r="E50" s="239" t="s">
        <v>37</v>
      </c>
      <c r="F50" s="14" t="s">
        <v>385</v>
      </c>
      <c r="G50" s="240">
        <v>1</v>
      </c>
      <c r="H50" s="240">
        <v>3</v>
      </c>
      <c r="I50" s="240">
        <v>3</v>
      </c>
      <c r="J50" s="240">
        <v>1</v>
      </c>
      <c r="K50" s="241">
        <f t="shared" ref="K50:K56" si="1">BOJ_ŠERM</f>
        <v>-6</v>
      </c>
      <c r="L50" s="239">
        <v>1</v>
      </c>
      <c r="M50" s="242" t="s">
        <v>52</v>
      </c>
      <c r="N50" s="242" t="s">
        <v>125</v>
      </c>
    </row>
    <row r="51" spans="1:14" ht="15.6" x14ac:dyDescent="0.3">
      <c r="A51" s="237" t="s">
        <v>139</v>
      </c>
      <c r="B51" s="234">
        <v>1</v>
      </c>
      <c r="C51" s="234">
        <v>250</v>
      </c>
      <c r="D51" s="238" t="s">
        <v>926</v>
      </c>
      <c r="E51" s="239" t="s">
        <v>39</v>
      </c>
      <c r="F51" s="14" t="s">
        <v>385</v>
      </c>
      <c r="G51" s="240">
        <v>-1</v>
      </c>
      <c r="H51" s="240">
        <v>6</v>
      </c>
      <c r="I51" s="240">
        <v>6</v>
      </c>
      <c r="J51" s="240">
        <v>4</v>
      </c>
      <c r="K51" s="241">
        <f t="shared" si="1"/>
        <v>-6</v>
      </c>
      <c r="L51" s="239">
        <v>1</v>
      </c>
      <c r="M51" s="242" t="s">
        <v>52</v>
      </c>
      <c r="N51" s="242" t="s">
        <v>128</v>
      </c>
    </row>
    <row r="52" spans="1:14" ht="15.6" x14ac:dyDescent="0.3">
      <c r="A52" s="15" t="s">
        <v>219</v>
      </c>
      <c r="B52" s="234">
        <v>1</v>
      </c>
      <c r="C52" s="234">
        <v>320</v>
      </c>
      <c r="D52" s="238" t="s">
        <v>149</v>
      </c>
      <c r="E52" s="239" t="s">
        <v>39</v>
      </c>
      <c r="F52" s="14" t="s">
        <v>385</v>
      </c>
      <c r="G52" s="240">
        <v>0</v>
      </c>
      <c r="H52" s="240">
        <v>7</v>
      </c>
      <c r="I52" s="240">
        <v>5</v>
      </c>
      <c r="J52" s="240">
        <v>4</v>
      </c>
      <c r="K52" s="241">
        <f t="shared" si="1"/>
        <v>-6</v>
      </c>
      <c r="L52" s="239">
        <v>2</v>
      </c>
      <c r="M52" s="242" t="s">
        <v>33</v>
      </c>
      <c r="N52" s="242" t="s">
        <v>128</v>
      </c>
    </row>
    <row r="53" spans="1:14" ht="15.6" x14ac:dyDescent="0.3">
      <c r="A53" s="15" t="s">
        <v>222</v>
      </c>
      <c r="B53" s="234">
        <v>1</v>
      </c>
      <c r="C53" s="234">
        <v>50</v>
      </c>
      <c r="D53" s="238" t="s">
        <v>149</v>
      </c>
      <c r="E53" s="239" t="s">
        <v>37</v>
      </c>
      <c r="F53" s="14" t="s">
        <v>385</v>
      </c>
      <c r="G53" s="240">
        <v>2</v>
      </c>
      <c r="H53" s="240">
        <v>4</v>
      </c>
      <c r="I53" s="240">
        <v>2</v>
      </c>
      <c r="J53" s="240">
        <v>2</v>
      </c>
      <c r="K53" s="241">
        <f t="shared" si="1"/>
        <v>-6</v>
      </c>
      <c r="L53" s="239">
        <v>1</v>
      </c>
      <c r="M53" s="242" t="s">
        <v>33</v>
      </c>
      <c r="N53" s="242" t="s">
        <v>125</v>
      </c>
    </row>
    <row r="54" spans="1:14" ht="15.6" x14ac:dyDescent="0.3">
      <c r="A54" s="243" t="s">
        <v>220</v>
      </c>
      <c r="B54" s="234">
        <v>2</v>
      </c>
      <c r="C54" s="234">
        <v>520</v>
      </c>
      <c r="D54" s="238" t="s">
        <v>150</v>
      </c>
      <c r="E54" s="239" t="s">
        <v>39</v>
      </c>
      <c r="F54" s="14" t="s">
        <v>385</v>
      </c>
      <c r="G54" s="240">
        <v>-1</v>
      </c>
      <c r="H54" s="240">
        <v>8</v>
      </c>
      <c r="I54" s="240">
        <v>8</v>
      </c>
      <c r="J54" s="240">
        <v>2</v>
      </c>
      <c r="K54" s="241">
        <f t="shared" si="1"/>
        <v>-6</v>
      </c>
      <c r="L54" s="239">
        <v>2</v>
      </c>
      <c r="M54" s="242" t="s">
        <v>52</v>
      </c>
      <c r="N54" s="242" t="s">
        <v>128</v>
      </c>
    </row>
    <row r="55" spans="1:14" ht="15.6" x14ac:dyDescent="0.3">
      <c r="A55" s="15" t="s">
        <v>221</v>
      </c>
      <c r="B55" s="234">
        <v>1</v>
      </c>
      <c r="C55" s="234">
        <v>140</v>
      </c>
      <c r="D55" s="238" t="s">
        <v>149</v>
      </c>
      <c r="E55" s="239" t="s">
        <v>38</v>
      </c>
      <c r="F55" s="14" t="s">
        <v>385</v>
      </c>
      <c r="G55" s="240">
        <v>0</v>
      </c>
      <c r="H55" s="240">
        <v>5</v>
      </c>
      <c r="I55" s="240">
        <v>4</v>
      </c>
      <c r="J55" s="240">
        <v>3</v>
      </c>
      <c r="K55" s="241">
        <f t="shared" si="1"/>
        <v>-6</v>
      </c>
      <c r="L55" s="239">
        <v>1</v>
      </c>
      <c r="M55" s="242" t="s">
        <v>52</v>
      </c>
      <c r="N55" s="242" t="s">
        <v>125</v>
      </c>
    </row>
    <row r="56" spans="1:14" ht="15.6" x14ac:dyDescent="0.3">
      <c r="A56" s="237" t="s">
        <v>304</v>
      </c>
      <c r="B56" s="234">
        <v>1</v>
      </c>
      <c r="C56" s="234">
        <v>900</v>
      </c>
      <c r="D56" s="238" t="s">
        <v>149</v>
      </c>
      <c r="E56" s="239" t="s">
        <v>38</v>
      </c>
      <c r="F56" s="14" t="s">
        <v>385</v>
      </c>
      <c r="G56" s="240">
        <v>0</v>
      </c>
      <c r="H56" s="240">
        <v>7</v>
      </c>
      <c r="I56" s="240">
        <v>5</v>
      </c>
      <c r="J56" s="240">
        <v>3</v>
      </c>
      <c r="K56" s="241">
        <f t="shared" si="1"/>
        <v>-6</v>
      </c>
      <c r="L56" s="239">
        <v>2</v>
      </c>
      <c r="M56" s="242" t="s">
        <v>52</v>
      </c>
      <c r="N56" s="242" t="s">
        <v>125</v>
      </c>
    </row>
    <row r="57" spans="1:14" ht="15.6" x14ac:dyDescent="0.3">
      <c r="A57" s="15" t="s">
        <v>126</v>
      </c>
      <c r="B57" s="234">
        <v>0</v>
      </c>
      <c r="C57" s="234">
        <v>0</v>
      </c>
      <c r="D57" s="238" t="s">
        <v>92</v>
      </c>
      <c r="E57" s="239" t="s">
        <v>37</v>
      </c>
      <c r="F57" s="14" t="s">
        <v>589</v>
      </c>
      <c r="G57" s="240">
        <v>0</v>
      </c>
      <c r="H57" s="240">
        <v>1</v>
      </c>
      <c r="I57" s="240">
        <v>0</v>
      </c>
      <c r="J57" s="240">
        <v>-1</v>
      </c>
      <c r="K57" s="241">
        <f>BOJ_ZÁPAS</f>
        <v>-6</v>
      </c>
      <c r="L57" s="239">
        <v>1</v>
      </c>
      <c r="M57" s="242" t="s">
        <v>35</v>
      </c>
      <c r="N57" s="242" t="s">
        <v>125</v>
      </c>
    </row>
    <row r="58" spans="1:14" ht="15.6" x14ac:dyDescent="0.3">
      <c r="A58" s="15" t="s">
        <v>130</v>
      </c>
      <c r="B58" s="234">
        <v>1</v>
      </c>
      <c r="C58" s="234">
        <v>5</v>
      </c>
      <c r="D58" s="238" t="s">
        <v>149</v>
      </c>
      <c r="E58" s="239" t="s">
        <v>37</v>
      </c>
      <c r="F58" s="14" t="s">
        <v>587</v>
      </c>
      <c r="G58" s="240">
        <v>2</v>
      </c>
      <c r="H58" s="240">
        <v>1</v>
      </c>
      <c r="I58" s="240">
        <v>1</v>
      </c>
      <c r="J58" s="240">
        <v>0</v>
      </c>
      <c r="K58" s="241">
        <f>BOJ_NOŽE</f>
        <v>-6</v>
      </c>
      <c r="L58" s="239">
        <v>0</v>
      </c>
      <c r="M58" s="242" t="s">
        <v>33</v>
      </c>
      <c r="N58" s="242" t="s">
        <v>125</v>
      </c>
    </row>
    <row r="59" spans="1:14" ht="15.6" x14ac:dyDescent="0.3">
      <c r="A59" s="15" t="s">
        <v>140</v>
      </c>
      <c r="B59" s="234">
        <v>1</v>
      </c>
      <c r="C59" s="234">
        <v>2</v>
      </c>
      <c r="D59" s="238" t="s">
        <v>149</v>
      </c>
      <c r="E59" s="239" t="s">
        <v>37</v>
      </c>
      <c r="F59" s="14" t="s">
        <v>635</v>
      </c>
      <c r="G59" s="240">
        <v>0</v>
      </c>
      <c r="H59" s="240">
        <v>3</v>
      </c>
      <c r="I59" s="240">
        <v>1</v>
      </c>
      <c r="J59" s="240">
        <v>1</v>
      </c>
      <c r="K59" s="241">
        <f>BOJ_DRCENÍ</f>
        <v>-6</v>
      </c>
      <c r="L59" s="239">
        <v>1</v>
      </c>
      <c r="M59" s="242" t="s">
        <v>35</v>
      </c>
      <c r="N59" s="242" t="s">
        <v>125</v>
      </c>
    </row>
    <row r="60" spans="1:14" ht="15.6" x14ac:dyDescent="0.3">
      <c r="A60" s="243" t="s">
        <v>148</v>
      </c>
      <c r="B60" s="234">
        <v>1</v>
      </c>
      <c r="C60" s="234">
        <v>15</v>
      </c>
      <c r="D60" s="238" t="s">
        <v>151</v>
      </c>
      <c r="E60" s="239" t="s">
        <v>38</v>
      </c>
      <c r="F60" s="14" t="s">
        <v>410</v>
      </c>
      <c r="G60" s="240">
        <v>0</v>
      </c>
      <c r="H60" s="240">
        <v>4</v>
      </c>
      <c r="I60" s="240">
        <v>3</v>
      </c>
      <c r="J60" s="240">
        <v>2</v>
      </c>
      <c r="K60" s="241">
        <f>BOJ_VRH</f>
        <v>-6</v>
      </c>
      <c r="L60" s="239">
        <v>20</v>
      </c>
      <c r="M60" s="242" t="s">
        <v>33</v>
      </c>
      <c r="N60" s="242" t="s">
        <v>125</v>
      </c>
    </row>
    <row r="61" spans="1:14" ht="15.6" x14ac:dyDescent="0.3">
      <c r="A61" s="237" t="s">
        <v>145</v>
      </c>
      <c r="B61" s="234">
        <v>1</v>
      </c>
      <c r="C61" s="234">
        <v>30</v>
      </c>
      <c r="D61" s="238" t="s">
        <v>149</v>
      </c>
      <c r="E61" s="239" t="s">
        <v>38</v>
      </c>
      <c r="F61" s="14" t="s">
        <v>635</v>
      </c>
      <c r="G61" s="240">
        <v>-1</v>
      </c>
      <c r="H61" s="240">
        <v>3</v>
      </c>
      <c r="I61" s="240">
        <v>4</v>
      </c>
      <c r="J61" s="240">
        <v>3</v>
      </c>
      <c r="K61" s="241">
        <f>BOJ_DRCENÍ</f>
        <v>-6</v>
      </c>
      <c r="L61" s="239">
        <v>1</v>
      </c>
      <c r="M61" s="242" t="s">
        <v>35</v>
      </c>
      <c r="N61" s="242" t="s">
        <v>125</v>
      </c>
    </row>
    <row r="62" spans="1:14" ht="15.6" x14ac:dyDescent="0.3">
      <c r="A62" s="237" t="s">
        <v>268</v>
      </c>
      <c r="B62" s="234">
        <v>2</v>
      </c>
      <c r="C62" s="234">
        <v>5</v>
      </c>
      <c r="D62" s="238" t="s">
        <v>150</v>
      </c>
      <c r="E62" s="239" t="s">
        <v>39</v>
      </c>
      <c r="F62" s="14" t="s">
        <v>635</v>
      </c>
      <c r="G62" s="240">
        <v>-2</v>
      </c>
      <c r="H62" s="240">
        <v>3</v>
      </c>
      <c r="I62" s="240">
        <v>5</v>
      </c>
      <c r="J62" s="240">
        <v>1</v>
      </c>
      <c r="K62" s="241">
        <f>BOJ_DRCENÍ</f>
        <v>-6</v>
      </c>
      <c r="L62" s="239">
        <v>1</v>
      </c>
      <c r="M62" s="242" t="s">
        <v>35</v>
      </c>
      <c r="N62" s="242" t="s">
        <v>125</v>
      </c>
    </row>
    <row r="63" spans="1:14" ht="15.6" x14ac:dyDescent="0.3">
      <c r="A63" s="237" t="s">
        <v>129</v>
      </c>
      <c r="B63" s="234">
        <v>2</v>
      </c>
      <c r="C63" s="234">
        <v>40</v>
      </c>
      <c r="D63" s="238" t="s">
        <v>150</v>
      </c>
      <c r="E63" s="239" t="s">
        <v>38</v>
      </c>
      <c r="F63" s="14" t="s">
        <v>634</v>
      </c>
      <c r="G63" s="240">
        <v>1</v>
      </c>
      <c r="H63" s="240">
        <v>5</v>
      </c>
      <c r="I63" s="240">
        <v>5</v>
      </c>
      <c r="J63" s="240">
        <v>3</v>
      </c>
      <c r="K63" s="241">
        <f>BOJ_KOPÍ</f>
        <v>-6</v>
      </c>
      <c r="L63" s="239">
        <v>2</v>
      </c>
      <c r="M63" s="242" t="s">
        <v>33</v>
      </c>
      <c r="N63" s="242" t="s">
        <v>128</v>
      </c>
    </row>
    <row r="64" spans="1:14" ht="15.6" x14ac:dyDescent="0.3">
      <c r="A64" s="243" t="s">
        <v>183</v>
      </c>
      <c r="B64" s="234">
        <v>1</v>
      </c>
      <c r="C64" s="234">
        <v>0.1</v>
      </c>
      <c r="D64" s="238" t="s">
        <v>149</v>
      </c>
      <c r="E64" s="239" t="s">
        <v>37</v>
      </c>
      <c r="F64" s="14" t="s">
        <v>634</v>
      </c>
      <c r="G64" s="240">
        <v>0</v>
      </c>
      <c r="H64" s="240">
        <v>3</v>
      </c>
      <c r="I64" s="240">
        <v>-1</v>
      </c>
      <c r="J64" s="240">
        <v>1</v>
      </c>
      <c r="K64" s="241">
        <f>BOJ_KOPÍ</f>
        <v>-6</v>
      </c>
      <c r="L64" s="239">
        <v>1</v>
      </c>
      <c r="M64" s="242" t="s">
        <v>35</v>
      </c>
      <c r="N64" s="242" t="s">
        <v>125</v>
      </c>
    </row>
    <row r="65" spans="1:14" ht="15.6" x14ac:dyDescent="0.3">
      <c r="A65" s="243" t="s">
        <v>143</v>
      </c>
      <c r="B65" s="234">
        <v>1</v>
      </c>
      <c r="C65" s="234">
        <v>1</v>
      </c>
      <c r="D65" s="238" t="s">
        <v>151</v>
      </c>
      <c r="E65" s="239" t="s">
        <v>37</v>
      </c>
      <c r="F65" s="14" t="s">
        <v>410</v>
      </c>
      <c r="G65" s="240">
        <v>0</v>
      </c>
      <c r="H65" s="240">
        <v>2</v>
      </c>
      <c r="I65" s="240">
        <v>1</v>
      </c>
      <c r="J65" s="240">
        <v>0</v>
      </c>
      <c r="K65" s="241">
        <f>BOJ_VRH</f>
        <v>-6</v>
      </c>
      <c r="L65" s="239">
        <v>18</v>
      </c>
      <c r="M65" s="242" t="s">
        <v>35</v>
      </c>
      <c r="N65" s="242" t="s">
        <v>125</v>
      </c>
    </row>
    <row r="66" spans="1:14" ht="15.6" x14ac:dyDescent="0.3">
      <c r="A66" s="244" t="s">
        <v>124</v>
      </c>
      <c r="B66" s="234">
        <v>0</v>
      </c>
      <c r="C66" s="234">
        <v>0</v>
      </c>
      <c r="D66" s="238" t="s">
        <v>149</v>
      </c>
      <c r="E66" s="239" t="s">
        <v>37</v>
      </c>
      <c r="F66" s="14" t="s">
        <v>589</v>
      </c>
      <c r="G66" s="240">
        <v>1</v>
      </c>
      <c r="H66" s="246">
        <v>1</v>
      </c>
      <c r="I66" s="246">
        <v>-1</v>
      </c>
      <c r="J66" s="247">
        <v>1</v>
      </c>
      <c r="K66" s="248">
        <f>BOJ_ZÁPAS</f>
        <v>-6</v>
      </c>
      <c r="L66" s="239">
        <v>1</v>
      </c>
      <c r="M66" s="242" t="s">
        <v>35</v>
      </c>
      <c r="N66" s="242" t="s">
        <v>125</v>
      </c>
    </row>
    <row r="67" spans="1:14" ht="15.6" x14ac:dyDescent="0.3">
      <c r="A67" s="15" t="s">
        <v>413</v>
      </c>
      <c r="B67" s="234">
        <v>2</v>
      </c>
      <c r="C67" s="234">
        <v>40</v>
      </c>
      <c r="D67" s="238" t="s">
        <v>150</v>
      </c>
      <c r="E67" s="239" t="s">
        <v>37</v>
      </c>
      <c r="F67" s="14" t="s">
        <v>589</v>
      </c>
      <c r="G67" s="240">
        <v>1</v>
      </c>
      <c r="H67" s="240">
        <v>2</v>
      </c>
      <c r="I67" s="240">
        <v>2</v>
      </c>
      <c r="J67" s="247">
        <v>1</v>
      </c>
      <c r="K67" s="248">
        <f>BOJ_ZÁPAS</f>
        <v>-6</v>
      </c>
      <c r="L67" s="239">
        <v>1</v>
      </c>
      <c r="M67" s="242" t="s">
        <v>52</v>
      </c>
      <c r="N67" s="242" t="s">
        <v>125</v>
      </c>
    </row>
    <row r="68" spans="1:14" ht="15.6" x14ac:dyDescent="0.3">
      <c r="A68" s="237" t="s">
        <v>225</v>
      </c>
      <c r="B68" s="234">
        <v>0</v>
      </c>
      <c r="C68" s="234">
        <v>20</v>
      </c>
      <c r="D68" s="238" t="s">
        <v>149</v>
      </c>
      <c r="E68" s="239" t="s">
        <v>39</v>
      </c>
      <c r="F68" s="14" t="s">
        <v>589</v>
      </c>
      <c r="G68" s="240">
        <v>1</v>
      </c>
      <c r="H68" s="240">
        <v>1</v>
      </c>
      <c r="I68" s="240">
        <v>0</v>
      </c>
      <c r="J68" s="247">
        <v>2</v>
      </c>
      <c r="K68" s="248">
        <f>BOJ_ZÁPAS</f>
        <v>-6</v>
      </c>
      <c r="L68" s="239">
        <v>1</v>
      </c>
      <c r="M68" s="242" t="s">
        <v>35</v>
      </c>
      <c r="N68" s="242" t="s">
        <v>125</v>
      </c>
    </row>
    <row r="69" spans="1:14" ht="15.6" x14ac:dyDescent="0.3">
      <c r="A69" s="15" t="s">
        <v>147</v>
      </c>
      <c r="B69" s="234">
        <v>1</v>
      </c>
      <c r="C69" s="234">
        <v>50</v>
      </c>
      <c r="D69" s="238" t="s">
        <v>149</v>
      </c>
      <c r="E69" s="239" t="s">
        <v>38</v>
      </c>
      <c r="F69" s="14" t="s">
        <v>635</v>
      </c>
      <c r="G69" s="240">
        <v>-1</v>
      </c>
      <c r="H69" s="240">
        <v>4</v>
      </c>
      <c r="I69" s="240">
        <v>6</v>
      </c>
      <c r="J69" s="240">
        <v>1</v>
      </c>
      <c r="K69" s="241">
        <f>BOJ_DRCENÍ</f>
        <v>-6</v>
      </c>
      <c r="L69" s="239">
        <v>2</v>
      </c>
      <c r="M69" s="242" t="s">
        <v>35</v>
      </c>
      <c r="N69" s="242" t="s">
        <v>125</v>
      </c>
    </row>
    <row r="70" spans="1:14" ht="15.6" x14ac:dyDescent="0.3">
      <c r="A70" s="237" t="s">
        <v>208</v>
      </c>
      <c r="B70" s="234">
        <v>2</v>
      </c>
      <c r="C70" s="234">
        <v>140</v>
      </c>
      <c r="D70" s="238" t="s">
        <v>150</v>
      </c>
      <c r="E70" s="239" t="s">
        <v>39</v>
      </c>
      <c r="F70" s="14" t="s">
        <v>635</v>
      </c>
      <c r="G70" s="240">
        <v>-2</v>
      </c>
      <c r="H70" s="240">
        <v>5</v>
      </c>
      <c r="I70" s="240">
        <v>12</v>
      </c>
      <c r="J70" s="240">
        <v>3</v>
      </c>
      <c r="K70" s="241">
        <f>BOJ_DRCENÍ</f>
        <v>-6</v>
      </c>
      <c r="L70" s="239">
        <v>2</v>
      </c>
      <c r="M70" s="242" t="s">
        <v>35</v>
      </c>
      <c r="N70" s="242" t="s">
        <v>34</v>
      </c>
    </row>
    <row r="71" spans="1:14" ht="15.6" x14ac:dyDescent="0.3">
      <c r="A71" s="237" t="s">
        <v>144</v>
      </c>
      <c r="B71" s="234">
        <v>1</v>
      </c>
      <c r="C71" s="234">
        <v>10</v>
      </c>
      <c r="D71" s="238" t="s">
        <v>149</v>
      </c>
      <c r="E71" s="239" t="s">
        <v>37</v>
      </c>
      <c r="F71" s="14" t="s">
        <v>635</v>
      </c>
      <c r="G71" s="240">
        <v>1</v>
      </c>
      <c r="H71" s="240">
        <v>3</v>
      </c>
      <c r="I71" s="240">
        <v>3</v>
      </c>
      <c r="J71" s="240">
        <v>2</v>
      </c>
      <c r="K71" s="241">
        <f>BOJ_DRCENÍ</f>
        <v>-6</v>
      </c>
      <c r="L71" s="239">
        <v>1</v>
      </c>
      <c r="M71" s="242" t="s">
        <v>267</v>
      </c>
      <c r="N71" s="242" t="s">
        <v>125</v>
      </c>
    </row>
    <row r="72" spans="1:14" ht="15.6" x14ac:dyDescent="0.3">
      <c r="A72" s="15" t="s">
        <v>269</v>
      </c>
      <c r="B72" s="234">
        <v>1</v>
      </c>
      <c r="C72" s="234">
        <v>30</v>
      </c>
      <c r="D72" s="238" t="s">
        <v>926</v>
      </c>
      <c r="E72" s="239" t="s">
        <v>38</v>
      </c>
      <c r="F72" s="14" t="s">
        <v>635</v>
      </c>
      <c r="G72" s="240">
        <v>0</v>
      </c>
      <c r="H72" s="240">
        <v>4</v>
      </c>
      <c r="I72" s="240">
        <v>4</v>
      </c>
      <c r="J72" s="240">
        <v>2</v>
      </c>
      <c r="K72" s="241">
        <f>BOJ_DRCENÍ</f>
        <v>-6</v>
      </c>
      <c r="L72" s="239">
        <v>1</v>
      </c>
      <c r="M72" s="242" t="s">
        <v>267</v>
      </c>
      <c r="N72" s="242" t="s">
        <v>125</v>
      </c>
    </row>
    <row r="73" spans="1:14" ht="15.6" x14ac:dyDescent="0.3">
      <c r="A73" s="243" t="s">
        <v>210</v>
      </c>
      <c r="B73" s="234">
        <v>2</v>
      </c>
      <c r="C73" s="234">
        <v>200</v>
      </c>
      <c r="D73" s="238" t="s">
        <v>150</v>
      </c>
      <c r="E73" s="239" t="s">
        <v>39</v>
      </c>
      <c r="F73" s="14" t="s">
        <v>635</v>
      </c>
      <c r="G73" s="240">
        <v>-1</v>
      </c>
      <c r="H73" s="240">
        <v>4</v>
      </c>
      <c r="I73" s="240">
        <v>6</v>
      </c>
      <c r="J73" s="240">
        <v>4</v>
      </c>
      <c r="K73" s="241">
        <f>BOJ_DRCENÍ</f>
        <v>-6</v>
      </c>
      <c r="L73" s="239">
        <v>1</v>
      </c>
      <c r="M73" s="242" t="s">
        <v>52</v>
      </c>
      <c r="N73" s="242" t="s">
        <v>125</v>
      </c>
    </row>
    <row r="74" spans="1:14" ht="15.6" x14ac:dyDescent="0.3">
      <c r="A74" s="243" t="s">
        <v>213</v>
      </c>
      <c r="B74" s="234">
        <v>1</v>
      </c>
      <c r="C74" s="234">
        <v>18</v>
      </c>
      <c r="D74" s="238" t="s">
        <v>151</v>
      </c>
      <c r="E74" s="239" t="s">
        <v>37</v>
      </c>
      <c r="F74" s="14" t="s">
        <v>410</v>
      </c>
      <c r="G74" s="240">
        <v>0</v>
      </c>
      <c r="H74" s="240">
        <v>3</v>
      </c>
      <c r="I74" s="240">
        <v>3</v>
      </c>
      <c r="J74" s="240">
        <v>1</v>
      </c>
      <c r="K74" s="241">
        <f>BOJ_VRH</f>
        <v>-6</v>
      </c>
      <c r="L74" s="239">
        <v>8</v>
      </c>
      <c r="M74" s="242" t="s">
        <v>52</v>
      </c>
      <c r="N74" s="242" t="s">
        <v>125</v>
      </c>
    </row>
    <row r="75" spans="1:14" ht="15.6" x14ac:dyDescent="0.3">
      <c r="A75" s="237" t="s">
        <v>265</v>
      </c>
      <c r="B75" s="234">
        <v>1</v>
      </c>
      <c r="C75" s="234">
        <v>180</v>
      </c>
      <c r="D75" s="238" t="s">
        <v>149</v>
      </c>
      <c r="E75" s="239" t="s">
        <v>37</v>
      </c>
      <c r="F75" s="14" t="s">
        <v>587</v>
      </c>
      <c r="G75" s="240">
        <v>2</v>
      </c>
      <c r="H75" s="240">
        <v>2</v>
      </c>
      <c r="I75" s="240">
        <v>2</v>
      </c>
      <c r="J75" s="240">
        <v>1</v>
      </c>
      <c r="K75" s="241">
        <f>BOJ_NOŽE</f>
        <v>-6</v>
      </c>
      <c r="L75" s="239">
        <v>1</v>
      </c>
      <c r="M75" s="242" t="s">
        <v>33</v>
      </c>
      <c r="N75" s="242" t="s">
        <v>125</v>
      </c>
    </row>
    <row r="76" spans="1:14" ht="15.6" x14ac:dyDescent="0.3">
      <c r="A76" s="243" t="s">
        <v>131</v>
      </c>
      <c r="B76" s="234">
        <v>2</v>
      </c>
      <c r="C76" s="234">
        <v>50</v>
      </c>
      <c r="D76" s="238" t="s">
        <v>150</v>
      </c>
      <c r="E76" s="239" t="s">
        <v>38</v>
      </c>
      <c r="F76" s="14" t="s">
        <v>634</v>
      </c>
      <c r="G76" s="240">
        <v>1</v>
      </c>
      <c r="H76" s="240">
        <v>5</v>
      </c>
      <c r="I76" s="240">
        <v>6</v>
      </c>
      <c r="J76" s="240">
        <v>3</v>
      </c>
      <c r="K76" s="241">
        <f>BOJ_KOPÍ</f>
        <v>-6</v>
      </c>
      <c r="L76" s="239">
        <v>2</v>
      </c>
      <c r="M76" s="242" t="s">
        <v>33</v>
      </c>
      <c r="N76" s="242" t="s">
        <v>128</v>
      </c>
    </row>
    <row r="77" spans="1:14" ht="15.6" x14ac:dyDescent="0.3">
      <c r="A77" s="15" t="s">
        <v>137</v>
      </c>
      <c r="B77" s="234">
        <v>1</v>
      </c>
      <c r="C77" s="234">
        <v>120</v>
      </c>
      <c r="D77" s="238" t="s">
        <v>149</v>
      </c>
      <c r="E77" s="239" t="s">
        <v>38</v>
      </c>
      <c r="F77" s="14" t="s">
        <v>385</v>
      </c>
      <c r="G77" s="240">
        <v>0</v>
      </c>
      <c r="H77" s="240">
        <v>4</v>
      </c>
      <c r="I77" s="240">
        <v>5</v>
      </c>
      <c r="J77" s="240">
        <v>3</v>
      </c>
      <c r="K77" s="241">
        <f>BOJ_ŠERM</f>
        <v>-6</v>
      </c>
      <c r="L77" s="239">
        <v>1</v>
      </c>
      <c r="M77" s="242" t="s">
        <v>52</v>
      </c>
      <c r="N77" s="242" t="s">
        <v>125</v>
      </c>
    </row>
    <row r="78" spans="1:14" ht="15.6" x14ac:dyDescent="0.3">
      <c r="A78" s="15" t="s">
        <v>927</v>
      </c>
      <c r="B78" s="234">
        <v>1</v>
      </c>
      <c r="C78" s="234">
        <v>30</v>
      </c>
      <c r="D78" s="238" t="s">
        <v>149</v>
      </c>
      <c r="E78" s="239" t="s">
        <v>37</v>
      </c>
      <c r="F78" s="14" t="s">
        <v>635</v>
      </c>
      <c r="G78" s="240">
        <v>1</v>
      </c>
      <c r="H78" s="240">
        <v>1</v>
      </c>
      <c r="I78" s="240">
        <v>0</v>
      </c>
      <c r="J78" s="240">
        <v>3</v>
      </c>
      <c r="K78" s="241">
        <f>BOJ_DRCENÍ</f>
        <v>-6</v>
      </c>
      <c r="L78" s="239">
        <v>1</v>
      </c>
      <c r="M78" s="242" t="s">
        <v>35</v>
      </c>
      <c r="N78" s="242" t="s">
        <v>928</v>
      </c>
    </row>
    <row r="79" spans="1:14" ht="15.6" x14ac:dyDescent="0.3">
      <c r="A79" s="243" t="s">
        <v>155</v>
      </c>
      <c r="B79" s="234">
        <v>1</v>
      </c>
      <c r="C79" s="234">
        <v>50</v>
      </c>
      <c r="D79" s="238" t="s">
        <v>149</v>
      </c>
      <c r="E79" s="239" t="s">
        <v>38</v>
      </c>
      <c r="F79" s="14" t="s">
        <v>635</v>
      </c>
      <c r="G79" s="240">
        <v>0</v>
      </c>
      <c r="H79" s="240">
        <v>2</v>
      </c>
      <c r="I79" s="240">
        <v>2</v>
      </c>
      <c r="J79" s="240">
        <v>5</v>
      </c>
      <c r="K79" s="241">
        <f>BOJ_DRCENÍ</f>
        <v>-6</v>
      </c>
      <c r="L79" s="239">
        <v>1</v>
      </c>
      <c r="M79" s="242" t="s">
        <v>35</v>
      </c>
      <c r="N79" s="242" t="s">
        <v>128</v>
      </c>
    </row>
    <row r="80" spans="1:14" ht="15.6" x14ac:dyDescent="0.3">
      <c r="A80" s="243" t="s">
        <v>156</v>
      </c>
      <c r="B80" s="234">
        <v>1</v>
      </c>
      <c r="C80" s="234">
        <v>100</v>
      </c>
      <c r="D80" s="238" t="s">
        <v>149</v>
      </c>
      <c r="E80" s="239" t="s">
        <v>39</v>
      </c>
      <c r="F80" s="14" t="s">
        <v>635</v>
      </c>
      <c r="G80" s="240">
        <v>-1</v>
      </c>
      <c r="H80" s="240">
        <v>1</v>
      </c>
      <c r="I80" s="240">
        <v>1</v>
      </c>
      <c r="J80" s="240">
        <v>7</v>
      </c>
      <c r="K80" s="241">
        <f>BOJ_DRCENÍ</f>
        <v>-6</v>
      </c>
      <c r="L80" s="239">
        <v>1</v>
      </c>
      <c r="M80" s="242" t="s">
        <v>35</v>
      </c>
      <c r="N80" s="242" t="s">
        <v>128</v>
      </c>
    </row>
    <row r="81" spans="1:14" ht="15.6" x14ac:dyDescent="0.3">
      <c r="A81" s="15" t="s">
        <v>133</v>
      </c>
      <c r="B81" s="234">
        <v>1</v>
      </c>
      <c r="C81" s="234">
        <v>40</v>
      </c>
      <c r="D81" s="238" t="s">
        <v>149</v>
      </c>
      <c r="E81" s="239" t="s">
        <v>37</v>
      </c>
      <c r="F81" s="14" t="s">
        <v>587</v>
      </c>
      <c r="G81" s="240">
        <v>2</v>
      </c>
      <c r="H81" s="240">
        <v>3</v>
      </c>
      <c r="I81" s="240">
        <v>2</v>
      </c>
      <c r="J81" s="240">
        <v>1</v>
      </c>
      <c r="K81" s="241">
        <f>BOJ_NOŽE</f>
        <v>-6</v>
      </c>
      <c r="L81" s="239">
        <v>1</v>
      </c>
      <c r="M81" s="242" t="s">
        <v>33</v>
      </c>
      <c r="N81" s="242" t="s">
        <v>125</v>
      </c>
    </row>
    <row r="82" spans="1:14" ht="15.6" x14ac:dyDescent="0.3">
      <c r="A82" s="243" t="s">
        <v>134</v>
      </c>
      <c r="B82" s="234">
        <v>2</v>
      </c>
      <c r="C82" s="234">
        <v>80</v>
      </c>
      <c r="D82" s="238" t="s">
        <v>150</v>
      </c>
      <c r="E82" s="239" t="s">
        <v>39</v>
      </c>
      <c r="F82" s="14" t="s">
        <v>634</v>
      </c>
      <c r="G82" s="240">
        <v>0</v>
      </c>
      <c r="H82" s="240">
        <v>6</v>
      </c>
      <c r="I82" s="240">
        <v>6</v>
      </c>
      <c r="J82" s="240">
        <v>5</v>
      </c>
      <c r="K82" s="241">
        <f>BOJ_KOPÍ</f>
        <v>-6</v>
      </c>
      <c r="L82" s="239">
        <v>2</v>
      </c>
      <c r="M82" s="242" t="s">
        <v>33</v>
      </c>
      <c r="N82" s="242" t="s">
        <v>128</v>
      </c>
    </row>
  </sheetData>
  <autoFilter ref="A17:N82"/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L35"/>
  <sheetViews>
    <sheetView topLeftCell="A16" workbookViewId="0">
      <selection activeCell="P30" sqref="P30"/>
    </sheetView>
  </sheetViews>
  <sheetFormatPr defaultRowHeight="14.4" x14ac:dyDescent="0.3"/>
  <cols>
    <col min="1" max="1" width="9.88671875" bestFit="1" customWidth="1"/>
    <col min="2" max="2" width="25.44140625" bestFit="1" customWidth="1"/>
    <col min="3" max="3" width="6" bestFit="1" customWidth="1"/>
    <col min="4" max="4" width="6.5546875" bestFit="1" customWidth="1"/>
    <col min="5" max="5" width="5.77734375" bestFit="1" customWidth="1"/>
    <col min="6" max="6" width="7" customWidth="1"/>
    <col min="7" max="7" width="7.5546875" bestFit="1" customWidth="1"/>
    <col min="11" max="11" width="5.33203125" customWidth="1"/>
    <col min="12" max="12" width="13" customWidth="1"/>
  </cols>
  <sheetData>
    <row r="1" spans="1:11" x14ac:dyDescent="0.3">
      <c r="A1" t="s">
        <v>1</v>
      </c>
      <c r="C1" t="s">
        <v>29</v>
      </c>
      <c r="D1" t="s">
        <v>582</v>
      </c>
      <c r="E1" t="s">
        <v>31</v>
      </c>
      <c r="F1" t="s">
        <v>583</v>
      </c>
      <c r="K1" t="s">
        <v>630</v>
      </c>
    </row>
    <row r="2" spans="1:11" x14ac:dyDescent="0.3">
      <c r="B2" t="s">
        <v>588</v>
      </c>
      <c r="C2" s="14"/>
      <c r="D2" s="14"/>
      <c r="E2" s="14"/>
      <c r="F2" s="14"/>
    </row>
    <row r="3" spans="1:11" x14ac:dyDescent="0.3">
      <c r="B3" t="s">
        <v>589</v>
      </c>
      <c r="C3" s="14"/>
      <c r="D3" s="14"/>
      <c r="E3" s="14"/>
      <c r="F3" s="14"/>
      <c r="K3" t="s">
        <v>595</v>
      </c>
    </row>
    <row r="4" spans="1:11" x14ac:dyDescent="0.3">
      <c r="B4" t="s">
        <v>261</v>
      </c>
      <c r="C4" s="14"/>
      <c r="D4" s="14"/>
      <c r="E4" s="14"/>
      <c r="F4" s="14"/>
    </row>
    <row r="5" spans="1:11" x14ac:dyDescent="0.3">
      <c r="B5" t="s">
        <v>586</v>
      </c>
      <c r="C5" s="14"/>
      <c r="D5" s="14"/>
      <c r="E5" s="14"/>
      <c r="F5" s="14"/>
      <c r="K5" t="s">
        <v>596</v>
      </c>
    </row>
    <row r="6" spans="1:11" x14ac:dyDescent="0.3">
      <c r="A6" t="s">
        <v>6</v>
      </c>
      <c r="K6" t="s">
        <v>597</v>
      </c>
    </row>
    <row r="7" spans="1:11" x14ac:dyDescent="0.3">
      <c r="B7" t="s">
        <v>385</v>
      </c>
      <c r="C7" s="14"/>
      <c r="D7" s="14"/>
      <c r="E7" s="14"/>
      <c r="F7" s="14"/>
      <c r="K7" t="s">
        <v>598</v>
      </c>
    </row>
    <row r="8" spans="1:11" x14ac:dyDescent="0.3">
      <c r="B8" t="s">
        <v>585</v>
      </c>
      <c r="C8" s="14"/>
      <c r="D8" s="14"/>
      <c r="E8" s="14"/>
      <c r="F8" s="14"/>
    </row>
    <row r="9" spans="1:11" x14ac:dyDescent="0.3">
      <c r="B9" t="s">
        <v>587</v>
      </c>
      <c r="C9" s="14"/>
      <c r="D9" s="14"/>
      <c r="E9" s="14"/>
      <c r="F9" s="14"/>
      <c r="K9" t="s">
        <v>603</v>
      </c>
    </row>
    <row r="10" spans="1:11" x14ac:dyDescent="0.3">
      <c r="B10" t="s">
        <v>584</v>
      </c>
      <c r="C10" s="14"/>
      <c r="D10" s="14"/>
      <c r="E10" s="14"/>
      <c r="F10" s="14"/>
    </row>
    <row r="11" spans="1:11" x14ac:dyDescent="0.3">
      <c r="A11" t="s">
        <v>7</v>
      </c>
      <c r="K11" t="s">
        <v>602</v>
      </c>
    </row>
    <row r="12" spans="1:11" x14ac:dyDescent="0.3">
      <c r="B12" t="s">
        <v>409</v>
      </c>
      <c r="C12" s="14"/>
      <c r="D12" s="14"/>
      <c r="E12" s="14"/>
      <c r="F12" s="14"/>
      <c r="K12" t="s">
        <v>599</v>
      </c>
    </row>
    <row r="13" spans="1:11" x14ac:dyDescent="0.3">
      <c r="B13" t="s">
        <v>410</v>
      </c>
      <c r="C13" s="14"/>
      <c r="D13" s="14"/>
      <c r="E13" s="14"/>
      <c r="F13" s="14"/>
      <c r="K13" t="s">
        <v>600</v>
      </c>
    </row>
    <row r="14" spans="1:11" x14ac:dyDescent="0.3">
      <c r="B14" t="s">
        <v>636</v>
      </c>
      <c r="C14" s="14"/>
      <c r="D14" s="14"/>
      <c r="E14" s="14"/>
      <c r="F14" s="14"/>
      <c r="K14" t="s">
        <v>601</v>
      </c>
    </row>
    <row r="15" spans="1:11" x14ac:dyDescent="0.3">
      <c r="B15" t="s">
        <v>520</v>
      </c>
      <c r="C15" s="14"/>
      <c r="D15" s="14"/>
      <c r="E15" s="14"/>
      <c r="F15" s="14"/>
    </row>
    <row r="16" spans="1:11" x14ac:dyDescent="0.3">
      <c r="A16" t="s">
        <v>9</v>
      </c>
      <c r="K16" t="s">
        <v>633</v>
      </c>
    </row>
    <row r="17" spans="1:12" x14ac:dyDescent="0.3">
      <c r="B17" t="s">
        <v>451</v>
      </c>
      <c r="C17" s="14"/>
      <c r="D17" s="14"/>
      <c r="E17" s="14"/>
      <c r="F17" s="14"/>
    </row>
    <row r="18" spans="1:12" x14ac:dyDescent="0.3">
      <c r="B18" t="s">
        <v>53</v>
      </c>
      <c r="C18" s="14"/>
      <c r="D18" s="14"/>
      <c r="E18" s="14"/>
      <c r="F18" s="14"/>
      <c r="K18" t="s">
        <v>935</v>
      </c>
    </row>
    <row r="19" spans="1:12" x14ac:dyDescent="0.3">
      <c r="B19" t="s">
        <v>303</v>
      </c>
      <c r="C19" s="14"/>
      <c r="D19" s="14"/>
      <c r="E19" s="14"/>
      <c r="F19" s="14"/>
      <c r="K19" t="s">
        <v>631</v>
      </c>
    </row>
    <row r="20" spans="1:12" x14ac:dyDescent="0.3">
      <c r="B20" t="s">
        <v>590</v>
      </c>
      <c r="C20" s="14"/>
      <c r="D20" s="14"/>
      <c r="E20" s="14"/>
      <c r="F20" s="14"/>
      <c r="K20" t="s">
        <v>604</v>
      </c>
    </row>
    <row r="21" spans="1:12" x14ac:dyDescent="0.3">
      <c r="A21" t="s">
        <v>8</v>
      </c>
      <c r="K21" t="s">
        <v>632</v>
      </c>
    </row>
    <row r="22" spans="1:12" x14ac:dyDescent="0.3">
      <c r="B22" t="s">
        <v>591</v>
      </c>
      <c r="C22" s="14"/>
      <c r="D22" s="14"/>
      <c r="E22" s="14"/>
      <c r="F22" s="14"/>
    </row>
    <row r="23" spans="1:12" x14ac:dyDescent="0.3">
      <c r="B23" t="s">
        <v>592</v>
      </c>
      <c r="C23" s="14"/>
      <c r="D23" s="14"/>
      <c r="E23" s="14"/>
      <c r="F23" s="14"/>
      <c r="K23" t="s">
        <v>605</v>
      </c>
    </row>
    <row r="24" spans="1:12" x14ac:dyDescent="0.3">
      <c r="B24" t="s">
        <v>593</v>
      </c>
      <c r="C24" s="14"/>
      <c r="D24" s="14"/>
      <c r="E24" s="14"/>
      <c r="F24" s="14"/>
    </row>
    <row r="25" spans="1:12" x14ac:dyDescent="0.3">
      <c r="B25" t="s">
        <v>594</v>
      </c>
      <c r="C25" s="14"/>
      <c r="D25" s="14"/>
      <c r="E25" s="14"/>
      <c r="F25" s="14"/>
      <c r="K25" t="s">
        <v>606</v>
      </c>
    </row>
    <row r="26" spans="1:12" x14ac:dyDescent="0.3">
      <c r="A26" t="s">
        <v>10</v>
      </c>
    </row>
    <row r="27" spans="1:12" x14ac:dyDescent="0.3">
      <c r="B27" t="s">
        <v>316</v>
      </c>
      <c r="C27" s="14"/>
      <c r="D27" s="14"/>
      <c r="E27" s="14"/>
      <c r="F27" s="14"/>
    </row>
    <row r="28" spans="1:12" x14ac:dyDescent="0.3">
      <c r="B28" t="s">
        <v>560</v>
      </c>
      <c r="C28" s="14"/>
      <c r="D28" s="14"/>
      <c r="E28" s="14"/>
      <c r="F28" s="14"/>
      <c r="K28" t="s">
        <v>607</v>
      </c>
    </row>
    <row r="29" spans="1:12" x14ac:dyDescent="0.3">
      <c r="B29" t="s">
        <v>63</v>
      </c>
      <c r="C29" s="14"/>
      <c r="D29" s="14"/>
      <c r="E29" s="14"/>
      <c r="F29" s="14"/>
      <c r="K29" s="60">
        <v>-3</v>
      </c>
      <c r="L29" s="14" t="s">
        <v>608</v>
      </c>
    </row>
    <row r="30" spans="1:12" x14ac:dyDescent="0.3">
      <c r="B30" t="s">
        <v>637</v>
      </c>
      <c r="C30" s="14"/>
      <c r="D30" s="14"/>
      <c r="E30" s="14"/>
      <c r="F30" s="14"/>
      <c r="K30" s="60">
        <v>-2</v>
      </c>
      <c r="L30" s="14" t="s">
        <v>613</v>
      </c>
    </row>
    <row r="31" spans="1:12" x14ac:dyDescent="0.3">
      <c r="K31" s="60">
        <v>-1</v>
      </c>
      <c r="L31" s="14" t="s">
        <v>612</v>
      </c>
    </row>
    <row r="32" spans="1:12" x14ac:dyDescent="0.3">
      <c r="K32" s="60">
        <v>0</v>
      </c>
      <c r="L32" s="14" t="s">
        <v>609</v>
      </c>
    </row>
    <row r="33" spans="11:12" x14ac:dyDescent="0.3">
      <c r="K33" s="60">
        <v>1</v>
      </c>
      <c r="L33" s="14" t="s">
        <v>611</v>
      </c>
    </row>
    <row r="34" spans="11:12" x14ac:dyDescent="0.3">
      <c r="K34" s="60">
        <v>2</v>
      </c>
      <c r="L34" s="14" t="s">
        <v>610</v>
      </c>
    </row>
    <row r="35" spans="11:12" x14ac:dyDescent="0.3">
      <c r="K35" s="60">
        <v>3</v>
      </c>
      <c r="L35" s="14" t="s">
        <v>39</v>
      </c>
    </row>
  </sheetData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A23"/>
  <sheetViews>
    <sheetView tabSelected="1" workbookViewId="0">
      <selection activeCell="A24" sqref="A24"/>
    </sheetView>
  </sheetViews>
  <sheetFormatPr defaultRowHeight="14.4" x14ac:dyDescent="0.3"/>
  <sheetData>
    <row r="1" spans="1:1" x14ac:dyDescent="0.3">
      <c r="A1" s="1" t="s">
        <v>523</v>
      </c>
    </row>
    <row r="2" spans="1:1" x14ac:dyDescent="0.3">
      <c r="A2" t="s">
        <v>581</v>
      </c>
    </row>
    <row r="3" spans="1:1" x14ac:dyDescent="0.3">
      <c r="A3" t="s">
        <v>628</v>
      </c>
    </row>
    <row r="4" spans="1:1" x14ac:dyDescent="0.3">
      <c r="A4" t="s">
        <v>629</v>
      </c>
    </row>
    <row r="5" spans="1:1" x14ac:dyDescent="0.3">
      <c r="A5" t="s">
        <v>641</v>
      </c>
    </row>
    <row r="6" spans="1:1" x14ac:dyDescent="0.3">
      <c r="A6" t="s">
        <v>678</v>
      </c>
    </row>
    <row r="7" spans="1:1" x14ac:dyDescent="0.3">
      <c r="A7" t="s">
        <v>913</v>
      </c>
    </row>
    <row r="8" spans="1:1" x14ac:dyDescent="0.3">
      <c r="A8" t="s">
        <v>933</v>
      </c>
    </row>
    <row r="9" spans="1:1" x14ac:dyDescent="0.3">
      <c r="A9" t="s">
        <v>934</v>
      </c>
    </row>
    <row r="10" spans="1:1" x14ac:dyDescent="0.3">
      <c r="A10" t="s">
        <v>937</v>
      </c>
    </row>
    <row r="12" spans="1:1" x14ac:dyDescent="0.3">
      <c r="A12" s="1" t="s">
        <v>938</v>
      </c>
    </row>
    <row r="13" spans="1:1" x14ac:dyDescent="0.3">
      <c r="A13" s="254" t="s">
        <v>946</v>
      </c>
    </row>
    <row r="14" spans="1:1" x14ac:dyDescent="0.3">
      <c r="A14" s="254" t="s">
        <v>939</v>
      </c>
    </row>
    <row r="15" spans="1:1" x14ac:dyDescent="0.3">
      <c r="A15" s="254" t="s">
        <v>940</v>
      </c>
    </row>
    <row r="16" spans="1:1" x14ac:dyDescent="0.3">
      <c r="A16" s="254" t="s">
        <v>941</v>
      </c>
    </row>
    <row r="17" spans="1:1" x14ac:dyDescent="0.3">
      <c r="A17" s="254" t="s">
        <v>944</v>
      </c>
    </row>
    <row r="18" spans="1:1" x14ac:dyDescent="0.3">
      <c r="A18" s="254"/>
    </row>
    <row r="19" spans="1:1" ht="14.25" customHeight="1" x14ac:dyDescent="0.3">
      <c r="A19" s="1" t="s">
        <v>945</v>
      </c>
    </row>
    <row r="20" spans="1:1" x14ac:dyDescent="0.3">
      <c r="A20" s="254" t="s">
        <v>949</v>
      </c>
    </row>
    <row r="21" spans="1:1" x14ac:dyDescent="0.3">
      <c r="A21" s="254" t="s">
        <v>953</v>
      </c>
    </row>
    <row r="22" spans="1:1" x14ac:dyDescent="0.3">
      <c r="A22" s="254" t="s">
        <v>954</v>
      </c>
    </row>
    <row r="23" spans="1:1" x14ac:dyDescent="0.3">
      <c r="A23" s="254" t="s">
        <v>956</v>
      </c>
    </row>
  </sheetData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C284"/>
  <sheetViews>
    <sheetView workbookViewId="0">
      <pane ySplit="2" topLeftCell="A261" activePane="bottomLeft" state="frozen"/>
      <selection pane="bottomLeft" activeCell="C283" sqref="C283"/>
    </sheetView>
  </sheetViews>
  <sheetFormatPr defaultRowHeight="14.4" x14ac:dyDescent="0.3"/>
  <cols>
    <col min="1" max="1" width="24.6640625" customWidth="1"/>
    <col min="2" max="2" width="15" customWidth="1"/>
    <col min="3" max="3" width="32" style="10" customWidth="1"/>
  </cols>
  <sheetData>
    <row r="1" spans="1:3" ht="14.25" customHeight="1" x14ac:dyDescent="0.3">
      <c r="B1" s="9"/>
      <c r="C1" s="131"/>
    </row>
    <row r="2" spans="1:3" x14ac:dyDescent="0.3">
      <c r="A2" s="127" t="s">
        <v>260</v>
      </c>
      <c r="B2" s="127" t="s">
        <v>21</v>
      </c>
      <c r="C2" s="127" t="s">
        <v>106</v>
      </c>
    </row>
    <row r="3" spans="1:3" x14ac:dyDescent="0.3">
      <c r="A3" s="176" t="s">
        <v>352</v>
      </c>
      <c r="B3" s="9" t="s">
        <v>299</v>
      </c>
      <c r="C3" s="131" t="s">
        <v>754</v>
      </c>
    </row>
    <row r="4" spans="1:3" x14ac:dyDescent="0.3">
      <c r="A4" s="176" t="s">
        <v>815</v>
      </c>
      <c r="B4" s="9" t="s">
        <v>299</v>
      </c>
      <c r="C4" s="131" t="s">
        <v>904</v>
      </c>
    </row>
    <row r="5" spans="1:3" x14ac:dyDescent="0.3">
      <c r="A5" s="176" t="s">
        <v>905</v>
      </c>
      <c r="B5" s="9" t="s">
        <v>299</v>
      </c>
      <c r="C5" s="131" t="s">
        <v>906</v>
      </c>
    </row>
    <row r="6" spans="1:3" x14ac:dyDescent="0.3">
      <c r="A6" s="176" t="s">
        <v>907</v>
      </c>
      <c r="B6" s="9" t="s">
        <v>299</v>
      </c>
      <c r="C6" s="131" t="s">
        <v>908</v>
      </c>
    </row>
    <row r="7" spans="1:3" x14ac:dyDescent="0.3">
      <c r="A7" s="176" t="s">
        <v>706</v>
      </c>
      <c r="B7" s="9" t="s">
        <v>299</v>
      </c>
      <c r="C7" s="131" t="s">
        <v>697</v>
      </c>
    </row>
    <row r="8" spans="1:3" x14ac:dyDescent="0.3">
      <c r="A8" s="176" t="s">
        <v>909</v>
      </c>
      <c r="B8" s="9" t="s">
        <v>299</v>
      </c>
      <c r="C8" s="131" t="s">
        <v>910</v>
      </c>
    </row>
    <row r="9" spans="1:3" x14ac:dyDescent="0.3">
      <c r="A9" s="176" t="s">
        <v>911</v>
      </c>
      <c r="B9" s="9" t="s">
        <v>299</v>
      </c>
      <c r="C9" s="131" t="s">
        <v>912</v>
      </c>
    </row>
    <row r="10" spans="1:3" x14ac:dyDescent="0.3">
      <c r="A10" s="176" t="s">
        <v>353</v>
      </c>
      <c r="B10" s="9" t="s">
        <v>299</v>
      </c>
      <c r="C10" s="131" t="s">
        <v>679</v>
      </c>
    </row>
    <row r="11" spans="1:3" x14ac:dyDescent="0.3">
      <c r="A11" s="176" t="s">
        <v>897</v>
      </c>
      <c r="B11" s="9" t="s">
        <v>299</v>
      </c>
      <c r="C11" s="131" t="s">
        <v>898</v>
      </c>
    </row>
    <row r="12" spans="1:3" x14ac:dyDescent="0.3">
      <c r="A12" s="176" t="s">
        <v>368</v>
      </c>
      <c r="B12" s="9" t="s">
        <v>299</v>
      </c>
      <c r="C12" s="131" t="s">
        <v>846</v>
      </c>
    </row>
    <row r="13" spans="1:3" x14ac:dyDescent="0.3">
      <c r="A13" s="176" t="s">
        <v>758</v>
      </c>
      <c r="B13" s="9" t="s">
        <v>299</v>
      </c>
      <c r="C13" s="131" t="s">
        <v>759</v>
      </c>
    </row>
    <row r="14" spans="1:3" x14ac:dyDescent="0.3">
      <c r="A14" s="176" t="s">
        <v>649</v>
      </c>
      <c r="B14" s="9" t="s">
        <v>299</v>
      </c>
      <c r="C14" s="131" t="s">
        <v>760</v>
      </c>
    </row>
    <row r="15" spans="1:3" x14ac:dyDescent="0.3">
      <c r="A15" s="176" t="s">
        <v>376</v>
      </c>
      <c r="B15" s="9" t="s">
        <v>299</v>
      </c>
      <c r="C15" s="131" t="s">
        <v>764</v>
      </c>
    </row>
    <row r="16" spans="1:3" x14ac:dyDescent="0.3">
      <c r="A16" s="176" t="s">
        <v>382</v>
      </c>
      <c r="B16" s="9" t="s">
        <v>299</v>
      </c>
      <c r="C16" s="131" t="s">
        <v>899</v>
      </c>
    </row>
    <row r="17" spans="1:3" x14ac:dyDescent="0.3">
      <c r="A17" s="176" t="s">
        <v>900</v>
      </c>
      <c r="B17" s="9" t="s">
        <v>299</v>
      </c>
      <c r="C17" s="131" t="s">
        <v>653</v>
      </c>
    </row>
    <row r="18" spans="1:3" x14ac:dyDescent="0.3">
      <c r="A18" s="176" t="s">
        <v>768</v>
      </c>
      <c r="B18" s="9" t="s">
        <v>299</v>
      </c>
      <c r="C18" s="131" t="s">
        <v>769</v>
      </c>
    </row>
    <row r="19" spans="1:3" x14ac:dyDescent="0.3">
      <c r="A19" s="176" t="s">
        <v>388</v>
      </c>
      <c r="B19" s="9" t="s">
        <v>299</v>
      </c>
      <c r="C19" s="131" t="s">
        <v>901</v>
      </c>
    </row>
    <row r="20" spans="1:3" x14ac:dyDescent="0.3">
      <c r="A20" s="176" t="s">
        <v>389</v>
      </c>
      <c r="B20" s="9" t="s">
        <v>299</v>
      </c>
      <c r="C20" s="131" t="s">
        <v>902</v>
      </c>
    </row>
    <row r="21" spans="1:3" x14ac:dyDescent="0.3">
      <c r="A21" s="176" t="s">
        <v>392</v>
      </c>
      <c r="B21" s="9" t="s">
        <v>299</v>
      </c>
      <c r="C21" s="131" t="s">
        <v>903</v>
      </c>
    </row>
    <row r="22" spans="1:3" x14ac:dyDescent="0.3">
      <c r="A22" s="176" t="s">
        <v>393</v>
      </c>
      <c r="B22" s="9" t="s">
        <v>299</v>
      </c>
      <c r="C22" s="131" t="s">
        <v>648</v>
      </c>
    </row>
    <row r="23" spans="1:3" x14ac:dyDescent="0.3">
      <c r="A23" s="176" t="s">
        <v>351</v>
      </c>
      <c r="B23" s="9" t="s">
        <v>418</v>
      </c>
      <c r="C23" s="131" t="s">
        <v>677</v>
      </c>
    </row>
    <row r="24" spans="1:3" x14ac:dyDescent="0.3">
      <c r="A24" s="176" t="s">
        <v>643</v>
      </c>
      <c r="B24" s="9" t="s">
        <v>418</v>
      </c>
      <c r="C24" s="131" t="s">
        <v>644</v>
      </c>
    </row>
    <row r="25" spans="1:3" x14ac:dyDescent="0.3">
      <c r="A25" s="176" t="s">
        <v>654</v>
      </c>
      <c r="B25" s="9" t="s">
        <v>418</v>
      </c>
      <c r="C25" s="10" t="s">
        <v>674</v>
      </c>
    </row>
    <row r="26" spans="1:3" x14ac:dyDescent="0.3">
      <c r="A26" s="176" t="s">
        <v>645</v>
      </c>
      <c r="B26" s="9" t="s">
        <v>418</v>
      </c>
      <c r="C26" s="93" t="s">
        <v>646</v>
      </c>
    </row>
    <row r="27" spans="1:3" x14ac:dyDescent="0.3">
      <c r="A27" s="176" t="s">
        <v>368</v>
      </c>
      <c r="B27" s="9" t="s">
        <v>418</v>
      </c>
      <c r="C27" s="10" t="s">
        <v>647</v>
      </c>
    </row>
    <row r="28" spans="1:3" x14ac:dyDescent="0.3">
      <c r="A28" s="176" t="s">
        <v>369</v>
      </c>
      <c r="B28" s="9" t="s">
        <v>418</v>
      </c>
      <c r="C28" s="139" t="s">
        <v>648</v>
      </c>
    </row>
    <row r="29" spans="1:3" x14ac:dyDescent="0.3">
      <c r="A29" s="176" t="s">
        <v>655</v>
      </c>
      <c r="B29" s="9" t="s">
        <v>418</v>
      </c>
      <c r="C29" s="10" t="s">
        <v>666</v>
      </c>
    </row>
    <row r="30" spans="1:3" ht="14.25" customHeight="1" x14ac:dyDescent="0.3">
      <c r="A30" s="176" t="s">
        <v>656</v>
      </c>
      <c r="B30" s="9" t="s">
        <v>418</v>
      </c>
      <c r="C30" s="10" t="s">
        <v>667</v>
      </c>
    </row>
    <row r="31" spans="1:3" x14ac:dyDescent="0.3">
      <c r="A31" s="176" t="s">
        <v>657</v>
      </c>
      <c r="B31" s="9" t="s">
        <v>418</v>
      </c>
      <c r="C31" s="10" t="s">
        <v>668</v>
      </c>
    </row>
    <row r="32" spans="1:3" x14ac:dyDescent="0.3">
      <c r="A32" s="176" t="s">
        <v>658</v>
      </c>
      <c r="B32" s="9" t="s">
        <v>418</v>
      </c>
      <c r="C32" s="10" t="s">
        <v>669</v>
      </c>
    </row>
    <row r="33" spans="1:3" x14ac:dyDescent="0.3">
      <c r="A33" s="176" t="s">
        <v>659</v>
      </c>
      <c r="B33" s="9" t="s">
        <v>418</v>
      </c>
      <c r="C33" s="10" t="s">
        <v>670</v>
      </c>
    </row>
    <row r="34" spans="1:3" x14ac:dyDescent="0.3">
      <c r="A34" s="176" t="s">
        <v>660</v>
      </c>
      <c r="B34" s="9" t="s">
        <v>418</v>
      </c>
      <c r="C34" s="10" t="s">
        <v>671</v>
      </c>
    </row>
    <row r="35" spans="1:3" x14ac:dyDescent="0.3">
      <c r="A35" s="176" t="s">
        <v>649</v>
      </c>
      <c r="B35" s="9" t="s">
        <v>418</v>
      </c>
      <c r="C35" s="10" t="s">
        <v>650</v>
      </c>
    </row>
    <row r="36" spans="1:3" x14ac:dyDescent="0.3">
      <c r="A36" s="176" t="s">
        <v>378</v>
      </c>
      <c r="B36" s="9" t="s">
        <v>418</v>
      </c>
      <c r="C36" s="10" t="s">
        <v>651</v>
      </c>
    </row>
    <row r="37" spans="1:3" x14ac:dyDescent="0.3">
      <c r="A37" s="176" t="s">
        <v>661</v>
      </c>
      <c r="B37" s="9" t="s">
        <v>418</v>
      </c>
      <c r="C37" s="10" t="s">
        <v>672</v>
      </c>
    </row>
    <row r="38" spans="1:3" x14ac:dyDescent="0.3">
      <c r="A38" s="176" t="s">
        <v>652</v>
      </c>
      <c r="B38" s="9" t="s">
        <v>418</v>
      </c>
      <c r="C38" s="10" t="s">
        <v>653</v>
      </c>
    </row>
    <row r="39" spans="1:3" x14ac:dyDescent="0.3">
      <c r="A39" s="176" t="s">
        <v>662</v>
      </c>
      <c r="B39" s="9" t="s">
        <v>418</v>
      </c>
      <c r="C39" s="10" t="s">
        <v>673</v>
      </c>
    </row>
    <row r="40" spans="1:3" x14ac:dyDescent="0.3">
      <c r="A40" s="176" t="s">
        <v>663</v>
      </c>
      <c r="B40" s="9" t="s">
        <v>418</v>
      </c>
      <c r="C40" s="10" t="s">
        <v>675</v>
      </c>
    </row>
    <row r="41" spans="1:3" x14ac:dyDescent="0.3">
      <c r="A41" s="176" t="s">
        <v>664</v>
      </c>
      <c r="B41" s="9" t="s">
        <v>418</v>
      </c>
      <c r="C41" s="117" t="s">
        <v>676</v>
      </c>
    </row>
    <row r="42" spans="1:3" ht="16.2" customHeight="1" x14ac:dyDescent="0.3">
      <c r="A42" s="176" t="s">
        <v>665</v>
      </c>
      <c r="B42" s="9" t="s">
        <v>418</v>
      </c>
      <c r="C42" s="117" t="s">
        <v>676</v>
      </c>
    </row>
    <row r="43" spans="1:3" x14ac:dyDescent="0.3">
      <c r="A43" s="176" t="s">
        <v>352</v>
      </c>
      <c r="B43" s="9" t="s">
        <v>360</v>
      </c>
      <c r="C43" s="131" t="s">
        <v>754</v>
      </c>
    </row>
    <row r="44" spans="1:3" x14ac:dyDescent="0.3">
      <c r="A44" s="176" t="s">
        <v>353</v>
      </c>
      <c r="B44" s="9" t="s">
        <v>360</v>
      </c>
      <c r="C44" s="131" t="s">
        <v>679</v>
      </c>
    </row>
    <row r="45" spans="1:3" x14ac:dyDescent="0.3">
      <c r="A45" s="176" t="s">
        <v>761</v>
      </c>
      <c r="B45" s="9" t="s">
        <v>360</v>
      </c>
      <c r="C45" s="131" t="s">
        <v>837</v>
      </c>
    </row>
    <row r="46" spans="1:3" x14ac:dyDescent="0.3">
      <c r="A46" s="176" t="s">
        <v>376</v>
      </c>
      <c r="B46" s="9" t="s">
        <v>360</v>
      </c>
      <c r="C46" s="131" t="s">
        <v>764</v>
      </c>
    </row>
    <row r="47" spans="1:3" x14ac:dyDescent="0.3">
      <c r="A47" s="176" t="s">
        <v>838</v>
      </c>
      <c r="B47" s="9" t="s">
        <v>360</v>
      </c>
      <c r="C47" s="128" t="s">
        <v>166</v>
      </c>
    </row>
    <row r="48" spans="1:3" x14ac:dyDescent="0.3">
      <c r="A48" s="176" t="s">
        <v>401</v>
      </c>
      <c r="B48" s="9" t="s">
        <v>360</v>
      </c>
      <c r="C48" s="128" t="s">
        <v>166</v>
      </c>
    </row>
    <row r="49" spans="1:3" x14ac:dyDescent="0.3">
      <c r="A49" s="176" t="s">
        <v>399</v>
      </c>
      <c r="B49" s="9" t="s">
        <v>360</v>
      </c>
      <c r="C49" s="128" t="s">
        <v>166</v>
      </c>
    </row>
    <row r="50" spans="1:3" x14ac:dyDescent="0.3">
      <c r="A50" s="176" t="s">
        <v>839</v>
      </c>
      <c r="B50" s="9" t="s">
        <v>360</v>
      </c>
      <c r="C50" s="128" t="s">
        <v>166</v>
      </c>
    </row>
    <row r="51" spans="1:3" x14ac:dyDescent="0.3">
      <c r="A51" s="176" t="s">
        <v>840</v>
      </c>
      <c r="B51" s="9" t="s">
        <v>360</v>
      </c>
      <c r="C51" s="128" t="s">
        <v>166</v>
      </c>
    </row>
    <row r="52" spans="1:3" x14ac:dyDescent="0.3">
      <c r="A52" s="176" t="s">
        <v>841</v>
      </c>
      <c r="B52" s="9" t="s">
        <v>360</v>
      </c>
      <c r="C52" s="128" t="s">
        <v>166</v>
      </c>
    </row>
    <row r="53" spans="1:3" x14ac:dyDescent="0.3">
      <c r="A53" s="176" t="s">
        <v>842</v>
      </c>
      <c r="B53" s="9" t="s">
        <v>360</v>
      </c>
      <c r="C53" s="128" t="s">
        <v>166</v>
      </c>
    </row>
    <row r="54" spans="1:3" x14ac:dyDescent="0.3">
      <c r="A54" s="176" t="s">
        <v>400</v>
      </c>
      <c r="B54" s="9" t="s">
        <v>360</v>
      </c>
      <c r="C54" s="128" t="s">
        <v>166</v>
      </c>
    </row>
    <row r="55" spans="1:3" x14ac:dyDescent="0.3">
      <c r="A55" s="176" t="s">
        <v>402</v>
      </c>
      <c r="B55" s="9" t="s">
        <v>360</v>
      </c>
      <c r="C55" s="128" t="s">
        <v>166</v>
      </c>
    </row>
    <row r="56" spans="1:3" x14ac:dyDescent="0.3">
      <c r="A56" s="176" t="s">
        <v>403</v>
      </c>
      <c r="B56" s="9" t="s">
        <v>360</v>
      </c>
      <c r="C56" s="128" t="s">
        <v>166</v>
      </c>
    </row>
    <row r="57" spans="1:3" x14ac:dyDescent="0.3">
      <c r="A57" s="176" t="s">
        <v>843</v>
      </c>
      <c r="B57" s="9" t="s">
        <v>360</v>
      </c>
      <c r="C57" s="128" t="s">
        <v>166</v>
      </c>
    </row>
    <row r="58" spans="1:3" x14ac:dyDescent="0.3">
      <c r="A58" s="176" t="s">
        <v>844</v>
      </c>
      <c r="B58" s="9" t="s">
        <v>360</v>
      </c>
      <c r="C58" s="128" t="s">
        <v>166</v>
      </c>
    </row>
    <row r="59" spans="1:3" x14ac:dyDescent="0.3">
      <c r="A59" s="176" t="s">
        <v>652</v>
      </c>
      <c r="B59" s="9" t="s">
        <v>360</v>
      </c>
      <c r="C59" s="131" t="s">
        <v>653</v>
      </c>
    </row>
    <row r="60" spans="1:3" x14ac:dyDescent="0.3">
      <c r="A60" s="176" t="s">
        <v>768</v>
      </c>
      <c r="B60" s="9" t="s">
        <v>360</v>
      </c>
      <c r="C60" s="131" t="s">
        <v>769</v>
      </c>
    </row>
    <row r="61" spans="1:3" ht="14.25" customHeight="1" x14ac:dyDescent="0.3">
      <c r="A61" s="176" t="s">
        <v>386</v>
      </c>
      <c r="B61" s="9" t="s">
        <v>360</v>
      </c>
      <c r="C61" s="131" t="s">
        <v>836</v>
      </c>
    </row>
    <row r="62" spans="1:3" x14ac:dyDescent="0.3">
      <c r="A62" s="176" t="s">
        <v>773</v>
      </c>
      <c r="B62" s="9" t="s">
        <v>360</v>
      </c>
      <c r="C62" s="131" t="s">
        <v>675</v>
      </c>
    </row>
    <row r="63" spans="1:3" x14ac:dyDescent="0.3">
      <c r="A63" s="176" t="s">
        <v>701</v>
      </c>
      <c r="B63" s="9" t="s">
        <v>355</v>
      </c>
      <c r="C63" s="128" t="s">
        <v>692</v>
      </c>
    </row>
    <row r="64" spans="1:3" x14ac:dyDescent="0.3">
      <c r="A64" s="176" t="s">
        <v>702</v>
      </c>
      <c r="B64" s="9" t="s">
        <v>355</v>
      </c>
      <c r="C64" s="128" t="s">
        <v>693</v>
      </c>
    </row>
    <row r="65" spans="1:3" x14ac:dyDescent="0.3">
      <c r="A65" s="176" t="s">
        <v>704</v>
      </c>
      <c r="B65" s="9" t="s">
        <v>355</v>
      </c>
      <c r="C65" s="128" t="s">
        <v>695</v>
      </c>
    </row>
    <row r="66" spans="1:3" x14ac:dyDescent="0.3">
      <c r="A66" s="176" t="s">
        <v>703</v>
      </c>
      <c r="B66" s="9" t="s">
        <v>355</v>
      </c>
      <c r="C66" s="128" t="s">
        <v>694</v>
      </c>
    </row>
    <row r="67" spans="1:3" x14ac:dyDescent="0.3">
      <c r="A67" s="176" t="s">
        <v>705</v>
      </c>
      <c r="B67" s="9" t="s">
        <v>355</v>
      </c>
      <c r="C67" s="128" t="s">
        <v>696</v>
      </c>
    </row>
    <row r="68" spans="1:3" x14ac:dyDescent="0.3">
      <c r="A68" s="176" t="s">
        <v>706</v>
      </c>
      <c r="B68" s="9" t="s">
        <v>355</v>
      </c>
      <c r="C68" s="128" t="s">
        <v>697</v>
      </c>
    </row>
    <row r="69" spans="1:3" x14ac:dyDescent="0.3">
      <c r="A69" s="176" t="s">
        <v>707</v>
      </c>
      <c r="B69" s="9" t="s">
        <v>355</v>
      </c>
      <c r="C69" s="128" t="s">
        <v>819</v>
      </c>
    </row>
    <row r="70" spans="1:3" x14ac:dyDescent="0.3">
      <c r="A70" s="176" t="s">
        <v>708</v>
      </c>
      <c r="B70" s="9" t="s">
        <v>355</v>
      </c>
      <c r="C70" s="128" t="s">
        <v>698</v>
      </c>
    </row>
    <row r="71" spans="1:3" x14ac:dyDescent="0.3">
      <c r="A71" s="176" t="s">
        <v>709</v>
      </c>
      <c r="B71" s="9" t="s">
        <v>355</v>
      </c>
      <c r="C71" s="128" t="s">
        <v>699</v>
      </c>
    </row>
    <row r="72" spans="1:3" x14ac:dyDescent="0.3">
      <c r="A72" s="176" t="s">
        <v>710</v>
      </c>
      <c r="B72" s="9" t="s">
        <v>355</v>
      </c>
      <c r="C72" s="128" t="s">
        <v>700</v>
      </c>
    </row>
    <row r="73" spans="1:3" x14ac:dyDescent="0.3">
      <c r="A73" s="176" t="s">
        <v>353</v>
      </c>
      <c r="B73" s="9" t="s">
        <v>355</v>
      </c>
      <c r="C73" s="131" t="s">
        <v>679</v>
      </c>
    </row>
    <row r="74" spans="1:3" x14ac:dyDescent="0.3">
      <c r="A74" s="176" t="s">
        <v>354</v>
      </c>
      <c r="B74" s="9" t="s">
        <v>355</v>
      </c>
      <c r="C74" s="131" t="s">
        <v>680</v>
      </c>
    </row>
    <row r="75" spans="1:3" x14ac:dyDescent="0.3">
      <c r="A75" s="176" t="s">
        <v>371</v>
      </c>
      <c r="B75" s="9" t="s">
        <v>355</v>
      </c>
      <c r="C75" s="131" t="s">
        <v>681</v>
      </c>
    </row>
    <row r="76" spans="1:3" x14ac:dyDescent="0.3">
      <c r="A76" s="176" t="s">
        <v>682</v>
      </c>
      <c r="B76" s="9" t="s">
        <v>355</v>
      </c>
      <c r="C76" s="131" t="s">
        <v>683</v>
      </c>
    </row>
    <row r="77" spans="1:3" x14ac:dyDescent="0.3">
      <c r="A77" s="176" t="s">
        <v>684</v>
      </c>
      <c r="B77" s="9" t="s">
        <v>355</v>
      </c>
      <c r="C77" s="131" t="s">
        <v>653</v>
      </c>
    </row>
    <row r="78" spans="1:3" x14ac:dyDescent="0.3">
      <c r="A78" s="176" t="s">
        <v>685</v>
      </c>
      <c r="B78" s="9" t="s">
        <v>355</v>
      </c>
      <c r="C78" s="131" t="s">
        <v>686</v>
      </c>
    </row>
    <row r="79" spans="1:3" x14ac:dyDescent="0.3">
      <c r="A79" s="176" t="s">
        <v>390</v>
      </c>
      <c r="B79" s="9" t="s">
        <v>355</v>
      </c>
      <c r="C79" s="128" t="s">
        <v>687</v>
      </c>
    </row>
    <row r="80" spans="1:3" x14ac:dyDescent="0.3">
      <c r="A80" s="176" t="s">
        <v>688</v>
      </c>
      <c r="B80" s="9" t="s">
        <v>355</v>
      </c>
      <c r="C80" s="128" t="s">
        <v>689</v>
      </c>
    </row>
    <row r="81" spans="1:3" x14ac:dyDescent="0.3">
      <c r="A81" s="176" t="s">
        <v>458</v>
      </c>
      <c r="B81" s="9" t="s">
        <v>355</v>
      </c>
      <c r="C81" s="128" t="s">
        <v>690</v>
      </c>
    </row>
    <row r="82" spans="1:3" x14ac:dyDescent="0.3">
      <c r="A82" s="176" t="s">
        <v>395</v>
      </c>
      <c r="B82" s="9" t="s">
        <v>355</v>
      </c>
      <c r="C82" s="128" t="s">
        <v>691</v>
      </c>
    </row>
    <row r="83" spans="1:3" x14ac:dyDescent="0.3">
      <c r="A83" s="176" t="s">
        <v>721</v>
      </c>
      <c r="B83" s="9" t="s">
        <v>364</v>
      </c>
      <c r="C83" s="131" t="s">
        <v>732</v>
      </c>
    </row>
    <row r="84" spans="1:3" x14ac:dyDescent="0.3">
      <c r="A84" s="176" t="s">
        <v>722</v>
      </c>
      <c r="B84" s="9" t="s">
        <v>364</v>
      </c>
      <c r="C84" s="131" t="s">
        <v>733</v>
      </c>
    </row>
    <row r="85" spans="1:3" x14ac:dyDescent="0.3">
      <c r="A85" s="176" t="s">
        <v>723</v>
      </c>
      <c r="B85" s="9" t="s">
        <v>364</v>
      </c>
      <c r="C85" s="131" t="s">
        <v>732</v>
      </c>
    </row>
    <row r="86" spans="1:3" x14ac:dyDescent="0.3">
      <c r="A86" s="176" t="s">
        <v>724</v>
      </c>
      <c r="B86" s="9" t="s">
        <v>364</v>
      </c>
      <c r="C86" s="131" t="s">
        <v>734</v>
      </c>
    </row>
    <row r="87" spans="1:3" x14ac:dyDescent="0.3">
      <c r="A87" s="176" t="s">
        <v>725</v>
      </c>
      <c r="B87" s="9" t="s">
        <v>364</v>
      </c>
      <c r="C87" s="128" t="s">
        <v>733</v>
      </c>
    </row>
    <row r="88" spans="1:3" x14ac:dyDescent="0.3">
      <c r="A88" s="176" t="s">
        <v>726</v>
      </c>
      <c r="B88" s="9" t="s">
        <v>364</v>
      </c>
      <c r="C88" s="131" t="s">
        <v>735</v>
      </c>
    </row>
    <row r="89" spans="1:3" x14ac:dyDescent="0.3">
      <c r="A89" s="176" t="s">
        <v>711</v>
      </c>
      <c r="B89" s="9" t="s">
        <v>364</v>
      </c>
      <c r="C89" s="128" t="s">
        <v>712</v>
      </c>
    </row>
    <row r="90" spans="1:3" x14ac:dyDescent="0.3">
      <c r="A90" s="176" t="s">
        <v>727</v>
      </c>
      <c r="B90" s="9" t="s">
        <v>364</v>
      </c>
      <c r="C90" s="131" t="s">
        <v>733</v>
      </c>
    </row>
    <row r="91" spans="1:3" x14ac:dyDescent="0.3">
      <c r="A91" s="176" t="s">
        <v>405</v>
      </c>
      <c r="B91" s="9" t="s">
        <v>364</v>
      </c>
      <c r="C91" s="228" t="s">
        <v>713</v>
      </c>
    </row>
    <row r="92" spans="1:3" x14ac:dyDescent="0.3">
      <c r="A92" s="176" t="s">
        <v>728</v>
      </c>
      <c r="B92" s="9" t="s">
        <v>364</v>
      </c>
      <c r="C92" s="131" t="s">
        <v>735</v>
      </c>
    </row>
    <row r="93" spans="1:3" x14ac:dyDescent="0.3">
      <c r="A93" s="176" t="s">
        <v>374</v>
      </c>
      <c r="B93" s="9" t="s">
        <v>364</v>
      </c>
      <c r="C93" s="128" t="s">
        <v>714</v>
      </c>
    </row>
    <row r="94" spans="1:3" x14ac:dyDescent="0.3">
      <c r="A94" s="176" t="s">
        <v>715</v>
      </c>
      <c r="B94" s="9" t="s">
        <v>364</v>
      </c>
      <c r="C94" s="128" t="s">
        <v>716</v>
      </c>
    </row>
    <row r="95" spans="1:3" x14ac:dyDescent="0.3">
      <c r="A95" s="176" t="s">
        <v>729</v>
      </c>
      <c r="B95" s="9" t="s">
        <v>364</v>
      </c>
      <c r="C95" s="131" t="s">
        <v>733</v>
      </c>
    </row>
    <row r="96" spans="1:3" x14ac:dyDescent="0.3">
      <c r="A96" s="176" t="s">
        <v>13</v>
      </c>
      <c r="B96" s="9" t="s">
        <v>364</v>
      </c>
      <c r="C96" s="131" t="s">
        <v>735</v>
      </c>
    </row>
    <row r="97" spans="1:3" x14ac:dyDescent="0.3">
      <c r="A97" s="176" t="s">
        <v>718</v>
      </c>
      <c r="B97" s="9" t="s">
        <v>364</v>
      </c>
      <c r="C97" s="131" t="s">
        <v>717</v>
      </c>
    </row>
    <row r="98" spans="1:3" x14ac:dyDescent="0.3">
      <c r="A98" s="176" t="s">
        <v>547</v>
      </c>
      <c r="B98" s="9" t="s">
        <v>364</v>
      </c>
      <c r="C98" s="9" t="s">
        <v>734</v>
      </c>
    </row>
    <row r="99" spans="1:3" x14ac:dyDescent="0.3">
      <c r="A99" s="176" t="s">
        <v>391</v>
      </c>
      <c r="B99" s="9" t="s">
        <v>364</v>
      </c>
      <c r="C99" s="131" t="s">
        <v>719</v>
      </c>
    </row>
    <row r="100" spans="1:3" x14ac:dyDescent="0.3">
      <c r="A100" s="176" t="s">
        <v>730</v>
      </c>
      <c r="B100" s="9" t="s">
        <v>364</v>
      </c>
      <c r="C100" s="131" t="s">
        <v>732</v>
      </c>
    </row>
    <row r="101" spans="1:3" x14ac:dyDescent="0.3">
      <c r="A101" s="176" t="s">
        <v>731</v>
      </c>
      <c r="B101" s="9" t="s">
        <v>364</v>
      </c>
      <c r="C101" s="131" t="s">
        <v>734</v>
      </c>
    </row>
    <row r="102" spans="1:3" x14ac:dyDescent="0.3">
      <c r="A102" s="176" t="s">
        <v>394</v>
      </c>
      <c r="B102" s="9" t="s">
        <v>364</v>
      </c>
      <c r="C102" s="131" t="s">
        <v>720</v>
      </c>
    </row>
    <row r="103" spans="1:3" x14ac:dyDescent="0.3">
      <c r="A103" s="176" t="s">
        <v>366</v>
      </c>
      <c r="B103" s="9" t="s">
        <v>365</v>
      </c>
      <c r="C103" s="131" t="s">
        <v>736</v>
      </c>
    </row>
    <row r="104" spans="1:3" x14ac:dyDescent="0.3">
      <c r="A104" s="176" t="s">
        <v>367</v>
      </c>
      <c r="B104" s="9" t="s">
        <v>365</v>
      </c>
      <c r="C104" s="131" t="s">
        <v>737</v>
      </c>
    </row>
    <row r="105" spans="1:3" x14ac:dyDescent="0.3">
      <c r="A105" s="176" t="s">
        <v>752</v>
      </c>
      <c r="B105" s="9" t="s">
        <v>365</v>
      </c>
      <c r="C105" s="131" t="s">
        <v>753</v>
      </c>
    </row>
    <row r="106" spans="1:3" x14ac:dyDescent="0.3">
      <c r="A106" s="176" t="s">
        <v>368</v>
      </c>
      <c r="B106" s="9" t="s">
        <v>365</v>
      </c>
      <c r="C106" s="10" t="s">
        <v>647</v>
      </c>
    </row>
    <row r="107" spans="1:3" x14ac:dyDescent="0.3">
      <c r="A107" s="176" t="s">
        <v>372</v>
      </c>
      <c r="B107" s="9" t="s">
        <v>365</v>
      </c>
      <c r="C107" s="131" t="s">
        <v>738</v>
      </c>
    </row>
    <row r="108" spans="1:3" x14ac:dyDescent="0.3">
      <c r="A108" s="176" t="s">
        <v>741</v>
      </c>
      <c r="B108" s="9" t="s">
        <v>365</v>
      </c>
      <c r="C108" s="131" t="s">
        <v>735</v>
      </c>
    </row>
    <row r="109" spans="1:3" x14ac:dyDescent="0.3">
      <c r="A109" s="176" t="s">
        <v>742</v>
      </c>
      <c r="B109" s="9" t="s">
        <v>365</v>
      </c>
      <c r="C109" s="131" t="s">
        <v>733</v>
      </c>
    </row>
    <row r="110" spans="1:3" x14ac:dyDescent="0.3">
      <c r="A110" s="176" t="s">
        <v>381</v>
      </c>
      <c r="B110" s="9" t="s">
        <v>365</v>
      </c>
      <c r="C110" s="131" t="s">
        <v>739</v>
      </c>
    </row>
    <row r="111" spans="1:3" x14ac:dyDescent="0.3">
      <c r="A111" s="176" t="s">
        <v>715</v>
      </c>
      <c r="B111" s="9" t="s">
        <v>365</v>
      </c>
      <c r="C111" s="128" t="s">
        <v>716</v>
      </c>
    </row>
    <row r="112" spans="1:3" x14ac:dyDescent="0.3">
      <c r="A112" s="176" t="s">
        <v>743</v>
      </c>
      <c r="B112" s="9" t="s">
        <v>365</v>
      </c>
      <c r="C112" s="131" t="s">
        <v>732</v>
      </c>
    </row>
    <row r="113" spans="1:3" x14ac:dyDescent="0.3">
      <c r="A113" s="176" t="s">
        <v>407</v>
      </c>
      <c r="B113" s="9" t="s">
        <v>365</v>
      </c>
      <c r="C113" s="131" t="s">
        <v>732</v>
      </c>
    </row>
    <row r="114" spans="1:3" x14ac:dyDescent="0.3">
      <c r="A114" s="176" t="s">
        <v>744</v>
      </c>
      <c r="B114" s="9" t="s">
        <v>365</v>
      </c>
      <c r="C114" s="131" t="s">
        <v>733</v>
      </c>
    </row>
    <row r="115" spans="1:3" x14ac:dyDescent="0.3">
      <c r="A115" s="176" t="s">
        <v>745</v>
      </c>
      <c r="B115" s="9" t="s">
        <v>365</v>
      </c>
      <c r="C115" s="131" t="s">
        <v>734</v>
      </c>
    </row>
    <row r="116" spans="1:3" x14ac:dyDescent="0.3">
      <c r="A116" s="176" t="s">
        <v>746</v>
      </c>
      <c r="B116" s="9" t="s">
        <v>365</v>
      </c>
      <c r="C116" s="131" t="s">
        <v>732</v>
      </c>
    </row>
    <row r="117" spans="1:3" x14ac:dyDescent="0.3">
      <c r="A117" s="176" t="s">
        <v>747</v>
      </c>
      <c r="B117" s="9" t="s">
        <v>365</v>
      </c>
      <c r="C117" s="228" t="s">
        <v>734</v>
      </c>
    </row>
    <row r="118" spans="1:3" x14ac:dyDescent="0.3">
      <c r="A118" s="176" t="s">
        <v>748</v>
      </c>
      <c r="B118" s="9" t="s">
        <v>365</v>
      </c>
      <c r="C118" s="128" t="s">
        <v>735</v>
      </c>
    </row>
    <row r="119" spans="1:3" x14ac:dyDescent="0.3">
      <c r="A119" s="176" t="s">
        <v>749</v>
      </c>
      <c r="B119" s="9" t="s">
        <v>365</v>
      </c>
      <c r="C119" s="131" t="s">
        <v>734</v>
      </c>
    </row>
    <row r="120" spans="1:3" x14ac:dyDescent="0.3">
      <c r="A120" s="176" t="s">
        <v>750</v>
      </c>
      <c r="B120" s="9" t="s">
        <v>365</v>
      </c>
      <c r="C120" s="131" t="s">
        <v>733</v>
      </c>
    </row>
    <row r="121" spans="1:3" x14ac:dyDescent="0.3">
      <c r="A121" s="176" t="s">
        <v>751</v>
      </c>
      <c r="B121" s="9" t="s">
        <v>365</v>
      </c>
      <c r="C121" s="9" t="s">
        <v>735</v>
      </c>
    </row>
    <row r="122" spans="1:3" x14ac:dyDescent="0.3">
      <c r="A122" s="176" t="s">
        <v>396</v>
      </c>
      <c r="B122" s="9" t="s">
        <v>365</v>
      </c>
      <c r="C122" s="131" t="s">
        <v>740</v>
      </c>
    </row>
    <row r="123" spans="1:3" x14ac:dyDescent="0.3">
      <c r="A123" s="176" t="s">
        <v>353</v>
      </c>
      <c r="B123" s="9" t="s">
        <v>362</v>
      </c>
      <c r="C123" s="131" t="s">
        <v>679</v>
      </c>
    </row>
    <row r="124" spans="1:3" x14ac:dyDescent="0.3">
      <c r="A124" s="176" t="s">
        <v>875</v>
      </c>
      <c r="B124" s="9" t="s">
        <v>362</v>
      </c>
      <c r="C124" s="131" t="s">
        <v>859</v>
      </c>
    </row>
    <row r="125" spans="1:3" x14ac:dyDescent="0.3">
      <c r="A125" s="176" t="s">
        <v>876</v>
      </c>
      <c r="B125" s="9" t="s">
        <v>362</v>
      </c>
      <c r="C125" s="131" t="s">
        <v>860</v>
      </c>
    </row>
    <row r="126" spans="1:3" x14ac:dyDescent="0.3">
      <c r="A126" s="176" t="s">
        <v>372</v>
      </c>
      <c r="B126" s="9" t="s">
        <v>362</v>
      </c>
      <c r="C126" s="131" t="s">
        <v>738</v>
      </c>
    </row>
    <row r="127" spans="1:3" x14ac:dyDescent="0.3">
      <c r="A127" s="176" t="s">
        <v>877</v>
      </c>
      <c r="B127" s="9" t="s">
        <v>362</v>
      </c>
      <c r="C127" s="131" t="s">
        <v>858</v>
      </c>
    </row>
    <row r="128" spans="1:3" x14ac:dyDescent="0.3">
      <c r="A128" s="176" t="s">
        <v>375</v>
      </c>
      <c r="B128" s="9" t="s">
        <v>362</v>
      </c>
      <c r="C128" s="131" t="s">
        <v>865</v>
      </c>
    </row>
    <row r="129" spans="1:3" x14ac:dyDescent="0.3">
      <c r="A129" s="176" t="s">
        <v>878</v>
      </c>
      <c r="B129" s="9" t="s">
        <v>362</v>
      </c>
      <c r="C129" s="131" t="s">
        <v>862</v>
      </c>
    </row>
    <row r="130" spans="1:3" x14ac:dyDescent="0.3">
      <c r="A130" s="176" t="s">
        <v>879</v>
      </c>
      <c r="B130" s="9" t="s">
        <v>362</v>
      </c>
      <c r="C130" s="131" t="s">
        <v>862</v>
      </c>
    </row>
    <row r="131" spans="1:3" x14ac:dyDescent="0.3">
      <c r="A131" s="176" t="s">
        <v>782</v>
      </c>
      <c r="B131" s="9" t="s">
        <v>362</v>
      </c>
      <c r="C131" s="131" t="s">
        <v>866</v>
      </c>
    </row>
    <row r="132" spans="1:3" x14ac:dyDescent="0.3">
      <c r="A132" s="176" t="s">
        <v>379</v>
      </c>
      <c r="B132" s="9" t="s">
        <v>362</v>
      </c>
      <c r="C132" s="131" t="s">
        <v>867</v>
      </c>
    </row>
    <row r="133" spans="1:3" x14ac:dyDescent="0.3">
      <c r="A133" s="176" t="s">
        <v>380</v>
      </c>
      <c r="B133" s="9" t="s">
        <v>362</v>
      </c>
      <c r="C133" s="131" t="s">
        <v>868</v>
      </c>
    </row>
    <row r="134" spans="1:3" x14ac:dyDescent="0.3">
      <c r="A134" s="176" t="s">
        <v>880</v>
      </c>
      <c r="B134" s="9" t="s">
        <v>362</v>
      </c>
      <c r="C134" s="131" t="s">
        <v>860</v>
      </c>
    </row>
    <row r="135" spans="1:3" x14ac:dyDescent="0.3">
      <c r="A135" s="176" t="s">
        <v>881</v>
      </c>
      <c r="B135" s="9" t="s">
        <v>362</v>
      </c>
      <c r="C135" s="131" t="s">
        <v>859</v>
      </c>
    </row>
    <row r="136" spans="1:3" x14ac:dyDescent="0.3">
      <c r="A136" s="176" t="s">
        <v>882</v>
      </c>
      <c r="B136" s="9" t="s">
        <v>362</v>
      </c>
      <c r="C136" s="128" t="s">
        <v>861</v>
      </c>
    </row>
    <row r="137" spans="1:3" x14ac:dyDescent="0.3">
      <c r="A137" s="176" t="s">
        <v>870</v>
      </c>
      <c r="B137" s="9" t="s">
        <v>362</v>
      </c>
      <c r="C137" s="131" t="s">
        <v>869</v>
      </c>
    </row>
    <row r="138" spans="1:3" x14ac:dyDescent="0.3">
      <c r="A138" s="176" t="s">
        <v>872</v>
      </c>
      <c r="B138" s="9" t="s">
        <v>362</v>
      </c>
      <c r="C138" s="131" t="s">
        <v>871</v>
      </c>
    </row>
    <row r="139" spans="1:3" x14ac:dyDescent="0.3">
      <c r="A139" s="176" t="s">
        <v>386</v>
      </c>
      <c r="B139" s="9" t="s">
        <v>362</v>
      </c>
      <c r="C139" s="131" t="s">
        <v>873</v>
      </c>
    </row>
    <row r="140" spans="1:3" x14ac:dyDescent="0.3">
      <c r="A140" s="176" t="s">
        <v>883</v>
      </c>
      <c r="B140" s="9" t="s">
        <v>362</v>
      </c>
      <c r="C140" s="128" t="s">
        <v>861</v>
      </c>
    </row>
    <row r="141" spans="1:3" x14ac:dyDescent="0.3">
      <c r="A141" s="176" t="s">
        <v>406</v>
      </c>
      <c r="B141" s="9" t="s">
        <v>362</v>
      </c>
      <c r="C141" s="131" t="s">
        <v>874</v>
      </c>
    </row>
    <row r="142" spans="1:3" ht="14.25" customHeight="1" x14ac:dyDescent="0.3">
      <c r="A142" s="176" t="s">
        <v>884</v>
      </c>
      <c r="B142" s="9" t="s">
        <v>362</v>
      </c>
      <c r="C142" s="128" t="s">
        <v>861</v>
      </c>
    </row>
    <row r="143" spans="1:3" ht="13.5" customHeight="1" x14ac:dyDescent="0.3">
      <c r="A143" s="176" t="s">
        <v>352</v>
      </c>
      <c r="B143" s="9" t="s">
        <v>350</v>
      </c>
      <c r="C143" s="131" t="s">
        <v>754</v>
      </c>
    </row>
    <row r="144" spans="1:3" ht="13.5" customHeight="1" x14ac:dyDescent="0.3">
      <c r="A144" s="176" t="s">
        <v>353</v>
      </c>
      <c r="B144" s="9" t="s">
        <v>350</v>
      </c>
      <c r="C144" s="131" t="s">
        <v>679</v>
      </c>
    </row>
    <row r="145" spans="1:3" ht="13.5" customHeight="1" x14ac:dyDescent="0.3">
      <c r="A145" s="176" t="s">
        <v>756</v>
      </c>
      <c r="B145" s="9" t="s">
        <v>350</v>
      </c>
      <c r="C145" s="131" t="s">
        <v>755</v>
      </c>
    </row>
    <row r="146" spans="1:3" ht="13.5" customHeight="1" x14ac:dyDescent="0.3">
      <c r="A146" s="176" t="s">
        <v>369</v>
      </c>
      <c r="B146" s="9" t="s">
        <v>350</v>
      </c>
      <c r="C146" s="131" t="s">
        <v>648</v>
      </c>
    </row>
    <row r="147" spans="1:3" ht="13.5" customHeight="1" x14ac:dyDescent="0.3">
      <c r="A147" s="176" t="s">
        <v>370</v>
      </c>
      <c r="B147" s="9" t="s">
        <v>350</v>
      </c>
      <c r="C147" s="131" t="s">
        <v>757</v>
      </c>
    </row>
    <row r="148" spans="1:3" ht="13.5" customHeight="1" x14ac:dyDescent="0.3">
      <c r="A148" s="176" t="s">
        <v>758</v>
      </c>
      <c r="B148" s="9" t="s">
        <v>350</v>
      </c>
      <c r="C148" s="131" t="s">
        <v>759</v>
      </c>
    </row>
    <row r="149" spans="1:3" ht="13.5" customHeight="1" x14ac:dyDescent="0.3">
      <c r="A149" s="176" t="s">
        <v>649</v>
      </c>
      <c r="B149" s="9" t="s">
        <v>350</v>
      </c>
      <c r="C149" s="131" t="s">
        <v>760</v>
      </c>
    </row>
    <row r="150" spans="1:3" ht="13.5" customHeight="1" x14ac:dyDescent="0.3">
      <c r="A150" s="176" t="s">
        <v>761</v>
      </c>
      <c r="B150" s="9" t="s">
        <v>350</v>
      </c>
      <c r="C150" s="131" t="s">
        <v>762</v>
      </c>
    </row>
    <row r="151" spans="1:3" ht="13.5" customHeight="1" x14ac:dyDescent="0.3">
      <c r="A151" s="176" t="s">
        <v>636</v>
      </c>
      <c r="B151" s="9" t="s">
        <v>350</v>
      </c>
      <c r="C151" s="131" t="s">
        <v>763</v>
      </c>
    </row>
    <row r="152" spans="1:3" ht="13.5" customHeight="1" x14ac:dyDescent="0.3">
      <c r="A152" s="176" t="s">
        <v>376</v>
      </c>
      <c r="B152" s="9" t="s">
        <v>350</v>
      </c>
      <c r="C152" s="131" t="s">
        <v>764</v>
      </c>
    </row>
    <row r="153" spans="1:3" ht="13.5" customHeight="1" x14ac:dyDescent="0.3">
      <c r="A153" s="176" t="s">
        <v>377</v>
      </c>
      <c r="B153" s="9" t="s">
        <v>350</v>
      </c>
      <c r="C153" s="131" t="s">
        <v>765</v>
      </c>
    </row>
    <row r="154" spans="1:3" ht="13.5" customHeight="1" x14ac:dyDescent="0.3">
      <c r="A154" s="176" t="s">
        <v>766</v>
      </c>
      <c r="B154" s="9" t="s">
        <v>350</v>
      </c>
      <c r="C154" s="131" t="s">
        <v>680</v>
      </c>
    </row>
    <row r="155" spans="1:3" ht="13.5" customHeight="1" x14ac:dyDescent="0.3">
      <c r="A155" s="176" t="s">
        <v>382</v>
      </c>
      <c r="B155" s="9" t="s">
        <v>350</v>
      </c>
      <c r="C155" s="131" t="s">
        <v>767</v>
      </c>
    </row>
    <row r="156" spans="1:3" ht="13.5" customHeight="1" x14ac:dyDescent="0.3">
      <c r="A156" s="176" t="s">
        <v>768</v>
      </c>
      <c r="B156" s="9" t="s">
        <v>350</v>
      </c>
      <c r="C156" s="131" t="s">
        <v>769</v>
      </c>
    </row>
    <row r="157" spans="1:3" ht="13.5" customHeight="1" x14ac:dyDescent="0.3">
      <c r="A157" s="176" t="s">
        <v>685</v>
      </c>
      <c r="B157" s="9" t="s">
        <v>350</v>
      </c>
      <c r="C157" s="131" t="s">
        <v>770</v>
      </c>
    </row>
    <row r="158" spans="1:3" ht="13.5" customHeight="1" x14ac:dyDescent="0.3">
      <c r="A158" s="176" t="s">
        <v>388</v>
      </c>
      <c r="B158" s="9" t="s">
        <v>350</v>
      </c>
      <c r="C158" s="131" t="s">
        <v>771</v>
      </c>
    </row>
    <row r="159" spans="1:3" ht="13.5" customHeight="1" x14ac:dyDescent="0.3">
      <c r="A159" s="176" t="s">
        <v>389</v>
      </c>
      <c r="B159" s="9" t="s">
        <v>350</v>
      </c>
      <c r="C159" s="131" t="s">
        <v>772</v>
      </c>
    </row>
    <row r="160" spans="1:3" ht="13.5" customHeight="1" x14ac:dyDescent="0.3">
      <c r="A160" s="176" t="s">
        <v>773</v>
      </c>
      <c r="B160" s="9" t="s">
        <v>350</v>
      </c>
      <c r="C160" s="131" t="s">
        <v>675</v>
      </c>
    </row>
    <row r="161" spans="1:3" ht="13.5" customHeight="1" x14ac:dyDescent="0.3">
      <c r="A161" s="176" t="s">
        <v>774</v>
      </c>
      <c r="B161" s="9" t="s">
        <v>350</v>
      </c>
      <c r="C161" s="131" t="s">
        <v>775</v>
      </c>
    </row>
    <row r="162" spans="1:3" ht="13.5" customHeight="1" x14ac:dyDescent="0.3">
      <c r="A162" s="176" t="s">
        <v>392</v>
      </c>
      <c r="B162" s="9" t="s">
        <v>350</v>
      </c>
      <c r="C162" s="131" t="s">
        <v>776</v>
      </c>
    </row>
    <row r="163" spans="1:3" ht="13.5" customHeight="1" x14ac:dyDescent="0.3">
      <c r="A163" s="176" t="s">
        <v>724</v>
      </c>
      <c r="B163" s="9" t="s">
        <v>460</v>
      </c>
      <c r="C163" s="131" t="s">
        <v>734</v>
      </c>
    </row>
    <row r="164" spans="1:3" ht="13.5" customHeight="1" x14ac:dyDescent="0.3">
      <c r="A164" s="176" t="s">
        <v>785</v>
      </c>
      <c r="B164" s="9" t="s">
        <v>460</v>
      </c>
      <c r="C164" s="131" t="s">
        <v>734</v>
      </c>
    </row>
    <row r="165" spans="1:3" ht="13.5" customHeight="1" x14ac:dyDescent="0.3">
      <c r="A165" s="176" t="s">
        <v>727</v>
      </c>
      <c r="B165" s="9" t="s">
        <v>460</v>
      </c>
      <c r="C165" s="131" t="s">
        <v>733</v>
      </c>
    </row>
    <row r="166" spans="1:3" ht="13.5" customHeight="1" x14ac:dyDescent="0.3">
      <c r="A166" s="176" t="s">
        <v>786</v>
      </c>
      <c r="B166" s="9" t="s">
        <v>460</v>
      </c>
      <c r="C166" s="128" t="s">
        <v>733</v>
      </c>
    </row>
    <row r="167" spans="1:3" ht="13.5" customHeight="1" x14ac:dyDescent="0.3">
      <c r="A167" s="176" t="s">
        <v>405</v>
      </c>
      <c r="B167" s="9" t="s">
        <v>460</v>
      </c>
      <c r="C167" s="128" t="s">
        <v>777</v>
      </c>
    </row>
    <row r="168" spans="1:3" ht="13.5" customHeight="1" x14ac:dyDescent="0.3">
      <c r="A168" s="176" t="s">
        <v>374</v>
      </c>
      <c r="B168" s="9" t="s">
        <v>460</v>
      </c>
      <c r="C168" s="128" t="s">
        <v>714</v>
      </c>
    </row>
    <row r="169" spans="1:3" ht="13.5" customHeight="1" x14ac:dyDescent="0.3">
      <c r="A169" s="176" t="s">
        <v>787</v>
      </c>
      <c r="B169" s="9" t="s">
        <v>460</v>
      </c>
      <c r="C169" s="131" t="s">
        <v>734</v>
      </c>
    </row>
    <row r="170" spans="1:3" ht="13.5" customHeight="1" x14ac:dyDescent="0.3">
      <c r="A170" s="176" t="s">
        <v>778</v>
      </c>
      <c r="B170" s="9" t="s">
        <v>460</v>
      </c>
      <c r="C170" s="131" t="s">
        <v>779</v>
      </c>
    </row>
    <row r="171" spans="1:3" ht="13.5" customHeight="1" x14ac:dyDescent="0.3">
      <c r="A171" s="176" t="s">
        <v>375</v>
      </c>
      <c r="B171" s="9" t="s">
        <v>460</v>
      </c>
      <c r="C171" s="128" t="s">
        <v>780</v>
      </c>
    </row>
    <row r="172" spans="1:3" ht="13.5" customHeight="1" x14ac:dyDescent="0.3">
      <c r="A172" s="176" t="s">
        <v>788</v>
      </c>
      <c r="B172" s="9" t="s">
        <v>460</v>
      </c>
      <c r="C172" s="138" t="s">
        <v>735</v>
      </c>
    </row>
    <row r="173" spans="1:3" ht="13.5" customHeight="1" x14ac:dyDescent="0.3">
      <c r="A173" s="176" t="s">
        <v>789</v>
      </c>
      <c r="B173" s="9" t="s">
        <v>460</v>
      </c>
      <c r="C173" s="128" t="s">
        <v>735</v>
      </c>
    </row>
    <row r="174" spans="1:3" ht="13.5" customHeight="1" x14ac:dyDescent="0.3">
      <c r="A174" s="176" t="s">
        <v>790</v>
      </c>
      <c r="B174" s="9" t="s">
        <v>460</v>
      </c>
      <c r="C174" s="131" t="s">
        <v>732</v>
      </c>
    </row>
    <row r="175" spans="1:3" ht="13.5" customHeight="1" x14ac:dyDescent="0.3">
      <c r="A175" s="176" t="s">
        <v>782</v>
      </c>
      <c r="B175" s="9" t="s">
        <v>460</v>
      </c>
      <c r="C175" s="128" t="s">
        <v>781</v>
      </c>
    </row>
    <row r="176" spans="1:3" ht="13.5" customHeight="1" x14ac:dyDescent="0.3">
      <c r="A176" s="176" t="s">
        <v>791</v>
      </c>
      <c r="B176" s="9" t="s">
        <v>460</v>
      </c>
      <c r="C176" s="128" t="s">
        <v>732</v>
      </c>
    </row>
    <row r="177" spans="1:3" ht="13.5" customHeight="1" x14ac:dyDescent="0.3">
      <c r="A177" s="176" t="s">
        <v>715</v>
      </c>
      <c r="B177" s="9" t="s">
        <v>460</v>
      </c>
      <c r="C177" s="131" t="s">
        <v>783</v>
      </c>
    </row>
    <row r="178" spans="1:3" ht="13.5" customHeight="1" x14ac:dyDescent="0.3">
      <c r="A178" s="176" t="s">
        <v>792</v>
      </c>
      <c r="B178" s="9" t="s">
        <v>460</v>
      </c>
      <c r="C178" s="131" t="s">
        <v>735</v>
      </c>
    </row>
    <row r="179" spans="1:3" ht="13.5" customHeight="1" x14ac:dyDescent="0.3">
      <c r="A179" s="176" t="s">
        <v>386</v>
      </c>
      <c r="B179" s="9" t="s">
        <v>460</v>
      </c>
      <c r="C179" s="131" t="s">
        <v>784</v>
      </c>
    </row>
    <row r="180" spans="1:3" ht="13.5" customHeight="1" x14ac:dyDescent="0.3">
      <c r="A180" s="176" t="s">
        <v>793</v>
      </c>
      <c r="B180" s="9" t="s">
        <v>460</v>
      </c>
      <c r="C180" s="131" t="s">
        <v>733</v>
      </c>
    </row>
    <row r="181" spans="1:3" ht="13.5" customHeight="1" x14ac:dyDescent="0.3">
      <c r="A181" s="176" t="s">
        <v>391</v>
      </c>
      <c r="B181" s="9" t="s">
        <v>460</v>
      </c>
      <c r="C181" s="131" t="s">
        <v>719</v>
      </c>
    </row>
    <row r="182" spans="1:3" ht="13.5" customHeight="1" x14ac:dyDescent="0.3">
      <c r="A182" s="176" t="s">
        <v>794</v>
      </c>
      <c r="B182" s="9" t="s">
        <v>460</v>
      </c>
      <c r="C182" s="131" t="s">
        <v>734</v>
      </c>
    </row>
    <row r="183" spans="1:3" ht="13.5" customHeight="1" x14ac:dyDescent="0.3">
      <c r="A183" s="176" t="s">
        <v>886</v>
      </c>
      <c r="B183" s="9" t="s">
        <v>885</v>
      </c>
      <c r="C183" s="131" t="s">
        <v>887</v>
      </c>
    </row>
    <row r="184" spans="1:3" ht="13.5" customHeight="1" x14ac:dyDescent="0.3">
      <c r="A184" s="176" t="s">
        <v>701</v>
      </c>
      <c r="B184" s="9" t="s">
        <v>885</v>
      </c>
      <c r="C184" s="131" t="s">
        <v>692</v>
      </c>
    </row>
    <row r="185" spans="1:3" ht="13.5" customHeight="1" x14ac:dyDescent="0.3">
      <c r="A185" s="176" t="s">
        <v>704</v>
      </c>
      <c r="B185" s="9" t="s">
        <v>885</v>
      </c>
      <c r="C185" s="131" t="s">
        <v>695</v>
      </c>
    </row>
    <row r="186" spans="1:3" ht="13.5" customHeight="1" x14ac:dyDescent="0.3">
      <c r="A186" s="176" t="s">
        <v>703</v>
      </c>
      <c r="B186" s="9" t="s">
        <v>885</v>
      </c>
      <c r="C186" s="131" t="s">
        <v>694</v>
      </c>
    </row>
    <row r="187" spans="1:3" ht="13.5" customHeight="1" x14ac:dyDescent="0.3">
      <c r="A187" s="176" t="s">
        <v>707</v>
      </c>
      <c r="B187" s="9" t="s">
        <v>885</v>
      </c>
      <c r="C187" s="131" t="s">
        <v>819</v>
      </c>
    </row>
    <row r="188" spans="1:3" ht="13.5" customHeight="1" x14ac:dyDescent="0.3">
      <c r="A188" s="176" t="s">
        <v>821</v>
      </c>
      <c r="B188" s="9" t="s">
        <v>885</v>
      </c>
      <c r="C188" s="131" t="s">
        <v>820</v>
      </c>
    </row>
    <row r="189" spans="1:3" ht="13.5" customHeight="1" x14ac:dyDescent="0.3">
      <c r="A189" s="176" t="s">
        <v>708</v>
      </c>
      <c r="B189" s="9" t="s">
        <v>885</v>
      </c>
      <c r="C189" s="131" t="s">
        <v>896</v>
      </c>
    </row>
    <row r="190" spans="1:3" ht="13.5" customHeight="1" x14ac:dyDescent="0.3">
      <c r="A190" s="176" t="s">
        <v>709</v>
      </c>
      <c r="B190" s="9" t="s">
        <v>885</v>
      </c>
      <c r="C190" s="131" t="s">
        <v>699</v>
      </c>
    </row>
    <row r="191" spans="1:3" ht="13.5" customHeight="1" x14ac:dyDescent="0.3">
      <c r="A191" s="176" t="s">
        <v>710</v>
      </c>
      <c r="B191" s="9" t="s">
        <v>885</v>
      </c>
      <c r="C191" s="131" t="s">
        <v>700</v>
      </c>
    </row>
    <row r="192" spans="1:3" ht="13.5" customHeight="1" x14ac:dyDescent="0.3">
      <c r="A192" s="176" t="s">
        <v>888</v>
      </c>
      <c r="B192" s="9" t="s">
        <v>885</v>
      </c>
      <c r="C192" s="131" t="s">
        <v>795</v>
      </c>
    </row>
    <row r="193" spans="1:3" ht="13.5" customHeight="1" x14ac:dyDescent="0.3">
      <c r="A193" s="176" t="s">
        <v>889</v>
      </c>
      <c r="B193" s="9" t="s">
        <v>885</v>
      </c>
      <c r="C193" s="131" t="s">
        <v>683</v>
      </c>
    </row>
    <row r="194" spans="1:3" ht="13.5" customHeight="1" x14ac:dyDescent="0.3">
      <c r="A194" s="176" t="s">
        <v>372</v>
      </c>
      <c r="B194" s="9" t="s">
        <v>885</v>
      </c>
      <c r="C194" s="131" t="s">
        <v>738</v>
      </c>
    </row>
    <row r="195" spans="1:3" ht="13.5" customHeight="1" x14ac:dyDescent="0.3">
      <c r="A195" s="176" t="s">
        <v>890</v>
      </c>
      <c r="B195" s="9" t="s">
        <v>885</v>
      </c>
      <c r="C195" s="131" t="s">
        <v>891</v>
      </c>
    </row>
    <row r="196" spans="1:3" ht="13.5" customHeight="1" x14ac:dyDescent="0.3">
      <c r="A196" s="176" t="s">
        <v>892</v>
      </c>
      <c r="B196" s="9" t="s">
        <v>885</v>
      </c>
      <c r="C196" s="131" t="s">
        <v>867</v>
      </c>
    </row>
    <row r="197" spans="1:3" ht="13.5" customHeight="1" x14ac:dyDescent="0.3">
      <c r="A197" s="176" t="s">
        <v>893</v>
      </c>
      <c r="B197" s="9" t="s">
        <v>885</v>
      </c>
      <c r="C197" s="131" t="s">
        <v>680</v>
      </c>
    </row>
    <row r="198" spans="1:3" ht="13.5" customHeight="1" x14ac:dyDescent="0.3">
      <c r="A198" s="176" t="s">
        <v>870</v>
      </c>
      <c r="B198" s="9" t="s">
        <v>885</v>
      </c>
      <c r="C198" s="131" t="s">
        <v>894</v>
      </c>
    </row>
    <row r="199" spans="1:3" ht="13.5" customHeight="1" x14ac:dyDescent="0.3">
      <c r="A199" s="176" t="s">
        <v>895</v>
      </c>
      <c r="B199" s="9" t="s">
        <v>885</v>
      </c>
      <c r="C199" s="131" t="s">
        <v>753</v>
      </c>
    </row>
    <row r="200" spans="1:3" ht="13.5" customHeight="1" x14ac:dyDescent="0.3">
      <c r="A200" s="176" t="s">
        <v>390</v>
      </c>
      <c r="B200" s="9" t="s">
        <v>885</v>
      </c>
      <c r="C200" s="131" t="s">
        <v>720</v>
      </c>
    </row>
    <row r="201" spans="1:3" ht="13.5" customHeight="1" x14ac:dyDescent="0.3">
      <c r="A201" s="176" t="s">
        <v>391</v>
      </c>
      <c r="B201" s="9" t="s">
        <v>885</v>
      </c>
      <c r="C201" s="131" t="s">
        <v>719</v>
      </c>
    </row>
    <row r="202" spans="1:3" ht="13.5" customHeight="1" x14ac:dyDescent="0.3">
      <c r="A202" s="176" t="s">
        <v>458</v>
      </c>
      <c r="B202" s="9" t="s">
        <v>885</v>
      </c>
      <c r="C202" s="131" t="s">
        <v>690</v>
      </c>
    </row>
    <row r="203" spans="1:3" ht="13.5" customHeight="1" x14ac:dyDescent="0.3">
      <c r="A203" s="176" t="s">
        <v>356</v>
      </c>
      <c r="B203" s="9" t="s">
        <v>65</v>
      </c>
      <c r="C203" s="131" t="s">
        <v>795</v>
      </c>
    </row>
    <row r="204" spans="1:3" ht="13.5" customHeight="1" x14ac:dyDescent="0.3">
      <c r="A204" s="176" t="s">
        <v>801</v>
      </c>
      <c r="B204" s="9" t="s">
        <v>65</v>
      </c>
      <c r="C204" s="131" t="s">
        <v>733</v>
      </c>
    </row>
    <row r="205" spans="1:3" ht="13.5" customHeight="1" x14ac:dyDescent="0.3">
      <c r="A205" s="176" t="s">
        <v>368</v>
      </c>
      <c r="B205" s="9" t="s">
        <v>65</v>
      </c>
      <c r="C205" s="131" t="s">
        <v>647</v>
      </c>
    </row>
    <row r="206" spans="1:3" ht="13.5" customHeight="1" x14ac:dyDescent="0.3">
      <c r="A206" s="176" t="s">
        <v>372</v>
      </c>
      <c r="B206" s="9" t="s">
        <v>65</v>
      </c>
      <c r="C206" s="131" t="s">
        <v>738</v>
      </c>
    </row>
    <row r="207" spans="1:3" ht="13.5" customHeight="1" x14ac:dyDescent="0.3">
      <c r="A207" s="176" t="s">
        <v>649</v>
      </c>
      <c r="B207" s="9" t="s">
        <v>65</v>
      </c>
      <c r="C207" s="131" t="s">
        <v>796</v>
      </c>
    </row>
    <row r="208" spans="1:3" ht="13.5" customHeight="1" x14ac:dyDescent="0.3">
      <c r="A208" s="176" t="s">
        <v>373</v>
      </c>
      <c r="B208" s="9" t="s">
        <v>65</v>
      </c>
      <c r="C208" s="131" t="s">
        <v>797</v>
      </c>
    </row>
    <row r="209" spans="1:3" ht="13.5" customHeight="1" x14ac:dyDescent="0.3">
      <c r="A209" s="176" t="s">
        <v>802</v>
      </c>
      <c r="B209" s="9" t="s">
        <v>65</v>
      </c>
      <c r="C209" s="131" t="s">
        <v>734</v>
      </c>
    </row>
    <row r="210" spans="1:3" ht="13.5" customHeight="1" x14ac:dyDescent="0.3">
      <c r="A210" s="176" t="s">
        <v>803</v>
      </c>
      <c r="B210" s="9" t="s">
        <v>65</v>
      </c>
      <c r="C210" s="131" t="s">
        <v>734</v>
      </c>
    </row>
    <row r="211" spans="1:3" ht="13.5" customHeight="1" x14ac:dyDescent="0.3">
      <c r="A211" s="176" t="s">
        <v>804</v>
      </c>
      <c r="B211" s="9" t="s">
        <v>65</v>
      </c>
      <c r="C211" s="228" t="s">
        <v>733</v>
      </c>
    </row>
    <row r="212" spans="1:3" ht="13.5" customHeight="1" x14ac:dyDescent="0.3">
      <c r="A212" s="176" t="s">
        <v>741</v>
      </c>
      <c r="B212" s="9" t="s">
        <v>65</v>
      </c>
      <c r="C212" s="128" t="s">
        <v>735</v>
      </c>
    </row>
    <row r="213" spans="1:3" ht="13.5" customHeight="1" x14ac:dyDescent="0.3">
      <c r="A213" s="176" t="s">
        <v>742</v>
      </c>
      <c r="B213" s="9" t="s">
        <v>65</v>
      </c>
      <c r="C213" s="128" t="s">
        <v>733</v>
      </c>
    </row>
    <row r="214" spans="1:3" ht="13.5" customHeight="1" x14ac:dyDescent="0.3">
      <c r="A214" s="176" t="s">
        <v>805</v>
      </c>
      <c r="B214" s="9" t="s">
        <v>65</v>
      </c>
      <c r="C214" s="131" t="s">
        <v>735</v>
      </c>
    </row>
    <row r="215" spans="1:3" ht="13.5" customHeight="1" x14ac:dyDescent="0.3">
      <c r="A215" s="176" t="s">
        <v>798</v>
      </c>
      <c r="B215" s="9" t="s">
        <v>65</v>
      </c>
      <c r="C215" s="131" t="s">
        <v>653</v>
      </c>
    </row>
    <row r="216" spans="1:3" ht="13.5" customHeight="1" x14ac:dyDescent="0.3">
      <c r="A216" s="176" t="s">
        <v>743</v>
      </c>
      <c r="B216" s="9" t="s">
        <v>65</v>
      </c>
      <c r="C216" s="131" t="s">
        <v>732</v>
      </c>
    </row>
    <row r="217" spans="1:3" ht="13.5" customHeight="1" x14ac:dyDescent="0.3">
      <c r="A217" s="176" t="s">
        <v>461</v>
      </c>
      <c r="B217" s="9" t="s">
        <v>65</v>
      </c>
      <c r="C217" s="131" t="s">
        <v>799</v>
      </c>
    </row>
    <row r="218" spans="1:3" ht="13.5" customHeight="1" x14ac:dyDescent="0.3">
      <c r="A218" s="176" t="s">
        <v>383</v>
      </c>
      <c r="B218" s="9" t="s">
        <v>65</v>
      </c>
      <c r="C218" s="131" t="s">
        <v>720</v>
      </c>
    </row>
    <row r="219" spans="1:3" ht="13.5" customHeight="1" x14ac:dyDescent="0.3">
      <c r="A219" s="176" t="s">
        <v>384</v>
      </c>
      <c r="B219" s="9" t="s">
        <v>65</v>
      </c>
      <c r="C219" s="131" t="s">
        <v>800</v>
      </c>
    </row>
    <row r="220" spans="1:3" ht="13.5" customHeight="1" x14ac:dyDescent="0.3">
      <c r="A220" s="176" t="s">
        <v>747</v>
      </c>
      <c r="B220" s="9" t="s">
        <v>65</v>
      </c>
      <c r="C220" s="131" t="s">
        <v>734</v>
      </c>
    </row>
    <row r="221" spans="1:3" ht="13.5" customHeight="1" x14ac:dyDescent="0.3">
      <c r="A221" s="176" t="s">
        <v>751</v>
      </c>
      <c r="B221" s="9" t="s">
        <v>65</v>
      </c>
      <c r="C221" s="131" t="s">
        <v>735</v>
      </c>
    </row>
    <row r="222" spans="1:3" ht="13.5" customHeight="1" x14ac:dyDescent="0.3">
      <c r="A222" s="176" t="s">
        <v>396</v>
      </c>
      <c r="B222" s="9" t="s">
        <v>65</v>
      </c>
      <c r="C222" s="131" t="s">
        <v>740</v>
      </c>
    </row>
    <row r="223" spans="1:3" ht="13.5" customHeight="1" x14ac:dyDescent="0.3">
      <c r="A223" s="176" t="s">
        <v>351</v>
      </c>
      <c r="B223" s="9" t="s">
        <v>358</v>
      </c>
      <c r="C223" s="147" t="s">
        <v>677</v>
      </c>
    </row>
    <row r="224" spans="1:3" ht="13.5" customHeight="1" x14ac:dyDescent="0.3">
      <c r="A224" s="176" t="s">
        <v>645</v>
      </c>
      <c r="B224" s="9" t="s">
        <v>358</v>
      </c>
      <c r="C224" s="147" t="s">
        <v>845</v>
      </c>
    </row>
    <row r="225" spans="1:3" ht="13.5" customHeight="1" x14ac:dyDescent="0.3">
      <c r="A225" s="176" t="s">
        <v>368</v>
      </c>
      <c r="B225" s="9" t="s">
        <v>358</v>
      </c>
      <c r="C225" s="131" t="s">
        <v>846</v>
      </c>
    </row>
    <row r="226" spans="1:3" ht="13.5" customHeight="1" x14ac:dyDescent="0.3">
      <c r="A226" s="176" t="s">
        <v>851</v>
      </c>
      <c r="B226" s="9" t="s">
        <v>358</v>
      </c>
      <c r="C226" s="131" t="s">
        <v>858</v>
      </c>
    </row>
    <row r="227" spans="1:3" ht="13.5" customHeight="1" x14ac:dyDescent="0.3">
      <c r="A227" s="176" t="s">
        <v>852</v>
      </c>
      <c r="B227" s="9" t="s">
        <v>358</v>
      </c>
      <c r="C227" s="131" t="s">
        <v>859</v>
      </c>
    </row>
    <row r="228" spans="1:3" ht="13.5" customHeight="1" x14ac:dyDescent="0.3">
      <c r="A228" s="176" t="s">
        <v>655</v>
      </c>
      <c r="B228" s="9" t="s">
        <v>358</v>
      </c>
      <c r="C228" s="131" t="s">
        <v>860</v>
      </c>
    </row>
    <row r="229" spans="1:3" ht="13.5" customHeight="1" x14ac:dyDescent="0.3">
      <c r="A229" s="176" t="s">
        <v>372</v>
      </c>
      <c r="B229" s="9" t="s">
        <v>358</v>
      </c>
      <c r="C229" s="128" t="s">
        <v>738</v>
      </c>
    </row>
    <row r="230" spans="1:3" ht="13.5" customHeight="1" x14ac:dyDescent="0.3">
      <c r="A230" s="176" t="s">
        <v>656</v>
      </c>
      <c r="B230" s="9" t="s">
        <v>358</v>
      </c>
      <c r="C230" s="131" t="s">
        <v>859</v>
      </c>
    </row>
    <row r="231" spans="1:3" ht="13.5" customHeight="1" x14ac:dyDescent="0.3">
      <c r="A231" s="176" t="s">
        <v>657</v>
      </c>
      <c r="B231" s="9" t="s">
        <v>358</v>
      </c>
      <c r="C231" s="131" t="s">
        <v>861</v>
      </c>
    </row>
    <row r="232" spans="1:3" ht="13.5" customHeight="1" x14ac:dyDescent="0.3">
      <c r="A232" s="176" t="s">
        <v>853</v>
      </c>
      <c r="B232" s="9" t="s">
        <v>358</v>
      </c>
      <c r="C232" s="131" t="s">
        <v>862</v>
      </c>
    </row>
    <row r="233" spans="1:3" ht="13.5" customHeight="1" x14ac:dyDescent="0.3">
      <c r="A233" s="176" t="s">
        <v>378</v>
      </c>
      <c r="B233" s="9" t="s">
        <v>358</v>
      </c>
      <c r="C233" s="128" t="s">
        <v>827</v>
      </c>
    </row>
    <row r="234" spans="1:3" ht="13.5" customHeight="1" x14ac:dyDescent="0.3">
      <c r="A234" s="176" t="s">
        <v>381</v>
      </c>
      <c r="B234" s="9" t="s">
        <v>358</v>
      </c>
      <c r="C234" s="131" t="s">
        <v>690</v>
      </c>
    </row>
    <row r="235" spans="1:3" ht="13.5" customHeight="1" x14ac:dyDescent="0.3">
      <c r="A235" s="176" t="s">
        <v>661</v>
      </c>
      <c r="B235" s="9" t="s">
        <v>358</v>
      </c>
      <c r="C235" s="131" t="s">
        <v>859</v>
      </c>
    </row>
    <row r="236" spans="1:3" ht="13.5" customHeight="1" x14ac:dyDescent="0.3">
      <c r="A236" s="176" t="s">
        <v>854</v>
      </c>
      <c r="B236" s="9" t="s">
        <v>358</v>
      </c>
      <c r="C236" s="131" t="s">
        <v>863</v>
      </c>
    </row>
    <row r="237" spans="1:3" ht="13.5" customHeight="1" x14ac:dyDescent="0.3">
      <c r="A237" s="176" t="s">
        <v>855</v>
      </c>
      <c r="B237" s="9" t="s">
        <v>358</v>
      </c>
      <c r="C237" s="131" t="s">
        <v>862</v>
      </c>
    </row>
    <row r="238" spans="1:3" ht="13.5" customHeight="1" x14ac:dyDescent="0.3">
      <c r="A238" s="176" t="s">
        <v>662</v>
      </c>
      <c r="B238" s="9" t="s">
        <v>358</v>
      </c>
      <c r="C238" s="131" t="s">
        <v>859</v>
      </c>
    </row>
    <row r="239" spans="1:3" ht="13.5" customHeight="1" x14ac:dyDescent="0.3">
      <c r="A239" s="176" t="s">
        <v>847</v>
      </c>
      <c r="B239" s="9" t="s">
        <v>358</v>
      </c>
      <c r="C239" s="131" t="s">
        <v>848</v>
      </c>
    </row>
    <row r="240" spans="1:3" ht="13.5" customHeight="1" x14ac:dyDescent="0.3">
      <c r="A240" s="176" t="s">
        <v>856</v>
      </c>
      <c r="B240" s="9" t="s">
        <v>358</v>
      </c>
      <c r="C240" s="131" t="s">
        <v>864</v>
      </c>
    </row>
    <row r="241" spans="1:3" ht="13.5" customHeight="1" x14ac:dyDescent="0.3">
      <c r="A241" s="176" t="s">
        <v>857</v>
      </c>
      <c r="B241" s="9" t="s">
        <v>358</v>
      </c>
      <c r="C241" s="131" t="s">
        <v>861</v>
      </c>
    </row>
    <row r="242" spans="1:3" ht="13.5" customHeight="1" x14ac:dyDescent="0.3">
      <c r="A242" s="176" t="s">
        <v>849</v>
      </c>
      <c r="B242" s="9" t="s">
        <v>358</v>
      </c>
      <c r="C242" s="131" t="s">
        <v>850</v>
      </c>
    </row>
    <row r="243" spans="1:3" ht="13.5" customHeight="1" x14ac:dyDescent="0.3">
      <c r="A243" s="176" t="s">
        <v>814</v>
      </c>
      <c r="B243" s="9" t="s">
        <v>361</v>
      </c>
      <c r="C243" s="131" t="s">
        <v>813</v>
      </c>
    </row>
    <row r="244" spans="1:3" ht="13.5" customHeight="1" x14ac:dyDescent="0.3">
      <c r="A244" s="176" t="s">
        <v>701</v>
      </c>
      <c r="B244" s="9" t="s">
        <v>361</v>
      </c>
      <c r="C244" s="131" t="s">
        <v>692</v>
      </c>
    </row>
    <row r="245" spans="1:3" ht="13.5" customHeight="1" x14ac:dyDescent="0.3">
      <c r="A245" s="176" t="s">
        <v>815</v>
      </c>
      <c r="B245" s="9" t="s">
        <v>361</v>
      </c>
      <c r="C245" s="131" t="s">
        <v>816</v>
      </c>
    </row>
    <row r="246" spans="1:3" ht="13.5" customHeight="1" x14ac:dyDescent="0.3">
      <c r="A246" s="176" t="s">
        <v>702</v>
      </c>
      <c r="B246" s="9" t="s">
        <v>361</v>
      </c>
      <c r="C246" s="131" t="s">
        <v>817</v>
      </c>
    </row>
    <row r="247" spans="1:3" ht="13.5" customHeight="1" x14ac:dyDescent="0.3">
      <c r="A247" s="176" t="s">
        <v>703</v>
      </c>
      <c r="B247" s="9" t="s">
        <v>361</v>
      </c>
      <c r="C247" s="131" t="s">
        <v>694</v>
      </c>
    </row>
    <row r="248" spans="1:3" ht="13.5" customHeight="1" x14ac:dyDescent="0.3">
      <c r="A248" s="176" t="s">
        <v>705</v>
      </c>
      <c r="B248" s="9" t="s">
        <v>361</v>
      </c>
      <c r="C248" s="128" t="s">
        <v>818</v>
      </c>
    </row>
    <row r="249" spans="1:3" ht="13.5" customHeight="1" x14ac:dyDescent="0.3">
      <c r="A249" s="176" t="s">
        <v>707</v>
      </c>
      <c r="B249" s="9" t="s">
        <v>361</v>
      </c>
      <c r="C249" s="128" t="s">
        <v>819</v>
      </c>
    </row>
    <row r="250" spans="1:3" ht="13.5" customHeight="1" x14ac:dyDescent="0.3">
      <c r="A250" s="176" t="s">
        <v>821</v>
      </c>
      <c r="B250" s="9" t="s">
        <v>361</v>
      </c>
      <c r="C250" s="128" t="s">
        <v>820</v>
      </c>
    </row>
    <row r="251" spans="1:3" ht="13.5" customHeight="1" x14ac:dyDescent="0.3">
      <c r="A251" s="176" t="s">
        <v>822</v>
      </c>
      <c r="B251" s="9" t="s">
        <v>361</v>
      </c>
      <c r="C251" s="128" t="s">
        <v>823</v>
      </c>
    </row>
    <row r="252" spans="1:3" ht="13.5" customHeight="1" x14ac:dyDescent="0.3">
      <c r="A252" s="176" t="s">
        <v>824</v>
      </c>
      <c r="B252" s="9" t="s">
        <v>361</v>
      </c>
      <c r="C252" s="128" t="s">
        <v>825</v>
      </c>
    </row>
    <row r="253" spans="1:3" ht="13.5" customHeight="1" x14ac:dyDescent="0.3">
      <c r="A253" s="176" t="s">
        <v>709</v>
      </c>
      <c r="B253" s="9" t="s">
        <v>361</v>
      </c>
      <c r="C253" s="128" t="s">
        <v>699</v>
      </c>
    </row>
    <row r="254" spans="1:3" ht="13.5" customHeight="1" x14ac:dyDescent="0.3">
      <c r="A254" s="176" t="s">
        <v>710</v>
      </c>
      <c r="B254" s="9" t="s">
        <v>361</v>
      </c>
      <c r="C254" s="128" t="s">
        <v>700</v>
      </c>
    </row>
    <row r="255" spans="1:3" ht="13.5" customHeight="1" x14ac:dyDescent="0.3">
      <c r="A255" s="176" t="s">
        <v>756</v>
      </c>
      <c r="B255" s="9" t="s">
        <v>361</v>
      </c>
      <c r="C255" s="131" t="s">
        <v>755</v>
      </c>
    </row>
    <row r="256" spans="1:3" ht="13.5" customHeight="1" x14ac:dyDescent="0.3">
      <c r="A256" s="176" t="s">
        <v>371</v>
      </c>
      <c r="B256" s="9" t="s">
        <v>361</v>
      </c>
      <c r="C256" s="131" t="s">
        <v>681</v>
      </c>
    </row>
    <row r="257" spans="1:3" ht="13.5" customHeight="1" x14ac:dyDescent="0.3">
      <c r="A257" s="176" t="s">
        <v>807</v>
      </c>
      <c r="B257" s="9" t="s">
        <v>361</v>
      </c>
      <c r="C257" s="131" t="s">
        <v>806</v>
      </c>
    </row>
    <row r="258" spans="1:3" ht="13.5" customHeight="1" x14ac:dyDescent="0.3">
      <c r="A258" s="176" t="s">
        <v>808</v>
      </c>
      <c r="B258" s="9" t="s">
        <v>361</v>
      </c>
      <c r="C258" s="131" t="s">
        <v>809</v>
      </c>
    </row>
    <row r="259" spans="1:3" ht="13.5" customHeight="1" x14ac:dyDescent="0.3">
      <c r="A259" s="176" t="s">
        <v>810</v>
      </c>
      <c r="B259" s="9" t="s">
        <v>361</v>
      </c>
      <c r="C259" s="131" t="s">
        <v>783</v>
      </c>
    </row>
    <row r="260" spans="1:3" ht="13.5" customHeight="1" x14ac:dyDescent="0.3">
      <c r="A260" s="176" t="s">
        <v>390</v>
      </c>
      <c r="B260" s="9" t="s">
        <v>361</v>
      </c>
      <c r="C260" s="128" t="s">
        <v>720</v>
      </c>
    </row>
    <row r="261" spans="1:3" ht="13.5" customHeight="1" x14ac:dyDescent="0.3">
      <c r="A261" s="176" t="s">
        <v>812</v>
      </c>
      <c r="B261" s="9" t="s">
        <v>361</v>
      </c>
      <c r="C261" s="131" t="s">
        <v>811</v>
      </c>
    </row>
    <row r="262" spans="1:3" ht="13.5" customHeight="1" x14ac:dyDescent="0.3">
      <c r="A262" s="176" t="s">
        <v>458</v>
      </c>
      <c r="B262" s="9" t="s">
        <v>361</v>
      </c>
      <c r="C262" s="131" t="s">
        <v>690</v>
      </c>
    </row>
    <row r="263" spans="1:3" x14ac:dyDescent="0.3">
      <c r="A263" s="176" t="s">
        <v>352</v>
      </c>
      <c r="B263" s="9" t="s">
        <v>359</v>
      </c>
      <c r="C263" s="131" t="s">
        <v>754</v>
      </c>
    </row>
    <row r="264" spans="1:3" x14ac:dyDescent="0.3">
      <c r="A264" s="176" t="s">
        <v>826</v>
      </c>
      <c r="B264" s="9" t="s">
        <v>359</v>
      </c>
      <c r="C264" s="131" t="s">
        <v>795</v>
      </c>
    </row>
    <row r="265" spans="1:3" x14ac:dyDescent="0.3">
      <c r="A265" s="176" t="s">
        <v>368</v>
      </c>
      <c r="B265" s="9" t="s">
        <v>359</v>
      </c>
      <c r="C265" s="128" t="s">
        <v>647</v>
      </c>
    </row>
    <row r="266" spans="1:3" x14ac:dyDescent="0.3">
      <c r="A266" s="176" t="s">
        <v>372</v>
      </c>
      <c r="B266" s="9" t="s">
        <v>359</v>
      </c>
      <c r="C266" s="131" t="s">
        <v>738</v>
      </c>
    </row>
    <row r="267" spans="1:3" x14ac:dyDescent="0.3">
      <c r="A267" s="176" t="s">
        <v>828</v>
      </c>
      <c r="B267" s="9" t="s">
        <v>359</v>
      </c>
      <c r="C267" s="131" t="s">
        <v>829</v>
      </c>
    </row>
    <row r="268" spans="1:3" x14ac:dyDescent="0.3">
      <c r="A268" s="176" t="s">
        <v>378</v>
      </c>
      <c r="B268" s="9" t="s">
        <v>359</v>
      </c>
      <c r="C268" s="131" t="s">
        <v>827</v>
      </c>
    </row>
    <row r="269" spans="1:3" x14ac:dyDescent="0.3">
      <c r="A269" s="176" t="s">
        <v>831</v>
      </c>
      <c r="B269" s="9" t="s">
        <v>359</v>
      </c>
      <c r="C269" s="131" t="s">
        <v>735</v>
      </c>
    </row>
    <row r="270" spans="1:3" x14ac:dyDescent="0.3">
      <c r="A270" s="176" t="s">
        <v>832</v>
      </c>
      <c r="B270" s="9" t="s">
        <v>359</v>
      </c>
      <c r="C270" s="228" t="s">
        <v>734</v>
      </c>
    </row>
    <row r="271" spans="1:3" x14ac:dyDescent="0.3">
      <c r="A271" s="176" t="s">
        <v>833</v>
      </c>
      <c r="B271" s="9" t="s">
        <v>359</v>
      </c>
      <c r="C271" s="128" t="s">
        <v>733</v>
      </c>
    </row>
    <row r="272" spans="1:3" x14ac:dyDescent="0.3">
      <c r="A272" s="176" t="s">
        <v>834</v>
      </c>
      <c r="B272" s="9" t="s">
        <v>359</v>
      </c>
      <c r="C272" s="128" t="s">
        <v>732</v>
      </c>
    </row>
    <row r="273" spans="1:3" x14ac:dyDescent="0.3">
      <c r="A273" s="176" t="s">
        <v>461</v>
      </c>
      <c r="B273" s="9" t="s">
        <v>359</v>
      </c>
      <c r="C273" s="131" t="s">
        <v>799</v>
      </c>
    </row>
    <row r="274" spans="1:3" x14ac:dyDescent="0.3">
      <c r="A274" s="176" t="s">
        <v>835</v>
      </c>
      <c r="B274" s="9" t="s">
        <v>359</v>
      </c>
      <c r="C274" s="128" t="s">
        <v>735</v>
      </c>
    </row>
    <row r="275" spans="1:3" x14ac:dyDescent="0.3">
      <c r="A275" s="176" t="s">
        <v>387</v>
      </c>
      <c r="B275" s="9" t="s">
        <v>359</v>
      </c>
      <c r="C275" s="131" t="s">
        <v>830</v>
      </c>
    </row>
    <row r="276" spans="1:3" x14ac:dyDescent="0.3">
      <c r="A276" s="176" t="s">
        <v>744</v>
      </c>
      <c r="B276" s="9" t="s">
        <v>359</v>
      </c>
      <c r="C276" s="131" t="s">
        <v>733</v>
      </c>
    </row>
    <row r="277" spans="1:3" x14ac:dyDescent="0.3">
      <c r="A277" s="176" t="s">
        <v>745</v>
      </c>
      <c r="B277" s="9" t="s">
        <v>359</v>
      </c>
      <c r="C277" s="131" t="s">
        <v>734</v>
      </c>
    </row>
    <row r="278" spans="1:3" x14ac:dyDescent="0.3">
      <c r="A278" s="176" t="s">
        <v>746</v>
      </c>
      <c r="B278" s="9" t="s">
        <v>359</v>
      </c>
      <c r="C278" s="128" t="s">
        <v>732</v>
      </c>
    </row>
    <row r="279" spans="1:3" x14ac:dyDescent="0.3">
      <c r="A279" s="176" t="s">
        <v>749</v>
      </c>
      <c r="B279" s="9" t="s">
        <v>359</v>
      </c>
      <c r="C279" s="131" t="s">
        <v>734</v>
      </c>
    </row>
    <row r="280" spans="1:3" x14ac:dyDescent="0.3">
      <c r="A280" s="176" t="s">
        <v>750</v>
      </c>
      <c r="B280" s="9" t="s">
        <v>359</v>
      </c>
      <c r="C280" s="131" t="s">
        <v>733</v>
      </c>
    </row>
    <row r="281" spans="1:3" x14ac:dyDescent="0.3">
      <c r="A281" s="176" t="s">
        <v>393</v>
      </c>
      <c r="B281" s="9" t="s">
        <v>359</v>
      </c>
      <c r="C281" s="131" t="s">
        <v>648</v>
      </c>
    </row>
    <row r="282" spans="1:3" x14ac:dyDescent="0.3">
      <c r="A282" s="176" t="s">
        <v>396</v>
      </c>
      <c r="B282" s="9" t="s">
        <v>359</v>
      </c>
      <c r="C282" s="131" t="s">
        <v>740</v>
      </c>
    </row>
    <row r="283" spans="1:3" ht="13.2" customHeight="1" x14ac:dyDescent="0.3">
      <c r="A283" s="176" t="s">
        <v>952</v>
      </c>
      <c r="B283" s="9" t="s">
        <v>951</v>
      </c>
      <c r="C283" s="131" t="s">
        <v>57</v>
      </c>
    </row>
    <row r="284" spans="1:3" x14ac:dyDescent="0.3">
      <c r="A284" s="132"/>
      <c r="C284" s="93"/>
    </row>
  </sheetData>
  <sortState ref="A3:C282">
    <sortCondition ref="B3:B282"/>
    <sortCondition ref="A3:A282"/>
  </sortState>
  <conditionalFormatting sqref="B279:C279 B275:C275 B267:C269 B41:B42 C246:C281 C232:C244 B232:B281 B43:C231 B24:C40 B3:C22 B283 C283:C284">
    <cfRule type="cellIs" dxfId="4" priority="2816" operator="equal">
      <formula>"X"</formula>
    </cfRule>
  </conditionalFormatting>
  <conditionalFormatting sqref="C245">
    <cfRule type="cellIs" dxfId="3" priority="3" operator="equal">
      <formula>"X"</formula>
    </cfRule>
  </conditionalFormatting>
  <conditionalFormatting sqref="B23:C23">
    <cfRule type="cellIs" dxfId="2" priority="2" operator="equal">
      <formula>"X"</formula>
    </cfRule>
  </conditionalFormatting>
  <conditionalFormatting sqref="B282:C282">
    <cfRule type="cellIs" dxfId="1" priority="1" operator="equal">
      <formula>"X"</formula>
    </cfRule>
  </conditionalFormatting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59</vt:i4>
      </vt:variant>
    </vt:vector>
  </HeadingPairs>
  <TitlesOfParts>
    <vt:vector size="69" baseType="lpstr">
      <vt:lpstr>1-Postava</vt:lpstr>
      <vt:lpstr>2-Znalosti</vt:lpstr>
      <vt:lpstr>3-Evidence</vt:lpstr>
      <vt:lpstr>Rasy</vt:lpstr>
      <vt:lpstr>Povolání</vt:lpstr>
      <vt:lpstr>SHOP</vt:lpstr>
      <vt:lpstr>Věci</vt:lpstr>
      <vt:lpstr>Koncept</vt:lpstr>
      <vt:lpstr>Změny</vt:lpstr>
      <vt:lpstr>Schopnosti</vt:lpstr>
      <vt:lpstr>Akrobacie</vt:lpstr>
      <vt:lpstr>BOJ_DRCENÍ</vt:lpstr>
      <vt:lpstr>BOJ_KOPÍ</vt:lpstr>
      <vt:lpstr>BOJ_NOŽE</vt:lpstr>
      <vt:lpstr>BOJ_Střelba</vt:lpstr>
      <vt:lpstr>BOJ_ŠERM</vt:lpstr>
      <vt:lpstr>BOJ_VRH</vt:lpstr>
      <vt:lpstr>BOJ_ZÁPAS</vt:lpstr>
      <vt:lpstr>COPY_BONUSY</vt:lpstr>
      <vt:lpstr>COPY_DOVEDNOSTI</vt:lpstr>
      <vt:lpstr>COPY_HLAVA</vt:lpstr>
      <vt:lpstr>COPY_JMENO</vt:lpstr>
      <vt:lpstr>COPY_KDE</vt:lpstr>
      <vt:lpstr>COPY_KRK</vt:lpstr>
      <vt:lpstr>COPY_KZ_PLUS</vt:lpstr>
      <vt:lpstr>COPY_MAGENERGIE</vt:lpstr>
      <vt:lpstr>COPY_O_ZBRANICH</vt:lpstr>
      <vt:lpstr>COPY_OU_PLUS</vt:lpstr>
      <vt:lpstr>COPY_POVOLANI</vt:lpstr>
      <vt:lpstr>COPY_PRESVEDCENI</vt:lpstr>
      <vt:lpstr>COPY_PROCENTA</vt:lpstr>
      <vt:lpstr>COPY_RASA</vt:lpstr>
      <vt:lpstr>COPY_RODNY_JAZYK</vt:lpstr>
      <vt:lpstr>COPY_SATY</vt:lpstr>
      <vt:lpstr>COPY_TORNA</vt:lpstr>
      <vt:lpstr>COPY_VAHA</vt:lpstr>
      <vt:lpstr>COPY_VYSKA</vt:lpstr>
      <vt:lpstr>COPY_ZADA</vt:lpstr>
      <vt:lpstr>COPY_Zapas</vt:lpstr>
      <vt:lpstr>COPY_ZBRAN1</vt:lpstr>
      <vt:lpstr>COPY_ZBRAN2A</vt:lpstr>
      <vt:lpstr>COPY_ZBRAN3</vt:lpstr>
      <vt:lpstr>COPY_ZBRAN4</vt:lpstr>
      <vt:lpstr>COPY_ZBRAN5</vt:lpstr>
      <vt:lpstr>COPY_ZBRAN6</vt:lpstr>
      <vt:lpstr>COPY_ZBRANE</vt:lpstr>
      <vt:lpstr>COPY_ZBROJ</vt:lpstr>
      <vt:lpstr>Dovednosti_data1</vt:lpstr>
      <vt:lpstr>'2-Znalosti'!Extrakce</vt:lpstr>
      <vt:lpstr>CHAR</vt:lpstr>
      <vt:lpstr>INT</vt:lpstr>
      <vt:lpstr>'2-Znalosti'!Kriteria</vt:lpstr>
      <vt:lpstr>'1-Postava'!Oblast_tisku</vt:lpstr>
      <vt:lpstr>'2-Znalosti'!Oblast_tisku</vt:lpstr>
      <vt:lpstr>SHOP!Oblast_tisku</vt:lpstr>
      <vt:lpstr>OBR</vt:lpstr>
      <vt:lpstr>ODL</vt:lpstr>
      <vt:lpstr>RCH</vt:lpstr>
      <vt:lpstr>Schopnosti_Data</vt:lpstr>
      <vt:lpstr>sChr</vt:lpstr>
      <vt:lpstr>SIL</vt:lpstr>
      <vt:lpstr>sInt</vt:lpstr>
      <vt:lpstr>SMS</vt:lpstr>
      <vt:lpstr>sObr</vt:lpstr>
      <vt:lpstr>sSil</vt:lpstr>
      <vt:lpstr>sVol</vt:lpstr>
      <vt:lpstr>sZrč</vt:lpstr>
      <vt:lpstr>VOL</vt:lpstr>
      <vt:lpstr>ZRČ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Matoška</cp:lastModifiedBy>
  <cp:lastPrinted>2018-12-01T12:38:19Z</cp:lastPrinted>
  <dcterms:created xsi:type="dcterms:W3CDTF">2012-12-30T11:38:37Z</dcterms:created>
  <dcterms:modified xsi:type="dcterms:W3CDTF">2024-12-07T18:07:46Z</dcterms:modified>
</cp:coreProperties>
</file>