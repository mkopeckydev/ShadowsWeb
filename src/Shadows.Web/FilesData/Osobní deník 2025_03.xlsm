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d\Pravidla\2025\"/>
    </mc:Choice>
  </mc:AlternateContent>
  <bookViews>
    <workbookView xWindow="120" yWindow="108" windowWidth="18960" windowHeight="6552" tabRatio="919" activeTab="3"/>
  </bookViews>
  <sheets>
    <sheet name="Tvorba postavy" sheetId="17" r:id="rId1"/>
    <sheet name="SHOP" sheetId="22" r:id="rId2"/>
    <sheet name="Věci" sheetId="11" state="hidden" r:id="rId3"/>
    <sheet name="1-Vlastnosti" sheetId="6" r:id="rId4"/>
    <sheet name="2-Vzhled a charakter" sheetId="1" r:id="rId5"/>
    <sheet name="3-Schopnosti" sheetId="5" r:id="rId6"/>
    <sheet name="4-Dovednosti" sheetId="28" r:id="rId7"/>
    <sheet name="Max_DOV" sheetId="25" state="hidden" r:id="rId8"/>
    <sheet name="5-Majetek" sheetId="27" r:id="rId9"/>
    <sheet name="6-Kouzla" sheetId="10" r:id="rId10"/>
    <sheet name="7-Tabulky" sheetId="9" r:id="rId11"/>
    <sheet name="Úsporný tisk" sheetId="13" r:id="rId12"/>
    <sheet name="8-Pomocníci" sheetId="26" r:id="rId13"/>
    <sheet name="8-Sklad" sheetId="15" state="hidden" r:id="rId14"/>
    <sheet name="9-Evidence" sheetId="16" state="hidden" r:id="rId15"/>
    <sheet name="10-BOJ" sheetId="31" state="hidden" r:id="rId16"/>
    <sheet name="Rasy" sheetId="19" state="hidden" r:id="rId17"/>
    <sheet name="Povolání" sheetId="20" state="hidden" r:id="rId18"/>
    <sheet name="Změny" sheetId="23" r:id="rId19"/>
    <sheet name="Schopnosti" sheetId="24" state="hidden" r:id="rId20"/>
    <sheet name="Veverka" sheetId="29" state="hidden" r:id="rId21"/>
  </sheets>
  <definedNames>
    <definedName name="_xlnm._FilterDatabase" localSheetId="4" hidden="1">'1-Vlastnosti'!$BO$7:$CB$106</definedName>
    <definedName name="_xlnm._FilterDatabase" localSheetId="5" hidden="1">'3-Schopnosti'!$X$6:$AQ$6</definedName>
    <definedName name="_xlnm._FilterDatabase" localSheetId="6" hidden="1">'4-Dovednosti'!$G$2:$L$28</definedName>
    <definedName name="_xlnm._FilterDatabase" localSheetId="7" hidden="1">Max_DOV!$A$5:$AH$59</definedName>
    <definedName name="_xlnm._FilterDatabase" localSheetId="1" hidden="1">SHOP!$K$104:$M$118</definedName>
    <definedName name="_xlnm._FilterDatabase" localSheetId="19" hidden="1">Schopnosti!$A$2:$T$1740</definedName>
    <definedName name="_xlnm._FilterDatabase" localSheetId="2" hidden="1">Věci!$A$2:$P$527</definedName>
    <definedName name="AOBR" comment="Aktuální bonus za obratnost">'1-Vlastnosti'!$F$5</definedName>
    <definedName name="ASIL" comment="Aktuální bonus za sílu">'1-Vlastnosti'!$F$4</definedName>
    <definedName name="bÚr">'1-Vlastnosti'!$U$2</definedName>
    <definedName name="COPY_Akrobacie" comment="Zvládnutí dovednosti Akrobacie">'4-Dovednosti'!$I$14</definedName>
    <definedName name="COPY_ALCH_POMUCKY">'6-Kouzla'!$B$96:$B$101</definedName>
    <definedName name="COPY_Atletika" comment="Znalost atletiky">'4-Dovednosti'!$I$15</definedName>
    <definedName name="COPY_Beduínština">'4-Dovednosti'!$C$26</definedName>
    <definedName name="COPY_Bestiologie" comment="Znalost bestiologie">'4-Dovednosti'!$C$14</definedName>
    <definedName name="COPY_Bezne_vybaveni" comment="Běžné vybavení">'5-Majetek'!$I$4:$M$67</definedName>
    <definedName name="COPY_Blokování">'4-Dovednosti'!$C$4</definedName>
    <definedName name="COPY_Boj_s_holí">'4-Dovednosti'!$C$6</definedName>
    <definedName name="COPY_Boj_s_noži">'4-Dovednosti'!$C$5</definedName>
    <definedName name="COPY_Boj_ve_zbroji" comment="Zvládnutí dovednosti Boj ve zbroji">'4-Dovednosti'!$C$7</definedName>
    <definedName name="COPY_Bonus_Kondice">'Tvorba postavy'!$E$98:$AG$98</definedName>
    <definedName name="COPY_Bonusy">'1-Vlastnosti'!$R$11:$S$16</definedName>
    <definedName name="COPY_Bonusy_Dovednosti" comment="Bonusy k dovednostem na základě znalostí Schopností apod.">'4-Dovednosti'!$AJ$3:$AJ$56</definedName>
    <definedName name="COPY_Botanika" comment="Znalost botaniky">'4-Dovednosti'!$C$15</definedName>
    <definedName name="COPY_Celestial">'4-Dovednosti'!$C$27</definedName>
    <definedName name="COPY_Černá_řeč">'4-Dovednosti'!$C$28</definedName>
    <definedName name="COPY_Diplomacie">'4-Dovednosti'!$C$24</definedName>
    <definedName name="COPY_DOVED_PLUS">'4-Dovednosti'!$K$32:$K$37</definedName>
    <definedName name="COPY_Drakomluva">'4-Dovednosti'!$C$29</definedName>
    <definedName name="COPY_Drcení">'4-Dovednosti'!$C$8</definedName>
    <definedName name="COPY_Drobnosti">'5-Majetek'!$A$33:$G$73</definedName>
    <definedName name="COPY_Elfština">'4-Dovednosti'!$C$30</definedName>
    <definedName name="COPY_Gramotnost">'4-Dovednosti'!$I$16</definedName>
    <definedName name="COPY_Handlířství" comment="Znalost Handlířství">'4-Dovednosti'!$C$25</definedName>
    <definedName name="COPY_Historie" comment="Znalost bájesloví a dějepravy">'4-Dovednosti'!$C$16</definedName>
    <definedName name="COPY_Hudba">'4-Dovednosti'!$I$17</definedName>
    <definedName name="COPY_Charakter">'2-Vzhled a charakter'!$A$39:$H$41</definedName>
    <definedName name="COPY_Infernal">'4-Dovednosti'!$C$31</definedName>
    <definedName name="COPY_INI_kouzleni">'6-Kouzla'!$Z$4:$Z$5</definedName>
    <definedName name="COPY_Jezdectví">'4-Dovednosti'!$I$19</definedName>
    <definedName name="COPY_Jine">'2-Vzhled a charakter'!$A$18:$M$20</definedName>
    <definedName name="COPY_Jmeno">'2-Vzhled a charakter'!$B$3</definedName>
    <definedName name="COPY_Kartografie">'4-Dovednosti'!$C$17</definedName>
    <definedName name="COPY_KDE_Ucitel">'2-Vzhled a charakter'!$P$29</definedName>
    <definedName name="COPY_Kladna1">'Tvorba postavy'!$D$31</definedName>
    <definedName name="COPY_Kladna2a3">'Tvorba postavy'!$F$32:$F$33</definedName>
    <definedName name="COPY_Kontakty">'2-Vzhled a charakter'!$I$52:$S$69</definedName>
    <definedName name="Copy_Kouzla_Specializace">'6-Kouzla'!$AA$25:$AA$27</definedName>
    <definedName name="COPY_Kouzla1">'6-Kouzla'!$A$4:$F$73</definedName>
    <definedName name="COPY_Kouzla2">'6-Kouzla'!$L$4:$Q$73</definedName>
    <definedName name="COPY_Kouzlení">'4-Dovednosti'!$I$20</definedName>
    <definedName name="COPY_Kredo">'2-Vzhled a charakter'!$A$43</definedName>
    <definedName name="COPY_Lékařství">'4-Dovednosti'!$I$4</definedName>
    <definedName name="COPY_Letectví">'4-Dovednosti'!$I$21</definedName>
    <definedName name="COPY_Lodivodství">'4-Dovednosti'!$I$22</definedName>
    <definedName name="COPY_MAG_BONUSY">'1-Vlastnosti'!$Q$26:$T$33</definedName>
    <definedName name="COPY_Magy1">'1-Vlastnosti'!$T$6</definedName>
    <definedName name="COPY_Magy2">'1-Vlastnosti'!$T$8</definedName>
    <definedName name="COPY_Magy3">'1-Vlastnosti'!$T$7</definedName>
    <definedName name="COPY_Mazlíček">'4-Dovednosti'!$H$9</definedName>
    <definedName name="COPY_Mince">'5-Majetek'!$J$70:$N$73</definedName>
    <definedName name="COPY_Mineralogie">'4-Dovednosti'!$C$18</definedName>
    <definedName name="COPY_Mise">'2-Vzhled a charakter'!$A$51:$G$58</definedName>
    <definedName name="COPY_NarozD" comment="Den narození">'2-Vzhled a charakter'!$O$20</definedName>
    <definedName name="COPY_NarozM" comment="Měsíc narození">'2-Vzhled a charakter'!$Q$20</definedName>
    <definedName name="COPY_NarozR" comment="Rok narození">'2-Vzhled a charakter'!$S$20</definedName>
    <definedName name="COPY_Navyseni_vlastnosti">'Tvorba postavy'!$D$71:$D$76</definedName>
    <definedName name="COPY_Nelibosti">'2-Vzhled a charakter'!$O$45:$S$46</definedName>
    <definedName name="COPY_Nenápadnost">'4-Dovednosti'!$I$5</definedName>
    <definedName name="COPY_NESENE_VYBAVENI2">'8-Pomocníci'!$A$55:$O$69</definedName>
    <definedName name="COPY_Oci">'2-Vzhled a charakter'!$B$15</definedName>
    <definedName name="COPY_Okultismus">'4-Dovednosti'!$C$19</definedName>
    <definedName name="COPY_Omezeni">'Tvorba postavy'!$D$54:$E$55</definedName>
    <definedName name="COPY_Orientace">'4-Dovednosti'!$I$6</definedName>
    <definedName name="COPY_Otužilost">'4-Dovednosti'!$I$7</definedName>
    <definedName name="COPY_OU_Bonus">'1-Vlastnosti'!$N$22</definedName>
    <definedName name="COPY_PaD">'Tvorba postavy'!$E$89:$AG$89</definedName>
    <definedName name="COPY_Péče_o_zvířata">'4-Dovednosti'!$I$8</definedName>
    <definedName name="COPY_Pomocmík_1">'8-Pomocníci'!$A$2:$O$10</definedName>
    <definedName name="COPY_Pomocmík_2">'8-Pomocníci'!$A$19:$O$27</definedName>
    <definedName name="COPY_Pomocmík_3">'8-Pomocníci'!$A$36:$O$44</definedName>
    <definedName name="COPY_POUTO">'2-Vzhled a charakter'!$G$48</definedName>
    <definedName name="COPY_Pouziti1">'1-Vlastnosti'!$C$40</definedName>
    <definedName name="COPY_Pouziti2">'1-Vlastnosti'!$J$40</definedName>
    <definedName name="COPY_Pouziti3">'1-Vlastnosti'!$Q$40</definedName>
    <definedName name="COPY_Pouziti4">'1-Vlastnosti'!$C$51</definedName>
    <definedName name="COPY_Pouziti5">'1-Vlastnosti'!$J$51</definedName>
    <definedName name="COPY_Pouziti6">'1-Vlastnosti'!$Q$51</definedName>
    <definedName name="COPY_Povolani1">'Tvorba postavy'!$C$5</definedName>
    <definedName name="COPY_Povolani2">'Tvorba postavy'!$C$7</definedName>
    <definedName name="COPY_Poznamky1">'2-Vzhled a charakter'!$O$31:$S$36</definedName>
    <definedName name="COPY_Poznamky2">'4-Dovednosti'!$G$42:$J$44</definedName>
    <definedName name="COPY_Poznamky3">'4-Dovednosti'!$G$39:$J$41</definedName>
    <definedName name="COPY_Poznámky4">'3-Schopnosti'!$F$61:$J$68</definedName>
    <definedName name="COPY_Pratele">'Tvorba postavy'!$D$39:$E$39</definedName>
    <definedName name="COPY_Presvedceni">'2-Vzhled a charakter'!$B$5</definedName>
    <definedName name="COPY_Procenta">'1-Vlastnosti'!$P$18:$T$20</definedName>
    <definedName name="COPY_PROF_VOL">'Úsporný tisk'!$P$16</definedName>
    <definedName name="COPY_Přetvářka">'4-Dovednosti'!$C$35</definedName>
    <definedName name="COPY_Rasa">'Tvorba postavy'!$C$3</definedName>
    <definedName name="COPY_RJ">'4-Dovednosti'!$A$42</definedName>
    <definedName name="COPY_Role_v_druzine">'2-Vzhled a charakter'!$I$40</definedName>
    <definedName name="COPY_Rozvoj">'Tvorba postavy'!$E$91:$AG$96</definedName>
    <definedName name="COPY_Rybolov">'4-Dovednosti'!$I$10</definedName>
    <definedName name="COPY_Řemesla">'4-Dovednosti'!$H$24:$K$27</definedName>
    <definedName name="COPY_Řemeslný_fortel">'4-Dovednosti'!#REF!</definedName>
    <definedName name="COPY_Řeznictví">'4-Dovednosti'!$I$11</definedName>
    <definedName name="COPY_Sebekontrola">'4-Dovednosti'!$I$28</definedName>
    <definedName name="COPY_Schopnosti1">'3-Schopnosti'!$A$3:$B$68</definedName>
    <definedName name="COPY_Schopnosti2">'3-Schopnosti'!$F$4:$G$59</definedName>
    <definedName name="COPY_Signalizace">'4-Dovednosti'!$C$36</definedName>
    <definedName name="COPY_Sociologie">'4-Dovednosti'!$C$20</definedName>
    <definedName name="COPY_SPEC_ZBR" comment="Speciální zbraň">'1-Vlastnosti'!$B$37:$T$37</definedName>
    <definedName name="COPY_Startovni_hody">'Tvorba postavy'!$D$15:$E$20</definedName>
    <definedName name="COPY_Statusy">'Tvorba postavy'!$D$65:$D$67</definedName>
    <definedName name="COPY_Strachy">'2-Vzhled a charakter'!$O$39:$S$41</definedName>
    <definedName name="COPY_Střelba" comment="Znalost střelby">'4-Dovednosti'!$C$9</definedName>
    <definedName name="COPY_Styl">'Tvorba postavy'!$D$48</definedName>
    <definedName name="COPY_Svádění">'4-Dovednosti'!$C$37</definedName>
    <definedName name="COPY_Šerm">'4-Dovednosti'!$C$10</definedName>
    <definedName name="COPY_Teologie">'4-Dovednosti'!$C$21</definedName>
    <definedName name="COPY_Tianština">'4-Dovednosti'!$C$34</definedName>
    <definedName name="COPY_Trpasličtina">'4-Dovednosti'!$C$33</definedName>
    <definedName name="COPY_Tvar">'2-Vzhled a charakter'!$B$16</definedName>
    <definedName name="COPY_Typ_magie1">'6-Kouzla'!$G$2</definedName>
    <definedName name="COPY_Typ_magie2">'6-Kouzla'!$Q$2</definedName>
    <definedName name="COPY_Ucitel">'2-Vzhled a charakter'!$P$28</definedName>
    <definedName name="COPY_Uctiva">'2-Vzhled a charakter'!$G$7</definedName>
    <definedName name="COPY_Učitelství">'4-Dovednosti'!$C$38</definedName>
    <definedName name="COPY_Udalosti">'2-Vzhled a charakter'!$A$61:$G$69</definedName>
    <definedName name="COPY_Uroven1">'Tvorba postavy'!$D$6</definedName>
    <definedName name="COPY_Uroven2">'Tvorba postavy'!$D$8</definedName>
    <definedName name="COPY_VADA">'2-Vzhled a charakter'!$O$48</definedName>
    <definedName name="COPY_VAha">'2-Vzhled a charakter'!$S$15</definedName>
    <definedName name="COPY_Vazby">'Tvorba postavy'!$D$35</definedName>
    <definedName name="COPY_Vira">'2-Vzhled a charakter'!$B$7</definedName>
    <definedName name="COPY_Vlasy">'2-Vzhled a charakter'!$B$17</definedName>
    <definedName name="COPY_VOLBA">'Tvorba postavy'!$F$24</definedName>
    <definedName name="COPY_Vrh" comment="Znalost vrhu">'4-Dovednosti'!$C$11</definedName>
    <definedName name="COPY_Vyhrožování">'4-Dovednosti'!$C$39</definedName>
    <definedName name="COPY_Vyska">'2-Vzhled a charakter'!$P$15</definedName>
    <definedName name="COPY_VZHLED">'Tvorba postavy'!$I$3</definedName>
    <definedName name="COPY_XP">'Tvorba postavy'!$D$10</definedName>
    <definedName name="COPY_Zálesáctví">'4-Dovednosti'!$I$12</definedName>
    <definedName name="COPY_Zaliby">'2-Vzhled a charakter'!$G$45:$M$46</definedName>
    <definedName name="COPY_Zápas" comment="Znalost boje beze zbraně">'4-Dovednosti'!$C$12</definedName>
    <definedName name="COPY_Zaporna1">'Tvorba postavy'!$D$27</definedName>
    <definedName name="COPY_Zaporna2a3">'Tvorba postavy'!$F$28:$F$29</definedName>
    <definedName name="COPY_ZBonusy1">'1-Vlastnosti'!$C$46:$F$46</definedName>
    <definedName name="COPY_ZBonusy2">'1-Vlastnosti'!$J$46:$M$46</definedName>
    <definedName name="COPY_ZBonusy3">'1-Vlastnosti'!$Q$46:$T$46</definedName>
    <definedName name="COPY_ZBonusy4">'1-Vlastnosti'!$C$57:$F$57</definedName>
    <definedName name="COPY_ZBonusy5">'1-Vlastnosti'!$J$57:$M$57</definedName>
    <definedName name="COPY_ZBonusy6">'1-Vlastnosti'!$Q$57:$T$57</definedName>
    <definedName name="COPY_Zbran1">'1-Vlastnosti'!$C$39</definedName>
    <definedName name="COPY_Zbran2A">'1-Vlastnosti'!$I$39</definedName>
    <definedName name="COPY_Zbran2B">'1-Vlastnosti'!$L$39</definedName>
    <definedName name="COPY_Zbran3">'1-Vlastnosti'!$Q$39</definedName>
    <definedName name="COPY_Zbran4">'1-Vlastnosti'!$C$50</definedName>
    <definedName name="COPY_Zbran5">'1-Vlastnosti'!$I$50</definedName>
    <definedName name="Copy_Zbran5B" comment="Zbraň pro levou ruku, tab 5">'1-Vlastnosti'!$L$50</definedName>
    <definedName name="COPY_Zbran6">'1-Vlastnosti'!$Q$50</definedName>
    <definedName name="COPY_Zbrane">'1-Vlastnosti'!$B$26:$G$33</definedName>
    <definedName name="COPY_Zbrane_Kde">'1-Vlastnosti'!$K$26:$M$33</definedName>
    <definedName name="COPY_Zbroj_MB">'2-Vzhled a charakter'!$M$25:$M$35</definedName>
    <definedName name="COPY_Zbroje">'2-Vzhled a charakter'!$A$25:$C$35</definedName>
    <definedName name="COPY_Zlodějský_žargon">'4-Dovednosti'!$C$40</definedName>
    <definedName name="COPY_Zoologie">'4-Dovednosti'!$C$22</definedName>
    <definedName name="COPY_Zvlastni_vzhled">'2-Vzhled a charakter'!$B$21</definedName>
    <definedName name="COPY_Zvyky">'2-Vzhled a charakter'!$A$45:$E$48</definedName>
    <definedName name="Čich">'1-Vlastnosti'!$I$18</definedName>
    <definedName name="Dovednosti_data1">'4-Dovednosti'!$A$2:$F$42</definedName>
    <definedName name="Dovednosti_data2">'4-Dovednosti'!$G$2:$L$28</definedName>
    <definedName name="DST">'1-Vlastnosti'!$D$22</definedName>
    <definedName name="_xlnm.Extract" localSheetId="5">'3-Schopnosti'!$AS$6:$BL$6</definedName>
    <definedName name="_xlnm.Extract" localSheetId="11">'Úsporný tisk'!$AG$11:$AJ$11</definedName>
    <definedName name="Extrakce1" localSheetId="5">'3-Schopnosti'!$X$6:$AQ$6</definedName>
    <definedName name="Extrakce2" localSheetId="5">'3-Schopnosti'!$AS$6:$BL$6</definedName>
    <definedName name="Fortel">'4-Dovednosti'!$L$23</definedName>
    <definedName name="Hmat">'1-Vlastnosti'!$I$20</definedName>
    <definedName name="Hudba">'4-Dovednosti'!$L$17</definedName>
    <definedName name="CHR">'1-Vlastnosti'!$D$9</definedName>
    <definedName name="Chuť">'1-Vlastnosti'!$I$19</definedName>
    <definedName name="INT">'1-Vlastnosti'!$D$8</definedName>
    <definedName name="Kouzleni">'4-Dovednosti'!$L$20</definedName>
    <definedName name="_xlnm.Criteria" localSheetId="5">'3-Schopnosti'!$AS$2:$AT$4</definedName>
    <definedName name="_xlnm.Criteria" localSheetId="11">'Úsporný tisk'!$AG$2:$AG$8</definedName>
    <definedName name="Kriteria1" localSheetId="5">'3-Schopnosti'!$X$2:$Y$4</definedName>
    <definedName name="Kriteria2" localSheetId="5">'3-Schopnosti'!$AS$2:$AT$4</definedName>
    <definedName name="KRS">'1-Vlastnosti'!$D$20</definedName>
    <definedName name="KV_1" comment="První kladná Veverka">'Tvorba postavy'!$D$31</definedName>
    <definedName name="KV_2" comment="Druhá kladná Veverka">'Tvorba postavy'!$E$32</definedName>
    <definedName name="KV_3" comment="Třetí kladná Veverka">'Tvorba postavy'!$E$33</definedName>
    <definedName name="NBZ">'1-Vlastnosti'!$D$21</definedName>
    <definedName name="_xlnm.Print_Area" localSheetId="15">'10-BOJ'!$A$1:$K$55</definedName>
    <definedName name="_xlnm.Print_Area" localSheetId="3">'1-Vlastnosti'!$A$1:$V$59</definedName>
    <definedName name="_xlnm.Print_Area" localSheetId="4">'2-Vzhled a charakter'!$A$1:$T$70</definedName>
    <definedName name="_xlnm.Print_Area" localSheetId="5">'3-Schopnosti'!$A$1:$J$68</definedName>
    <definedName name="_xlnm.Print_Area" localSheetId="6">'4-Dovednosti'!$A$1:$L$56</definedName>
    <definedName name="_xlnm.Print_Area" localSheetId="8">'5-Majetek'!$A$1:$O$73</definedName>
    <definedName name="_xlnm.Print_Area" localSheetId="9">'6-Kouzla'!$A$1:$V$78</definedName>
    <definedName name="_xlnm.Print_Area" localSheetId="10">'7-Tabulky'!$A$1:$U$53</definedName>
    <definedName name="_xlnm.Print_Area" localSheetId="12">'8-Pomocníci'!$A$1:$P$69</definedName>
    <definedName name="_xlnm.Print_Area" localSheetId="13">'8-Sklad'!$A$1:$U$53</definedName>
    <definedName name="_xlnm.Print_Area" localSheetId="14">'9-Evidence'!$A$1:$M$46</definedName>
    <definedName name="_xlnm.Print_Area" localSheetId="1">SHOP!$A$1:$J$176</definedName>
    <definedName name="_xlnm.Print_Area" localSheetId="0">'Tvorba postavy'!$A$1:$H$122</definedName>
    <definedName name="_xlnm.Print_Area" localSheetId="11">'Úsporný tisk'!$A$1:$S$70</definedName>
    <definedName name="OBR">'1-Vlastnosti'!$D$5</definedName>
    <definedName name="ODL">'1-Vlastnosti'!$F$12</definedName>
    <definedName name="Otužilost">'4-Dovednosti'!$L$7</definedName>
    <definedName name="Rasa" comment="Rasa postavy">'2-Vzhled a charakter'!$B$2</definedName>
    <definedName name="Rasy" comment="Seznam ras na výběr">OFFSET('Tvorba postavy'!$AN$6,0,0,120-COUNT('Tvorba postavy'!$AN$6:$AN$125),1)</definedName>
    <definedName name="RCH" comment="Rychlost postavy">'1-Vlastnosti'!$F$15</definedName>
    <definedName name="SEZNAM1" comment="Seznam schopností pro roletku">OFFSET('3-Schopnosti'!$X$7,0,0,COUNTA('3-Schopnosti'!$X$7:$X$120),1)</definedName>
    <definedName name="SEZNAM2" comment="Seznam volných schopností">OFFSET('3-Schopnosti'!$AS$7,0,0,COUNTA('3-Schopnosti'!$AS$7:$AS$100),1)</definedName>
    <definedName name="Schopnosti_Data" comment="Přehled schopností všech povolání">Schopnosti!$A$2:$T$1740</definedName>
    <definedName name="sChr" comment="Stupeň charismy">'1-Vlastnosti'!$C$9</definedName>
    <definedName name="SIL" comment="Oprava za sílu">'1-Vlastnosti'!$D$4</definedName>
    <definedName name="sInt">'1-Vlastnosti'!$C$8</definedName>
    <definedName name="Sluch">'1-Vlastnosti'!$I$17</definedName>
    <definedName name="sObr">'1-Vlastnosti'!$C$5</definedName>
    <definedName name="sSil">'1-Vlastnosti'!$C$4</definedName>
    <definedName name="sSms">'1-Vlastnosti'!$C$17</definedName>
    <definedName name="sVol">'1-Vlastnosti'!$C$7</definedName>
    <definedName name="sZrč">'1-Vlastnosti'!$C$6</definedName>
    <definedName name="Úr" comment="úroveň postavy">'1-Vlastnosti'!$S$2</definedName>
    <definedName name="VDR">'1-Vlastnosti'!$F$14</definedName>
    <definedName name="VEL">'2-Vzhled a charakter'!$P$16</definedName>
    <definedName name="VOL" comment="Oprava za vůli">'1-Vlastnosti'!$D$7</definedName>
    <definedName name="Zrak">'1-Vlastnosti'!$I$16</definedName>
    <definedName name="ZRČ" comment="Oprava za zručnost">'1-Vlastnosti'!$D$6</definedName>
    <definedName name="ZV_1" comment="První záporná Veverka">'Tvorba postavy'!$D$27</definedName>
    <definedName name="ZV_2" comment="Druhá záporná Veverka">'Tvorba postavy'!$E$28</definedName>
    <definedName name="ZV_3" comment="Třetí záporná veverka">'Tvorba postavy'!$E$29</definedName>
  </definedNames>
  <calcPr calcId="162913"/>
</workbook>
</file>

<file path=xl/calcChain.xml><?xml version="1.0" encoding="utf-8"?>
<calcChain xmlns="http://schemas.openxmlformats.org/spreadsheetml/2006/main">
  <c r="G29" i="27" l="1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30" i="27" s="1"/>
  <c r="G11" i="27"/>
  <c r="G10" i="27"/>
  <c r="E8" i="27" s="1"/>
  <c r="E12" i="27" s="1"/>
  <c r="G7" i="27"/>
  <c r="G6" i="27"/>
  <c r="K27" i="1"/>
  <c r="K28" i="1"/>
  <c r="K29" i="1"/>
  <c r="K30" i="1"/>
  <c r="K31" i="1"/>
  <c r="K32" i="1"/>
  <c r="K33" i="1"/>
  <c r="K34" i="1"/>
  <c r="K3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K25" i="1" s="1"/>
  <c r="AQ61" i="1"/>
  <c r="AQ62" i="1"/>
  <c r="AQ63" i="1"/>
  <c r="AQ64" i="1"/>
  <c r="AQ65" i="1"/>
  <c r="AQ66" i="1"/>
  <c r="AQ67" i="1"/>
  <c r="AQ68" i="1"/>
  <c r="AQ69" i="1"/>
  <c r="AQ70" i="1"/>
  <c r="K26" i="1" s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5" i="1"/>
  <c r="AG59" i="25" l="1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S6" i="20"/>
  <c r="T6" i="20"/>
  <c r="U6" i="20"/>
  <c r="V6" i="20"/>
  <c r="W6" i="20"/>
  <c r="X6" i="20"/>
  <c r="Y6" i="20"/>
  <c r="Z6" i="20"/>
  <c r="AA6" i="20"/>
  <c r="AB6" i="20"/>
  <c r="AC6" i="20"/>
  <c r="AD6" i="20"/>
  <c r="AE6" i="20"/>
  <c r="AF6" i="20"/>
  <c r="AG6" i="20"/>
  <c r="AH6" i="20"/>
  <c r="AI6" i="20"/>
  <c r="AJ6" i="20"/>
  <c r="AK6" i="20"/>
  <c r="AL6" i="20"/>
  <c r="AM6" i="20"/>
  <c r="AN6" i="20"/>
  <c r="AO6" i="20"/>
  <c r="AP6" i="20"/>
  <c r="AQ6" i="20"/>
  <c r="AR6" i="20"/>
  <c r="AS6" i="20"/>
  <c r="AT6" i="20"/>
  <c r="AU6" i="20"/>
  <c r="F74" i="10" l="1"/>
  <c r="J78" i="10" l="1"/>
  <c r="S54" i="20" l="1"/>
  <c r="T54" i="20"/>
  <c r="U54" i="20"/>
  <c r="V54" i="20"/>
  <c r="W54" i="20"/>
  <c r="X54" i="20"/>
  <c r="Y54" i="20"/>
  <c r="Z54" i="20"/>
  <c r="AA54" i="20"/>
  <c r="AB54" i="20"/>
  <c r="AC54" i="20"/>
  <c r="AD54" i="20"/>
  <c r="AE54" i="20"/>
  <c r="AF54" i="20"/>
  <c r="AG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AT54" i="20"/>
  <c r="AU54" i="20"/>
  <c r="S55" i="20"/>
  <c r="T55" i="20"/>
  <c r="U55" i="20"/>
  <c r="V55" i="20"/>
  <c r="W55" i="20"/>
  <c r="X55" i="20"/>
  <c r="Y55" i="20"/>
  <c r="Z55" i="20"/>
  <c r="AA55" i="20"/>
  <c r="AB55" i="20"/>
  <c r="AC55" i="20"/>
  <c r="AD55" i="20"/>
  <c r="AE55" i="20"/>
  <c r="AF55" i="20"/>
  <c r="AG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AT55" i="20"/>
  <c r="AU55" i="20"/>
  <c r="AF59" i="25"/>
  <c r="R31" i="17" l="1"/>
  <c r="R27" i="17"/>
  <c r="S21" i="20" l="1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S20" i="20"/>
  <c r="T20" i="20"/>
  <c r="U20" i="20"/>
  <c r="V20" i="20"/>
  <c r="W20" i="20"/>
  <c r="X20" i="20"/>
  <c r="Y20" i="20"/>
  <c r="Z20" i="20"/>
  <c r="AA20" i="20"/>
  <c r="AB20" i="20"/>
  <c r="AC20" i="20"/>
  <c r="AD20" i="20"/>
  <c r="AE20" i="20"/>
  <c r="AF20" i="20"/>
  <c r="AG20" i="20"/>
  <c r="AH20" i="20"/>
  <c r="AI20" i="20"/>
  <c r="AJ20" i="20"/>
  <c r="AK20" i="20"/>
  <c r="AL20" i="20"/>
  <c r="AM20" i="20"/>
  <c r="AN20" i="20"/>
  <c r="AO20" i="20"/>
  <c r="AP20" i="20"/>
  <c r="AQ20" i="20"/>
  <c r="AR20" i="20"/>
  <c r="AS20" i="20"/>
  <c r="AT20" i="20"/>
  <c r="AU20" i="20"/>
  <c r="AE59" i="25"/>
  <c r="T5" i="19" l="1"/>
  <c r="T6" i="19"/>
  <c r="T7" i="19"/>
  <c r="T8" i="19"/>
  <c r="T9" i="19"/>
  <c r="T10" i="19"/>
  <c r="T11" i="19"/>
  <c r="T12" i="19"/>
  <c r="T13" i="19"/>
  <c r="T14" i="19"/>
  <c r="T15" i="19"/>
  <c r="T16" i="19"/>
  <c r="T17" i="19"/>
  <c r="T18" i="19"/>
  <c r="T19" i="19"/>
  <c r="T20" i="19"/>
  <c r="T21" i="19"/>
  <c r="T22" i="19"/>
  <c r="T23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T58" i="19"/>
  <c r="T59" i="19"/>
  <c r="T60" i="19"/>
  <c r="T61" i="19"/>
  <c r="T62" i="19"/>
  <c r="T63" i="19"/>
  <c r="T64" i="19"/>
  <c r="T65" i="19"/>
  <c r="T66" i="19"/>
  <c r="T67" i="19"/>
  <c r="T68" i="19"/>
  <c r="T69" i="19"/>
  <c r="T70" i="19"/>
  <c r="T71" i="19"/>
  <c r="T72" i="19"/>
  <c r="T73" i="19"/>
  <c r="T74" i="19"/>
  <c r="T75" i="19"/>
  <c r="T76" i="19"/>
  <c r="T77" i="19"/>
  <c r="T78" i="19"/>
  <c r="T79" i="19"/>
  <c r="T80" i="19"/>
  <c r="T81" i="19"/>
  <c r="T82" i="19"/>
  <c r="T83" i="19"/>
  <c r="T84" i="19"/>
  <c r="T85" i="19"/>
  <c r="T86" i="19"/>
  <c r="T87" i="19"/>
  <c r="T88" i="19"/>
  <c r="T89" i="19"/>
  <c r="T90" i="19"/>
  <c r="T91" i="19"/>
  <c r="T92" i="19"/>
  <c r="T93" i="19"/>
  <c r="T94" i="19"/>
  <c r="T95" i="19"/>
  <c r="T96" i="19"/>
  <c r="T97" i="19"/>
  <c r="T98" i="19"/>
  <c r="T99" i="19"/>
  <c r="T100" i="19"/>
  <c r="T101" i="19"/>
  <c r="T102" i="19"/>
  <c r="T103" i="19"/>
  <c r="T104" i="19"/>
  <c r="T105" i="19"/>
  <c r="T106" i="19"/>
  <c r="T107" i="19"/>
  <c r="T108" i="19"/>
  <c r="T109" i="19"/>
  <c r="T110" i="19"/>
  <c r="T111" i="19"/>
  <c r="T112" i="19"/>
  <c r="T113" i="19"/>
  <c r="T114" i="19"/>
  <c r="T115" i="19"/>
  <c r="T116" i="19"/>
  <c r="T117" i="19"/>
  <c r="T118" i="19"/>
  <c r="T119" i="19"/>
  <c r="T120" i="19"/>
  <c r="T121" i="19"/>
  <c r="T122" i="19"/>
  <c r="T123" i="19"/>
  <c r="T124" i="19"/>
  <c r="T4" i="19"/>
  <c r="Q5" i="19"/>
  <c r="Q6" i="19"/>
  <c r="Q7" i="19"/>
  <c r="Q8" i="19"/>
  <c r="Q9" i="19"/>
  <c r="Q10" i="19"/>
  <c r="Q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57" i="19"/>
  <c r="Q58" i="19"/>
  <c r="Q59" i="19"/>
  <c r="Q60" i="19"/>
  <c r="Q61" i="19"/>
  <c r="Q62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Q101" i="19"/>
  <c r="Q102" i="19"/>
  <c r="Q103" i="19"/>
  <c r="Q104" i="19"/>
  <c r="Q105" i="19"/>
  <c r="Q106" i="19"/>
  <c r="Q107" i="19"/>
  <c r="Q108" i="19"/>
  <c r="Q109" i="19"/>
  <c r="Q110" i="19"/>
  <c r="Q111" i="19"/>
  <c r="Q112" i="19"/>
  <c r="Q113" i="19"/>
  <c r="Q114" i="19"/>
  <c r="Q115" i="19"/>
  <c r="Q116" i="19"/>
  <c r="Q117" i="19"/>
  <c r="Q118" i="19"/>
  <c r="Q119" i="19"/>
  <c r="Q120" i="19"/>
  <c r="Q121" i="19"/>
  <c r="Q122" i="19"/>
  <c r="Q123" i="19"/>
  <c r="Q124" i="19"/>
  <c r="Q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13" i="19"/>
  <c r="N114" i="19"/>
  <c r="N115" i="19"/>
  <c r="N116" i="19"/>
  <c r="N117" i="19"/>
  <c r="N118" i="19"/>
  <c r="N119" i="19"/>
  <c r="N120" i="19"/>
  <c r="N121" i="19"/>
  <c r="N122" i="19"/>
  <c r="N123" i="19"/>
  <c r="N124" i="19"/>
  <c r="N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H122" i="19"/>
  <c r="H123" i="19"/>
  <c r="H124" i="19"/>
  <c r="H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4" i="19"/>
  <c r="AD59" i="25" l="1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AI38" i="20"/>
  <c r="AJ38" i="20"/>
  <c r="AK38" i="20"/>
  <c r="AL38" i="20"/>
  <c r="AM38" i="20"/>
  <c r="AN38" i="20"/>
  <c r="AO38" i="20"/>
  <c r="AP38" i="20"/>
  <c r="AQ38" i="20"/>
  <c r="AR38" i="20"/>
  <c r="AS38" i="20"/>
  <c r="AT38" i="20"/>
  <c r="AU38" i="20"/>
  <c r="S37" i="20"/>
  <c r="T37" i="20"/>
  <c r="U37" i="20"/>
  <c r="V37" i="20"/>
  <c r="W37" i="20"/>
  <c r="X37" i="20"/>
  <c r="Y37" i="20"/>
  <c r="Z37" i="20"/>
  <c r="AA37" i="20"/>
  <c r="AB37" i="20"/>
  <c r="AC37" i="20"/>
  <c r="AD37" i="20"/>
  <c r="AE37" i="20"/>
  <c r="AF37" i="20"/>
  <c r="AG37" i="20"/>
  <c r="AH37" i="20"/>
  <c r="AI37" i="20"/>
  <c r="AJ37" i="20"/>
  <c r="AK37" i="20"/>
  <c r="AL37" i="20"/>
  <c r="AM37" i="20"/>
  <c r="AN37" i="20"/>
  <c r="AO37" i="20"/>
  <c r="AP37" i="20"/>
  <c r="AQ37" i="20"/>
  <c r="AR37" i="20"/>
  <c r="AS37" i="20"/>
  <c r="AT37" i="20"/>
  <c r="AU37" i="20"/>
  <c r="S28" i="20"/>
  <c r="T28" i="20"/>
  <c r="U28" i="20"/>
  <c r="V28" i="20"/>
  <c r="W28" i="20"/>
  <c r="X28" i="20"/>
  <c r="Y28" i="20"/>
  <c r="Z28" i="20"/>
  <c r="AA28" i="20"/>
  <c r="AB28" i="20"/>
  <c r="AC28" i="20"/>
  <c r="AD28" i="20"/>
  <c r="AE28" i="20"/>
  <c r="AF28" i="20"/>
  <c r="AG28" i="20"/>
  <c r="AH28" i="20"/>
  <c r="AI28" i="20"/>
  <c r="AJ28" i="20"/>
  <c r="AK28" i="20"/>
  <c r="AL28" i="20"/>
  <c r="AM28" i="20"/>
  <c r="AN28" i="20"/>
  <c r="AO28" i="20"/>
  <c r="AP28" i="20"/>
  <c r="AQ28" i="20"/>
  <c r="AR28" i="20"/>
  <c r="AS28" i="20"/>
  <c r="AT28" i="20"/>
  <c r="AU28" i="20"/>
  <c r="S26" i="20"/>
  <c r="T26" i="20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I26" i="20"/>
  <c r="AJ26" i="20"/>
  <c r="AK26" i="20"/>
  <c r="AL26" i="20"/>
  <c r="AM26" i="20"/>
  <c r="AN26" i="20"/>
  <c r="AO26" i="20"/>
  <c r="AP26" i="20"/>
  <c r="AQ26" i="20"/>
  <c r="AR26" i="20"/>
  <c r="AS26" i="20"/>
  <c r="AT26" i="20"/>
  <c r="AU26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AH27" i="20"/>
  <c r="AI27" i="20"/>
  <c r="AJ27" i="20"/>
  <c r="AK27" i="20"/>
  <c r="AL27" i="20"/>
  <c r="AM27" i="20"/>
  <c r="AN27" i="20"/>
  <c r="AO27" i="20"/>
  <c r="AP27" i="20"/>
  <c r="AQ27" i="20"/>
  <c r="AR27" i="20"/>
  <c r="AS27" i="20"/>
  <c r="AT27" i="20"/>
  <c r="AU27" i="20"/>
  <c r="S25" i="20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AI25" i="20"/>
  <c r="AJ25" i="20"/>
  <c r="AK25" i="20"/>
  <c r="AL25" i="20"/>
  <c r="AM25" i="20"/>
  <c r="AN25" i="20"/>
  <c r="AO25" i="20"/>
  <c r="AP25" i="20"/>
  <c r="AQ25" i="20"/>
  <c r="AR25" i="20"/>
  <c r="AS25" i="20"/>
  <c r="AT25" i="20"/>
  <c r="AU25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AT60" i="20"/>
  <c r="AU60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I59" i="20"/>
  <c r="AJ59" i="20"/>
  <c r="AK59" i="20"/>
  <c r="AL59" i="20"/>
  <c r="AM59" i="20"/>
  <c r="AN59" i="20"/>
  <c r="AO59" i="20"/>
  <c r="AP59" i="20"/>
  <c r="AQ59" i="20"/>
  <c r="AR59" i="20"/>
  <c r="AS59" i="20"/>
  <c r="AT59" i="20"/>
  <c r="AU59" i="20"/>
  <c r="AI52" i="28" l="1"/>
  <c r="AI37" i="28"/>
  <c r="AI12" i="28" l="1"/>
  <c r="AI40" i="28"/>
  <c r="V40" i="28"/>
  <c r="J23" i="28" s="1"/>
  <c r="AA59" i="25" l="1"/>
  <c r="AB59" i="25"/>
  <c r="AC59" i="25"/>
  <c r="AH59" i="25"/>
  <c r="Z59" i="25"/>
  <c r="F81" i="10" l="1"/>
  <c r="C81" i="10"/>
  <c r="J66" i="17" l="1"/>
  <c r="O17" i="1" l="1"/>
  <c r="O86" i="17" l="1"/>
  <c r="L86" i="17"/>
  <c r="O85" i="17"/>
  <c r="L85" i="17"/>
  <c r="O84" i="17"/>
  <c r="L84" i="17"/>
  <c r="O83" i="17"/>
  <c r="L83" i="17"/>
  <c r="O82" i="17"/>
  <c r="L82" i="17"/>
  <c r="O81" i="17"/>
  <c r="L81" i="17"/>
  <c r="E12" i="1" l="1"/>
  <c r="E11" i="1"/>
  <c r="A12" i="1"/>
  <c r="A11" i="1"/>
  <c r="E27" i="17"/>
  <c r="AM12" i="28" l="1"/>
  <c r="AP12" i="28"/>
  <c r="AM13" i="28"/>
  <c r="AP13" i="28"/>
  <c r="AM14" i="28"/>
  <c r="AP14" i="28"/>
  <c r="AM15" i="28"/>
  <c r="AP15" i="28"/>
  <c r="AM16" i="28"/>
  <c r="AP16" i="28"/>
  <c r="AM17" i="28"/>
  <c r="AP17" i="28"/>
  <c r="AM18" i="28"/>
  <c r="AP18" i="28"/>
  <c r="AM19" i="28"/>
  <c r="AP19" i="28"/>
  <c r="W28" i="1"/>
  <c r="Z28" i="1"/>
  <c r="W29" i="1"/>
  <c r="Z29" i="1"/>
  <c r="W30" i="1"/>
  <c r="Z30" i="1"/>
  <c r="W31" i="1"/>
  <c r="Z31" i="1"/>
  <c r="Z27" i="1"/>
  <c r="W27" i="1"/>
  <c r="AJ31" i="6"/>
  <c r="AM31" i="6"/>
  <c r="AJ32" i="6"/>
  <c r="AM32" i="6"/>
  <c r="AJ33" i="6"/>
  <c r="AM33" i="6"/>
  <c r="AJ34" i="6"/>
  <c r="AM34" i="6"/>
  <c r="AJ35" i="6"/>
  <c r="AM35" i="6"/>
  <c r="AJ36" i="6"/>
  <c r="AM36" i="6"/>
  <c r="AJ37" i="6"/>
  <c r="AM37" i="6"/>
  <c r="AJ38" i="6"/>
  <c r="AM38" i="6"/>
  <c r="AJ39" i="6"/>
  <c r="AM39" i="6"/>
  <c r="AJ40" i="6"/>
  <c r="AM40" i="6"/>
  <c r="AJ41" i="6"/>
  <c r="AM41" i="6"/>
  <c r="AJ42" i="6"/>
  <c r="AM42" i="6"/>
  <c r="AJ43" i="6"/>
  <c r="AM43" i="6"/>
  <c r="AJ44" i="6"/>
  <c r="AM44" i="6"/>
  <c r="AJ45" i="6"/>
  <c r="AM45" i="6"/>
  <c r="AJ46" i="6"/>
  <c r="AM46" i="6"/>
  <c r="AJ47" i="6"/>
  <c r="AM47" i="6"/>
  <c r="AJ48" i="6"/>
  <c r="AM48" i="6"/>
  <c r="AJ49" i="6"/>
  <c r="AM49" i="6"/>
  <c r="AM30" i="6"/>
  <c r="AJ30" i="6"/>
  <c r="AN106" i="17"/>
  <c r="E31" i="17" l="1"/>
  <c r="A10" i="1" s="1"/>
  <c r="E28" i="17"/>
  <c r="R28" i="17" s="1"/>
  <c r="E29" i="17"/>
  <c r="E81" i="10" l="1"/>
  <c r="R29" i="17"/>
  <c r="D81" i="10"/>
  <c r="N85" i="17"/>
  <c r="N81" i="17"/>
  <c r="N86" i="17"/>
  <c r="N82" i="17"/>
  <c r="N83" i="17"/>
  <c r="N84" i="17"/>
  <c r="M84" i="17"/>
  <c r="M85" i="17"/>
  <c r="M86" i="17"/>
  <c r="M82" i="17"/>
  <c r="M83" i="17"/>
  <c r="M81" i="17"/>
  <c r="AO15" i="28"/>
  <c r="AL44" i="6"/>
  <c r="AL49" i="6"/>
  <c r="AO17" i="28"/>
  <c r="AL34" i="6"/>
  <c r="AL48" i="6"/>
  <c r="AL47" i="6"/>
  <c r="Y28" i="1"/>
  <c r="AL40" i="6"/>
  <c r="AO12" i="28"/>
  <c r="AO14" i="28"/>
  <c r="Y29" i="1"/>
  <c r="Y31" i="1"/>
  <c r="AL31" i="6"/>
  <c r="AL33" i="6"/>
  <c r="AL35" i="6"/>
  <c r="AL37" i="6"/>
  <c r="AL39" i="6"/>
  <c r="AL41" i="6"/>
  <c r="AL43" i="6"/>
  <c r="AL45" i="6"/>
  <c r="AL36" i="6"/>
  <c r="AL30" i="6"/>
  <c r="AO19" i="28"/>
  <c r="AL38" i="6"/>
  <c r="AO16" i="28"/>
  <c r="Y30" i="1"/>
  <c r="AL42" i="6"/>
  <c r="Y27" i="1"/>
  <c r="AO13" i="28"/>
  <c r="AO18" i="28"/>
  <c r="AL32" i="6"/>
  <c r="AL46" i="6"/>
  <c r="AK35" i="6"/>
  <c r="AK39" i="6"/>
  <c r="AK45" i="6"/>
  <c r="X27" i="1"/>
  <c r="AK33" i="6"/>
  <c r="AK43" i="6"/>
  <c r="AK49" i="6"/>
  <c r="AN12" i="28"/>
  <c r="AN14" i="28"/>
  <c r="X29" i="1"/>
  <c r="X31" i="1"/>
  <c r="AK31" i="6"/>
  <c r="AK37" i="6"/>
  <c r="AK41" i="6"/>
  <c r="AK47" i="6"/>
  <c r="AK34" i="6"/>
  <c r="AK42" i="6"/>
  <c r="Z85" i="17"/>
  <c r="AK32" i="6"/>
  <c r="AK40" i="6"/>
  <c r="AK48" i="6"/>
  <c r="AK30" i="6"/>
  <c r="AN13" i="28"/>
  <c r="AN15" i="28"/>
  <c r="AN16" i="28"/>
  <c r="AN17" i="28"/>
  <c r="AN18" i="28"/>
  <c r="AN19" i="28"/>
  <c r="X28" i="1"/>
  <c r="X30" i="1"/>
  <c r="AK36" i="6"/>
  <c r="AK38" i="6"/>
  <c r="AK44" i="6"/>
  <c r="AK46" i="6"/>
  <c r="AN122" i="17"/>
  <c r="AN123" i="17"/>
  <c r="AN124" i="17"/>
  <c r="AN125" i="17"/>
  <c r="AU123" i="19"/>
  <c r="AV123" i="19" s="1"/>
  <c r="AU124" i="19"/>
  <c r="AV124" i="19" s="1"/>
  <c r="AO124" i="19"/>
  <c r="AP124" i="19"/>
  <c r="AQ124" i="19"/>
  <c r="AR124" i="19"/>
  <c r="AO123" i="19"/>
  <c r="AP123" i="19"/>
  <c r="AQ123" i="19"/>
  <c r="AR123" i="19"/>
  <c r="AT124" i="19"/>
  <c r="AT123" i="19"/>
  <c r="F21" i="17" l="1"/>
  <c r="E77" i="17"/>
  <c r="L24" i="17"/>
  <c r="P67" i="17"/>
  <c r="E67" i="17" s="1"/>
  <c r="P66" i="17"/>
  <c r="E66" i="17" s="1"/>
  <c r="J65" i="17"/>
  <c r="Y57" i="6" l="1"/>
  <c r="Y56" i="6"/>
  <c r="Y55" i="6"/>
  <c r="Y54" i="6"/>
  <c r="Y53" i="6"/>
  <c r="D9" i="17" l="1"/>
  <c r="O52" i="13" l="1"/>
  <c r="P52" i="13"/>
  <c r="O53" i="13"/>
  <c r="P53" i="13"/>
  <c r="O54" i="13"/>
  <c r="P54" i="13"/>
  <c r="O55" i="13"/>
  <c r="P55" i="13"/>
  <c r="O56" i="13"/>
  <c r="P56" i="13"/>
  <c r="O57" i="13"/>
  <c r="P57" i="13"/>
  <c r="O58" i="13"/>
  <c r="P58" i="13"/>
  <c r="O59" i="13"/>
  <c r="P59" i="13"/>
  <c r="O60" i="13"/>
  <c r="P60" i="13"/>
  <c r="O61" i="13"/>
  <c r="P61" i="13"/>
  <c r="O62" i="13"/>
  <c r="P62" i="13"/>
  <c r="O63" i="13"/>
  <c r="P63" i="13"/>
  <c r="O64" i="13"/>
  <c r="P64" i="13"/>
  <c r="O65" i="13"/>
  <c r="P65" i="13"/>
  <c r="O66" i="13"/>
  <c r="P66" i="13"/>
  <c r="O67" i="13"/>
  <c r="P67" i="13"/>
  <c r="O68" i="13"/>
  <c r="P68" i="13"/>
  <c r="O69" i="13"/>
  <c r="P69" i="13"/>
  <c r="O70" i="13"/>
  <c r="P70" i="13"/>
  <c r="O51" i="13"/>
  <c r="P51" i="13"/>
  <c r="O23" i="13"/>
  <c r="P23" i="13"/>
  <c r="O24" i="13"/>
  <c r="P24" i="13"/>
  <c r="O25" i="13"/>
  <c r="P25" i="13"/>
  <c r="O26" i="13"/>
  <c r="P26" i="13"/>
  <c r="O27" i="13"/>
  <c r="P27" i="13"/>
  <c r="O28" i="13"/>
  <c r="P28" i="13"/>
  <c r="O29" i="13"/>
  <c r="P29" i="13"/>
  <c r="O30" i="13"/>
  <c r="P30" i="13"/>
  <c r="O31" i="13"/>
  <c r="P31" i="13"/>
  <c r="O32" i="13"/>
  <c r="P32" i="13"/>
  <c r="O33" i="13"/>
  <c r="P33" i="13"/>
  <c r="O34" i="13"/>
  <c r="P34" i="13"/>
  <c r="O35" i="13"/>
  <c r="P35" i="13"/>
  <c r="O36" i="13"/>
  <c r="P36" i="13"/>
  <c r="O37" i="13"/>
  <c r="P37" i="13"/>
  <c r="O38" i="13"/>
  <c r="P38" i="13"/>
  <c r="O39" i="13"/>
  <c r="P39" i="13"/>
  <c r="O40" i="13"/>
  <c r="P40" i="13"/>
  <c r="O41" i="13"/>
  <c r="P41" i="13"/>
  <c r="O42" i="13"/>
  <c r="P42" i="13"/>
  <c r="O43" i="13"/>
  <c r="P43" i="13"/>
  <c r="O44" i="13"/>
  <c r="P44" i="13"/>
  <c r="O45" i="13"/>
  <c r="P45" i="13"/>
  <c r="O46" i="13"/>
  <c r="P46" i="13"/>
  <c r="O47" i="13"/>
  <c r="P47" i="13"/>
  <c r="O48" i="13"/>
  <c r="P48" i="13"/>
  <c r="O49" i="13"/>
  <c r="P49" i="13"/>
  <c r="O50" i="13"/>
  <c r="P50" i="13"/>
  <c r="P22" i="13"/>
  <c r="O22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Q51" i="13"/>
  <c r="I51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22" i="13"/>
  <c r="I22" i="13"/>
  <c r="AI55" i="28" l="1"/>
  <c r="AI54" i="28"/>
  <c r="F40" i="28" s="1"/>
  <c r="AI50" i="28"/>
  <c r="AI43" i="28"/>
  <c r="AI44" i="28"/>
  <c r="AI45" i="28"/>
  <c r="AI39" i="28"/>
  <c r="AI31" i="28"/>
  <c r="AI32" i="28"/>
  <c r="L23" i="28" s="1"/>
  <c r="AI48" i="28"/>
  <c r="AI34" i="28"/>
  <c r="AI30" i="28"/>
  <c r="AI17" i="28"/>
  <c r="AI26" i="28"/>
  <c r="AI27" i="28"/>
  <c r="AI24" i="28"/>
  <c r="AI25" i="28"/>
  <c r="AI23" i="28"/>
  <c r="AI22" i="28"/>
  <c r="AI20" i="28"/>
  <c r="AI18" i="28"/>
  <c r="AI6" i="28"/>
  <c r="AI53" i="28"/>
  <c r="AI47" i="28"/>
  <c r="AI7" i="28"/>
  <c r="AI8" i="28"/>
  <c r="AI9" i="28"/>
  <c r="AI10" i="28"/>
  <c r="AI13" i="28"/>
  <c r="AI5" i="28"/>
  <c r="AI4" i="28"/>
  <c r="L25" i="28" l="1"/>
  <c r="L26" i="28"/>
  <c r="L27" i="28"/>
  <c r="L24" i="28"/>
  <c r="E21" i="17"/>
  <c r="U4" i="11"/>
  <c r="AU12" i="19" l="1"/>
  <c r="AV12" i="19" s="1"/>
  <c r="AU13" i="19"/>
  <c r="AO13" i="19"/>
  <c r="AP13" i="19"/>
  <c r="AQ13" i="19"/>
  <c r="AR13" i="19"/>
  <c r="AO12" i="19"/>
  <c r="AP12" i="19"/>
  <c r="AQ12" i="19"/>
  <c r="AR12" i="19"/>
  <c r="AT13" i="19"/>
  <c r="AV13" i="19" s="1"/>
  <c r="AT12" i="19"/>
  <c r="AN31" i="17"/>
  <c r="AN32" i="17"/>
  <c r="AN33" i="17"/>
  <c r="AN34" i="17"/>
  <c r="AN35" i="17"/>
  <c r="AN36" i="17"/>
  <c r="AN37" i="17"/>
  <c r="AN38" i="17"/>
  <c r="AN39" i="17"/>
  <c r="AN40" i="17"/>
  <c r="AN41" i="17"/>
  <c r="AN42" i="17"/>
  <c r="AN43" i="17"/>
  <c r="AN44" i="17"/>
  <c r="AN45" i="17"/>
  <c r="AN46" i="17"/>
  <c r="AN47" i="17"/>
  <c r="AN48" i="17"/>
  <c r="AN49" i="17"/>
  <c r="AN50" i="17"/>
  <c r="AN51" i="17"/>
  <c r="AN52" i="17"/>
  <c r="AN53" i="17"/>
  <c r="AN54" i="17"/>
  <c r="AN55" i="17"/>
  <c r="AN56" i="17"/>
  <c r="AN57" i="17"/>
  <c r="AN58" i="17"/>
  <c r="AN59" i="17"/>
  <c r="AN60" i="17"/>
  <c r="AN61" i="17"/>
  <c r="AN62" i="17"/>
  <c r="AN63" i="17"/>
  <c r="AN64" i="17"/>
  <c r="AN65" i="17"/>
  <c r="AN66" i="17"/>
  <c r="AN67" i="17"/>
  <c r="AN68" i="17"/>
  <c r="AN69" i="17"/>
  <c r="AN70" i="17"/>
  <c r="AN71" i="17"/>
  <c r="AN72" i="17"/>
  <c r="AN73" i="17"/>
  <c r="AN74" i="17"/>
  <c r="AN75" i="17"/>
  <c r="AN76" i="17"/>
  <c r="AN77" i="17"/>
  <c r="AN78" i="17"/>
  <c r="AN79" i="17"/>
  <c r="AN80" i="17"/>
  <c r="AN81" i="17"/>
  <c r="AN82" i="17"/>
  <c r="AN83" i="17"/>
  <c r="AN84" i="17"/>
  <c r="AN85" i="17"/>
  <c r="AN86" i="17"/>
  <c r="AN87" i="17"/>
  <c r="AN88" i="17"/>
  <c r="AN89" i="17"/>
  <c r="AN90" i="17"/>
  <c r="AN91" i="17"/>
  <c r="AN92" i="17"/>
  <c r="AN93" i="17"/>
  <c r="AN94" i="17"/>
  <c r="AN95" i="17"/>
  <c r="AN96" i="17"/>
  <c r="AN97" i="17"/>
  <c r="AN98" i="17"/>
  <c r="AN99" i="17"/>
  <c r="AN100" i="17"/>
  <c r="AN101" i="17"/>
  <c r="AN102" i="17"/>
  <c r="AN103" i="17"/>
  <c r="AN104" i="17"/>
  <c r="AN105" i="17"/>
  <c r="AN107" i="17"/>
  <c r="AN108" i="17"/>
  <c r="AN109" i="17"/>
  <c r="AN110" i="17"/>
  <c r="AN111" i="17"/>
  <c r="AN112" i="17"/>
  <c r="AN113" i="17"/>
  <c r="AN114" i="17"/>
  <c r="AN115" i="17"/>
  <c r="AN116" i="17"/>
  <c r="AN117" i="17"/>
  <c r="AN118" i="17"/>
  <c r="AN119" i="17"/>
  <c r="AN120" i="17"/>
  <c r="AN121" i="17"/>
  <c r="AT94" i="19"/>
  <c r="AU94" i="19"/>
  <c r="AV94" i="19" s="1"/>
  <c r="AO94" i="19"/>
  <c r="AP94" i="19"/>
  <c r="AQ94" i="19"/>
  <c r="AR94" i="19"/>
  <c r="AN17" i="17"/>
  <c r="AN18" i="17"/>
  <c r="AN19" i="17"/>
  <c r="AN20" i="17"/>
  <c r="AN21" i="17"/>
  <c r="AN22" i="17"/>
  <c r="AN23" i="17"/>
  <c r="AN24" i="17"/>
  <c r="AN25" i="17"/>
  <c r="AN26" i="17"/>
  <c r="AN27" i="17"/>
  <c r="AN28" i="17"/>
  <c r="AN29" i="17"/>
  <c r="AN30" i="17"/>
  <c r="AU114" i="19"/>
  <c r="AV114" i="19" s="1"/>
  <c r="AU115" i="19"/>
  <c r="AO115" i="19"/>
  <c r="AP115" i="19"/>
  <c r="AQ115" i="19"/>
  <c r="AR115" i="19"/>
  <c r="AO114" i="19"/>
  <c r="AP114" i="19"/>
  <c r="AQ114" i="19"/>
  <c r="AR114" i="19"/>
  <c r="AT115" i="19"/>
  <c r="AT114" i="19"/>
  <c r="AU40" i="19"/>
  <c r="AV40" i="19" s="1"/>
  <c r="AU41" i="19"/>
  <c r="AO40" i="19"/>
  <c r="AP40" i="19"/>
  <c r="AQ40" i="19"/>
  <c r="AR40" i="19"/>
  <c r="AO41" i="19"/>
  <c r="AP41" i="19"/>
  <c r="AQ41" i="19"/>
  <c r="AR41" i="19"/>
  <c r="AT41" i="19"/>
  <c r="AT40" i="19"/>
  <c r="AV41" i="19" l="1"/>
  <c r="AV115" i="19"/>
  <c r="Z58" i="6"/>
  <c r="Z57" i="6"/>
  <c r="Z56" i="6"/>
  <c r="Z55" i="6"/>
  <c r="Z54" i="6"/>
  <c r="Z53" i="6"/>
  <c r="P30" i="28" l="1"/>
  <c r="Q30" i="28"/>
  <c r="P31" i="28"/>
  <c r="Q31" i="28"/>
  <c r="P32" i="28"/>
  <c r="Q32" i="28"/>
  <c r="P33" i="28"/>
  <c r="Q33" i="28"/>
  <c r="P34" i="28"/>
  <c r="Q34" i="28"/>
  <c r="P35" i="28"/>
  <c r="Q35" i="28"/>
  <c r="V54" i="28" l="1"/>
  <c r="D40" i="28" s="1"/>
  <c r="F27" i="28"/>
  <c r="V18" i="28"/>
  <c r="D27" i="28" s="1"/>
  <c r="V22" i="28"/>
  <c r="D31" i="28" s="1"/>
  <c r="B40" i="28"/>
  <c r="L55" i="6" l="1"/>
  <c r="K55" i="6"/>
  <c r="J55" i="6"/>
  <c r="T54" i="6"/>
  <c r="S54" i="6"/>
  <c r="R54" i="6"/>
  <c r="Q54" i="6"/>
  <c r="M54" i="6"/>
  <c r="L54" i="6"/>
  <c r="K54" i="6"/>
  <c r="J54" i="6"/>
  <c r="F54" i="6"/>
  <c r="E54" i="6"/>
  <c r="D54" i="6"/>
  <c r="C54" i="6"/>
  <c r="S44" i="6"/>
  <c r="R44" i="6"/>
  <c r="Q44" i="6"/>
  <c r="L44" i="6"/>
  <c r="K44" i="6"/>
  <c r="J44" i="6"/>
  <c r="T43" i="6"/>
  <c r="S43" i="6"/>
  <c r="R43" i="6"/>
  <c r="Q43" i="6"/>
  <c r="M43" i="6"/>
  <c r="L43" i="6"/>
  <c r="K43" i="6"/>
  <c r="J43" i="6"/>
  <c r="E44" i="6"/>
  <c r="D44" i="6"/>
  <c r="C44" i="6"/>
  <c r="F43" i="6"/>
  <c r="E43" i="6"/>
  <c r="D43" i="6"/>
  <c r="C43" i="6"/>
  <c r="L56" i="6"/>
  <c r="K56" i="6"/>
  <c r="S45" i="6"/>
  <c r="R45" i="6"/>
  <c r="L45" i="6"/>
  <c r="K45" i="6"/>
  <c r="E45" i="6"/>
  <c r="D45" i="6"/>
  <c r="AU85" i="19" l="1"/>
  <c r="AU86" i="19"/>
  <c r="AR86" i="19"/>
  <c r="AQ86" i="19"/>
  <c r="AP86" i="19"/>
  <c r="AO86" i="19"/>
  <c r="AR85" i="19"/>
  <c r="AQ85" i="19"/>
  <c r="AP85" i="19"/>
  <c r="AO85" i="19"/>
  <c r="AT86" i="19"/>
  <c r="AT85" i="19"/>
  <c r="AV86" i="19" l="1"/>
  <c r="AV85" i="19"/>
  <c r="AO78" i="19"/>
  <c r="AP78" i="19"/>
  <c r="AQ78" i="19"/>
  <c r="AR78" i="19"/>
  <c r="AU78" i="19"/>
  <c r="AV78" i="19" s="1"/>
  <c r="AT78" i="19"/>
  <c r="AT22" i="19" l="1"/>
  <c r="AU22" i="19"/>
  <c r="AT21" i="19"/>
  <c r="AU21" i="19"/>
  <c r="AT23" i="19"/>
  <c r="AU23" i="19"/>
  <c r="AT25" i="19"/>
  <c r="AU25" i="19"/>
  <c r="AT24" i="19"/>
  <c r="AU24" i="19"/>
  <c r="AT19" i="19"/>
  <c r="AU19" i="19"/>
  <c r="AT20" i="19"/>
  <c r="AU20" i="19"/>
  <c r="AT26" i="19"/>
  <c r="AU26" i="19"/>
  <c r="AO26" i="19"/>
  <c r="AP26" i="19"/>
  <c r="AQ26" i="19"/>
  <c r="AR26" i="19"/>
  <c r="AO20" i="19"/>
  <c r="AP20" i="19"/>
  <c r="AQ20" i="19"/>
  <c r="AR20" i="19"/>
  <c r="AO19" i="19"/>
  <c r="AP19" i="19"/>
  <c r="AQ19" i="19"/>
  <c r="AR19" i="19"/>
  <c r="AO24" i="19"/>
  <c r="AP24" i="19"/>
  <c r="AQ24" i="19"/>
  <c r="AR24" i="19"/>
  <c r="AO25" i="19"/>
  <c r="AP25" i="19"/>
  <c r="AQ25" i="19"/>
  <c r="AR25" i="19"/>
  <c r="AO23" i="19"/>
  <c r="AP23" i="19"/>
  <c r="AQ23" i="19"/>
  <c r="AR23" i="19"/>
  <c r="AO21" i="19"/>
  <c r="AP21" i="19"/>
  <c r="AQ21" i="19"/>
  <c r="AR21" i="19"/>
  <c r="AO22" i="19"/>
  <c r="AP22" i="19"/>
  <c r="AQ22" i="19"/>
  <c r="AR22" i="19"/>
  <c r="AV26" i="19" l="1"/>
  <c r="AV19" i="19"/>
  <c r="AV20" i="19"/>
  <c r="AV24" i="19"/>
  <c r="AV23" i="19"/>
  <c r="AV22" i="19"/>
  <c r="AV25" i="19"/>
  <c r="AV21" i="19"/>
  <c r="P15" i="9"/>
  <c r="Q15" i="9"/>
  <c r="R15" i="9"/>
  <c r="S15" i="9"/>
  <c r="T15" i="9"/>
  <c r="Q16" i="9"/>
  <c r="R16" i="9"/>
  <c r="S16" i="9"/>
  <c r="T16" i="9"/>
  <c r="R17" i="9"/>
  <c r="S17" i="9"/>
  <c r="T17" i="9"/>
  <c r="S18" i="9"/>
  <c r="T18" i="9"/>
  <c r="T19" i="9"/>
  <c r="O14" i="9"/>
  <c r="P14" i="9"/>
  <c r="Q14" i="9"/>
  <c r="R14" i="9"/>
  <c r="S14" i="9"/>
  <c r="T14" i="9"/>
  <c r="P12" i="9"/>
  <c r="R5" i="10" l="1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AU117" i="19" l="1"/>
  <c r="AV117" i="19" s="1"/>
  <c r="AT117" i="19"/>
  <c r="AU68" i="19" l="1"/>
  <c r="AT68" i="19"/>
  <c r="AR68" i="19"/>
  <c r="AQ68" i="19"/>
  <c r="AP68" i="19"/>
  <c r="AO68" i="19"/>
  <c r="AU67" i="19"/>
  <c r="AT67" i="19"/>
  <c r="AR67" i="19"/>
  <c r="AQ67" i="19"/>
  <c r="AP67" i="19"/>
  <c r="AO67" i="19"/>
  <c r="AV67" i="19" l="1"/>
  <c r="AV68" i="19"/>
  <c r="R4" i="10" l="1"/>
  <c r="G4" i="10"/>
  <c r="AS66" i="1" l="1"/>
  <c r="AT66" i="1"/>
  <c r="AU66" i="1"/>
  <c r="AV66" i="1"/>
  <c r="AW66" i="1"/>
  <c r="AX66" i="1"/>
  <c r="AU67" i="1"/>
  <c r="AV67" i="1"/>
  <c r="AW67" i="1"/>
  <c r="AX67" i="1"/>
  <c r="AV65" i="1"/>
  <c r="AW65" i="1"/>
  <c r="AX65" i="1"/>
  <c r="AX64" i="1"/>
  <c r="AW63" i="1"/>
  <c r="AX63" i="1"/>
  <c r="AU62" i="1"/>
  <c r="AV62" i="1"/>
  <c r="AW62" i="1"/>
  <c r="AX62" i="1"/>
  <c r="AV61" i="1"/>
  <c r="AW61" i="1"/>
  <c r="AX61" i="1"/>
  <c r="AT60" i="1"/>
  <c r="AU60" i="1"/>
  <c r="AV60" i="1"/>
  <c r="AW60" i="1"/>
  <c r="AX60" i="1"/>
  <c r="G6" i="10" l="1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AN13" i="10"/>
  <c r="AM11" i="10"/>
  <c r="AM16" i="10" s="1"/>
  <c r="AL11" i="10"/>
  <c r="AL20" i="10" s="1"/>
  <c r="AK11" i="10"/>
  <c r="AK15" i="10" s="1"/>
  <c r="AJ11" i="10"/>
  <c r="AJ20" i="10" s="1"/>
  <c r="AI11" i="10"/>
  <c r="AI19" i="10" s="1"/>
  <c r="AN19" i="10" s="1"/>
  <c r="AH11" i="10"/>
  <c r="AH15" i="10" s="1"/>
  <c r="AJ14" i="10" l="1"/>
  <c r="AH16" i="10"/>
  <c r="AJ17" i="10"/>
  <c r="AN20" i="10"/>
  <c r="AK16" i="10"/>
  <c r="AN16" i="10" s="1"/>
  <c r="AK17" i="10"/>
  <c r="AN17" i="10" s="1"/>
  <c r="AL18" i="10"/>
  <c r="AJ18" i="10"/>
  <c r="AN18" i="10" s="1"/>
  <c r="AH14" i="10"/>
  <c r="AK14" i="10"/>
  <c r="AM15" i="10"/>
  <c r="AN15" i="10" s="1"/>
  <c r="G5" i="10" s="1"/>
  <c r="AA58" i="6"/>
  <c r="AB58" i="6"/>
  <c r="AA57" i="6"/>
  <c r="AC58" i="6"/>
  <c r="AB57" i="6"/>
  <c r="AA56" i="6"/>
  <c r="AD58" i="6"/>
  <c r="AC57" i="6"/>
  <c r="AB56" i="6"/>
  <c r="AA55" i="6"/>
  <c r="AE58" i="6"/>
  <c r="AD57" i="6"/>
  <c r="AC56" i="6"/>
  <c r="AB55" i="6"/>
  <c r="AA54" i="6"/>
  <c r="Y52" i="6"/>
  <c r="AN14" i="10" l="1"/>
  <c r="P17" i="9"/>
  <c r="AT65" i="1"/>
  <c r="AT61" i="1"/>
  <c r="S19" i="9"/>
  <c r="AW64" i="1"/>
  <c r="O18" i="9"/>
  <c r="AS63" i="1"/>
  <c r="Q18" i="9"/>
  <c r="AU63" i="1"/>
  <c r="P16" i="9"/>
  <c r="AT62" i="1"/>
  <c r="AT67" i="1"/>
  <c r="T20" i="9"/>
  <c r="AX59" i="1"/>
  <c r="Q19" i="9"/>
  <c r="AU64" i="1"/>
  <c r="P19" i="9"/>
  <c r="AT64" i="1"/>
  <c r="P20" i="9"/>
  <c r="AT59" i="1"/>
  <c r="P18" i="9"/>
  <c r="AT63" i="1"/>
  <c r="O19" i="9"/>
  <c r="AS64" i="1"/>
  <c r="N14" i="9"/>
  <c r="AR66" i="1"/>
  <c r="R19" i="9"/>
  <c r="AV64" i="1"/>
  <c r="Q17" i="9"/>
  <c r="AU65" i="1"/>
  <c r="AU61" i="1"/>
  <c r="N16" i="9"/>
  <c r="AR67" i="1"/>
  <c r="AR62" i="1"/>
  <c r="R20" i="9"/>
  <c r="AV59" i="1"/>
  <c r="Q20" i="9"/>
  <c r="AU59" i="1"/>
  <c r="N19" i="9"/>
  <c r="AR64" i="1"/>
  <c r="O15" i="9"/>
  <c r="AS60" i="1"/>
  <c r="N20" i="9"/>
  <c r="AR59" i="1"/>
  <c r="N15" i="9"/>
  <c r="AR60" i="1"/>
  <c r="O16" i="9"/>
  <c r="AS62" i="1"/>
  <c r="AS67" i="1"/>
  <c r="S20" i="9"/>
  <c r="AW59" i="1"/>
  <c r="R18" i="9"/>
  <c r="AV63" i="1"/>
  <c r="O17" i="9"/>
  <c r="AS65" i="1"/>
  <c r="AS61" i="1"/>
  <c r="N17" i="9"/>
  <c r="AR65" i="1"/>
  <c r="AR61" i="1"/>
  <c r="N18" i="9"/>
  <c r="AR63" i="1"/>
  <c r="O20" i="9"/>
  <c r="AS59" i="1"/>
  <c r="AU72" i="19"/>
  <c r="AT72" i="19"/>
  <c r="AR72" i="19"/>
  <c r="AQ72" i="19"/>
  <c r="AP72" i="19"/>
  <c r="AO72" i="19"/>
  <c r="AU71" i="19"/>
  <c r="AT71" i="19"/>
  <c r="AR71" i="19"/>
  <c r="AQ71" i="19"/>
  <c r="AP71" i="19"/>
  <c r="AO71" i="19"/>
  <c r="AV71" i="19" l="1"/>
  <c r="AV72" i="19"/>
  <c r="M55" i="6"/>
  <c r="G4" i="27" l="1"/>
  <c r="G5" i="27"/>
  <c r="AF22" i="9" l="1"/>
  <c r="G2" i="27"/>
  <c r="N13" i="28"/>
  <c r="Z26" i="10" l="1"/>
  <c r="Z27" i="10"/>
  <c r="Z25" i="10"/>
  <c r="H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T5" i="10"/>
  <c r="T6" i="10"/>
  <c r="T7" i="10"/>
  <c r="T8" i="10"/>
  <c r="T9" i="10"/>
  <c r="T10" i="10"/>
  <c r="L22" i="28"/>
  <c r="L21" i="28"/>
  <c r="L19" i="28"/>
  <c r="L16" i="28"/>
  <c r="L15" i="28"/>
  <c r="L10" i="28"/>
  <c r="F36" i="28"/>
  <c r="F26" i="28"/>
  <c r="F34" i="28"/>
  <c r="F33" i="28"/>
  <c r="F32" i="28"/>
  <c r="F29" i="28"/>
  <c r="F22" i="28"/>
  <c r="F20" i="28"/>
  <c r="F19" i="28"/>
  <c r="F21" i="28"/>
  <c r="F18" i="28"/>
  <c r="F17" i="28"/>
  <c r="F15" i="28"/>
  <c r="F14" i="28"/>
  <c r="F11" i="28"/>
  <c r="F9" i="28"/>
  <c r="F7" i="28"/>
  <c r="F8" i="28"/>
  <c r="F6" i="28"/>
  <c r="F5" i="28"/>
  <c r="F10" i="28"/>
  <c r="F12" i="28"/>
  <c r="F4" i="28"/>
  <c r="J67" i="17" l="1"/>
  <c r="D68" i="17"/>
  <c r="H36" i="28" l="1"/>
  <c r="H37" i="28"/>
  <c r="H32" i="28"/>
  <c r="H34" i="28"/>
  <c r="H33" i="28"/>
  <c r="H35" i="28"/>
  <c r="BK22" i="1"/>
  <c r="BK24" i="1"/>
  <c r="BK23" i="1"/>
  <c r="BK21" i="1"/>
  <c r="BK20" i="1"/>
  <c r="BK19" i="1"/>
  <c r="BK18" i="1"/>
  <c r="BK17" i="1"/>
  <c r="BK16" i="1"/>
  <c r="BK15" i="1"/>
  <c r="BK14" i="1"/>
  <c r="BK13" i="1"/>
  <c r="BK12" i="1"/>
  <c r="BK11" i="1"/>
  <c r="BK10" i="1"/>
  <c r="BK9" i="1"/>
  <c r="BK8" i="1"/>
  <c r="BO8" i="6"/>
  <c r="BP8" i="6"/>
  <c r="BR8" i="6"/>
  <c r="BS8" i="6"/>
  <c r="BT8" i="6"/>
  <c r="BU8" i="6"/>
  <c r="BW8" i="6"/>
  <c r="BV8" i="6"/>
  <c r="BX8" i="6"/>
  <c r="BQ8" i="6"/>
  <c r="BY8" i="6"/>
  <c r="BZ8" i="6"/>
  <c r="CA8" i="6"/>
  <c r="CB8" i="6"/>
  <c r="CA9" i="6"/>
  <c r="CA10" i="6"/>
  <c r="CA11" i="6"/>
  <c r="CA16" i="6"/>
  <c r="CA17" i="6"/>
  <c r="CA18" i="6"/>
  <c r="CA19" i="6"/>
  <c r="CA20" i="6"/>
  <c r="CA21" i="6"/>
  <c r="CA22" i="6"/>
  <c r="CA23" i="6"/>
  <c r="CA24" i="6"/>
  <c r="CA25" i="6"/>
  <c r="CA28" i="6"/>
  <c r="CA29" i="6"/>
  <c r="CA30" i="6"/>
  <c r="CA31" i="6"/>
  <c r="CA32" i="6"/>
  <c r="CA33" i="6"/>
  <c r="CA35" i="6"/>
  <c r="CA36" i="6"/>
  <c r="CA37" i="6"/>
  <c r="CA39" i="6"/>
  <c r="CA40" i="6"/>
  <c r="CA41" i="6"/>
  <c r="CA42" i="6"/>
  <c r="CA43" i="6"/>
  <c r="CA44" i="6"/>
  <c r="CA45" i="6"/>
  <c r="CA46" i="6"/>
  <c r="CA47" i="6"/>
  <c r="CA48" i="6"/>
  <c r="CA49" i="6"/>
  <c r="CA50" i="6"/>
  <c r="CA51" i="6"/>
  <c r="CA52" i="6"/>
  <c r="CA53" i="6"/>
  <c r="CA54" i="6"/>
  <c r="CA55" i="6"/>
  <c r="CA56" i="6"/>
  <c r="CA57" i="6"/>
  <c r="CA58" i="6"/>
  <c r="CA59" i="6"/>
  <c r="CA60" i="6"/>
  <c r="CA61" i="6"/>
  <c r="CA62" i="6"/>
  <c r="CA63" i="6"/>
  <c r="CA64" i="6"/>
  <c r="CA65" i="6"/>
  <c r="CA66" i="6"/>
  <c r="CA67" i="6"/>
  <c r="CA68" i="6"/>
  <c r="CA69" i="6"/>
  <c r="CA70" i="6"/>
  <c r="CA73" i="6"/>
  <c r="CA75" i="6"/>
  <c r="CA76" i="6"/>
  <c r="CA77" i="6"/>
  <c r="CA78" i="6"/>
  <c r="CA79" i="6"/>
  <c r="CA80" i="6"/>
  <c r="CA82" i="6"/>
  <c r="CA83" i="6"/>
  <c r="CA87" i="6"/>
  <c r="CA88" i="6"/>
  <c r="CA89" i="6"/>
  <c r="CA90" i="6"/>
  <c r="CA91" i="6"/>
  <c r="CA92" i="6"/>
  <c r="CA93" i="6"/>
  <c r="CA94" i="6"/>
  <c r="CA95" i="6"/>
  <c r="CA96" i="6"/>
  <c r="CA97" i="6"/>
  <c r="CA98" i="6"/>
  <c r="CA99" i="6"/>
  <c r="CA100" i="6"/>
  <c r="CA101" i="6"/>
  <c r="CA102" i="6"/>
  <c r="CA104" i="6"/>
  <c r="CA105" i="6"/>
  <c r="N20" i="6"/>
  <c r="N19" i="6"/>
  <c r="I33" i="6"/>
  <c r="I32" i="6"/>
  <c r="I31" i="6"/>
  <c r="I30" i="6"/>
  <c r="I29" i="6"/>
  <c r="I28" i="6"/>
  <c r="I27" i="6"/>
  <c r="I26" i="6"/>
  <c r="T55" i="6"/>
  <c r="F55" i="6"/>
  <c r="T44" i="6"/>
  <c r="M44" i="6"/>
  <c r="F44" i="6"/>
  <c r="B2" i="1"/>
  <c r="H4" i="1"/>
  <c r="L4" i="1"/>
  <c r="B4" i="1"/>
  <c r="H5" i="1"/>
  <c r="L5" i="1"/>
  <c r="E6" i="1"/>
  <c r="D10" i="1"/>
  <c r="H10" i="1"/>
  <c r="E10" i="1" s="1"/>
  <c r="J10" i="1"/>
  <c r="L11" i="1"/>
  <c r="L12" i="1"/>
  <c r="L13" i="1"/>
  <c r="H27" i="6" l="1"/>
  <c r="G6" i="6"/>
  <c r="G7" i="6"/>
  <c r="G5" i="6"/>
  <c r="G8" i="6"/>
  <c r="G4" i="6"/>
  <c r="H4" i="6" s="1"/>
  <c r="G9" i="6"/>
  <c r="W40" i="28"/>
  <c r="H23" i="28" s="1"/>
  <c r="W50" i="28"/>
  <c r="W51" i="28"/>
  <c r="W43" i="28"/>
  <c r="W44" i="28"/>
  <c r="W38" i="28"/>
  <c r="W3" i="28"/>
  <c r="W33" i="28"/>
  <c r="W16" i="28"/>
  <c r="W36" i="28"/>
  <c r="W31" i="28"/>
  <c r="H22" i="28" s="1"/>
  <c r="W28" i="28"/>
  <c r="W4" i="28"/>
  <c r="AI14" i="28"/>
  <c r="F25" i="28" s="1"/>
  <c r="M5" i="1"/>
  <c r="N3" i="13"/>
  <c r="M4" i="1"/>
  <c r="N2" i="13"/>
  <c r="H22" i="6"/>
  <c r="AS126" i="19"/>
  <c r="M42" i="6"/>
  <c r="M53" i="6"/>
  <c r="H29" i="6"/>
  <c r="H26" i="6"/>
  <c r="H30" i="6"/>
  <c r="H28" i="6"/>
  <c r="H31" i="6"/>
  <c r="BU106" i="6"/>
  <c r="BU84" i="6"/>
  <c r="BR106" i="6"/>
  <c r="BO27" i="6"/>
  <c r="H32" i="6" s="1"/>
  <c r="BR84" i="6"/>
  <c r="BU27" i="6"/>
  <c r="BO106" i="6"/>
  <c r="BO84" i="6"/>
  <c r="BR27" i="6"/>
  <c r="I34" i="6"/>
  <c r="C42" i="6" l="1"/>
  <c r="H33" i="6"/>
  <c r="H10" i="28" l="1"/>
  <c r="B35" i="28"/>
  <c r="B36" i="28"/>
  <c r="B37" i="28"/>
  <c r="B12" i="28"/>
  <c r="B7" i="28"/>
  <c r="H19" i="28"/>
  <c r="G59" i="25" l="1"/>
  <c r="AN11" i="17" l="1"/>
  <c r="AN12" i="17"/>
  <c r="AN13" i="17"/>
  <c r="AN14" i="17"/>
  <c r="AN15" i="17"/>
  <c r="AN16" i="17"/>
  <c r="AO36" i="19"/>
  <c r="AP36" i="19"/>
  <c r="AQ36" i="19"/>
  <c r="AR36" i="19"/>
  <c r="AO35" i="19"/>
  <c r="AP35" i="19"/>
  <c r="AQ35" i="19"/>
  <c r="AR35" i="19"/>
  <c r="AT35" i="19"/>
  <c r="AU35" i="19"/>
  <c r="AT36" i="19"/>
  <c r="AU36" i="19"/>
  <c r="AV36" i="19" l="1"/>
  <c r="AV35" i="19"/>
  <c r="J27" i="6" l="1"/>
  <c r="J31" i="6"/>
  <c r="J29" i="6"/>
  <c r="J26" i="6"/>
  <c r="N32" i="6"/>
  <c r="N31" i="6"/>
  <c r="N30" i="6"/>
  <c r="N29" i="6"/>
  <c r="N28" i="6"/>
  <c r="N27" i="6"/>
  <c r="N26" i="6"/>
  <c r="J32" i="6"/>
  <c r="J30" i="6"/>
  <c r="J28" i="6"/>
  <c r="S53" i="6"/>
  <c r="L53" i="6"/>
  <c r="E53" i="6"/>
  <c r="R42" i="6"/>
  <c r="K42" i="6"/>
  <c r="Q42" i="6"/>
  <c r="J42" i="6"/>
  <c r="S42" i="6"/>
  <c r="R53" i="6"/>
  <c r="K53" i="6"/>
  <c r="D53" i="6"/>
  <c r="F53" i="6"/>
  <c r="L42" i="6"/>
  <c r="Q53" i="6"/>
  <c r="J53" i="6"/>
  <c r="C53" i="6"/>
  <c r="T42" i="6"/>
  <c r="T53" i="6"/>
  <c r="AO14" i="19"/>
  <c r="AP14" i="19"/>
  <c r="AQ14" i="19"/>
  <c r="AR14" i="19"/>
  <c r="AT14" i="19"/>
  <c r="AU14" i="19"/>
  <c r="AO15" i="19"/>
  <c r="AP15" i="19"/>
  <c r="AQ15" i="19"/>
  <c r="AR15" i="19"/>
  <c r="AT15" i="19"/>
  <c r="AU15" i="19"/>
  <c r="S55" i="6" l="1"/>
  <c r="R55" i="6"/>
  <c r="Q55" i="6"/>
  <c r="AV14" i="19"/>
  <c r="AV15" i="19"/>
  <c r="AN8" i="17" l="1"/>
  <c r="AN9" i="17"/>
  <c r="AN10" i="17"/>
  <c r="AU28" i="19" l="1"/>
  <c r="AT28" i="19"/>
  <c r="AR28" i="19"/>
  <c r="AQ28" i="19"/>
  <c r="AP28" i="19"/>
  <c r="AO28" i="19"/>
  <c r="AO5" i="19"/>
  <c r="AP5" i="19"/>
  <c r="AQ5" i="19"/>
  <c r="AR5" i="19"/>
  <c r="AT5" i="19"/>
  <c r="AU5" i="19"/>
  <c r="AV5" i="19" s="1"/>
  <c r="AV28" i="19" l="1"/>
  <c r="K55" i="31"/>
  <c r="B9" i="31"/>
  <c r="B8" i="31"/>
  <c r="B7" i="31"/>
  <c r="B6" i="31"/>
  <c r="B5" i="31"/>
  <c r="E12" i="13"/>
  <c r="C9" i="31"/>
  <c r="C8" i="31"/>
  <c r="C7" i="31"/>
  <c r="C6" i="31"/>
  <c r="C5" i="31"/>
  <c r="B4" i="31"/>
  <c r="C4" i="31"/>
  <c r="T55" i="10" l="1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E261" i="11"/>
  <c r="E260" i="11"/>
  <c r="E259" i="11"/>
  <c r="C261" i="11"/>
  <c r="C260" i="11"/>
  <c r="C259" i="11"/>
  <c r="E471" i="11"/>
  <c r="E452" i="11"/>
  <c r="L33" i="1"/>
  <c r="U13" i="11"/>
  <c r="U12" i="11"/>
  <c r="H11" i="1" l="1"/>
  <c r="U5" i="11"/>
  <c r="U6" i="11"/>
  <c r="U7" i="11"/>
  <c r="U8" i="11"/>
  <c r="U9" i="11"/>
  <c r="U10" i="11"/>
  <c r="U3" i="11"/>
  <c r="Q9" i="13"/>
  <c r="E13" i="13"/>
  <c r="AO43" i="19"/>
  <c r="AU39" i="19"/>
  <c r="AT39" i="19"/>
  <c r="D59" i="25"/>
  <c r="E59" i="25"/>
  <c r="F59" i="25"/>
  <c r="H59" i="25"/>
  <c r="I59" i="25"/>
  <c r="J59" i="25"/>
  <c r="K59" i="25"/>
  <c r="L59" i="25"/>
  <c r="N59" i="25"/>
  <c r="O59" i="25"/>
  <c r="P59" i="25"/>
  <c r="Q59" i="25"/>
  <c r="R59" i="25"/>
  <c r="S59" i="25"/>
  <c r="T59" i="25"/>
  <c r="U59" i="25"/>
  <c r="M59" i="25"/>
  <c r="V59" i="25"/>
  <c r="W59" i="25"/>
  <c r="X59" i="25"/>
  <c r="Y59" i="25"/>
  <c r="C59" i="25"/>
  <c r="X3" i="5"/>
  <c r="V4" i="28"/>
  <c r="J15" i="28" s="1"/>
  <c r="V15" i="28"/>
  <c r="D16" i="28" s="1"/>
  <c r="V5" i="28"/>
  <c r="D14" i="28" s="1"/>
  <c r="V6" i="28"/>
  <c r="D4" i="28" s="1"/>
  <c r="V53" i="28"/>
  <c r="D12" i="28" s="1"/>
  <c r="V47" i="28"/>
  <c r="D10" i="28" s="1"/>
  <c r="V7" i="28"/>
  <c r="D5" i="28" s="1"/>
  <c r="V8" i="28"/>
  <c r="D6" i="28" s="1"/>
  <c r="V12" i="28"/>
  <c r="D8" i="28" s="1"/>
  <c r="V9" i="28"/>
  <c r="D7" i="28" s="1"/>
  <c r="V10" i="28"/>
  <c r="D15" i="28" s="1"/>
  <c r="V13" i="28"/>
  <c r="J16" i="28" s="1"/>
  <c r="V11" i="28"/>
  <c r="D24" i="28" s="1"/>
  <c r="V14" i="28"/>
  <c r="D25" i="28" s="1"/>
  <c r="V38" i="28"/>
  <c r="D35" i="28" s="1"/>
  <c r="V16" i="28"/>
  <c r="J17" i="28" s="1"/>
  <c r="V19" i="28"/>
  <c r="D28" i="28" s="1"/>
  <c r="V20" i="28"/>
  <c r="D29" i="28" s="1"/>
  <c r="V21" i="28"/>
  <c r="D30" i="28" s="1"/>
  <c r="V23" i="28"/>
  <c r="D32" i="28" s="1"/>
  <c r="V25" i="28"/>
  <c r="D33" i="28" s="1"/>
  <c r="V24" i="28"/>
  <c r="D34" i="28" s="1"/>
  <c r="V17" i="28"/>
  <c r="D26" i="28" s="1"/>
  <c r="V26" i="28"/>
  <c r="J19" i="28" s="1"/>
  <c r="V27" i="28"/>
  <c r="D17" i="28" s="1"/>
  <c r="V42" i="28"/>
  <c r="J28" i="28" s="1"/>
  <c r="V30" i="28"/>
  <c r="J21" i="28" s="1"/>
  <c r="V31" i="28"/>
  <c r="J22" i="28" s="1"/>
  <c r="V48" i="28"/>
  <c r="D21" i="28" s="1"/>
  <c r="V34" i="28"/>
  <c r="D19" i="28" s="1"/>
  <c r="V35" i="28"/>
  <c r="J6" i="28" s="1"/>
  <c r="V36" i="28"/>
  <c r="J7" i="28" s="1"/>
  <c r="V37" i="28"/>
  <c r="J8" i="28" s="1"/>
  <c r="V33" i="28"/>
  <c r="J5" i="28" s="1"/>
  <c r="V29" i="28"/>
  <c r="J4" i="28" s="1"/>
  <c r="V3" i="28"/>
  <c r="J14" i="28" s="1"/>
  <c r="V52" i="28"/>
  <c r="J12" i="28" s="1"/>
  <c r="V39" i="28"/>
  <c r="J10" i="28" s="1"/>
  <c r="V43" i="28"/>
  <c r="D36" i="28" s="1"/>
  <c r="V44" i="28"/>
  <c r="D20" i="28" s="1"/>
  <c r="V45" i="28"/>
  <c r="D9" i="28" s="1"/>
  <c r="V46" i="28"/>
  <c r="D37" i="28" s="1"/>
  <c r="V32" i="28"/>
  <c r="D18" i="28" s="1"/>
  <c r="V49" i="28"/>
  <c r="D38" i="28" s="1"/>
  <c r="V50" i="28"/>
  <c r="D11" i="28" s="1"/>
  <c r="V51" i="28"/>
  <c r="D39" i="28" s="1"/>
  <c r="V55" i="28"/>
  <c r="D22" i="28" s="1"/>
  <c r="V41" i="28"/>
  <c r="J11" i="28" s="1"/>
  <c r="V28" i="28"/>
  <c r="J20" i="28" s="1"/>
  <c r="AT120" i="19"/>
  <c r="AU120" i="19"/>
  <c r="AO120" i="19"/>
  <c r="AP120" i="19"/>
  <c r="AQ120" i="19"/>
  <c r="AR120" i="19"/>
  <c r="AT116" i="19"/>
  <c r="AU116" i="19"/>
  <c r="AO116" i="19"/>
  <c r="AP116" i="19"/>
  <c r="AQ116" i="19"/>
  <c r="AR116" i="19"/>
  <c r="AT107" i="19"/>
  <c r="AU107" i="19"/>
  <c r="AO107" i="19"/>
  <c r="AP107" i="19"/>
  <c r="AQ107" i="19"/>
  <c r="AR107" i="19"/>
  <c r="AO88" i="19"/>
  <c r="AP88" i="19"/>
  <c r="AQ88" i="19"/>
  <c r="AR88" i="19"/>
  <c r="AO89" i="19"/>
  <c r="AP89" i="19"/>
  <c r="AQ89" i="19"/>
  <c r="AR89" i="19"/>
  <c r="AO90" i="19"/>
  <c r="AP90" i="19"/>
  <c r="AQ90" i="19"/>
  <c r="AR90" i="19"/>
  <c r="AR87" i="19"/>
  <c r="AQ87" i="19"/>
  <c r="AP87" i="19"/>
  <c r="AO87" i="19"/>
  <c r="AT89" i="19"/>
  <c r="AU89" i="19"/>
  <c r="AT90" i="19"/>
  <c r="AU90" i="19"/>
  <c r="AO70" i="19"/>
  <c r="AP70" i="19"/>
  <c r="AQ70" i="19"/>
  <c r="AR70" i="19"/>
  <c r="AO69" i="19"/>
  <c r="AP69" i="19"/>
  <c r="AQ69" i="19"/>
  <c r="AR69" i="19"/>
  <c r="AT69" i="19"/>
  <c r="AU69" i="19"/>
  <c r="AT70" i="19"/>
  <c r="AU70" i="19"/>
  <c r="AT66" i="19"/>
  <c r="AU66" i="19"/>
  <c r="AT65" i="19"/>
  <c r="AU65" i="19"/>
  <c r="AO65" i="19"/>
  <c r="AP65" i="19"/>
  <c r="AQ65" i="19"/>
  <c r="AR65" i="19"/>
  <c r="AO66" i="19"/>
  <c r="AP66" i="19"/>
  <c r="AQ66" i="19"/>
  <c r="AR66" i="19"/>
  <c r="AT62" i="19"/>
  <c r="AU62" i="19"/>
  <c r="AT63" i="19"/>
  <c r="AU63" i="19"/>
  <c r="AO63" i="19"/>
  <c r="AP63" i="19"/>
  <c r="AQ63" i="19"/>
  <c r="AR63" i="19"/>
  <c r="AO62" i="19"/>
  <c r="AP62" i="19"/>
  <c r="AQ62" i="19"/>
  <c r="AR62" i="19"/>
  <c r="AT58" i="19"/>
  <c r="AU58" i="19"/>
  <c r="AO58" i="19"/>
  <c r="AP58" i="19"/>
  <c r="AQ58" i="19"/>
  <c r="AR58" i="19"/>
  <c r="R17" i="1"/>
  <c r="R16" i="1"/>
  <c r="AT57" i="19"/>
  <c r="AU57" i="19"/>
  <c r="AO57" i="19"/>
  <c r="AP57" i="19"/>
  <c r="AQ57" i="19"/>
  <c r="AR57" i="19"/>
  <c r="AT50" i="19"/>
  <c r="AU50" i="19"/>
  <c r="AD58" i="9"/>
  <c r="AD59" i="9" s="1"/>
  <c r="AD60" i="9" s="1"/>
  <c r="AD61" i="9" s="1"/>
  <c r="AD62" i="9" s="1"/>
  <c r="AD63" i="9" s="1"/>
  <c r="AD64" i="9" s="1"/>
  <c r="AD65" i="9" s="1"/>
  <c r="AD66" i="9" s="1"/>
  <c r="AF57" i="9" s="1"/>
  <c r="A41" i="5"/>
  <c r="D41" i="5" s="1"/>
  <c r="A42" i="5"/>
  <c r="D42" i="5" s="1"/>
  <c r="A43" i="5"/>
  <c r="D43" i="5" s="1"/>
  <c r="A44" i="5"/>
  <c r="D44" i="5" s="1"/>
  <c r="A45" i="5"/>
  <c r="D45" i="5" s="1"/>
  <c r="A46" i="5"/>
  <c r="D46" i="5" s="1"/>
  <c r="A47" i="5"/>
  <c r="D47" i="5" s="1"/>
  <c r="A48" i="5"/>
  <c r="D48" i="5" s="1"/>
  <c r="A49" i="5"/>
  <c r="D49" i="5" s="1"/>
  <c r="A50" i="5"/>
  <c r="D50" i="5" s="1"/>
  <c r="A51" i="5"/>
  <c r="D51" i="5" s="1"/>
  <c r="A52" i="5"/>
  <c r="D52" i="5" s="1"/>
  <c r="A53" i="5"/>
  <c r="D53" i="5" s="1"/>
  <c r="A54" i="5"/>
  <c r="D54" i="5" s="1"/>
  <c r="A55" i="5"/>
  <c r="D55" i="5" s="1"/>
  <c r="A56" i="5"/>
  <c r="D56" i="5" s="1"/>
  <c r="A57" i="5"/>
  <c r="D57" i="5" s="1"/>
  <c r="A58" i="5"/>
  <c r="D58" i="5" s="1"/>
  <c r="A59" i="5"/>
  <c r="D59" i="5" s="1"/>
  <c r="S47" i="20"/>
  <c r="T47" i="20"/>
  <c r="U47" i="20"/>
  <c r="V47" i="20"/>
  <c r="W47" i="20"/>
  <c r="X47" i="20"/>
  <c r="Y47" i="20"/>
  <c r="Z47" i="20"/>
  <c r="AA47" i="20"/>
  <c r="AB47" i="20"/>
  <c r="AC47" i="20"/>
  <c r="AD47" i="20"/>
  <c r="AE47" i="20"/>
  <c r="AF47" i="20"/>
  <c r="AG47" i="20"/>
  <c r="AH47" i="20"/>
  <c r="AI47" i="20"/>
  <c r="AJ47" i="20"/>
  <c r="AK47" i="20"/>
  <c r="AL47" i="20"/>
  <c r="AM47" i="20"/>
  <c r="AN47" i="20"/>
  <c r="AO47" i="20"/>
  <c r="AP47" i="20"/>
  <c r="AQ47" i="20"/>
  <c r="AR47" i="20"/>
  <c r="AS47" i="20"/>
  <c r="AT47" i="20"/>
  <c r="AU47" i="20"/>
  <c r="S48" i="20"/>
  <c r="T48" i="20"/>
  <c r="U48" i="20"/>
  <c r="V48" i="20"/>
  <c r="W48" i="20"/>
  <c r="X48" i="20"/>
  <c r="Y48" i="20"/>
  <c r="Z48" i="20"/>
  <c r="AA48" i="20"/>
  <c r="AB48" i="20"/>
  <c r="AC48" i="20"/>
  <c r="AD48" i="20"/>
  <c r="AE48" i="20"/>
  <c r="AF48" i="20"/>
  <c r="AG48" i="20"/>
  <c r="AH48" i="20"/>
  <c r="AI48" i="20"/>
  <c r="AJ48" i="20"/>
  <c r="AK48" i="20"/>
  <c r="AL48" i="20"/>
  <c r="AM48" i="20"/>
  <c r="AN48" i="20"/>
  <c r="AO48" i="20"/>
  <c r="AP48" i="20"/>
  <c r="AQ48" i="20"/>
  <c r="AR48" i="20"/>
  <c r="AS48" i="20"/>
  <c r="AT48" i="20"/>
  <c r="AU48" i="20"/>
  <c r="S49" i="20"/>
  <c r="T49" i="20"/>
  <c r="U49" i="20"/>
  <c r="V49" i="20"/>
  <c r="W49" i="20"/>
  <c r="X49" i="20"/>
  <c r="Y49" i="20"/>
  <c r="Z49" i="20"/>
  <c r="AA49" i="20"/>
  <c r="AB49" i="20"/>
  <c r="AC49" i="20"/>
  <c r="AD49" i="20"/>
  <c r="AE49" i="20"/>
  <c r="AF49" i="20"/>
  <c r="AG49" i="20"/>
  <c r="AH49" i="20"/>
  <c r="AI49" i="20"/>
  <c r="AJ49" i="20"/>
  <c r="AK49" i="20"/>
  <c r="AL49" i="20"/>
  <c r="AM49" i="20"/>
  <c r="AN49" i="20"/>
  <c r="AO49" i="20"/>
  <c r="AP49" i="20"/>
  <c r="AQ49" i="20"/>
  <c r="AR49" i="20"/>
  <c r="AS49" i="20"/>
  <c r="AT49" i="20"/>
  <c r="AU49" i="20"/>
  <c r="S50" i="20"/>
  <c r="T50" i="20"/>
  <c r="U50" i="20"/>
  <c r="V50" i="20"/>
  <c r="W50" i="20"/>
  <c r="X50" i="20"/>
  <c r="Y50" i="20"/>
  <c r="Z50" i="20"/>
  <c r="AA50" i="20"/>
  <c r="AB50" i="20"/>
  <c r="AC50" i="20"/>
  <c r="AD50" i="20"/>
  <c r="AE50" i="20"/>
  <c r="AF50" i="20"/>
  <c r="AG50" i="20"/>
  <c r="AH50" i="20"/>
  <c r="AI50" i="20"/>
  <c r="AJ50" i="20"/>
  <c r="AK50" i="20"/>
  <c r="AL50" i="20"/>
  <c r="AM50" i="20"/>
  <c r="AN50" i="20"/>
  <c r="AO50" i="20"/>
  <c r="AP50" i="20"/>
  <c r="AQ50" i="20"/>
  <c r="AR50" i="20"/>
  <c r="AS50" i="20"/>
  <c r="AT50" i="20"/>
  <c r="AU50" i="20"/>
  <c r="S51" i="20"/>
  <c r="T51" i="20"/>
  <c r="U51" i="20"/>
  <c r="V51" i="20"/>
  <c r="W51" i="20"/>
  <c r="X51" i="20"/>
  <c r="Y51" i="20"/>
  <c r="Z51" i="20"/>
  <c r="AA51" i="20"/>
  <c r="AB51" i="20"/>
  <c r="AC51" i="20"/>
  <c r="AD51" i="20"/>
  <c r="AE51" i="20"/>
  <c r="AF51" i="20"/>
  <c r="AG51" i="20"/>
  <c r="AH51" i="20"/>
  <c r="AI51" i="20"/>
  <c r="AJ51" i="20"/>
  <c r="AK51" i="20"/>
  <c r="AL51" i="20"/>
  <c r="AM51" i="20"/>
  <c r="AN51" i="20"/>
  <c r="AO51" i="20"/>
  <c r="AP51" i="20"/>
  <c r="AQ51" i="20"/>
  <c r="AR51" i="20"/>
  <c r="AS51" i="20"/>
  <c r="AT51" i="20"/>
  <c r="AU51" i="20"/>
  <c r="S34" i="20"/>
  <c r="T34" i="20"/>
  <c r="U34" i="20"/>
  <c r="V34" i="20"/>
  <c r="W34" i="20"/>
  <c r="X34" i="20"/>
  <c r="Y34" i="20"/>
  <c r="Z34" i="20"/>
  <c r="AA34" i="20"/>
  <c r="AB34" i="20"/>
  <c r="AC34" i="20"/>
  <c r="AD34" i="20"/>
  <c r="AE34" i="20"/>
  <c r="AF34" i="20"/>
  <c r="AG34" i="20"/>
  <c r="AH34" i="20"/>
  <c r="AI34" i="20"/>
  <c r="AJ34" i="20"/>
  <c r="AK34" i="20"/>
  <c r="AL34" i="20"/>
  <c r="AM34" i="20"/>
  <c r="AN34" i="20"/>
  <c r="AO34" i="20"/>
  <c r="AP34" i="20"/>
  <c r="AQ34" i="20"/>
  <c r="AR34" i="20"/>
  <c r="AS34" i="20"/>
  <c r="AT34" i="20"/>
  <c r="AU34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AI52" i="20"/>
  <c r="AJ52" i="20"/>
  <c r="AK52" i="20"/>
  <c r="AL52" i="20"/>
  <c r="AM52" i="20"/>
  <c r="AN52" i="20"/>
  <c r="AO52" i="20"/>
  <c r="AP52" i="20"/>
  <c r="AQ52" i="20"/>
  <c r="AR52" i="20"/>
  <c r="AS52" i="20"/>
  <c r="AT52" i="20"/>
  <c r="AU52" i="20"/>
  <c r="S33" i="20"/>
  <c r="T33" i="20"/>
  <c r="U33" i="20"/>
  <c r="V33" i="20"/>
  <c r="W33" i="20"/>
  <c r="X33" i="20"/>
  <c r="Y33" i="20"/>
  <c r="Z33" i="20"/>
  <c r="AA33" i="20"/>
  <c r="AB33" i="20"/>
  <c r="AC33" i="20"/>
  <c r="AD33" i="20"/>
  <c r="AE33" i="20"/>
  <c r="AF33" i="20"/>
  <c r="AG33" i="20"/>
  <c r="AH33" i="20"/>
  <c r="AI33" i="20"/>
  <c r="AJ33" i="20"/>
  <c r="AK33" i="20"/>
  <c r="AL33" i="20"/>
  <c r="AM33" i="20"/>
  <c r="AN33" i="20"/>
  <c r="AO33" i="20"/>
  <c r="AP33" i="20"/>
  <c r="AQ33" i="20"/>
  <c r="AR33" i="20"/>
  <c r="AS33" i="20"/>
  <c r="AT33" i="20"/>
  <c r="AU33" i="20"/>
  <c r="S53" i="20"/>
  <c r="T53" i="20"/>
  <c r="U53" i="20"/>
  <c r="V53" i="20"/>
  <c r="W53" i="20"/>
  <c r="X53" i="20"/>
  <c r="Y53" i="20"/>
  <c r="Z53" i="20"/>
  <c r="AA53" i="20"/>
  <c r="AB53" i="20"/>
  <c r="AC53" i="20"/>
  <c r="AD53" i="20"/>
  <c r="AE53" i="20"/>
  <c r="AF53" i="20"/>
  <c r="AG53" i="20"/>
  <c r="AH53" i="20"/>
  <c r="AI53" i="20"/>
  <c r="AJ53" i="20"/>
  <c r="AK53" i="20"/>
  <c r="AL53" i="20"/>
  <c r="AM53" i="20"/>
  <c r="AN53" i="20"/>
  <c r="AO53" i="20"/>
  <c r="AP53" i="20"/>
  <c r="AQ53" i="20"/>
  <c r="AR53" i="20"/>
  <c r="AS53" i="20"/>
  <c r="AT53" i="20"/>
  <c r="AU53" i="20"/>
  <c r="S56" i="20"/>
  <c r="T56" i="20"/>
  <c r="U56" i="20"/>
  <c r="V56" i="20"/>
  <c r="W56" i="20"/>
  <c r="X56" i="20"/>
  <c r="Y56" i="20"/>
  <c r="Z56" i="20"/>
  <c r="AA56" i="20"/>
  <c r="AB56" i="20"/>
  <c r="AC56" i="20"/>
  <c r="AD56" i="20"/>
  <c r="AE56" i="20"/>
  <c r="AF56" i="20"/>
  <c r="AG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AT56" i="20"/>
  <c r="AU56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AT57" i="20"/>
  <c r="AU57" i="20"/>
  <c r="S58" i="20"/>
  <c r="T58" i="20"/>
  <c r="U58" i="20"/>
  <c r="V58" i="20"/>
  <c r="W58" i="20"/>
  <c r="X58" i="20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AU58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I61" i="20"/>
  <c r="AJ61" i="20"/>
  <c r="AK61" i="20"/>
  <c r="AL61" i="20"/>
  <c r="AM61" i="20"/>
  <c r="AN61" i="20"/>
  <c r="AO61" i="20"/>
  <c r="AP61" i="20"/>
  <c r="AQ61" i="20"/>
  <c r="AR61" i="20"/>
  <c r="AS61" i="20"/>
  <c r="AT61" i="20"/>
  <c r="AU61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I62" i="20"/>
  <c r="AJ62" i="20"/>
  <c r="AK62" i="20"/>
  <c r="AL62" i="20"/>
  <c r="AM62" i="20"/>
  <c r="AN62" i="20"/>
  <c r="AO62" i="20"/>
  <c r="AP62" i="20"/>
  <c r="AQ62" i="20"/>
  <c r="AR62" i="20"/>
  <c r="AS62" i="20"/>
  <c r="AT62" i="20"/>
  <c r="AU62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AT63" i="20"/>
  <c r="AU63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AT65" i="20"/>
  <c r="AU65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AT66" i="20"/>
  <c r="AU66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S9" i="20"/>
  <c r="T9" i="20"/>
  <c r="U9" i="20"/>
  <c r="V9" i="20"/>
  <c r="W9" i="20"/>
  <c r="X9" i="20"/>
  <c r="Y9" i="20"/>
  <c r="Z9" i="20"/>
  <c r="AA9" i="20"/>
  <c r="AB9" i="20"/>
  <c r="AC9" i="20"/>
  <c r="AD9" i="20"/>
  <c r="AE9" i="20"/>
  <c r="AF9" i="20"/>
  <c r="AG9" i="20"/>
  <c r="AH9" i="20"/>
  <c r="AI9" i="20"/>
  <c r="AJ9" i="20"/>
  <c r="AK9" i="20"/>
  <c r="AL9" i="20"/>
  <c r="AM9" i="20"/>
  <c r="AN9" i="20"/>
  <c r="AO9" i="20"/>
  <c r="AP9" i="20"/>
  <c r="AQ9" i="20"/>
  <c r="AR9" i="20"/>
  <c r="AS9" i="20"/>
  <c r="AT9" i="20"/>
  <c r="AU9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S14" i="20"/>
  <c r="T14" i="20"/>
  <c r="U14" i="20"/>
  <c r="V14" i="20"/>
  <c r="W14" i="20"/>
  <c r="X14" i="20"/>
  <c r="Y14" i="20"/>
  <c r="Z14" i="20"/>
  <c r="AA14" i="20"/>
  <c r="AB14" i="20"/>
  <c r="AC14" i="20"/>
  <c r="AD14" i="20"/>
  <c r="AE14" i="20"/>
  <c r="AF14" i="20"/>
  <c r="AG14" i="20"/>
  <c r="AH14" i="20"/>
  <c r="AI14" i="20"/>
  <c r="AJ14" i="20"/>
  <c r="AK14" i="20"/>
  <c r="AL14" i="20"/>
  <c r="AM14" i="20"/>
  <c r="AN14" i="20"/>
  <c r="AO14" i="20"/>
  <c r="AP14" i="20"/>
  <c r="AQ14" i="20"/>
  <c r="AR14" i="20"/>
  <c r="AS14" i="20"/>
  <c r="AT14" i="20"/>
  <c r="AU14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AI17" i="20"/>
  <c r="AJ17" i="20"/>
  <c r="AK17" i="20"/>
  <c r="AL17" i="20"/>
  <c r="AM17" i="20"/>
  <c r="AN17" i="20"/>
  <c r="AO17" i="20"/>
  <c r="AP17" i="20"/>
  <c r="AQ17" i="20"/>
  <c r="AR17" i="20"/>
  <c r="AS17" i="20"/>
  <c r="AT17" i="20"/>
  <c r="AU17" i="20"/>
  <c r="S18" i="20"/>
  <c r="L6" i="17" s="1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S19" i="20"/>
  <c r="T19" i="20"/>
  <c r="U19" i="20"/>
  <c r="V19" i="20"/>
  <c r="W19" i="20"/>
  <c r="X19" i="20"/>
  <c r="Y19" i="20"/>
  <c r="Z19" i="20"/>
  <c r="AA19" i="20"/>
  <c r="AB19" i="20"/>
  <c r="AC19" i="20"/>
  <c r="AD19" i="20"/>
  <c r="AE19" i="20"/>
  <c r="AF19" i="20"/>
  <c r="AG19" i="20"/>
  <c r="AH19" i="20"/>
  <c r="AI19" i="20"/>
  <c r="AJ19" i="20"/>
  <c r="AK19" i="20"/>
  <c r="AL19" i="20"/>
  <c r="AM19" i="20"/>
  <c r="AN19" i="20"/>
  <c r="AO19" i="20"/>
  <c r="AP19" i="20"/>
  <c r="AQ19" i="20"/>
  <c r="AR19" i="20"/>
  <c r="AS19" i="20"/>
  <c r="AT19" i="20"/>
  <c r="AU19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S29" i="20"/>
  <c r="T29" i="20"/>
  <c r="U29" i="20"/>
  <c r="V29" i="20"/>
  <c r="W29" i="20"/>
  <c r="X29" i="20"/>
  <c r="Y29" i="20"/>
  <c r="Z29" i="20"/>
  <c r="AA29" i="20"/>
  <c r="AB29" i="20"/>
  <c r="AC29" i="20"/>
  <c r="AD29" i="20"/>
  <c r="AE29" i="20"/>
  <c r="AF29" i="20"/>
  <c r="AG29" i="20"/>
  <c r="AH29" i="20"/>
  <c r="AI29" i="20"/>
  <c r="AJ29" i="20"/>
  <c r="AK29" i="20"/>
  <c r="AL29" i="20"/>
  <c r="AM29" i="20"/>
  <c r="AN29" i="20"/>
  <c r="AO29" i="20"/>
  <c r="AP29" i="20"/>
  <c r="AQ29" i="20"/>
  <c r="AR29" i="20"/>
  <c r="AS29" i="20"/>
  <c r="AT29" i="20"/>
  <c r="AU29" i="20"/>
  <c r="S30" i="20"/>
  <c r="T30" i="20"/>
  <c r="U30" i="20"/>
  <c r="V30" i="20"/>
  <c r="W30" i="20"/>
  <c r="X30" i="20"/>
  <c r="Y30" i="20"/>
  <c r="Z30" i="20"/>
  <c r="AA30" i="20"/>
  <c r="AB30" i="20"/>
  <c r="AC30" i="20"/>
  <c r="AD30" i="20"/>
  <c r="AE30" i="20"/>
  <c r="AF30" i="20"/>
  <c r="AG30" i="20"/>
  <c r="AH30" i="20"/>
  <c r="AI30" i="20"/>
  <c r="AJ30" i="20"/>
  <c r="AK30" i="20"/>
  <c r="AL30" i="20"/>
  <c r="AM30" i="20"/>
  <c r="AN30" i="20"/>
  <c r="AO30" i="20"/>
  <c r="AP30" i="20"/>
  <c r="AQ30" i="20"/>
  <c r="AR30" i="20"/>
  <c r="AS30" i="20"/>
  <c r="AT30" i="20"/>
  <c r="AU30" i="20"/>
  <c r="S31" i="20"/>
  <c r="T31" i="20"/>
  <c r="U31" i="20"/>
  <c r="V31" i="20"/>
  <c r="W31" i="20"/>
  <c r="X31" i="20"/>
  <c r="Y31" i="20"/>
  <c r="Z31" i="20"/>
  <c r="AA31" i="20"/>
  <c r="AB31" i="20"/>
  <c r="AC31" i="20"/>
  <c r="AD31" i="20"/>
  <c r="AE31" i="20"/>
  <c r="AF31" i="20"/>
  <c r="AG31" i="20"/>
  <c r="AH31" i="20"/>
  <c r="AI31" i="20"/>
  <c r="AJ31" i="20"/>
  <c r="AK31" i="20"/>
  <c r="AL31" i="20"/>
  <c r="AM31" i="20"/>
  <c r="AN31" i="20"/>
  <c r="AO31" i="20"/>
  <c r="AP31" i="20"/>
  <c r="AQ31" i="20"/>
  <c r="AR31" i="20"/>
  <c r="AS31" i="20"/>
  <c r="AT31" i="20"/>
  <c r="AU31" i="20"/>
  <c r="S32" i="20"/>
  <c r="T32" i="20"/>
  <c r="U32" i="20"/>
  <c r="V32" i="20"/>
  <c r="W32" i="20"/>
  <c r="X32" i="20"/>
  <c r="Y32" i="20"/>
  <c r="Z32" i="20"/>
  <c r="AA32" i="20"/>
  <c r="AB32" i="20"/>
  <c r="AC32" i="20"/>
  <c r="AD32" i="20"/>
  <c r="AE32" i="20"/>
  <c r="AF32" i="20"/>
  <c r="AG32" i="20"/>
  <c r="AH32" i="20"/>
  <c r="AI32" i="20"/>
  <c r="AJ32" i="20"/>
  <c r="AK32" i="20"/>
  <c r="AL32" i="20"/>
  <c r="AM32" i="20"/>
  <c r="AN32" i="20"/>
  <c r="AO32" i="20"/>
  <c r="AP32" i="20"/>
  <c r="AQ32" i="20"/>
  <c r="AR32" i="20"/>
  <c r="AS32" i="20"/>
  <c r="AT32" i="20"/>
  <c r="AU32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AI35" i="20"/>
  <c r="AJ35" i="20"/>
  <c r="AK35" i="20"/>
  <c r="AL35" i="20"/>
  <c r="AM35" i="20"/>
  <c r="AN35" i="20"/>
  <c r="AO35" i="20"/>
  <c r="AP35" i="20"/>
  <c r="AQ35" i="20"/>
  <c r="AR35" i="20"/>
  <c r="AS35" i="20"/>
  <c r="AT35" i="20"/>
  <c r="AU35" i="20"/>
  <c r="S36" i="20"/>
  <c r="T36" i="20"/>
  <c r="U36" i="20"/>
  <c r="V36" i="20"/>
  <c r="W36" i="20"/>
  <c r="X36" i="20"/>
  <c r="Y36" i="20"/>
  <c r="Z36" i="20"/>
  <c r="AA36" i="20"/>
  <c r="AB36" i="20"/>
  <c r="AC36" i="20"/>
  <c r="AD36" i="20"/>
  <c r="AE36" i="20"/>
  <c r="AF36" i="20"/>
  <c r="AG36" i="20"/>
  <c r="AH36" i="20"/>
  <c r="AI36" i="20"/>
  <c r="AJ36" i="20"/>
  <c r="AK36" i="20"/>
  <c r="AL36" i="20"/>
  <c r="AM36" i="20"/>
  <c r="AN36" i="20"/>
  <c r="AO36" i="20"/>
  <c r="AP36" i="20"/>
  <c r="AQ36" i="20"/>
  <c r="AR36" i="20"/>
  <c r="AS36" i="20"/>
  <c r="AT36" i="20"/>
  <c r="AU36" i="20"/>
  <c r="S39" i="20"/>
  <c r="T39" i="20"/>
  <c r="U39" i="20"/>
  <c r="V39" i="20"/>
  <c r="W39" i="20"/>
  <c r="X39" i="20"/>
  <c r="Y39" i="20"/>
  <c r="Z39" i="20"/>
  <c r="AA39" i="20"/>
  <c r="AB39" i="20"/>
  <c r="AC39" i="20"/>
  <c r="AD39" i="20"/>
  <c r="AE39" i="20"/>
  <c r="AF39" i="20"/>
  <c r="AG39" i="20"/>
  <c r="AH39" i="20"/>
  <c r="AI39" i="20"/>
  <c r="AJ39" i="20"/>
  <c r="AK39" i="20"/>
  <c r="AL39" i="20"/>
  <c r="AM39" i="20"/>
  <c r="AN39" i="20"/>
  <c r="AO39" i="20"/>
  <c r="AP39" i="20"/>
  <c r="AQ39" i="20"/>
  <c r="AR39" i="20"/>
  <c r="AS39" i="20"/>
  <c r="AT39" i="20"/>
  <c r="AU39" i="20"/>
  <c r="S40" i="20"/>
  <c r="T40" i="20"/>
  <c r="U40" i="20"/>
  <c r="V40" i="20"/>
  <c r="W40" i="20"/>
  <c r="X40" i="20"/>
  <c r="Y40" i="20"/>
  <c r="Z40" i="20"/>
  <c r="AA40" i="20"/>
  <c r="AB40" i="20"/>
  <c r="AC40" i="20"/>
  <c r="AD40" i="20"/>
  <c r="AE40" i="20"/>
  <c r="AF40" i="20"/>
  <c r="AG40" i="20"/>
  <c r="AH40" i="20"/>
  <c r="AI40" i="20"/>
  <c r="AJ40" i="20"/>
  <c r="AK40" i="20"/>
  <c r="AL40" i="20"/>
  <c r="AM40" i="20"/>
  <c r="AN40" i="20"/>
  <c r="AO40" i="20"/>
  <c r="AP40" i="20"/>
  <c r="AQ40" i="20"/>
  <c r="AR40" i="20"/>
  <c r="AS40" i="20"/>
  <c r="AT40" i="20"/>
  <c r="AU40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I41" i="20"/>
  <c r="AJ41" i="20"/>
  <c r="AK41" i="20"/>
  <c r="AL41" i="20"/>
  <c r="AM41" i="20"/>
  <c r="AN41" i="20"/>
  <c r="AO41" i="20"/>
  <c r="AP41" i="20"/>
  <c r="AQ41" i="20"/>
  <c r="AR41" i="20"/>
  <c r="AS41" i="20"/>
  <c r="AT41" i="20"/>
  <c r="AU41" i="20"/>
  <c r="S42" i="20"/>
  <c r="T42" i="20"/>
  <c r="U42" i="20"/>
  <c r="V42" i="20"/>
  <c r="W42" i="20"/>
  <c r="X42" i="20"/>
  <c r="Y42" i="20"/>
  <c r="Z42" i="20"/>
  <c r="AA42" i="20"/>
  <c r="AB42" i="20"/>
  <c r="AC42" i="20"/>
  <c r="AD42" i="20"/>
  <c r="AE42" i="20"/>
  <c r="AF42" i="20"/>
  <c r="AG42" i="20"/>
  <c r="AH42" i="20"/>
  <c r="AI42" i="20"/>
  <c r="AJ42" i="20"/>
  <c r="AK42" i="20"/>
  <c r="AL42" i="20"/>
  <c r="AM42" i="20"/>
  <c r="AN42" i="20"/>
  <c r="AO42" i="20"/>
  <c r="AP42" i="20"/>
  <c r="AQ42" i="20"/>
  <c r="AR42" i="20"/>
  <c r="AS42" i="20"/>
  <c r="AT42" i="20"/>
  <c r="AU42" i="20"/>
  <c r="S43" i="20"/>
  <c r="T43" i="20"/>
  <c r="U43" i="20"/>
  <c r="V43" i="20"/>
  <c r="W43" i="20"/>
  <c r="X43" i="20"/>
  <c r="Y43" i="20"/>
  <c r="Z43" i="20"/>
  <c r="AA43" i="20"/>
  <c r="AB43" i="20"/>
  <c r="AC43" i="20"/>
  <c r="AD43" i="20"/>
  <c r="AE43" i="20"/>
  <c r="AF43" i="20"/>
  <c r="AG43" i="20"/>
  <c r="AH43" i="20"/>
  <c r="AI43" i="20"/>
  <c r="AJ43" i="20"/>
  <c r="AK43" i="20"/>
  <c r="AL43" i="20"/>
  <c r="AM43" i="20"/>
  <c r="AN43" i="20"/>
  <c r="AO43" i="20"/>
  <c r="AP43" i="20"/>
  <c r="AQ43" i="20"/>
  <c r="AR43" i="20"/>
  <c r="AS43" i="20"/>
  <c r="AT43" i="20"/>
  <c r="AU43" i="20"/>
  <c r="S44" i="20"/>
  <c r="T44" i="20"/>
  <c r="U44" i="20"/>
  <c r="V44" i="20"/>
  <c r="W44" i="20"/>
  <c r="X44" i="20"/>
  <c r="Y44" i="20"/>
  <c r="Z44" i="20"/>
  <c r="AA44" i="20"/>
  <c r="AB44" i="20"/>
  <c r="AC44" i="20"/>
  <c r="AD44" i="20"/>
  <c r="AE44" i="20"/>
  <c r="AF44" i="20"/>
  <c r="AG44" i="20"/>
  <c r="AH44" i="20"/>
  <c r="AI44" i="20"/>
  <c r="AJ44" i="20"/>
  <c r="AK44" i="20"/>
  <c r="AL44" i="20"/>
  <c r="AM44" i="20"/>
  <c r="AN44" i="20"/>
  <c r="AO44" i="20"/>
  <c r="AP44" i="20"/>
  <c r="AQ44" i="20"/>
  <c r="AR44" i="20"/>
  <c r="AS44" i="20"/>
  <c r="AT44" i="20"/>
  <c r="AU44" i="20"/>
  <c r="AI29" i="28" l="1"/>
  <c r="W29" i="28"/>
  <c r="X40" i="28"/>
  <c r="X54" i="28"/>
  <c r="X18" i="28"/>
  <c r="X22" i="28"/>
  <c r="AV39" i="19"/>
  <c r="E43" i="5"/>
  <c r="C43" i="5"/>
  <c r="X4" i="5"/>
  <c r="C42" i="5"/>
  <c r="E48" i="5"/>
  <c r="AV120" i="19"/>
  <c r="AV116" i="19"/>
  <c r="AV89" i="19"/>
  <c r="AV107" i="19"/>
  <c r="AV90" i="19"/>
  <c r="AV50" i="19"/>
  <c r="AV70" i="19"/>
  <c r="AV69" i="19"/>
  <c r="AV66" i="19"/>
  <c r="AV65" i="19"/>
  <c r="AV63" i="19"/>
  <c r="AV62" i="19"/>
  <c r="AV58" i="19"/>
  <c r="AV57" i="19"/>
  <c r="C52" i="5"/>
  <c r="E44" i="5"/>
  <c r="C54" i="5"/>
  <c r="C47" i="5"/>
  <c r="C50" i="5"/>
  <c r="C48" i="5"/>
  <c r="C46" i="5"/>
  <c r="C44" i="5"/>
  <c r="E56" i="5"/>
  <c r="E52" i="5"/>
  <c r="C58" i="5"/>
  <c r="C56" i="5"/>
  <c r="E59" i="5"/>
  <c r="E55" i="5"/>
  <c r="E51" i="5"/>
  <c r="E47" i="5"/>
  <c r="E42" i="5"/>
  <c r="E58" i="5"/>
  <c r="C57" i="5"/>
  <c r="E54" i="5"/>
  <c r="C53" i="5"/>
  <c r="E50" i="5"/>
  <c r="C49" i="5"/>
  <c r="E46" i="5"/>
  <c r="C45" i="5"/>
  <c r="C41" i="5"/>
  <c r="E57" i="5"/>
  <c r="E49" i="5"/>
  <c r="E45" i="5"/>
  <c r="E41" i="5"/>
  <c r="E53" i="5"/>
  <c r="C59" i="5"/>
  <c r="C55" i="5"/>
  <c r="C51" i="5"/>
  <c r="J86" i="17"/>
  <c r="J85" i="17"/>
  <c r="J84" i="17"/>
  <c r="J83" i="17"/>
  <c r="J82" i="17"/>
  <c r="J81" i="17"/>
  <c r="F41" i="5"/>
  <c r="J41" i="5" s="1"/>
  <c r="M41" i="5" s="1"/>
  <c r="F42" i="5"/>
  <c r="I42" i="5" s="1"/>
  <c r="F5" i="5"/>
  <c r="I5" i="5" s="1"/>
  <c r="F6" i="5"/>
  <c r="H6" i="5" s="1"/>
  <c r="F7" i="5"/>
  <c r="H7" i="5" s="1"/>
  <c r="F8" i="5"/>
  <c r="H8" i="5" s="1"/>
  <c r="F9" i="5"/>
  <c r="I9" i="5" s="1"/>
  <c r="F10" i="5"/>
  <c r="H10" i="5" s="1"/>
  <c r="F11" i="5"/>
  <c r="H11" i="5" s="1"/>
  <c r="F12" i="5"/>
  <c r="J12" i="5" s="1"/>
  <c r="M12" i="5" s="1"/>
  <c r="F13" i="5"/>
  <c r="J13" i="5" s="1"/>
  <c r="M13" i="5" s="1"/>
  <c r="F14" i="5"/>
  <c r="H14" i="5" s="1"/>
  <c r="F15" i="5"/>
  <c r="H15" i="5" s="1"/>
  <c r="F16" i="5"/>
  <c r="I16" i="5" s="1"/>
  <c r="F17" i="5"/>
  <c r="J17" i="5" s="1"/>
  <c r="M17" i="5" s="1"/>
  <c r="F18" i="5"/>
  <c r="H18" i="5" s="1"/>
  <c r="F19" i="5"/>
  <c r="H19" i="5" s="1"/>
  <c r="F20" i="5"/>
  <c r="H20" i="5" s="1"/>
  <c r="F21" i="5"/>
  <c r="J21" i="5" s="1"/>
  <c r="M21" i="5" s="1"/>
  <c r="F22" i="5"/>
  <c r="H22" i="5" s="1"/>
  <c r="F23" i="5"/>
  <c r="H23" i="5" s="1"/>
  <c r="F24" i="5"/>
  <c r="H24" i="5" s="1"/>
  <c r="F25" i="5"/>
  <c r="J25" i="5" s="1"/>
  <c r="M25" i="5" s="1"/>
  <c r="F26" i="5"/>
  <c r="H26" i="5" s="1"/>
  <c r="F27" i="5"/>
  <c r="H27" i="5" s="1"/>
  <c r="F28" i="5"/>
  <c r="I28" i="5" s="1"/>
  <c r="F29" i="5"/>
  <c r="J29" i="5" s="1"/>
  <c r="M29" i="5" s="1"/>
  <c r="F30" i="5"/>
  <c r="H30" i="5" s="1"/>
  <c r="F31" i="5"/>
  <c r="H31" i="5" s="1"/>
  <c r="F32" i="5"/>
  <c r="H32" i="5" s="1"/>
  <c r="F33" i="5"/>
  <c r="J33" i="5" s="1"/>
  <c r="M33" i="5" s="1"/>
  <c r="F34" i="5"/>
  <c r="H34" i="5" s="1"/>
  <c r="F35" i="5"/>
  <c r="H35" i="5" s="1"/>
  <c r="F36" i="5"/>
  <c r="I36" i="5" s="1"/>
  <c r="F37" i="5"/>
  <c r="I37" i="5" s="1"/>
  <c r="F38" i="5"/>
  <c r="H38" i="5" s="1"/>
  <c r="F39" i="5"/>
  <c r="H39" i="5" s="1"/>
  <c r="F40" i="5"/>
  <c r="J40" i="5" s="1"/>
  <c r="M40" i="5" s="1"/>
  <c r="F4" i="5"/>
  <c r="A4" i="5"/>
  <c r="C4" i="5" s="1"/>
  <c r="A5" i="5"/>
  <c r="C5" i="5" s="1"/>
  <c r="A6" i="5"/>
  <c r="A7" i="5"/>
  <c r="C7" i="5" s="1"/>
  <c r="A8" i="5"/>
  <c r="C8" i="5" s="1"/>
  <c r="A9" i="5"/>
  <c r="C9" i="5" s="1"/>
  <c r="A10" i="5"/>
  <c r="C10" i="5" s="1"/>
  <c r="A11" i="5"/>
  <c r="C11" i="5" s="1"/>
  <c r="A12" i="5"/>
  <c r="C12" i="5" s="1"/>
  <c r="A13" i="5"/>
  <c r="C13" i="5" s="1"/>
  <c r="A14" i="5"/>
  <c r="C14" i="5" s="1"/>
  <c r="A15" i="5"/>
  <c r="C15" i="5" s="1"/>
  <c r="A16" i="5"/>
  <c r="C16" i="5" s="1"/>
  <c r="A17" i="5"/>
  <c r="C17" i="5" s="1"/>
  <c r="A18" i="5"/>
  <c r="C18" i="5" s="1"/>
  <c r="A19" i="5"/>
  <c r="C19" i="5" s="1"/>
  <c r="A20" i="5"/>
  <c r="C20" i="5" s="1"/>
  <c r="A21" i="5"/>
  <c r="C21" i="5" s="1"/>
  <c r="A22" i="5"/>
  <c r="C22" i="5" s="1"/>
  <c r="A23" i="5"/>
  <c r="C23" i="5" s="1"/>
  <c r="A24" i="5"/>
  <c r="A25" i="5"/>
  <c r="C25" i="5" s="1"/>
  <c r="A26" i="5"/>
  <c r="C26" i="5" s="1"/>
  <c r="A27" i="5"/>
  <c r="C27" i="5" s="1"/>
  <c r="A28" i="5"/>
  <c r="C28" i="5" s="1"/>
  <c r="A29" i="5"/>
  <c r="C29" i="5" s="1"/>
  <c r="A30" i="5"/>
  <c r="C30" i="5" s="1"/>
  <c r="A31" i="5"/>
  <c r="C31" i="5" s="1"/>
  <c r="A32" i="5"/>
  <c r="C32" i="5" s="1"/>
  <c r="A33" i="5"/>
  <c r="C33" i="5" s="1"/>
  <c r="A34" i="5"/>
  <c r="C34" i="5" s="1"/>
  <c r="A35" i="5"/>
  <c r="C35" i="5" s="1"/>
  <c r="A36" i="5"/>
  <c r="C36" i="5" s="1"/>
  <c r="A37" i="5"/>
  <c r="C37" i="5" s="1"/>
  <c r="A38" i="5"/>
  <c r="C38" i="5" s="1"/>
  <c r="A39" i="5"/>
  <c r="C39" i="5" s="1"/>
  <c r="A40" i="5"/>
  <c r="C40" i="5" s="1"/>
  <c r="A3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I43" i="5"/>
  <c r="J43" i="5"/>
  <c r="M43" i="5" s="1"/>
  <c r="I44" i="5"/>
  <c r="J44" i="5"/>
  <c r="M44" i="5" s="1"/>
  <c r="I45" i="5"/>
  <c r="J45" i="5"/>
  <c r="M45" i="5" s="1"/>
  <c r="I46" i="5"/>
  <c r="J46" i="5"/>
  <c r="M46" i="5" s="1"/>
  <c r="I47" i="5"/>
  <c r="J47" i="5"/>
  <c r="M47" i="5" s="1"/>
  <c r="I48" i="5"/>
  <c r="J48" i="5"/>
  <c r="M48" i="5" s="1"/>
  <c r="I49" i="5"/>
  <c r="J49" i="5"/>
  <c r="M49" i="5" s="1"/>
  <c r="I50" i="5"/>
  <c r="J50" i="5"/>
  <c r="M50" i="5" s="1"/>
  <c r="I51" i="5"/>
  <c r="J51" i="5"/>
  <c r="M51" i="5" s="1"/>
  <c r="I52" i="5"/>
  <c r="J52" i="5"/>
  <c r="M52" i="5" s="1"/>
  <c r="I53" i="5"/>
  <c r="J53" i="5"/>
  <c r="M53" i="5" s="1"/>
  <c r="I54" i="5"/>
  <c r="J54" i="5"/>
  <c r="M54" i="5" s="1"/>
  <c r="I55" i="5"/>
  <c r="J55" i="5"/>
  <c r="M55" i="5" s="1"/>
  <c r="I56" i="5"/>
  <c r="J56" i="5"/>
  <c r="M56" i="5" s="1"/>
  <c r="I57" i="5"/>
  <c r="J57" i="5"/>
  <c r="M57" i="5" s="1"/>
  <c r="I58" i="5"/>
  <c r="J58" i="5"/>
  <c r="M58" i="5" s="1"/>
  <c r="I59" i="5"/>
  <c r="J59" i="5"/>
  <c r="M59" i="5" s="1"/>
  <c r="C60" i="5"/>
  <c r="C61" i="5"/>
  <c r="C62" i="5"/>
  <c r="C63" i="5"/>
  <c r="C64" i="5"/>
  <c r="C65" i="5"/>
  <c r="C66" i="5"/>
  <c r="C67" i="5"/>
  <c r="C68" i="5"/>
  <c r="F91" i="10" l="1"/>
  <c r="G91" i="10" s="1"/>
  <c r="F90" i="10"/>
  <c r="G90" i="10" s="1"/>
  <c r="H28" i="5"/>
  <c r="J11" i="5"/>
  <c r="M11" i="5" s="1"/>
  <c r="J28" i="5"/>
  <c r="M28" i="5" s="1"/>
  <c r="I12" i="5"/>
  <c r="J42" i="5"/>
  <c r="M42" i="5" s="1"/>
  <c r="AE38" i="10"/>
  <c r="AF38" i="10" s="1"/>
  <c r="AE35" i="10"/>
  <c r="AF35" i="10" s="1"/>
  <c r="AE32" i="10"/>
  <c r="AF32" i="10" s="1"/>
  <c r="AE37" i="10"/>
  <c r="AF37" i="10" s="1"/>
  <c r="AE31" i="10"/>
  <c r="AF31" i="10" s="1"/>
  <c r="AE34" i="10"/>
  <c r="AF34" i="10" s="1"/>
  <c r="I40" i="5"/>
  <c r="J20" i="5"/>
  <c r="M20" i="5" s="1"/>
  <c r="J36" i="5"/>
  <c r="M36" i="5" s="1"/>
  <c r="I20" i="5"/>
  <c r="I8" i="5"/>
  <c r="I32" i="5"/>
  <c r="J16" i="5"/>
  <c r="M16" i="5" s="1"/>
  <c r="I39" i="5"/>
  <c r="J27" i="5"/>
  <c r="M27" i="5" s="1"/>
  <c r="J31" i="5"/>
  <c r="M31" i="5" s="1"/>
  <c r="I27" i="5"/>
  <c r="J15" i="5"/>
  <c r="M15" i="5" s="1"/>
  <c r="I11" i="5"/>
  <c r="J35" i="5"/>
  <c r="M35" i="5" s="1"/>
  <c r="I31" i="5"/>
  <c r="J23" i="5"/>
  <c r="M23" i="5" s="1"/>
  <c r="J19" i="5"/>
  <c r="M19" i="5" s="1"/>
  <c r="I15" i="5"/>
  <c r="H41" i="5"/>
  <c r="J39" i="5"/>
  <c r="M39" i="5" s="1"/>
  <c r="I35" i="5"/>
  <c r="I23" i="5"/>
  <c r="I19" i="5"/>
  <c r="I7" i="5"/>
  <c r="J6" i="5"/>
  <c r="M6" i="5" s="1"/>
  <c r="I30" i="5"/>
  <c r="J26" i="5"/>
  <c r="M26" i="5" s="1"/>
  <c r="J18" i="5"/>
  <c r="M18" i="5" s="1"/>
  <c r="J14" i="5"/>
  <c r="M14" i="5" s="1"/>
  <c r="H5" i="5"/>
  <c r="I22" i="5"/>
  <c r="I6" i="5"/>
  <c r="J38" i="5"/>
  <c r="M38" i="5" s="1"/>
  <c r="I38" i="5"/>
  <c r="J34" i="5"/>
  <c r="M34" i="5" s="1"/>
  <c r="I14" i="5"/>
  <c r="I34" i="5"/>
  <c r="J30" i="5"/>
  <c r="M30" i="5" s="1"/>
  <c r="J22" i="5"/>
  <c r="M22" i="5" s="1"/>
  <c r="J7" i="5"/>
  <c r="M7" i="5" s="1"/>
  <c r="H36" i="5"/>
  <c r="H12" i="5"/>
  <c r="J4" i="5"/>
  <c r="M4" i="5" s="1"/>
  <c r="F84" i="10"/>
  <c r="G84" i="10" s="1"/>
  <c r="F83" i="10"/>
  <c r="G83" i="10" s="1"/>
  <c r="C24" i="5"/>
  <c r="H40" i="5"/>
  <c r="J32" i="5"/>
  <c r="M32" i="5" s="1"/>
  <c r="I24" i="5"/>
  <c r="J8" i="5"/>
  <c r="M8" i="5" s="1"/>
  <c r="H42" i="5"/>
  <c r="H16" i="5"/>
  <c r="J24" i="5"/>
  <c r="M24" i="5" s="1"/>
  <c r="C3" i="5"/>
  <c r="I26" i="5"/>
  <c r="I18" i="5"/>
  <c r="I10" i="5"/>
  <c r="J10" i="5"/>
  <c r="M10" i="5" s="1"/>
  <c r="C6" i="5"/>
  <c r="H37" i="5"/>
  <c r="H33" i="5"/>
  <c r="H29" i="5"/>
  <c r="H25" i="5"/>
  <c r="H21" i="5"/>
  <c r="H17" i="5"/>
  <c r="H13" i="5"/>
  <c r="I41" i="5"/>
  <c r="I29" i="5"/>
  <c r="I25" i="5"/>
  <c r="I17" i="5"/>
  <c r="H9" i="5"/>
  <c r="I33" i="5"/>
  <c r="I21" i="5"/>
  <c r="I13" i="5"/>
  <c r="J37" i="5"/>
  <c r="M37" i="5" s="1"/>
  <c r="J9" i="5"/>
  <c r="M9" i="5" s="1"/>
  <c r="J5" i="5"/>
  <c r="M5" i="5" s="1"/>
  <c r="H4" i="5"/>
  <c r="I4" i="5"/>
  <c r="AS3" i="5"/>
  <c r="W37" i="28" l="1"/>
  <c r="H8" i="28" s="1"/>
  <c r="W5" i="28"/>
  <c r="B14" i="28" s="1"/>
  <c r="AI33" i="28"/>
  <c r="W30" i="28"/>
  <c r="H21" i="28" s="1"/>
  <c r="L4" i="28"/>
  <c r="W45" i="28"/>
  <c r="W52" i="28"/>
  <c r="Y40" i="28"/>
  <c r="W41" i="28"/>
  <c r="H11" i="28" s="1"/>
  <c r="W27" i="28"/>
  <c r="B17" i="28" s="1"/>
  <c r="W48" i="28"/>
  <c r="W13" i="28"/>
  <c r="W34" i="28"/>
  <c r="B19" i="28" s="1"/>
  <c r="AB26" i="10"/>
  <c r="L12" i="28"/>
  <c r="AI15" i="28"/>
  <c r="F16" i="28" s="1"/>
  <c r="AI36" i="28"/>
  <c r="L7" i="28" s="1"/>
  <c r="AI21" i="28"/>
  <c r="AI19" i="28"/>
  <c r="F28" i="28" s="1"/>
  <c r="AI49" i="28"/>
  <c r="L8" i="28"/>
  <c r="Y54" i="28"/>
  <c r="Y18" i="28"/>
  <c r="Y22" i="28"/>
  <c r="AB25" i="10"/>
  <c r="AB27" i="10"/>
  <c r="Y44" i="28"/>
  <c r="Y3" i="28"/>
  <c r="Y33" i="28"/>
  <c r="Y35" i="28"/>
  <c r="Y27" i="28"/>
  <c r="Y24" i="28"/>
  <c r="Y20" i="28"/>
  <c r="AB20" i="28" s="1"/>
  <c r="Y38" i="28"/>
  <c r="Y13" i="28"/>
  <c r="Y8" i="28"/>
  <c r="Y53" i="28"/>
  <c r="Y15" i="28"/>
  <c r="Y55" i="28"/>
  <c r="Y45" i="28"/>
  <c r="Y52" i="28"/>
  <c r="Y36" i="28"/>
  <c r="Y48" i="28"/>
  <c r="Y30" i="28"/>
  <c r="Y17" i="28"/>
  <c r="Y21" i="28"/>
  <c r="Y11" i="28"/>
  <c r="Y12" i="28"/>
  <c r="Y47" i="28"/>
  <c r="Y28" i="28"/>
  <c r="Y50" i="28"/>
  <c r="Y46" i="28"/>
  <c r="Y39" i="28"/>
  <c r="Y31" i="28"/>
  <c r="Y42" i="28"/>
  <c r="Y26" i="28"/>
  <c r="Y23" i="28"/>
  <c r="Y16" i="28"/>
  <c r="Y14" i="28"/>
  <c r="Y9" i="28"/>
  <c r="Y7" i="28"/>
  <c r="Y5" i="28"/>
  <c r="Y41" i="28"/>
  <c r="Y51" i="28"/>
  <c r="Y49" i="28"/>
  <c r="Y32" i="28"/>
  <c r="Y43" i="28"/>
  <c r="Y29" i="28"/>
  <c r="Y37" i="28"/>
  <c r="Y34" i="28"/>
  <c r="Y25" i="28"/>
  <c r="Y19" i="28"/>
  <c r="Y10" i="28"/>
  <c r="Y6" i="28"/>
  <c r="Y4" i="28"/>
  <c r="H4" i="28"/>
  <c r="B38" i="28"/>
  <c r="H20" i="28"/>
  <c r="W3" i="5"/>
  <c r="AI41" i="28" s="1"/>
  <c r="X26" i="28"/>
  <c r="AR3" i="5"/>
  <c r="AS4" i="5"/>
  <c r="AI3" i="28" s="1"/>
  <c r="E4" i="5"/>
  <c r="L4" i="5" s="1"/>
  <c r="E5" i="5"/>
  <c r="L5" i="5" s="1"/>
  <c r="E6" i="5"/>
  <c r="L6" i="5" s="1"/>
  <c r="E7" i="5"/>
  <c r="L7" i="5" s="1"/>
  <c r="E8" i="5"/>
  <c r="L8" i="5" s="1"/>
  <c r="E9" i="5"/>
  <c r="L9" i="5" s="1"/>
  <c r="E10" i="5"/>
  <c r="L10" i="5" s="1"/>
  <c r="E11" i="5"/>
  <c r="L11" i="5" s="1"/>
  <c r="E12" i="5"/>
  <c r="L12" i="5" s="1"/>
  <c r="E13" i="5"/>
  <c r="L13" i="5" s="1"/>
  <c r="E14" i="5"/>
  <c r="L14" i="5" s="1"/>
  <c r="E15" i="5"/>
  <c r="L15" i="5" s="1"/>
  <c r="E16" i="5"/>
  <c r="L16" i="5" s="1"/>
  <c r="E17" i="5"/>
  <c r="L17" i="5" s="1"/>
  <c r="E18" i="5"/>
  <c r="L18" i="5" s="1"/>
  <c r="E19" i="5"/>
  <c r="L19" i="5" s="1"/>
  <c r="E20" i="5"/>
  <c r="L20" i="5" s="1"/>
  <c r="E21" i="5"/>
  <c r="L21" i="5" s="1"/>
  <c r="E22" i="5"/>
  <c r="L22" i="5" s="1"/>
  <c r="E23" i="5"/>
  <c r="L23" i="5" s="1"/>
  <c r="E24" i="5"/>
  <c r="L24" i="5" s="1"/>
  <c r="E25" i="5"/>
  <c r="L25" i="5" s="1"/>
  <c r="E26" i="5"/>
  <c r="L26" i="5" s="1"/>
  <c r="E27" i="5"/>
  <c r="L27" i="5" s="1"/>
  <c r="E28" i="5"/>
  <c r="L28" i="5" s="1"/>
  <c r="E29" i="5"/>
  <c r="L29" i="5" s="1"/>
  <c r="E30" i="5"/>
  <c r="L30" i="5" s="1"/>
  <c r="E31" i="5"/>
  <c r="L31" i="5" s="1"/>
  <c r="E32" i="5"/>
  <c r="L32" i="5" s="1"/>
  <c r="E33" i="5"/>
  <c r="L33" i="5" s="1"/>
  <c r="E34" i="5"/>
  <c r="L34" i="5" s="1"/>
  <c r="E35" i="5"/>
  <c r="L35" i="5" s="1"/>
  <c r="E36" i="5"/>
  <c r="L36" i="5" s="1"/>
  <c r="E37" i="5"/>
  <c r="L37" i="5" s="1"/>
  <c r="E38" i="5"/>
  <c r="L38" i="5" s="1"/>
  <c r="E39" i="5"/>
  <c r="L39" i="5" s="1"/>
  <c r="E40" i="5"/>
  <c r="L40" i="5" s="1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E60" i="5"/>
  <c r="L60" i="5" s="1"/>
  <c r="E61" i="5"/>
  <c r="L61" i="5" s="1"/>
  <c r="E62" i="5"/>
  <c r="L62" i="5" s="1"/>
  <c r="E63" i="5"/>
  <c r="L63" i="5" s="1"/>
  <c r="E64" i="5"/>
  <c r="L64" i="5" s="1"/>
  <c r="E65" i="5"/>
  <c r="L65" i="5" s="1"/>
  <c r="E66" i="5"/>
  <c r="L66" i="5" s="1"/>
  <c r="E67" i="5"/>
  <c r="L67" i="5" s="1"/>
  <c r="E68" i="5"/>
  <c r="L68" i="5" s="1"/>
  <c r="E3" i="5"/>
  <c r="L3" i="5" s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60" i="5"/>
  <c r="D61" i="5"/>
  <c r="D62" i="5"/>
  <c r="D63" i="5"/>
  <c r="D64" i="5"/>
  <c r="D65" i="5"/>
  <c r="D66" i="5"/>
  <c r="D67" i="5"/>
  <c r="D68" i="5"/>
  <c r="D3" i="5"/>
  <c r="R46" i="20"/>
  <c r="R45" i="20"/>
  <c r="Z40" i="28" l="1"/>
  <c r="AF40" i="28" s="1"/>
  <c r="AH40" i="28"/>
  <c r="AG40" i="28"/>
  <c r="L14" i="28"/>
  <c r="L11" i="28"/>
  <c r="AI28" i="28"/>
  <c r="L20" i="28" s="1"/>
  <c r="AB22" i="28"/>
  <c r="AH22" i="28"/>
  <c r="AG22" i="28"/>
  <c r="Z22" i="28"/>
  <c r="AB18" i="28"/>
  <c r="Z18" i="28"/>
  <c r="AG18" i="28"/>
  <c r="AH18" i="28"/>
  <c r="Z54" i="28"/>
  <c r="AG54" i="28"/>
  <c r="AH54" i="28"/>
  <c r="F30" i="28"/>
  <c r="F31" i="28"/>
  <c r="F38" i="28"/>
  <c r="H12" i="28"/>
  <c r="B21" i="28"/>
  <c r="H15" i="28"/>
  <c r="W45" i="20"/>
  <c r="AA45" i="20"/>
  <c r="AE45" i="20"/>
  <c r="AI45" i="20"/>
  <c r="AM45" i="20"/>
  <c r="AQ45" i="20"/>
  <c r="AU45" i="20"/>
  <c r="V45" i="20"/>
  <c r="Z45" i="20"/>
  <c r="AH45" i="20"/>
  <c r="AL45" i="20"/>
  <c r="AP45" i="20"/>
  <c r="AT45" i="20"/>
  <c r="T45" i="20"/>
  <c r="AB45" i="20"/>
  <c r="AN45" i="20"/>
  <c r="AD45" i="20"/>
  <c r="AJ45" i="20"/>
  <c r="U45" i="20"/>
  <c r="Y45" i="20"/>
  <c r="AC45" i="20"/>
  <c r="AG45" i="20"/>
  <c r="AK45" i="20"/>
  <c r="AO45" i="20"/>
  <c r="AS45" i="20"/>
  <c r="S45" i="20"/>
  <c r="X45" i="20"/>
  <c r="AF45" i="20"/>
  <c r="AR45" i="20"/>
  <c r="W46" i="20"/>
  <c r="AA46" i="20"/>
  <c r="AE46" i="20"/>
  <c r="AI46" i="20"/>
  <c r="AM46" i="20"/>
  <c r="AQ46" i="20"/>
  <c r="AU46" i="20"/>
  <c r="V46" i="20"/>
  <c r="Z46" i="20"/>
  <c r="AD46" i="20"/>
  <c r="AH46" i="20"/>
  <c r="AL46" i="20"/>
  <c r="AP46" i="20"/>
  <c r="AT46" i="20"/>
  <c r="T46" i="20"/>
  <c r="AB46" i="20"/>
  <c r="AJ46" i="20"/>
  <c r="S46" i="20"/>
  <c r="AN46" i="20"/>
  <c r="U46" i="20"/>
  <c r="Y46" i="20"/>
  <c r="AC46" i="20"/>
  <c r="AG46" i="20"/>
  <c r="AK46" i="20"/>
  <c r="AO46" i="20"/>
  <c r="AS46" i="20"/>
  <c r="X46" i="20"/>
  <c r="AF46" i="20"/>
  <c r="AR46" i="20"/>
  <c r="H81" i="17"/>
  <c r="I81" i="17"/>
  <c r="K81" i="17"/>
  <c r="H82" i="17"/>
  <c r="I82" i="17"/>
  <c r="K82" i="17"/>
  <c r="H83" i="17"/>
  <c r="I83" i="17"/>
  <c r="K83" i="17"/>
  <c r="H84" i="17"/>
  <c r="I84" i="17"/>
  <c r="K84" i="17"/>
  <c r="AF84" i="17"/>
  <c r="H85" i="17"/>
  <c r="I85" i="17"/>
  <c r="K85" i="17"/>
  <c r="H86" i="17"/>
  <c r="I86" i="17"/>
  <c r="K86" i="17"/>
  <c r="F76" i="10" l="1"/>
  <c r="F77" i="10"/>
  <c r="F78" i="10"/>
  <c r="AF22" i="28"/>
  <c r="AC22" i="28"/>
  <c r="AD22" i="28"/>
  <c r="AE22" i="28"/>
  <c r="AF18" i="28"/>
  <c r="AE18" i="28"/>
  <c r="AD18" i="28"/>
  <c r="AC18" i="28"/>
  <c r="AE54" i="28"/>
  <c r="AC54" i="28"/>
  <c r="AB54" i="28"/>
  <c r="AF54" i="28"/>
  <c r="AD54" i="28"/>
  <c r="AN7" i="17"/>
  <c r="Q8" i="13"/>
  <c r="AT43" i="19"/>
  <c r="AU43" i="19"/>
  <c r="AT42" i="19"/>
  <c r="AU42" i="19"/>
  <c r="AV42" i="19" s="1"/>
  <c r="AO42" i="19"/>
  <c r="AP42" i="19"/>
  <c r="AQ42" i="19"/>
  <c r="AR42" i="19"/>
  <c r="AP43" i="19"/>
  <c r="AQ43" i="19"/>
  <c r="AR43" i="19"/>
  <c r="AU122" i="19"/>
  <c r="AT122" i="19"/>
  <c r="AR122" i="19"/>
  <c r="AQ122" i="19"/>
  <c r="AP122" i="19"/>
  <c r="AO122" i="19"/>
  <c r="AU121" i="19"/>
  <c r="AT121" i="19"/>
  <c r="AR121" i="19"/>
  <c r="AQ121" i="19"/>
  <c r="AP121" i="19"/>
  <c r="AO121" i="19"/>
  <c r="AU119" i="19"/>
  <c r="AT119" i="19"/>
  <c r="AR119" i="19"/>
  <c r="AQ119" i="19"/>
  <c r="AP119" i="19"/>
  <c r="AO119" i="19"/>
  <c r="AU118" i="19"/>
  <c r="AT118" i="19"/>
  <c r="AR118" i="19"/>
  <c r="AQ118" i="19"/>
  <c r="AP118" i="19"/>
  <c r="AO118" i="19"/>
  <c r="E454" i="11"/>
  <c r="C454" i="11"/>
  <c r="C453" i="11"/>
  <c r="E453" i="11"/>
  <c r="E451" i="11"/>
  <c r="C451" i="11"/>
  <c r="C450" i="11"/>
  <c r="E450" i="11"/>
  <c r="C456" i="11"/>
  <c r="E456" i="11"/>
  <c r="E449" i="11"/>
  <c r="E455" i="11"/>
  <c r="AF56" i="28"/>
  <c r="AV118" i="19" l="1"/>
  <c r="AV119" i="19"/>
  <c r="AV121" i="19"/>
  <c r="AV43" i="19"/>
  <c r="AV122" i="19"/>
  <c r="F62" i="13"/>
  <c r="F63" i="13"/>
  <c r="F64" i="13"/>
  <c r="F65" i="13"/>
  <c r="F66" i="13"/>
  <c r="F67" i="13"/>
  <c r="F68" i="13"/>
  <c r="F69" i="13"/>
  <c r="F70" i="13"/>
  <c r="F61" i="13"/>
  <c r="A61" i="13"/>
  <c r="A62" i="13"/>
  <c r="A63" i="13"/>
  <c r="A64" i="13"/>
  <c r="A65" i="13"/>
  <c r="A66" i="13"/>
  <c r="A67" i="13"/>
  <c r="A68" i="13"/>
  <c r="A69" i="13"/>
  <c r="A70" i="13"/>
  <c r="E65" i="13"/>
  <c r="E66" i="13"/>
  <c r="E67" i="13"/>
  <c r="E68" i="13"/>
  <c r="E69" i="13"/>
  <c r="E70" i="13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73" i="10"/>
  <c r="I6" i="10"/>
  <c r="E63" i="13" s="1"/>
  <c r="I7" i="10"/>
  <c r="E64" i="13" s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73" i="10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E33" i="17"/>
  <c r="R33" i="17" s="1"/>
  <c r="B2" i="22"/>
  <c r="D77" i="17"/>
  <c r="R61" i="17"/>
  <c r="R60" i="17"/>
  <c r="R59" i="17"/>
  <c r="R58" i="17"/>
  <c r="R57" i="17"/>
  <c r="R56" i="17"/>
  <c r="R55" i="17"/>
  <c r="R49" i="17"/>
  <c r="R52" i="17"/>
  <c r="R51" i="17"/>
  <c r="R50" i="17"/>
  <c r="R40" i="17"/>
  <c r="R46" i="17"/>
  <c r="R45" i="17"/>
  <c r="R44" i="17"/>
  <c r="R43" i="17"/>
  <c r="R42" i="17"/>
  <c r="R41" i="17"/>
  <c r="R36" i="17"/>
  <c r="R37" i="17"/>
  <c r="E32" i="17"/>
  <c r="D35" i="1"/>
  <c r="E35" i="1"/>
  <c r="F35" i="1"/>
  <c r="D34" i="1"/>
  <c r="E34" i="1"/>
  <c r="F34" i="1"/>
  <c r="C155" i="22" l="1"/>
  <c r="V84" i="22"/>
  <c r="V80" i="22"/>
  <c r="C12" i="22"/>
  <c r="V83" i="22"/>
  <c r="V82" i="22"/>
  <c r="V81" i="22"/>
  <c r="V77" i="22"/>
  <c r="AV7" i="28"/>
  <c r="W47" i="28" s="1"/>
  <c r="R32" i="17"/>
  <c r="H81" i="10"/>
  <c r="W15" i="28"/>
  <c r="B16" i="28" s="1"/>
  <c r="W7" i="28"/>
  <c r="B5" i="28" s="1"/>
  <c r="G81" i="10"/>
  <c r="Q86" i="17"/>
  <c r="Q82" i="17"/>
  <c r="Q83" i="17"/>
  <c r="Q84" i="17"/>
  <c r="Q85" i="17"/>
  <c r="Q81" i="17"/>
  <c r="J37" i="28"/>
  <c r="J36" i="28"/>
  <c r="J35" i="28"/>
  <c r="J34" i="28"/>
  <c r="J33" i="28"/>
  <c r="J32" i="28"/>
  <c r="P86" i="17"/>
  <c r="P82" i="17"/>
  <c r="P83" i="17"/>
  <c r="P84" i="17"/>
  <c r="P85" i="17"/>
  <c r="P81" i="17"/>
  <c r="F99" i="17"/>
  <c r="AQ4" i="28"/>
  <c r="AQ6" i="28"/>
  <c r="W55" i="28" s="1"/>
  <c r="AQ2" i="28"/>
  <c r="AQ3" i="28"/>
  <c r="AV6" i="28"/>
  <c r="AR13" i="28"/>
  <c r="AB29" i="1"/>
  <c r="AO31" i="6"/>
  <c r="AO35" i="6"/>
  <c r="AO39" i="6"/>
  <c r="AO43" i="6"/>
  <c r="AO46" i="6"/>
  <c r="AR12" i="28"/>
  <c r="AR18" i="28"/>
  <c r="AB28" i="1"/>
  <c r="AO34" i="6"/>
  <c r="AO38" i="6"/>
  <c r="AO42" i="6"/>
  <c r="AO45" i="6"/>
  <c r="AO49" i="6"/>
  <c r="AO30" i="6"/>
  <c r="AR15" i="28"/>
  <c r="AB31" i="1"/>
  <c r="AO33" i="6"/>
  <c r="AO37" i="6"/>
  <c r="AO41" i="6"/>
  <c r="AO48" i="6"/>
  <c r="AB27" i="1"/>
  <c r="AR14" i="28"/>
  <c r="AR16" i="28"/>
  <c r="AR17" i="28"/>
  <c r="AR19" i="28"/>
  <c r="AB30" i="1"/>
  <c r="AO32" i="6"/>
  <c r="AO36" i="6"/>
  <c r="AO40" i="6"/>
  <c r="AO44" i="6"/>
  <c r="AO47" i="6"/>
  <c r="AV5" i="28"/>
  <c r="W11" i="28" s="1"/>
  <c r="AQ12" i="28"/>
  <c r="AQ18" i="28"/>
  <c r="AA28" i="1"/>
  <c r="AN34" i="6"/>
  <c r="AN38" i="6"/>
  <c r="AN42" i="6"/>
  <c r="AN45" i="6"/>
  <c r="AN49" i="6"/>
  <c r="AN47" i="6"/>
  <c r="AA29" i="1"/>
  <c r="AV4" i="28"/>
  <c r="W10" i="28" s="1"/>
  <c r="AN36" i="6"/>
  <c r="AN31" i="6"/>
  <c r="AV3" i="28"/>
  <c r="AQ15" i="28"/>
  <c r="AA31" i="1"/>
  <c r="AN33" i="6"/>
  <c r="AN37" i="6"/>
  <c r="AN41" i="6"/>
  <c r="AN48" i="6"/>
  <c r="AN35" i="6"/>
  <c r="AV2" i="28"/>
  <c r="W32" i="28" s="1"/>
  <c r="AN30" i="6"/>
  <c r="AN40" i="6"/>
  <c r="AN39" i="6"/>
  <c r="AQ14" i="28"/>
  <c r="AQ16" i="28"/>
  <c r="AQ17" i="28"/>
  <c r="AQ19" i="28"/>
  <c r="AA30" i="1"/>
  <c r="AN32" i="6"/>
  <c r="AN44" i="6"/>
  <c r="AN46" i="6"/>
  <c r="AA27" i="1"/>
  <c r="AQ13" i="28"/>
  <c r="AN43" i="6"/>
  <c r="C142" i="22"/>
  <c r="C146" i="22"/>
  <c r="C133" i="22"/>
  <c r="C137" i="22"/>
  <c r="C104" i="22"/>
  <c r="C119" i="22"/>
  <c r="C53" i="22"/>
  <c r="C91" i="22"/>
  <c r="H12" i="1"/>
  <c r="D12" i="1"/>
  <c r="V76" i="22"/>
  <c r="V13" i="22"/>
  <c r="V42" i="22"/>
  <c r="V18" i="22"/>
  <c r="V57" i="22"/>
  <c r="V43" i="22"/>
  <c r="V12" i="22"/>
  <c r="V45" i="22"/>
  <c r="V67" i="22"/>
  <c r="V65" i="22"/>
  <c r="V60" i="22"/>
  <c r="V62" i="22"/>
  <c r="V68" i="22"/>
  <c r="V69" i="22"/>
  <c r="V61" i="22"/>
  <c r="V59" i="22"/>
  <c r="V64" i="22"/>
  <c r="V53" i="22"/>
  <c r="V63" i="22"/>
  <c r="V44" i="22"/>
  <c r="V55" i="22"/>
  <c r="V66" i="22"/>
  <c r="V56" i="22"/>
  <c r="V54" i="22"/>
  <c r="V41" i="22"/>
  <c r="V26" i="22"/>
  <c r="V24" i="22"/>
  <c r="V38" i="22"/>
  <c r="V27" i="22"/>
  <c r="V23" i="22"/>
  <c r="V28" i="22"/>
  <c r="V25" i="22"/>
  <c r="V58" i="22"/>
  <c r="V36" i="22"/>
  <c r="V49" i="22"/>
  <c r="V37" i="22"/>
  <c r="V48" i="22"/>
  <c r="V34" i="22"/>
  <c r="V29" i="22"/>
  <c r="V35" i="22"/>
  <c r="C87" i="22"/>
  <c r="V40" i="22"/>
  <c r="D11" i="1"/>
  <c r="C156" i="22"/>
  <c r="C151" i="22"/>
  <c r="C147" i="22"/>
  <c r="C141" i="22"/>
  <c r="C136" i="22"/>
  <c r="C131" i="22"/>
  <c r="C127" i="22"/>
  <c r="C123" i="22"/>
  <c r="C118" i="22"/>
  <c r="C121" i="22"/>
  <c r="C157" i="22"/>
  <c r="C152" i="22"/>
  <c r="C148" i="22"/>
  <c r="C143" i="22"/>
  <c r="C138" i="22"/>
  <c r="C132" i="22"/>
  <c r="C128" i="22"/>
  <c r="C124" i="22"/>
  <c r="C158" i="22"/>
  <c r="C153" i="22"/>
  <c r="C149" i="22"/>
  <c r="C144" i="22"/>
  <c r="C139" i="22"/>
  <c r="C134" i="22"/>
  <c r="C129" i="22"/>
  <c r="C125" i="22"/>
  <c r="C159" i="22"/>
  <c r="C154" i="22"/>
  <c r="C150" i="22"/>
  <c r="C145" i="22"/>
  <c r="C140" i="22"/>
  <c r="C135" i="22"/>
  <c r="C130" i="22"/>
  <c r="C126" i="22"/>
  <c r="C122" i="22"/>
  <c r="C120" i="22"/>
  <c r="C114" i="22"/>
  <c r="C111" i="22"/>
  <c r="C107" i="22"/>
  <c r="C102" i="22"/>
  <c r="C110" i="22"/>
  <c r="C113" i="22"/>
  <c r="C112" i="22"/>
  <c r="C108" i="22"/>
  <c r="C103" i="22"/>
  <c r="C106" i="22"/>
  <c r="C116" i="22"/>
  <c r="C109" i="22"/>
  <c r="C105" i="22"/>
  <c r="C100" i="22"/>
  <c r="C115" i="22"/>
  <c r="C101" i="22"/>
  <c r="C89" i="22"/>
  <c r="C95" i="22"/>
  <c r="C90" i="22"/>
  <c r="C85" i="22"/>
  <c r="C98" i="22"/>
  <c r="C94" i="22"/>
  <c r="C92" i="22"/>
  <c r="C86" i="22"/>
  <c r="C96" i="22"/>
  <c r="C93" i="22"/>
  <c r="C88" i="22"/>
  <c r="C97" i="22"/>
  <c r="R74" i="22"/>
  <c r="R78" i="22"/>
  <c r="R82" i="22"/>
  <c r="R86" i="22"/>
  <c r="R90" i="22"/>
  <c r="R77" i="22"/>
  <c r="R81" i="22"/>
  <c r="R85" i="22"/>
  <c r="R89" i="22"/>
  <c r="R76" i="22"/>
  <c r="R80" i="22"/>
  <c r="R84" i="22"/>
  <c r="R88" i="22"/>
  <c r="R75" i="22"/>
  <c r="R79" i="22"/>
  <c r="R83" i="22"/>
  <c r="R87" i="22"/>
  <c r="M29" i="22"/>
  <c r="C80" i="22"/>
  <c r="C73" i="22"/>
  <c r="C81" i="22"/>
  <c r="C79" i="22"/>
  <c r="C78" i="22"/>
  <c r="C75" i="22"/>
  <c r="C83" i="22"/>
  <c r="C74" i="22"/>
  <c r="C82" i="22"/>
  <c r="C72" i="22"/>
  <c r="C77" i="22"/>
  <c r="C71" i="22"/>
  <c r="C76" i="22"/>
  <c r="C70" i="22"/>
  <c r="C68" i="22"/>
  <c r="C49" i="22"/>
  <c r="C38" i="22"/>
  <c r="C42" i="22"/>
  <c r="C37" i="22"/>
  <c r="C41" i="22"/>
  <c r="C45" i="22"/>
  <c r="C40" i="22"/>
  <c r="C44" i="22"/>
  <c r="C39" i="22"/>
  <c r="C43" i="22"/>
  <c r="C27" i="22"/>
  <c r="C31" i="22"/>
  <c r="C35" i="22"/>
  <c r="C24" i="22"/>
  <c r="C26" i="22"/>
  <c r="C30" i="22"/>
  <c r="C34" i="22"/>
  <c r="C28" i="22"/>
  <c r="C36" i="22"/>
  <c r="C25" i="22"/>
  <c r="C29" i="22"/>
  <c r="C33" i="22"/>
  <c r="C32" i="22"/>
  <c r="C20" i="22"/>
  <c r="C16" i="22"/>
  <c r="C21" i="22"/>
  <c r="C17" i="22"/>
  <c r="C13" i="22"/>
  <c r="C18" i="22"/>
  <c r="C14" i="22"/>
  <c r="C23" i="22"/>
  <c r="C19" i="22"/>
  <c r="C15" i="22"/>
  <c r="V46" i="22"/>
  <c r="V52" i="22"/>
  <c r="V74" i="22"/>
  <c r="V39" i="22"/>
  <c r="V51" i="22"/>
  <c r="V73" i="22"/>
  <c r="V50" i="22"/>
  <c r="V72" i="22"/>
  <c r="V47" i="22"/>
  <c r="V71" i="22"/>
  <c r="V75" i="22"/>
  <c r="V32" i="22"/>
  <c r="V19" i="22"/>
  <c r="V31" i="22"/>
  <c r="V16" i="22"/>
  <c r="V30" i="22"/>
  <c r="V14" i="22"/>
  <c r="V15" i="22"/>
  <c r="V21" i="22"/>
  <c r="V33" i="22"/>
  <c r="AQ5" i="28"/>
  <c r="W35" i="28" s="1"/>
  <c r="N11" i="28"/>
  <c r="N9" i="28"/>
  <c r="N7" i="28"/>
  <c r="N5" i="28"/>
  <c r="N3" i="28"/>
  <c r="AH56" i="28"/>
  <c r="AG56" i="28"/>
  <c r="Q36" i="28"/>
  <c r="P36" i="28"/>
  <c r="Q29" i="28"/>
  <c r="P29" i="28"/>
  <c r="AT105" i="19"/>
  <c r="AU105" i="19"/>
  <c r="AT106" i="19"/>
  <c r="AU106" i="19"/>
  <c r="AR106" i="19"/>
  <c r="AR105" i="19"/>
  <c r="AO106" i="19"/>
  <c r="AP106" i="19"/>
  <c r="AQ106" i="19"/>
  <c r="AO105" i="19"/>
  <c r="AP105" i="19"/>
  <c r="AQ105" i="19"/>
  <c r="AT6" i="19"/>
  <c r="AU6" i="19"/>
  <c r="AT7" i="19"/>
  <c r="AU7" i="19"/>
  <c r="AV7" i="19" s="1"/>
  <c r="AO6" i="19"/>
  <c r="AP6" i="19"/>
  <c r="AQ6" i="19"/>
  <c r="AR6" i="19"/>
  <c r="AO7" i="19"/>
  <c r="AP7" i="19"/>
  <c r="AQ7" i="19"/>
  <c r="AR7" i="19"/>
  <c r="AU84" i="19"/>
  <c r="AT84" i="19"/>
  <c r="AU75" i="19"/>
  <c r="AT75" i="19"/>
  <c r="AR75" i="19"/>
  <c r="AQ75" i="19"/>
  <c r="AP75" i="19"/>
  <c r="AO75" i="19"/>
  <c r="AO17" i="19"/>
  <c r="AU92" i="19"/>
  <c r="AU93" i="19"/>
  <c r="AU95" i="19"/>
  <c r="AU96" i="19"/>
  <c r="AU97" i="19"/>
  <c r="AU98" i="19"/>
  <c r="AU99" i="19"/>
  <c r="AU100" i="19"/>
  <c r="AU101" i="19"/>
  <c r="AU102" i="19"/>
  <c r="AU103" i="19"/>
  <c r="AU104" i="19"/>
  <c r="AU108" i="19"/>
  <c r="AU109" i="19"/>
  <c r="AU110" i="19"/>
  <c r="AU111" i="19"/>
  <c r="AU112" i="19"/>
  <c r="AU113" i="19"/>
  <c r="AU8" i="19"/>
  <c r="AU9" i="19"/>
  <c r="AU10" i="19"/>
  <c r="AU11" i="19"/>
  <c r="AU16" i="19"/>
  <c r="AU17" i="19"/>
  <c r="AU18" i="19"/>
  <c r="AU27" i="19"/>
  <c r="AU29" i="19"/>
  <c r="AU30" i="19"/>
  <c r="AU31" i="19"/>
  <c r="AU32" i="19"/>
  <c r="AU33" i="19"/>
  <c r="AU34" i="19"/>
  <c r="AU37" i="19"/>
  <c r="AU38" i="19"/>
  <c r="AU44" i="19"/>
  <c r="AU45" i="19"/>
  <c r="AU46" i="19"/>
  <c r="AU47" i="19"/>
  <c r="AU48" i="19"/>
  <c r="AU49" i="19"/>
  <c r="AU51" i="19"/>
  <c r="AU52" i="19"/>
  <c r="AU53" i="19"/>
  <c r="AU54" i="19"/>
  <c r="AU55" i="19"/>
  <c r="AU56" i="19"/>
  <c r="AU59" i="19"/>
  <c r="AU60" i="19"/>
  <c r="AU61" i="19"/>
  <c r="AU64" i="19"/>
  <c r="AU73" i="19"/>
  <c r="AU74" i="19"/>
  <c r="AU76" i="19"/>
  <c r="AU77" i="19"/>
  <c r="AU79" i="19"/>
  <c r="AU80" i="19"/>
  <c r="AU81" i="19"/>
  <c r="AU82" i="19"/>
  <c r="AU83" i="19"/>
  <c r="AU87" i="19"/>
  <c r="AU88" i="19"/>
  <c r="AU91" i="19"/>
  <c r="AU4" i="19"/>
  <c r="AT81" i="19"/>
  <c r="AT79" i="19"/>
  <c r="AR81" i="19"/>
  <c r="AQ81" i="19"/>
  <c r="AP81" i="19"/>
  <c r="AO81" i="19"/>
  <c r="AO79" i="19"/>
  <c r="AP79" i="19"/>
  <c r="AQ79" i="19"/>
  <c r="AR79" i="19"/>
  <c r="D33" i="1"/>
  <c r="E33" i="1"/>
  <c r="F33" i="1"/>
  <c r="AC3" i="10"/>
  <c r="W8" i="28" l="1"/>
  <c r="W12" i="28"/>
  <c r="W6" i="28"/>
  <c r="B4" i="28" s="1"/>
  <c r="W17" i="28"/>
  <c r="W23" i="28"/>
  <c r="W18" i="28"/>
  <c r="W19" i="28"/>
  <c r="B28" i="28" s="1"/>
  <c r="E28" i="28" s="1"/>
  <c r="W20" i="28"/>
  <c r="B29" i="28" s="1"/>
  <c r="W22" i="28"/>
  <c r="E40" i="28"/>
  <c r="K23" i="28"/>
  <c r="H28" i="28"/>
  <c r="K28" i="28" s="1"/>
  <c r="W42" i="28"/>
  <c r="B27" i="28"/>
  <c r="E27" i="28" s="1"/>
  <c r="W25" i="28"/>
  <c r="B31" i="28"/>
  <c r="E31" i="28" s="1"/>
  <c r="W21" i="28"/>
  <c r="W24" i="28"/>
  <c r="B32" i="28"/>
  <c r="E32" i="28" s="1"/>
  <c r="B24" i="28"/>
  <c r="E24" i="28" s="1"/>
  <c r="W14" i="28"/>
  <c r="B25" i="28" s="1"/>
  <c r="E25" i="28" s="1"/>
  <c r="B15" i="28"/>
  <c r="AS19" i="28"/>
  <c r="AI38" i="28" s="1"/>
  <c r="F35" i="28" s="1"/>
  <c r="D64" i="17"/>
  <c r="E68" i="17" s="1"/>
  <c r="AP49" i="6"/>
  <c r="B11" i="28"/>
  <c r="B10" i="28"/>
  <c r="H6" i="28"/>
  <c r="B22" i="28"/>
  <c r="B6" i="28"/>
  <c r="K19" i="28"/>
  <c r="E7" i="28"/>
  <c r="E35" i="28"/>
  <c r="E16" i="28"/>
  <c r="K8" i="28"/>
  <c r="K12" i="28"/>
  <c r="E36" i="28"/>
  <c r="E37" i="28"/>
  <c r="K10" i="28"/>
  <c r="K22" i="28"/>
  <c r="AV79" i="19"/>
  <c r="T53" i="9"/>
  <c r="Z72" i="9" s="1"/>
  <c r="T52" i="9"/>
  <c r="Z71" i="9" s="1"/>
  <c r="T50" i="9"/>
  <c r="Z69" i="9" s="1"/>
  <c r="P45" i="9"/>
  <c r="T48" i="9"/>
  <c r="Z67" i="9" s="1"/>
  <c r="T51" i="9"/>
  <c r="Z70" i="9" s="1"/>
  <c r="T49" i="9"/>
  <c r="Z68" i="9" s="1"/>
  <c r="AP34" i="6"/>
  <c r="AP36" i="6"/>
  <c r="AP45" i="6"/>
  <c r="AP42" i="6"/>
  <c r="R49" i="9"/>
  <c r="P50" i="9"/>
  <c r="Z49" i="9" s="1"/>
  <c r="R47" i="9"/>
  <c r="R52" i="9"/>
  <c r="R50" i="9"/>
  <c r="R44" i="9"/>
  <c r="R45" i="9"/>
  <c r="P53" i="9"/>
  <c r="Z52" i="9" s="1"/>
  <c r="R46" i="9"/>
  <c r="P46" i="9"/>
  <c r="Z45" i="9" s="1"/>
  <c r="P51" i="9"/>
  <c r="Z50" i="9" s="1"/>
  <c r="T47" i="9"/>
  <c r="P49" i="9"/>
  <c r="Z48" i="9" s="1"/>
  <c r="T45" i="9"/>
  <c r="P52" i="9"/>
  <c r="Z51" i="9" s="1"/>
  <c r="P47" i="9"/>
  <c r="Z46" i="9" s="1"/>
  <c r="R53" i="9"/>
  <c r="R48" i="9"/>
  <c r="R51" i="9"/>
  <c r="P48" i="9"/>
  <c r="Z47" i="9" s="1"/>
  <c r="T44" i="9"/>
  <c r="T46" i="9"/>
  <c r="AS18" i="28"/>
  <c r="AS17" i="28"/>
  <c r="AS16" i="28"/>
  <c r="AI16" i="28" s="1"/>
  <c r="AP37" i="6"/>
  <c r="AP44" i="6"/>
  <c r="AP41" i="6"/>
  <c r="AP47" i="6"/>
  <c r="AP43" i="6"/>
  <c r="AP38" i="6"/>
  <c r="AP46" i="6"/>
  <c r="I81" i="10"/>
  <c r="AP48" i="6"/>
  <c r="AP40" i="6"/>
  <c r="AP35" i="6"/>
  <c r="AS14" i="28"/>
  <c r="AI46" i="28" s="1"/>
  <c r="AC29" i="1"/>
  <c r="AC28" i="1"/>
  <c r="AS12" i="28"/>
  <c r="AS15" i="28"/>
  <c r="AI51" i="28" s="1"/>
  <c r="AS13" i="28"/>
  <c r="AI11" i="28" s="1"/>
  <c r="AC31" i="1"/>
  <c r="AP33" i="6"/>
  <c r="AP39" i="6"/>
  <c r="AP30" i="6"/>
  <c r="AC27" i="1"/>
  <c r="AC30" i="1"/>
  <c r="AP31" i="6"/>
  <c r="AP32" i="6"/>
  <c r="AV84" i="19"/>
  <c r="AV81" i="19"/>
  <c r="AV6" i="19"/>
  <c r="AV105" i="19"/>
  <c r="AV106" i="19"/>
  <c r="AV75" i="19"/>
  <c r="E1413" i="24"/>
  <c r="D13" i="6" l="1"/>
  <c r="L17" i="28"/>
  <c r="F75" i="10" s="1"/>
  <c r="AI42" i="28"/>
  <c r="L28" i="28" s="1"/>
  <c r="AI35" i="28"/>
  <c r="L6" i="28" s="1"/>
  <c r="F24" i="28"/>
  <c r="Z44" i="9"/>
  <c r="AA44" i="9" s="1"/>
  <c r="L5" i="28"/>
  <c r="B26" i="28"/>
  <c r="E26" i="28" s="1"/>
  <c r="B30" i="28"/>
  <c r="E30" i="28" s="1"/>
  <c r="B34" i="28"/>
  <c r="E34" i="28" s="1"/>
  <c r="B33" i="28"/>
  <c r="E33" i="28" s="1"/>
  <c r="M76" i="10"/>
  <c r="M78" i="10"/>
  <c r="M77" i="10"/>
  <c r="M75" i="10"/>
  <c r="M74" i="10"/>
  <c r="F37" i="28" l="1"/>
  <c r="F39" i="28"/>
  <c r="AT27" i="19"/>
  <c r="AV27" i="19" s="1"/>
  <c r="AT29" i="19"/>
  <c r="AV29" i="19" s="1"/>
  <c r="AT30" i="19"/>
  <c r="AV30" i="19" s="1"/>
  <c r="AT31" i="19"/>
  <c r="AV31" i="19" s="1"/>
  <c r="AT32" i="19"/>
  <c r="AV32" i="19" s="1"/>
  <c r="AT33" i="19"/>
  <c r="AV33" i="19" s="1"/>
  <c r="AT34" i="19"/>
  <c r="AV34" i="19" s="1"/>
  <c r="AT37" i="19"/>
  <c r="AV37" i="19" s="1"/>
  <c r="AT38" i="19"/>
  <c r="AV38" i="19" s="1"/>
  <c r="AT44" i="19"/>
  <c r="AV44" i="19" s="1"/>
  <c r="AT45" i="19"/>
  <c r="AV45" i="19" s="1"/>
  <c r="AT46" i="19"/>
  <c r="AV46" i="19" s="1"/>
  <c r="AT47" i="19"/>
  <c r="AV47" i="19" s="1"/>
  <c r="AT48" i="19"/>
  <c r="AV48" i="19" s="1"/>
  <c r="AT49" i="19"/>
  <c r="AV49" i="19" s="1"/>
  <c r="AT51" i="19"/>
  <c r="AV51" i="19" s="1"/>
  <c r="AT52" i="19"/>
  <c r="AV52" i="19" s="1"/>
  <c r="AT53" i="19"/>
  <c r="AV53" i="19" s="1"/>
  <c r="AT54" i="19"/>
  <c r="AV54" i="19" s="1"/>
  <c r="AT55" i="19"/>
  <c r="AV55" i="19" s="1"/>
  <c r="AT56" i="19"/>
  <c r="AV56" i="19" s="1"/>
  <c r="AT59" i="19"/>
  <c r="AV59" i="19" s="1"/>
  <c r="AT60" i="19"/>
  <c r="AV60" i="19" s="1"/>
  <c r="AT61" i="19"/>
  <c r="AV61" i="19" s="1"/>
  <c r="AT64" i="19"/>
  <c r="AV64" i="19" s="1"/>
  <c r="AT73" i="19"/>
  <c r="AV73" i="19" s="1"/>
  <c r="AT74" i="19"/>
  <c r="AV74" i="19" s="1"/>
  <c r="AT76" i="19"/>
  <c r="AV76" i="19" s="1"/>
  <c r="AT77" i="19"/>
  <c r="AV77" i="19" s="1"/>
  <c r="AT80" i="19"/>
  <c r="AV80" i="19" s="1"/>
  <c r="AT82" i="19"/>
  <c r="AV82" i="19" s="1"/>
  <c r="AT83" i="19"/>
  <c r="AV83" i="19" s="1"/>
  <c r="AT87" i="19"/>
  <c r="AV87" i="19" s="1"/>
  <c r="AT88" i="19"/>
  <c r="AV88" i="19" s="1"/>
  <c r="BK20" i="6"/>
  <c r="A22" i="13"/>
  <c r="BK26" i="6"/>
  <c r="BK27" i="6"/>
  <c r="BK28" i="6"/>
  <c r="BK25" i="6"/>
  <c r="BK22" i="6"/>
  <c r="BK23" i="6"/>
  <c r="BK24" i="6"/>
  <c r="BK21" i="6"/>
  <c r="E45" i="13"/>
  <c r="E46" i="13"/>
  <c r="E39" i="13"/>
  <c r="E40" i="13"/>
  <c r="E41" i="13"/>
  <c r="E42" i="13"/>
  <c r="E43" i="13"/>
  <c r="E37" i="13"/>
  <c r="E36" i="13"/>
  <c r="E35" i="13"/>
  <c r="E24" i="13"/>
  <c r="I69" i="5" l="1"/>
  <c r="X20" i="28"/>
  <c r="X28" i="28"/>
  <c r="X38" i="28"/>
  <c r="X51" i="28"/>
  <c r="X4" i="28"/>
  <c r="X37" i="28"/>
  <c r="X33" i="28"/>
  <c r="X52" i="28"/>
  <c r="X30" i="28"/>
  <c r="X3" i="28"/>
  <c r="X15" i="28"/>
  <c r="X9" i="28"/>
  <c r="X11" i="28"/>
  <c r="X48" i="28"/>
  <c r="X42" i="28"/>
  <c r="X35" i="28"/>
  <c r="X36" i="28"/>
  <c r="X44" i="28"/>
  <c r="X41" i="28"/>
  <c r="AH41" i="28" s="1"/>
  <c r="X19" i="28"/>
  <c r="X21" i="28"/>
  <c r="X23" i="28"/>
  <c r="X25" i="28"/>
  <c r="X24" i="28"/>
  <c r="X17" i="28"/>
  <c r="X31" i="28"/>
  <c r="X43" i="28"/>
  <c r="X5" i="28"/>
  <c r="X10" i="28"/>
  <c r="X27" i="28"/>
  <c r="X29" i="28"/>
  <c r="X49" i="28"/>
  <c r="X13" i="28"/>
  <c r="X14" i="28"/>
  <c r="X34" i="28"/>
  <c r="X46" i="28"/>
  <c r="X55" i="28"/>
  <c r="X16" i="28"/>
  <c r="X39" i="28"/>
  <c r="X32" i="28"/>
  <c r="AO77" i="19"/>
  <c r="AP77" i="19"/>
  <c r="AQ77" i="19"/>
  <c r="AR77" i="19"/>
  <c r="F22" i="13"/>
  <c r="E18" i="13"/>
  <c r="E19" i="13"/>
  <c r="E17" i="13"/>
  <c r="E16" i="13"/>
  <c r="F3" i="13"/>
  <c r="E11" i="13"/>
  <c r="B2" i="13"/>
  <c r="C455" i="11"/>
  <c r="E457" i="11"/>
  <c r="C457" i="11"/>
  <c r="E5" i="11"/>
  <c r="V20" i="22" s="1"/>
  <c r="E58" i="11"/>
  <c r="C47" i="22"/>
  <c r="A130" i="13" l="1"/>
  <c r="R69" i="22"/>
  <c r="R65" i="22"/>
  <c r="R61" i="22"/>
  <c r="R57" i="22"/>
  <c r="R53" i="22"/>
  <c r="R49" i="22"/>
  <c r="R45" i="22"/>
  <c r="R41" i="22"/>
  <c r="R37" i="22"/>
  <c r="R33" i="22"/>
  <c r="R30" i="22"/>
  <c r="R70" i="22"/>
  <c r="R66" i="22"/>
  <c r="R62" i="22"/>
  <c r="R58" i="22"/>
  <c r="R54" i="22"/>
  <c r="R50" i="22"/>
  <c r="R46" i="22"/>
  <c r="R42" i="22"/>
  <c r="R38" i="22"/>
  <c r="R34" i="22"/>
  <c r="V22" i="22"/>
  <c r="R71" i="22"/>
  <c r="R67" i="22"/>
  <c r="R63" i="22"/>
  <c r="R59" i="22"/>
  <c r="R55" i="22"/>
  <c r="R51" i="22"/>
  <c r="R47" i="22"/>
  <c r="R43" i="22"/>
  <c r="R39" i="22"/>
  <c r="R35" i="22"/>
  <c r="R31" i="22"/>
  <c r="R72" i="22"/>
  <c r="R68" i="22"/>
  <c r="R64" i="22"/>
  <c r="R60" i="22"/>
  <c r="R56" i="22"/>
  <c r="R52" i="22"/>
  <c r="R48" i="22"/>
  <c r="R44" i="22"/>
  <c r="R40" i="22"/>
  <c r="R36" i="22"/>
  <c r="R32" i="22"/>
  <c r="R73" i="22"/>
  <c r="R27" i="22"/>
  <c r="R23" i="22"/>
  <c r="V17" i="22"/>
  <c r="R17" i="22"/>
  <c r="R13" i="22"/>
  <c r="R109" i="22"/>
  <c r="R105" i="22"/>
  <c r="R101" i="22"/>
  <c r="R97" i="22"/>
  <c r="R93" i="22"/>
  <c r="R28" i="22"/>
  <c r="R24" i="22"/>
  <c r="R21" i="22"/>
  <c r="R18" i="22"/>
  <c r="R14" i="22"/>
  <c r="R106" i="22"/>
  <c r="R102" i="22"/>
  <c r="R98" i="22"/>
  <c r="R94" i="22"/>
  <c r="R29" i="22"/>
  <c r="R25" i="22"/>
  <c r="R19" i="22"/>
  <c r="R15" i="22"/>
  <c r="R107" i="22"/>
  <c r="R103" i="22"/>
  <c r="R99" i="22"/>
  <c r="R95" i="22"/>
  <c r="R92" i="22"/>
  <c r="R26" i="22"/>
  <c r="R22" i="22"/>
  <c r="R20" i="22"/>
  <c r="R16" i="22"/>
  <c r="R12" i="22"/>
  <c r="R108" i="22"/>
  <c r="R104" i="22"/>
  <c r="R100" i="22"/>
  <c r="R96" i="22"/>
  <c r="C65" i="22"/>
  <c r="C66" i="22"/>
  <c r="V70" i="22"/>
  <c r="C63" i="22"/>
  <c r="C59" i="22"/>
  <c r="R111" i="22"/>
  <c r="C54" i="22"/>
  <c r="C48" i="22"/>
  <c r="C64" i="22"/>
  <c r="C60" i="22"/>
  <c r="R112" i="22"/>
  <c r="C55" i="22"/>
  <c r="C50" i="22"/>
  <c r="C61" i="22"/>
  <c r="C57" i="22"/>
  <c r="R113" i="22"/>
  <c r="C56" i="22"/>
  <c r="C51" i="22"/>
  <c r="C67" i="22"/>
  <c r="C62" i="22"/>
  <c r="C58" i="22"/>
  <c r="R110" i="22"/>
  <c r="C52" i="22"/>
  <c r="E26" i="13"/>
  <c r="E27" i="13"/>
  <c r="E28" i="13"/>
  <c r="E29" i="13"/>
  <c r="E30" i="13"/>
  <c r="E31" i="13"/>
  <c r="E32" i="13"/>
  <c r="E33" i="13"/>
  <c r="E34" i="13"/>
  <c r="E38" i="13"/>
  <c r="E44" i="13"/>
  <c r="E49" i="13"/>
  <c r="E48" i="13"/>
  <c r="E47" i="13"/>
  <c r="E50" i="13"/>
  <c r="E51" i="13"/>
  <c r="E52" i="13"/>
  <c r="E53" i="13"/>
  <c r="E54" i="13"/>
  <c r="E55" i="13"/>
  <c r="E56" i="13"/>
  <c r="E57" i="13"/>
  <c r="E58" i="13"/>
  <c r="E59" i="13"/>
  <c r="P3" i="17"/>
  <c r="L26" i="1"/>
  <c r="L27" i="1"/>
  <c r="L28" i="1"/>
  <c r="L29" i="1"/>
  <c r="L30" i="1"/>
  <c r="L31" i="1"/>
  <c r="L32" i="1"/>
  <c r="L25" i="1"/>
  <c r="G26" i="1"/>
  <c r="G27" i="1"/>
  <c r="G28" i="1"/>
  <c r="G29" i="1"/>
  <c r="G30" i="1"/>
  <c r="G31" i="1"/>
  <c r="G32" i="1"/>
  <c r="G25" i="1"/>
  <c r="D26" i="1"/>
  <c r="E26" i="1"/>
  <c r="F26" i="1"/>
  <c r="D27" i="1"/>
  <c r="E27" i="1"/>
  <c r="F27" i="1"/>
  <c r="D28" i="1"/>
  <c r="E28" i="1"/>
  <c r="F28" i="1"/>
  <c r="D29" i="1"/>
  <c r="E29" i="1"/>
  <c r="F29" i="1"/>
  <c r="D30" i="1"/>
  <c r="E30" i="1"/>
  <c r="F30" i="1"/>
  <c r="D31" i="1"/>
  <c r="E31" i="1"/>
  <c r="F31" i="1"/>
  <c r="D32" i="1"/>
  <c r="E32" i="1"/>
  <c r="F32" i="1"/>
  <c r="F25" i="1"/>
  <c r="G33" i="1"/>
  <c r="I2" i="1"/>
  <c r="AT8" i="19"/>
  <c r="AV8" i="19" s="1"/>
  <c r="AF58" i="9"/>
  <c r="AF59" i="9" s="1"/>
  <c r="AF60" i="9" s="1"/>
  <c r="AF61" i="9" s="1"/>
  <c r="AF62" i="9" s="1"/>
  <c r="AF63" i="9" s="1"/>
  <c r="AF64" i="9" s="1"/>
  <c r="AF65" i="9" s="1"/>
  <c r="AF66" i="9" s="1"/>
  <c r="AH57" i="9" s="1"/>
  <c r="AH58" i="9" s="1"/>
  <c r="AH59" i="9" s="1"/>
  <c r="AH60" i="9" s="1"/>
  <c r="AH61" i="9" s="1"/>
  <c r="AH62" i="9" s="1"/>
  <c r="AH63" i="9" s="1"/>
  <c r="AH64" i="9" s="1"/>
  <c r="AH65" i="9" s="1"/>
  <c r="AH66" i="9" s="1"/>
  <c r="AT9" i="19"/>
  <c r="AV9" i="19" s="1"/>
  <c r="AT10" i="19"/>
  <c r="AV10" i="19" s="1"/>
  <c r="AT11" i="19"/>
  <c r="AV11" i="19" s="1"/>
  <c r="AT16" i="19"/>
  <c r="AV16" i="19" s="1"/>
  <c r="AT17" i="19"/>
  <c r="AV17" i="19" s="1"/>
  <c r="AT18" i="19"/>
  <c r="AV18" i="19" s="1"/>
  <c r="AT91" i="19"/>
  <c r="AV91" i="19" s="1"/>
  <c r="AT92" i="19"/>
  <c r="AV92" i="19" s="1"/>
  <c r="AT93" i="19"/>
  <c r="AV93" i="19" s="1"/>
  <c r="AT95" i="19"/>
  <c r="AV95" i="19" s="1"/>
  <c r="AT96" i="19"/>
  <c r="AV96" i="19" s="1"/>
  <c r="AT97" i="19"/>
  <c r="AV97" i="19" s="1"/>
  <c r="AT98" i="19"/>
  <c r="AV98" i="19" s="1"/>
  <c r="AT99" i="19"/>
  <c r="AV99" i="19" s="1"/>
  <c r="AT100" i="19"/>
  <c r="AV100" i="19" s="1"/>
  <c r="AT101" i="19"/>
  <c r="AV101" i="19" s="1"/>
  <c r="AT102" i="19"/>
  <c r="AV102" i="19" s="1"/>
  <c r="AT103" i="19"/>
  <c r="AV103" i="19" s="1"/>
  <c r="AT104" i="19"/>
  <c r="AV104" i="19" s="1"/>
  <c r="AT108" i="19"/>
  <c r="AV108" i="19" s="1"/>
  <c r="AT109" i="19"/>
  <c r="AV109" i="19" s="1"/>
  <c r="AT110" i="19"/>
  <c r="AV110" i="19" s="1"/>
  <c r="AT111" i="19"/>
  <c r="AV111" i="19" s="1"/>
  <c r="AT112" i="19"/>
  <c r="AV112" i="19" s="1"/>
  <c r="AT113" i="19"/>
  <c r="AV113" i="19" s="1"/>
  <c r="AT4" i="19"/>
  <c r="AV4" i="19" s="1"/>
  <c r="AO10" i="19"/>
  <c r="AP9" i="19"/>
  <c r="AP10" i="19"/>
  <c r="AP11" i="19"/>
  <c r="AP16" i="19"/>
  <c r="AP17" i="19"/>
  <c r="AP18" i="19"/>
  <c r="AP27" i="19"/>
  <c r="AP29" i="19"/>
  <c r="AP30" i="19"/>
  <c r="AP31" i="19"/>
  <c r="AP32" i="19"/>
  <c r="AP33" i="19"/>
  <c r="AP34" i="19"/>
  <c r="AP37" i="19"/>
  <c r="AP38" i="19"/>
  <c r="AP44" i="19"/>
  <c r="AP45" i="19"/>
  <c r="AP46" i="19"/>
  <c r="AP47" i="19"/>
  <c r="AP48" i="19"/>
  <c r="AP49" i="19"/>
  <c r="AP51" i="19"/>
  <c r="AP52" i="19"/>
  <c r="AP53" i="19"/>
  <c r="AP54" i="19"/>
  <c r="AP55" i="19"/>
  <c r="AP56" i="19"/>
  <c r="AP59" i="19"/>
  <c r="AP60" i="19"/>
  <c r="AP61" i="19"/>
  <c r="AP64" i="19"/>
  <c r="AP73" i="19"/>
  <c r="AP74" i="19"/>
  <c r="AP76" i="19"/>
  <c r="AP80" i="19"/>
  <c r="AP82" i="19"/>
  <c r="AP83" i="19"/>
  <c r="AP91" i="19"/>
  <c r="AP92" i="19"/>
  <c r="AP93" i="19"/>
  <c r="AP95" i="19"/>
  <c r="AP96" i="19"/>
  <c r="AP97" i="19"/>
  <c r="AP98" i="19"/>
  <c r="AP99" i="19"/>
  <c r="AP100" i="19"/>
  <c r="AP101" i="19"/>
  <c r="AP102" i="19"/>
  <c r="AP103" i="19"/>
  <c r="AP104" i="19"/>
  <c r="AP108" i="19"/>
  <c r="AP109" i="19"/>
  <c r="AP110" i="19"/>
  <c r="AP111" i="19"/>
  <c r="AP112" i="19"/>
  <c r="AP113" i="19"/>
  <c r="AP8" i="19"/>
  <c r="AO38" i="19"/>
  <c r="AO44" i="19"/>
  <c r="AO45" i="19"/>
  <c r="AO46" i="19"/>
  <c r="AO47" i="19"/>
  <c r="AO48" i="19"/>
  <c r="AO49" i="19"/>
  <c r="AO51" i="19"/>
  <c r="AO52" i="19"/>
  <c r="AO53" i="19"/>
  <c r="AO54" i="19"/>
  <c r="AO55" i="19"/>
  <c r="AO56" i="19"/>
  <c r="AO59" i="19"/>
  <c r="AO60" i="19"/>
  <c r="AO61" i="19"/>
  <c r="AO64" i="19"/>
  <c r="AO73" i="19"/>
  <c r="AO74" i="19"/>
  <c r="AO76" i="19"/>
  <c r="AO80" i="19"/>
  <c r="AO82" i="19"/>
  <c r="AO83" i="19"/>
  <c r="AO91" i="19"/>
  <c r="AO92" i="19"/>
  <c r="AO93" i="19"/>
  <c r="AO95" i="19"/>
  <c r="AO96" i="19"/>
  <c r="AO97" i="19"/>
  <c r="AO98" i="19"/>
  <c r="AO99" i="19"/>
  <c r="AO100" i="19"/>
  <c r="AO101" i="19"/>
  <c r="AO102" i="19"/>
  <c r="AO103" i="19"/>
  <c r="AO104" i="19"/>
  <c r="AO108" i="19"/>
  <c r="AO109" i="19"/>
  <c r="AO110" i="19"/>
  <c r="AO111" i="19"/>
  <c r="AO112" i="19"/>
  <c r="AO113" i="19"/>
  <c r="AO4" i="19"/>
  <c r="AO8" i="19"/>
  <c r="AO9" i="19"/>
  <c r="AO11" i="19"/>
  <c r="AO16" i="19"/>
  <c r="AO18" i="19"/>
  <c r="AO27" i="19"/>
  <c r="AO29" i="19"/>
  <c r="AO30" i="19"/>
  <c r="AO31" i="19"/>
  <c r="AO32" i="19"/>
  <c r="AO33" i="19"/>
  <c r="AO34" i="19"/>
  <c r="AO37" i="19"/>
  <c r="AO126" i="19" s="1"/>
  <c r="AR34" i="19"/>
  <c r="AQ34" i="19"/>
  <c r="AP126" i="19" l="1"/>
  <c r="BV23" i="1"/>
  <c r="BV6" i="1"/>
  <c r="BV7" i="1"/>
  <c r="BV15" i="1"/>
  <c r="BV4" i="1"/>
  <c r="BV8" i="1"/>
  <c r="BV16" i="1"/>
  <c r="BV9" i="1"/>
  <c r="BV17" i="1"/>
  <c r="BV22" i="1"/>
  <c r="BV10" i="1"/>
  <c r="BV18" i="1"/>
  <c r="BV11" i="1"/>
  <c r="BV19" i="1"/>
  <c r="BV24" i="1"/>
  <c r="BV12" i="1"/>
  <c r="BV20" i="1"/>
  <c r="BV13" i="1"/>
  <c r="BV21" i="1"/>
  <c r="BV5" i="1"/>
  <c r="BV14" i="1"/>
  <c r="BV25" i="1"/>
  <c r="AO57" i="1"/>
  <c r="AO53" i="1"/>
  <c r="AM57" i="1"/>
  <c r="AM53" i="1"/>
  <c r="AO54" i="1"/>
  <c r="AM54" i="1"/>
  <c r="AM55" i="1"/>
  <c r="AO55" i="1"/>
  <c r="AO56" i="1"/>
  <c r="AO52" i="1"/>
  <c r="AM56" i="1"/>
  <c r="AM52" i="1"/>
  <c r="AO58" i="1"/>
  <c r="AM58" i="1"/>
  <c r="AO51" i="1"/>
  <c r="E25" i="1" s="1"/>
  <c r="E36" i="1" s="1"/>
  <c r="AM51" i="1"/>
  <c r="D25" i="1" s="1"/>
  <c r="D36" i="1" s="1"/>
  <c r="AN47" i="1"/>
  <c r="AN43" i="1"/>
  <c r="AN48" i="1"/>
  <c r="AN44" i="1"/>
  <c r="AN49" i="1"/>
  <c r="AN45" i="1"/>
  <c r="AN50" i="1"/>
  <c r="AN46" i="1"/>
  <c r="E23" i="13"/>
  <c r="B69" i="5"/>
  <c r="E25" i="13"/>
  <c r="F36" i="1"/>
  <c r="E22" i="13"/>
  <c r="AR109" i="19"/>
  <c r="AQ109" i="19"/>
  <c r="AR104" i="19"/>
  <c r="AQ104" i="19"/>
  <c r="AR102" i="19"/>
  <c r="AQ102" i="19"/>
  <c r="AR82" i="19"/>
  <c r="AQ82" i="19"/>
  <c r="AR113" i="19"/>
  <c r="AQ113" i="19"/>
  <c r="AR18" i="19"/>
  <c r="AQ18" i="19"/>
  <c r="AQ16" i="19"/>
  <c r="AR16" i="19"/>
  <c r="AQ17" i="19"/>
  <c r="AR17" i="19"/>
  <c r="AQ27" i="19"/>
  <c r="AR27" i="19"/>
  <c r="AQ29" i="19"/>
  <c r="AR29" i="19"/>
  <c r="AQ30" i="19"/>
  <c r="AR30" i="19"/>
  <c r="AQ31" i="19"/>
  <c r="AR31" i="19"/>
  <c r="AQ32" i="19"/>
  <c r="AR32" i="19"/>
  <c r="AQ33" i="19"/>
  <c r="AR33" i="19"/>
  <c r="AQ37" i="19"/>
  <c r="AR37" i="19"/>
  <c r="AR126" i="19" s="1"/>
  <c r="AQ38" i="19"/>
  <c r="AR38" i="19"/>
  <c r="AQ44" i="19"/>
  <c r="AR44" i="19"/>
  <c r="AQ45" i="19"/>
  <c r="AR45" i="19"/>
  <c r="AQ46" i="19"/>
  <c r="AR46" i="19"/>
  <c r="AQ47" i="19"/>
  <c r="AR47" i="19"/>
  <c r="AQ48" i="19"/>
  <c r="AR48" i="19"/>
  <c r="AQ49" i="19"/>
  <c r="AR49" i="19"/>
  <c r="AQ51" i="19"/>
  <c r="AR51" i="19"/>
  <c r="AQ52" i="19"/>
  <c r="AR52" i="19"/>
  <c r="AQ53" i="19"/>
  <c r="AR53" i="19"/>
  <c r="AQ54" i="19"/>
  <c r="AR54" i="19"/>
  <c r="AQ55" i="19"/>
  <c r="AR55" i="19"/>
  <c r="AQ56" i="19"/>
  <c r="AR56" i="19"/>
  <c r="AQ59" i="19"/>
  <c r="AR59" i="19"/>
  <c r="AQ60" i="19"/>
  <c r="AR60" i="19"/>
  <c r="AQ61" i="19"/>
  <c r="AR61" i="19"/>
  <c r="AQ64" i="19"/>
  <c r="AR64" i="19"/>
  <c r="AQ73" i="19"/>
  <c r="AR73" i="19"/>
  <c r="AQ74" i="19"/>
  <c r="AR74" i="19"/>
  <c r="AQ76" i="19"/>
  <c r="AR76" i="19"/>
  <c r="AQ80" i="19"/>
  <c r="AR80" i="19"/>
  <c r="AQ83" i="19"/>
  <c r="AR83" i="19"/>
  <c r="AQ91" i="19"/>
  <c r="AR91" i="19"/>
  <c r="AQ92" i="19"/>
  <c r="AR92" i="19"/>
  <c r="AQ93" i="19"/>
  <c r="AR93" i="19"/>
  <c r="AQ95" i="19"/>
  <c r="AR95" i="19"/>
  <c r="AQ96" i="19"/>
  <c r="AR96" i="19"/>
  <c r="AQ97" i="19"/>
  <c r="AR97" i="19"/>
  <c r="AQ98" i="19"/>
  <c r="AR98" i="19"/>
  <c r="AQ99" i="19"/>
  <c r="AR99" i="19"/>
  <c r="AQ100" i="19"/>
  <c r="AR100" i="19"/>
  <c r="AQ101" i="19"/>
  <c r="AR101" i="19"/>
  <c r="AQ103" i="19"/>
  <c r="AR103" i="19"/>
  <c r="AQ108" i="19"/>
  <c r="AR108" i="19"/>
  <c r="AQ110" i="19"/>
  <c r="AR110" i="19"/>
  <c r="AQ111" i="19"/>
  <c r="AR111" i="19"/>
  <c r="AQ112" i="19"/>
  <c r="AR112" i="19"/>
  <c r="AR11" i="19"/>
  <c r="AQ11" i="19"/>
  <c r="AR9" i="19"/>
  <c r="AQ9" i="19"/>
  <c r="AR4" i="19"/>
  <c r="AQ4" i="19"/>
  <c r="AP4" i="19"/>
  <c r="AR8" i="19"/>
  <c r="AR10" i="19"/>
  <c r="AQ10" i="19"/>
  <c r="AQ8" i="19"/>
  <c r="AQ126" i="19" l="1"/>
  <c r="Q18" i="1" s="1"/>
  <c r="H17" i="28"/>
  <c r="K17" i="28" s="1"/>
  <c r="B39" i="28"/>
  <c r="E39" i="28" s="1"/>
  <c r="H16" i="28"/>
  <c r="K16" i="28" s="1"/>
  <c r="B20" i="28"/>
  <c r="E20" i="28" s="1"/>
  <c r="H5" i="28"/>
  <c r="K5" i="28" s="1"/>
  <c r="H14" i="28"/>
  <c r="K14" i="28" s="1"/>
  <c r="J77" i="10"/>
  <c r="J76" i="10"/>
  <c r="X50" i="28"/>
  <c r="K6" i="28"/>
  <c r="E29" i="28"/>
  <c r="E19" i="28"/>
  <c r="K21" i="28"/>
  <c r="X45" i="28"/>
  <c r="X47" i="28"/>
  <c r="X7" i="28"/>
  <c r="X8" i="28"/>
  <c r="X6" i="28"/>
  <c r="X12" i="28"/>
  <c r="X53" i="28"/>
  <c r="AF82" i="17"/>
  <c r="F85" i="17" s="1"/>
  <c r="AF83" i="17"/>
  <c r="L8" i="17"/>
  <c r="I70" i="5" s="1"/>
  <c r="I71" i="5" s="1"/>
  <c r="M10" i="1"/>
  <c r="P9" i="28"/>
  <c r="E12" i="28"/>
  <c r="E4" i="28"/>
  <c r="E11" i="28"/>
  <c r="E10" i="28"/>
  <c r="E6" i="28"/>
  <c r="K20" i="28"/>
  <c r="E38" i="28"/>
  <c r="E14" i="28"/>
  <c r="E5" i="28"/>
  <c r="E21" i="28"/>
  <c r="K4" i="28"/>
  <c r="K11" i="28"/>
  <c r="E17" i="28"/>
  <c r="K3" i="13"/>
  <c r="Q3" i="13"/>
  <c r="K2" i="13"/>
  <c r="B3" i="13"/>
  <c r="A18" i="13"/>
  <c r="Z65" i="9"/>
  <c r="Z63" i="9"/>
  <c r="Z61" i="9"/>
  <c r="Z59" i="9"/>
  <c r="Z57" i="9"/>
  <c r="Z55" i="9"/>
  <c r="Z53" i="9"/>
  <c r="Z64" i="9"/>
  <c r="Z60" i="9"/>
  <c r="Z56" i="9"/>
  <c r="Z54" i="9"/>
  <c r="Z66" i="9"/>
  <c r="Z62" i="9"/>
  <c r="Z58" i="9"/>
  <c r="B70" i="5"/>
  <c r="B71" i="5" s="1"/>
  <c r="S2" i="6"/>
  <c r="Y11" i="10" l="1"/>
  <c r="Y10" i="10"/>
  <c r="P5" i="28"/>
  <c r="P13" i="28"/>
  <c r="E1386" i="24"/>
  <c r="E362" i="24"/>
  <c r="E1034" i="24"/>
  <c r="E782" i="24"/>
  <c r="E399" i="24"/>
  <c r="H399" i="24"/>
  <c r="G399" i="24"/>
  <c r="G1386" i="24"/>
  <c r="G1034" i="24"/>
  <c r="G782" i="24"/>
  <c r="G362" i="24"/>
  <c r="F399" i="24"/>
  <c r="F1386" i="24"/>
  <c r="F1034" i="24"/>
  <c r="F362" i="24"/>
  <c r="H1386" i="24"/>
  <c r="H362" i="24"/>
  <c r="F782" i="24"/>
  <c r="H1034" i="24"/>
  <c r="H782" i="24"/>
  <c r="M13" i="1"/>
  <c r="M11" i="1"/>
  <c r="M12" i="1"/>
  <c r="J33" i="6"/>
  <c r="N33" i="6"/>
  <c r="H34" i="6"/>
  <c r="D42" i="6"/>
  <c r="E42" i="6"/>
  <c r="F42" i="6"/>
  <c r="B8" i="28"/>
  <c r="E8" i="28" s="1"/>
  <c r="H7" i="28"/>
  <c r="K7" i="28" s="1"/>
  <c r="B18" i="28"/>
  <c r="E18" i="28" s="1"/>
  <c r="B9" i="28"/>
  <c r="E9" i="28" s="1"/>
  <c r="P7" i="28" s="1"/>
  <c r="Z4" i="28"/>
  <c r="AF4" i="28" s="1"/>
  <c r="AG4" i="28"/>
  <c r="AH4" i="28"/>
  <c r="AG19" i="28"/>
  <c r="AH19" i="28"/>
  <c r="Z19" i="28"/>
  <c r="AF19" i="28" s="1"/>
  <c r="AH39" i="28"/>
  <c r="Z39" i="28"/>
  <c r="AF39" i="28" s="1"/>
  <c r="AG39" i="28"/>
  <c r="AG49" i="28"/>
  <c r="AH49" i="28"/>
  <c r="Z49" i="28"/>
  <c r="AF49" i="28" s="1"/>
  <c r="AH44" i="28"/>
  <c r="Z44" i="28"/>
  <c r="AF44" i="28" s="1"/>
  <c r="AG44" i="28"/>
  <c r="AG38" i="28"/>
  <c r="AH38" i="28"/>
  <c r="Z38" i="28"/>
  <c r="AF38" i="28" s="1"/>
  <c r="AG34" i="28"/>
  <c r="Z34" i="28"/>
  <c r="AF34" i="28" s="1"/>
  <c r="AH34" i="28"/>
  <c r="AG31" i="28"/>
  <c r="AH31" i="28"/>
  <c r="Z31" i="28"/>
  <c r="AF31" i="28" s="1"/>
  <c r="AG9" i="28"/>
  <c r="Z9" i="28"/>
  <c r="AF9" i="28" s="1"/>
  <c r="AH9" i="28"/>
  <c r="AH33" i="28"/>
  <c r="Z33" i="28"/>
  <c r="AF33" i="28" s="1"/>
  <c r="AG33" i="28"/>
  <c r="Z5" i="28"/>
  <c r="AF5" i="28" s="1"/>
  <c r="AG5" i="28"/>
  <c r="AH5" i="28"/>
  <c r="Z11" i="28"/>
  <c r="AF11" i="28" s="1"/>
  <c r="AG11" i="28"/>
  <c r="AH11" i="28"/>
  <c r="AG55" i="28"/>
  <c r="Z55" i="28"/>
  <c r="AF55" i="28" s="1"/>
  <c r="AH55" i="28"/>
  <c r="Z24" i="28"/>
  <c r="AF24" i="28" s="1"/>
  <c r="AG24" i="28"/>
  <c r="AH24" i="28"/>
  <c r="AH15" i="28"/>
  <c r="Z15" i="28"/>
  <c r="AF15" i="28" s="1"/>
  <c r="AG15" i="28"/>
  <c r="Z20" i="28"/>
  <c r="AG20" i="28"/>
  <c r="AH20" i="28"/>
  <c r="Z46" i="28"/>
  <c r="AF46" i="28" s="1"/>
  <c r="AG46" i="28"/>
  <c r="AH46" i="28"/>
  <c r="AH35" i="28"/>
  <c r="Z35" i="28"/>
  <c r="AF35" i="28" s="1"/>
  <c r="AG35" i="28"/>
  <c r="AG16" i="28"/>
  <c r="Z16" i="28"/>
  <c r="AF16" i="28" s="1"/>
  <c r="AH16" i="28"/>
  <c r="AH36" i="28"/>
  <c r="AG36" i="28"/>
  <c r="Z36" i="28"/>
  <c r="AF36" i="28" s="1"/>
  <c r="K15" i="28"/>
  <c r="E22" i="28"/>
  <c r="AH26" i="28"/>
  <c r="Z26" i="28"/>
  <c r="AF26" i="28" s="1"/>
  <c r="AG26" i="28"/>
  <c r="Z30" i="28"/>
  <c r="AF30" i="28" s="1"/>
  <c r="AH30" i="28"/>
  <c r="AG30" i="28"/>
  <c r="Z43" i="28"/>
  <c r="AF43" i="28" s="1"/>
  <c r="AH43" i="28"/>
  <c r="AG43" i="28"/>
  <c r="Z10" i="28"/>
  <c r="AF10" i="28" s="1"/>
  <c r="AG10" i="28"/>
  <c r="AH10" i="28"/>
  <c r="AG48" i="28"/>
  <c r="Z48" i="28"/>
  <c r="AF48" i="28" s="1"/>
  <c r="AH48" i="28"/>
  <c r="AG37" i="28"/>
  <c r="AH37" i="28"/>
  <c r="Z37" i="28"/>
  <c r="AF37" i="28" s="1"/>
  <c r="Z17" i="28"/>
  <c r="AF17" i="28" s="1"/>
  <c r="AH17" i="28"/>
  <c r="AG17" i="28"/>
  <c r="AH32" i="28"/>
  <c r="Z32" i="28"/>
  <c r="AF32" i="28" s="1"/>
  <c r="AG32" i="28"/>
  <c r="Z51" i="28"/>
  <c r="AF51" i="28" s="1"/>
  <c r="AG51" i="28"/>
  <c r="AH51" i="28"/>
  <c r="Z41" i="28"/>
  <c r="AF41" i="28" s="1"/>
  <c r="AG41" i="28"/>
  <c r="AG52" i="28"/>
  <c r="AH52" i="28"/>
  <c r="Z52" i="28"/>
  <c r="AF52" i="28" s="1"/>
  <c r="AG29" i="28"/>
  <c r="Z29" i="28"/>
  <c r="AF29" i="28" s="1"/>
  <c r="AH29" i="28"/>
  <c r="AG28" i="28"/>
  <c r="Z28" i="28"/>
  <c r="AF28" i="28" s="1"/>
  <c r="AH28" i="28"/>
  <c r="Z3" i="28"/>
  <c r="AF3" i="28" s="1"/>
  <c r="AG3" i="28"/>
  <c r="AH3" i="28"/>
  <c r="AH27" i="28"/>
  <c r="Z27" i="28"/>
  <c r="AF27" i="28" s="1"/>
  <c r="AG27" i="28"/>
  <c r="Z42" i="28"/>
  <c r="AF42" i="28" s="1"/>
  <c r="AG42" i="28"/>
  <c r="AH42" i="28"/>
  <c r="Z13" i="28"/>
  <c r="AF13" i="28" s="1"/>
  <c r="AG13" i="28"/>
  <c r="AH13" i="28"/>
  <c r="AG23" i="28"/>
  <c r="AH23" i="28"/>
  <c r="Z23" i="28"/>
  <c r="AF23" i="28" s="1"/>
  <c r="Z21" i="28"/>
  <c r="AF21" i="28" s="1"/>
  <c r="AG21" i="28"/>
  <c r="AH21" i="28"/>
  <c r="AH14" i="28"/>
  <c r="Z14" i="28"/>
  <c r="AF14" i="28" s="1"/>
  <c r="AG14" i="28"/>
  <c r="AG25" i="28"/>
  <c r="AH25" i="28"/>
  <c r="Z25" i="28"/>
  <c r="AF25" i="28" s="1"/>
  <c r="W80" i="17"/>
  <c r="F81" i="17"/>
  <c r="E86" i="17"/>
  <c r="R86" i="17" s="1"/>
  <c r="D96" i="17" s="1"/>
  <c r="T107" i="17" s="1"/>
  <c r="E81" i="17"/>
  <c r="R81" i="17" s="1"/>
  <c r="AA66" i="9"/>
  <c r="AA50" i="9"/>
  <c r="AA63" i="9"/>
  <c r="AA47" i="9"/>
  <c r="AA60" i="9"/>
  <c r="AA57" i="9"/>
  <c r="AA46" i="9"/>
  <c r="AA56" i="9"/>
  <c r="AA70" i="9"/>
  <c r="AA54" i="9"/>
  <c r="AA67" i="9"/>
  <c r="AA51" i="9"/>
  <c r="AA64" i="9"/>
  <c r="AA48" i="9"/>
  <c r="AA61" i="9"/>
  <c r="AA49" i="9"/>
  <c r="AA59" i="9"/>
  <c r="AA69" i="9"/>
  <c r="AA45" i="9"/>
  <c r="AA58" i="9"/>
  <c r="AA71" i="9"/>
  <c r="AA55" i="9"/>
  <c r="AA68" i="9"/>
  <c r="AA52" i="9"/>
  <c r="AA65" i="9"/>
  <c r="AA62" i="9"/>
  <c r="AA72" i="9"/>
  <c r="AA53" i="9"/>
  <c r="F83" i="17"/>
  <c r="F82" i="17"/>
  <c r="E83" i="17"/>
  <c r="R83" i="17" s="1"/>
  <c r="D93" i="17" s="1"/>
  <c r="S104" i="17" s="1"/>
  <c r="E82" i="17"/>
  <c r="R82" i="17" s="1"/>
  <c r="D92" i="17" s="1"/>
  <c r="O103" i="17" s="1"/>
  <c r="F84" i="17"/>
  <c r="E85" i="17"/>
  <c r="R85" i="17" s="1"/>
  <c r="D95" i="17" s="1"/>
  <c r="E84" i="17"/>
  <c r="R84" i="17" s="1"/>
  <c r="D94" i="17" s="1"/>
  <c r="K105" i="17" s="1"/>
  <c r="F86" i="17"/>
  <c r="AK90" i="17"/>
  <c r="AH45" i="28"/>
  <c r="AG45" i="28"/>
  <c r="Z45" i="28"/>
  <c r="AF45" i="28" s="1"/>
  <c r="Z8" i="28"/>
  <c r="AF8" i="28" s="1"/>
  <c r="AG8" i="28"/>
  <c r="AH8" i="28"/>
  <c r="Z12" i="28"/>
  <c r="AF12" i="28" s="1"/>
  <c r="AG12" i="28"/>
  <c r="AH12" i="28"/>
  <c r="Z50" i="28"/>
  <c r="AF50" i="28" s="1"/>
  <c r="AG50" i="28"/>
  <c r="AH50" i="28"/>
  <c r="Z7" i="28"/>
  <c r="AF7" i="28" s="1"/>
  <c r="AG7" i="28"/>
  <c r="AH7" i="28"/>
  <c r="Z6" i="28"/>
  <c r="AF6" i="28" s="1"/>
  <c r="AG6" i="28"/>
  <c r="AH6" i="28"/>
  <c r="Z47" i="28"/>
  <c r="AF47" i="28" s="1"/>
  <c r="AH47" i="28"/>
  <c r="AG47" i="28"/>
  <c r="Z53" i="28"/>
  <c r="AF53" i="28" s="1"/>
  <c r="AG53" i="28"/>
  <c r="AH53" i="28"/>
  <c r="E15" i="28"/>
  <c r="P58" i="9"/>
  <c r="P59" i="9" s="1"/>
  <c r="P60" i="9" s="1"/>
  <c r="P61" i="9" s="1"/>
  <c r="P62" i="9" s="1"/>
  <c r="P63" i="9" s="1"/>
  <c r="P64" i="9" s="1"/>
  <c r="P65" i="9" s="1"/>
  <c r="P66" i="9" s="1"/>
  <c r="R57" i="9" s="1"/>
  <c r="R58" i="9" s="1"/>
  <c r="R59" i="9" s="1"/>
  <c r="R60" i="9" s="1"/>
  <c r="R61" i="9" s="1"/>
  <c r="R62" i="9" s="1"/>
  <c r="R63" i="9" s="1"/>
  <c r="R64" i="9" s="1"/>
  <c r="R65" i="9" s="1"/>
  <c r="R66" i="9" s="1"/>
  <c r="T57" i="9" s="1"/>
  <c r="T58" i="9" s="1"/>
  <c r="T59" i="9" s="1"/>
  <c r="T60" i="9" s="1"/>
  <c r="T61" i="9" s="1"/>
  <c r="T62" i="9" s="1"/>
  <c r="T63" i="9" s="1"/>
  <c r="T64" i="9" s="1"/>
  <c r="T65" i="9" s="1"/>
  <c r="T66" i="9" s="1"/>
  <c r="Q2" i="13"/>
  <c r="H9" i="6"/>
  <c r="H7" i="6"/>
  <c r="H6" i="6"/>
  <c r="H5" i="6"/>
  <c r="H8" i="6"/>
  <c r="U2" i="6"/>
  <c r="B6" i="16"/>
  <c r="L34" i="1"/>
  <c r="G34" i="1"/>
  <c r="G35" i="1"/>
  <c r="I634" i="24" l="1"/>
  <c r="I641" i="24"/>
  <c r="P11" i="28"/>
  <c r="P3" i="28"/>
  <c r="I6" i="1"/>
  <c r="M6" i="1" s="1"/>
  <c r="D82" i="17"/>
  <c r="D83" i="17"/>
  <c r="D84" i="17"/>
  <c r="D81" i="17"/>
  <c r="D85" i="17"/>
  <c r="D86" i="17"/>
  <c r="AF20" i="28"/>
  <c r="AC20" i="28"/>
  <c r="AE20" i="28"/>
  <c r="AD20" i="28"/>
  <c r="C55" i="6"/>
  <c r="E55" i="6"/>
  <c r="D55" i="6"/>
  <c r="C18" i="6"/>
  <c r="F203" i="24"/>
  <c r="I1299" i="24"/>
  <c r="I320" i="24"/>
  <c r="I329" i="24"/>
  <c r="O106" i="17"/>
  <c r="V81" i="17"/>
  <c r="D91" i="17"/>
  <c r="G102" i="17" s="1"/>
  <c r="AA105" i="17"/>
  <c r="AB104" i="17"/>
  <c r="J104" i="17"/>
  <c r="W104" i="17"/>
  <c r="D104" i="17"/>
  <c r="K104" i="17"/>
  <c r="G106" i="17"/>
  <c r="AC104" i="17"/>
  <c r="U104" i="17"/>
  <c r="H104" i="17"/>
  <c r="AD104" i="17"/>
  <c r="AG104" i="17"/>
  <c r="Z104" i="17"/>
  <c r="T104" i="17"/>
  <c r="L104" i="17"/>
  <c r="E104" i="17"/>
  <c r="AE104" i="17"/>
  <c r="AG105" i="17"/>
  <c r="P104" i="17"/>
  <c r="Q104" i="17"/>
  <c r="N104" i="17"/>
  <c r="O104" i="17"/>
  <c r="E105" i="17"/>
  <c r="M104" i="17"/>
  <c r="R104" i="17"/>
  <c r="AA104" i="17"/>
  <c r="G104" i="17"/>
  <c r="T105" i="17"/>
  <c r="Q105" i="17"/>
  <c r="X105" i="17"/>
  <c r="R105" i="17"/>
  <c r="X104" i="17"/>
  <c r="AF104" i="17"/>
  <c r="Y104" i="17"/>
  <c r="I104" i="17"/>
  <c r="V104" i="17"/>
  <c r="F104" i="17"/>
  <c r="D105" i="17"/>
  <c r="Y105" i="17"/>
  <c r="V105" i="17"/>
  <c r="L105" i="17"/>
  <c r="I105" i="17"/>
  <c r="AE105" i="17"/>
  <c r="D107" i="17"/>
  <c r="R107" i="17"/>
  <c r="AB107" i="17"/>
  <c r="Y107" i="17"/>
  <c r="E107" i="17"/>
  <c r="S107" i="17"/>
  <c r="AF107" i="17"/>
  <c r="H107" i="17"/>
  <c r="U106" i="17"/>
  <c r="U107" i="17"/>
  <c r="V107" i="17"/>
  <c r="F107" i="17"/>
  <c r="AC107" i="17"/>
  <c r="I107" i="17"/>
  <c r="W107" i="17"/>
  <c r="G107" i="17"/>
  <c r="L107" i="17"/>
  <c r="AD107" i="17"/>
  <c r="N107" i="17"/>
  <c r="P107" i="17"/>
  <c r="Q107" i="17"/>
  <c r="AE107" i="17"/>
  <c r="O107" i="17"/>
  <c r="X107" i="17"/>
  <c r="Z107" i="17"/>
  <c r="J107" i="17"/>
  <c r="AG107" i="17"/>
  <c r="M107" i="17"/>
  <c r="AA107" i="17"/>
  <c r="K107" i="17"/>
  <c r="S106" i="17"/>
  <c r="AB106" i="17"/>
  <c r="E106" i="17"/>
  <c r="X106" i="17"/>
  <c r="K106" i="17"/>
  <c r="V106" i="17"/>
  <c r="H106" i="17"/>
  <c r="N106" i="17"/>
  <c r="T106" i="17"/>
  <c r="Q106" i="17"/>
  <c r="F106" i="17"/>
  <c r="AF106" i="17"/>
  <c r="Y106" i="17"/>
  <c r="AD106" i="17"/>
  <c r="AE106" i="17"/>
  <c r="AF105" i="17"/>
  <c r="AB105" i="17"/>
  <c r="U105" i="17"/>
  <c r="AD105" i="17"/>
  <c r="F105" i="17"/>
  <c r="O105" i="17"/>
  <c r="N105" i="17"/>
  <c r="S105" i="17"/>
  <c r="P106" i="17"/>
  <c r="AG106" i="17"/>
  <c r="I106" i="17"/>
  <c r="R106" i="17"/>
  <c r="AA106" i="17"/>
  <c r="L106" i="17"/>
  <c r="D106" i="17"/>
  <c r="AC106" i="17"/>
  <c r="M106" i="17"/>
  <c r="Z106" i="17"/>
  <c r="J106" i="17"/>
  <c r="W106" i="17"/>
  <c r="P105" i="17"/>
  <c r="H105" i="17"/>
  <c r="AC105" i="17"/>
  <c r="M105" i="17"/>
  <c r="Z105" i="17"/>
  <c r="J105" i="17"/>
  <c r="W105" i="17"/>
  <c r="G105" i="17"/>
  <c r="W103" i="17"/>
  <c r="N103" i="17"/>
  <c r="AC103" i="17"/>
  <c r="AF103" i="17"/>
  <c r="I103" i="17"/>
  <c r="H103" i="17"/>
  <c r="Q103" i="17"/>
  <c r="F103" i="17"/>
  <c r="T103" i="17"/>
  <c r="Z103" i="17"/>
  <c r="K103" i="17"/>
  <c r="X103" i="17"/>
  <c r="P103" i="17"/>
  <c r="Y103" i="17"/>
  <c r="AD103" i="17"/>
  <c r="J103" i="17"/>
  <c r="S103" i="17"/>
  <c r="AB103" i="17"/>
  <c r="AG103" i="17"/>
  <c r="M103" i="17"/>
  <c r="V103" i="17"/>
  <c r="AA103" i="17"/>
  <c r="G103" i="17"/>
  <c r="L103" i="17"/>
  <c r="D103" i="17"/>
  <c r="U103" i="17"/>
  <c r="E103" i="17"/>
  <c r="R103" i="17"/>
  <c r="AE103" i="17"/>
  <c r="J1054" i="24"/>
  <c r="F1054" i="24"/>
  <c r="G1054" i="24"/>
  <c r="H1054" i="24"/>
  <c r="I1054" i="24"/>
  <c r="H229" i="24"/>
  <c r="E126" i="24"/>
  <c r="E769" i="24"/>
  <c r="P16" i="1"/>
  <c r="M11" i="6" l="1"/>
  <c r="E56" i="6"/>
  <c r="D56" i="6"/>
  <c r="S56" i="6"/>
  <c r="R56" i="6"/>
  <c r="M97" i="17"/>
  <c r="J97" i="17"/>
  <c r="X97" i="17"/>
  <c r="V97" i="17"/>
  <c r="U97" i="17"/>
  <c r="H97" i="17"/>
  <c r="N97" i="17"/>
  <c r="AF97" i="17"/>
  <c r="I97" i="17"/>
  <c r="AC97" i="17"/>
  <c r="AG97" i="17"/>
  <c r="S97" i="17"/>
  <c r="AD97" i="17"/>
  <c r="L97" i="17"/>
  <c r="AE97" i="17"/>
  <c r="Q97" i="17"/>
  <c r="Z97" i="17"/>
  <c r="AB97" i="17"/>
  <c r="G97" i="17"/>
  <c r="O97" i="17"/>
  <c r="P97" i="17"/>
  <c r="T97" i="17"/>
  <c r="AA97" i="17"/>
  <c r="R97" i="17"/>
  <c r="W97" i="17"/>
  <c r="E97" i="17"/>
  <c r="Y97" i="17"/>
  <c r="K97" i="17"/>
  <c r="F97" i="17"/>
  <c r="Y81" i="17"/>
  <c r="D97" i="17"/>
  <c r="N21" i="6"/>
  <c r="M13" i="6"/>
  <c r="M12" i="6"/>
  <c r="M14" i="6"/>
  <c r="U102" i="17"/>
  <c r="AA102" i="17"/>
  <c r="L102" i="17"/>
  <c r="AB102" i="17"/>
  <c r="D102" i="17"/>
  <c r="R102" i="17"/>
  <c r="E102" i="17"/>
  <c r="K102" i="17"/>
  <c r="P102" i="17"/>
  <c r="Y102" i="17"/>
  <c r="I102" i="17"/>
  <c r="V102" i="17"/>
  <c r="F102" i="17"/>
  <c r="AE102" i="17"/>
  <c r="O102" i="17"/>
  <c r="X102" i="17"/>
  <c r="AC102" i="17"/>
  <c r="M102" i="17"/>
  <c r="Z102" i="17"/>
  <c r="J102" i="17"/>
  <c r="H102" i="17"/>
  <c r="S102" i="17"/>
  <c r="AF102" i="17"/>
  <c r="AG102" i="17"/>
  <c r="Q102" i="17"/>
  <c r="AD102" i="17"/>
  <c r="N102" i="17"/>
  <c r="T102" i="17"/>
  <c r="W102" i="17"/>
  <c r="AJ96" i="17"/>
  <c r="AJ93" i="17"/>
  <c r="AJ94" i="17"/>
  <c r="AJ95" i="17"/>
  <c r="AJ92" i="17"/>
  <c r="B3" i="22"/>
  <c r="Q19" i="13"/>
  <c r="M68" i="22"/>
  <c r="J108" i="17" l="1"/>
  <c r="J4" i="31"/>
  <c r="G16" i="13"/>
  <c r="M127" i="22"/>
  <c r="M137" i="22"/>
  <c r="M120" i="22"/>
  <c r="M130" i="22"/>
  <c r="M139" i="22"/>
  <c r="M122" i="22"/>
  <c r="M132" i="22"/>
  <c r="M141" i="22"/>
  <c r="M124" i="22"/>
  <c r="M134" i="22"/>
  <c r="M112" i="22"/>
  <c r="M126" i="22"/>
  <c r="M136" i="22"/>
  <c r="M109" i="22"/>
  <c r="M128" i="22"/>
  <c r="M138" i="22"/>
  <c r="M121" i="22"/>
  <c r="M131" i="22"/>
  <c r="M108" i="22"/>
  <c r="M140" i="22"/>
  <c r="M123" i="22"/>
  <c r="M133" i="22"/>
  <c r="M107" i="22"/>
  <c r="M125" i="22"/>
  <c r="M135" i="22"/>
  <c r="M115" i="22"/>
  <c r="M113" i="22"/>
  <c r="M118" i="22"/>
  <c r="M105" i="22"/>
  <c r="M104" i="22"/>
  <c r="M114" i="22"/>
  <c r="M110" i="22"/>
  <c r="M116" i="22"/>
  <c r="M117" i="22"/>
  <c r="M96" i="22"/>
  <c r="M50" i="22"/>
  <c r="M95" i="22"/>
  <c r="M51" i="22"/>
  <c r="M94" i="22"/>
  <c r="M52" i="22"/>
  <c r="M48" i="22"/>
  <c r="M97" i="22"/>
  <c r="M49" i="22"/>
  <c r="M12" i="22"/>
  <c r="M24" i="22"/>
  <c r="M26" i="22"/>
  <c r="M14" i="22"/>
  <c r="M18" i="22"/>
  <c r="M22" i="22"/>
  <c r="M20" i="22"/>
  <c r="M16" i="22"/>
  <c r="M72" i="22"/>
  <c r="M31" i="22"/>
  <c r="M34" i="22"/>
  <c r="M45" i="22"/>
  <c r="M21" i="22"/>
  <c r="M36" i="22"/>
  <c r="M25" i="22"/>
  <c r="M43" i="22"/>
  <c r="M44" i="22"/>
  <c r="M30" i="22"/>
  <c r="M46" i="22"/>
  <c r="M23" i="22"/>
  <c r="M41" i="22"/>
  <c r="M32" i="22"/>
  <c r="M35" i="22"/>
  <c r="M27" i="22"/>
  <c r="M33" i="22"/>
  <c r="M40" i="22"/>
  <c r="M13" i="22"/>
  <c r="M39" i="22"/>
  <c r="M15" i="22"/>
  <c r="M42" i="22"/>
  <c r="M19" i="22"/>
  <c r="M37" i="22"/>
  <c r="M38" i="22"/>
  <c r="M17" i="22"/>
  <c r="M108" i="17"/>
  <c r="P108" i="17"/>
  <c r="X108" i="17"/>
  <c r="O108" i="17"/>
  <c r="E108" i="17"/>
  <c r="AF108" i="17"/>
  <c r="AA108" i="17"/>
  <c r="AB108" i="17"/>
  <c r="I108" i="17"/>
  <c r="N108" i="17"/>
  <c r="G108" i="17"/>
  <c r="W108" i="17"/>
  <c r="Z108" i="17"/>
  <c r="S108" i="17"/>
  <c r="V108" i="17"/>
  <c r="AG108" i="17"/>
  <c r="D108" i="17"/>
  <c r="H108" i="17"/>
  <c r="T108" i="17"/>
  <c r="Y108" i="17"/>
  <c r="K108" i="17"/>
  <c r="L108" i="17"/>
  <c r="U108" i="17"/>
  <c r="F108" i="17"/>
  <c r="Q108" i="17"/>
  <c r="R108" i="17"/>
  <c r="AC108" i="17"/>
  <c r="AD108" i="17"/>
  <c r="AE108" i="17"/>
  <c r="AJ91" i="17"/>
  <c r="B18" i="17"/>
  <c r="B15" i="17"/>
  <c r="B20" i="17"/>
  <c r="M64" i="22"/>
  <c r="M89" i="22"/>
  <c r="M88" i="22"/>
  <c r="M58" i="22"/>
  <c r="M63" i="22"/>
  <c r="M101" i="22"/>
  <c r="M106" i="22"/>
  <c r="M87" i="22"/>
  <c r="M75" i="22"/>
  <c r="M70" i="22"/>
  <c r="M56" i="22"/>
  <c r="M82" i="22"/>
  <c r="M100" i="22"/>
  <c r="M78" i="22"/>
  <c r="M93" i="22"/>
  <c r="M79" i="22"/>
  <c r="M57" i="22"/>
  <c r="M92" i="22"/>
  <c r="M98" i="22"/>
  <c r="M69" i="22"/>
  <c r="M83" i="22"/>
  <c r="M65" i="22"/>
  <c r="M67" i="22"/>
  <c r="M66" i="22"/>
  <c r="M61" i="22"/>
  <c r="M77" i="22"/>
  <c r="M111" i="22"/>
  <c r="M62" i="22"/>
  <c r="M90" i="22"/>
  <c r="M76" i="22"/>
  <c r="M54" i="22"/>
  <c r="M102" i="22"/>
  <c r="M73" i="22"/>
  <c r="M85" i="22"/>
  <c r="M84" i="22"/>
  <c r="M55" i="22"/>
  <c r="M81" i="22"/>
  <c r="M99" i="22"/>
  <c r="M60" i="22"/>
  <c r="M80" i="22"/>
  <c r="M74" i="22"/>
  <c r="M59" i="22"/>
  <c r="M91" i="22"/>
  <c r="M71" i="22"/>
  <c r="M86" i="22"/>
  <c r="B19" i="17"/>
  <c r="B16" i="17"/>
  <c r="B17" i="17"/>
  <c r="L35" i="1"/>
  <c r="B7" i="22" l="1"/>
  <c r="J55" i="31"/>
  <c r="J5" i="31"/>
  <c r="J6" i="31" s="1"/>
  <c r="J7" i="31" s="1"/>
  <c r="J8" i="31" s="1"/>
  <c r="J9" i="31" s="1"/>
  <c r="AJ97" i="17"/>
  <c r="S3" i="6" s="1"/>
  <c r="E73" i="17"/>
  <c r="E71" i="17"/>
  <c r="E72" i="17"/>
  <c r="E75" i="17"/>
  <c r="E76" i="17"/>
  <c r="E74" i="17"/>
  <c r="G19" i="13"/>
  <c r="G17" i="13"/>
  <c r="G18" i="13"/>
  <c r="K36" i="1"/>
  <c r="AF21" i="9" s="1"/>
  <c r="AF23" i="9" s="1"/>
  <c r="D7" i="22" l="1"/>
  <c r="F7" i="22" s="1"/>
  <c r="H7" i="22" l="1"/>
  <c r="C6" i="6"/>
  <c r="C8" i="6"/>
  <c r="C5" i="6"/>
  <c r="C9" i="6"/>
  <c r="C7" i="6"/>
  <c r="O11" i="28" l="1"/>
  <c r="Q11" i="28" s="1"/>
  <c r="L43" i="28" s="1"/>
  <c r="F37" i="24"/>
  <c r="O9" i="28"/>
  <c r="Q9" i="28" s="1"/>
  <c r="L42" i="28" s="1"/>
  <c r="O13" i="28"/>
  <c r="Q13" i="28" s="1"/>
  <c r="L44" i="28" s="1"/>
  <c r="O5" i="28"/>
  <c r="Q5" i="28" s="1"/>
  <c r="L40" i="28" s="1"/>
  <c r="O7" i="28"/>
  <c r="Q7" i="28" s="1"/>
  <c r="L41" i="28" s="1"/>
  <c r="F1599" i="24"/>
  <c r="C42" i="28"/>
  <c r="F42" i="28" s="1"/>
  <c r="C4" i="6"/>
  <c r="O3" i="28" s="1"/>
  <c r="Q3" i="28" l="1"/>
  <c r="L39" i="28" s="1"/>
  <c r="C15" i="6"/>
  <c r="D15" i="6" s="1"/>
  <c r="C12" i="6"/>
  <c r="C14" i="6" s="1"/>
  <c r="G1092" i="24"/>
  <c r="H1092" i="24"/>
  <c r="F1092" i="24"/>
  <c r="S22" i="6" l="1"/>
  <c r="F15" i="6"/>
  <c r="S21" i="6"/>
  <c r="O3" i="6" l="1"/>
  <c r="Q12" i="13" s="1"/>
  <c r="X13" i="9"/>
  <c r="C14" i="9" s="1"/>
  <c r="X14" i="9"/>
  <c r="X12" i="9"/>
  <c r="B7" i="13"/>
  <c r="D5" i="6"/>
  <c r="D6" i="6"/>
  <c r="B8" i="13"/>
  <c r="C17" i="6"/>
  <c r="D8" i="6"/>
  <c r="B10" i="13"/>
  <c r="B9" i="13"/>
  <c r="D7" i="6"/>
  <c r="B11" i="13"/>
  <c r="D9" i="6"/>
  <c r="O516" i="24" l="1"/>
  <c r="G516" i="24"/>
  <c r="I1042" i="24"/>
  <c r="K370" i="24"/>
  <c r="F370" i="24"/>
  <c r="H516" i="24"/>
  <c r="N516" i="24"/>
  <c r="F516" i="24"/>
  <c r="H1042" i="24"/>
  <c r="J370" i="24"/>
  <c r="I516" i="24"/>
  <c r="M516" i="24"/>
  <c r="O1042" i="24"/>
  <c r="G1042" i="24"/>
  <c r="I370" i="24"/>
  <c r="L1042" i="24"/>
  <c r="L370" i="24"/>
  <c r="L516" i="24"/>
  <c r="N1042" i="24"/>
  <c r="F1042" i="24"/>
  <c r="H370" i="24"/>
  <c r="N370" i="24"/>
  <c r="J1042" i="24"/>
  <c r="K516" i="24"/>
  <c r="M1042" i="24"/>
  <c r="O370" i="24"/>
  <c r="G370" i="24"/>
  <c r="J516" i="24"/>
  <c r="M370" i="24"/>
  <c r="K1042" i="24"/>
  <c r="H9" i="24"/>
  <c r="O9" i="24"/>
  <c r="G9" i="24"/>
  <c r="M9" i="24"/>
  <c r="J9" i="24"/>
  <c r="N9" i="24"/>
  <c r="F9" i="24"/>
  <c r="L9" i="24"/>
  <c r="K9" i="24"/>
  <c r="I9" i="24"/>
  <c r="N10" i="24"/>
  <c r="F10" i="24"/>
  <c r="K10" i="24"/>
  <c r="M10" i="24"/>
  <c r="G10" i="24"/>
  <c r="L10" i="24"/>
  <c r="J10" i="24"/>
  <c r="I10" i="24"/>
  <c r="H10" i="24"/>
  <c r="O10" i="24"/>
  <c r="J18" i="24"/>
  <c r="I18" i="24"/>
  <c r="G18" i="24"/>
  <c r="H18" i="24"/>
  <c r="F18" i="24"/>
  <c r="E18" i="24"/>
  <c r="C78" i="10"/>
  <c r="J8" i="24"/>
  <c r="O8" i="24"/>
  <c r="G8" i="24"/>
  <c r="L8" i="24"/>
  <c r="K8" i="24"/>
  <c r="K28" i="24"/>
  <c r="I8" i="24"/>
  <c r="I28" i="24"/>
  <c r="M8" i="24"/>
  <c r="F28" i="24"/>
  <c r="J28" i="24"/>
  <c r="H8" i="24"/>
  <c r="H28" i="24"/>
  <c r="N8" i="24"/>
  <c r="F8" i="24"/>
  <c r="G28" i="24"/>
  <c r="M58" i="24"/>
  <c r="J58" i="24"/>
  <c r="G58" i="24"/>
  <c r="F58" i="24"/>
  <c r="L58" i="24"/>
  <c r="N58" i="24"/>
  <c r="K58" i="24"/>
  <c r="I58" i="24"/>
  <c r="H58" i="24"/>
  <c r="O58" i="24"/>
  <c r="C74" i="10"/>
  <c r="C77" i="10"/>
  <c r="C75" i="10"/>
  <c r="C76" i="10"/>
  <c r="D20" i="6"/>
  <c r="I1424" i="24"/>
  <c r="D22" i="6"/>
  <c r="Y14" i="10"/>
  <c r="Y13" i="10"/>
  <c r="Y12" i="10"/>
  <c r="AC2" i="10" s="1"/>
  <c r="AC4" i="10" s="1"/>
  <c r="E509" i="24"/>
  <c r="J509" i="24"/>
  <c r="I509" i="24"/>
  <c r="H509" i="24"/>
  <c r="G509" i="24"/>
  <c r="F509" i="24"/>
  <c r="I542" i="24"/>
  <c r="H542" i="24"/>
  <c r="O542" i="24"/>
  <c r="G542" i="24"/>
  <c r="N542" i="24"/>
  <c r="F542" i="24"/>
  <c r="M542" i="24"/>
  <c r="J542" i="24"/>
  <c r="L542" i="24"/>
  <c r="K542" i="24"/>
  <c r="O501" i="24"/>
  <c r="G501" i="24"/>
  <c r="M500" i="24"/>
  <c r="N501" i="24"/>
  <c r="F501" i="24"/>
  <c r="L500" i="24"/>
  <c r="M501" i="24"/>
  <c r="K500" i="24"/>
  <c r="F500" i="24"/>
  <c r="L501" i="24"/>
  <c r="J500" i="24"/>
  <c r="N500" i="24"/>
  <c r="K501" i="24"/>
  <c r="I500" i="24"/>
  <c r="J501" i="24"/>
  <c r="H500" i="24"/>
  <c r="I501" i="24"/>
  <c r="O500" i="24"/>
  <c r="G500" i="24"/>
  <c r="H501" i="24"/>
  <c r="K502" i="24"/>
  <c r="J502" i="24"/>
  <c r="I502" i="24"/>
  <c r="H502" i="24"/>
  <c r="O502" i="24"/>
  <c r="G502" i="24"/>
  <c r="N502" i="24"/>
  <c r="F502" i="24"/>
  <c r="L502" i="24"/>
  <c r="M502" i="24"/>
  <c r="Z3" i="10"/>
  <c r="Z6" i="10" s="1"/>
  <c r="O2" i="10" s="1"/>
  <c r="Q13" i="13" s="1"/>
  <c r="C58" i="6"/>
  <c r="C59" i="6" s="1"/>
  <c r="E7" i="31" s="1"/>
  <c r="J58" i="6"/>
  <c r="J59" i="6" s="1"/>
  <c r="Q58" i="6"/>
  <c r="Q59" i="6" s="1"/>
  <c r="J47" i="6"/>
  <c r="J48" i="6" s="1"/>
  <c r="C47" i="6"/>
  <c r="C48" i="6" s="1"/>
  <c r="Q47" i="6"/>
  <c r="Q48" i="6" s="1"/>
  <c r="H13" i="13" s="1"/>
  <c r="F1023" i="24"/>
  <c r="K1527" i="24"/>
  <c r="I87" i="24"/>
  <c r="I1332" i="24"/>
  <c r="I730" i="24"/>
  <c r="I674" i="24"/>
  <c r="I147" i="24"/>
  <c r="I1537" i="24"/>
  <c r="I665" i="24"/>
  <c r="D17" i="6"/>
  <c r="I21" i="6" s="1"/>
  <c r="J143" i="24"/>
  <c r="H1476" i="24"/>
  <c r="F1195" i="24"/>
  <c r="I143" i="24"/>
  <c r="G1476" i="24"/>
  <c r="E1195" i="24"/>
  <c r="J970" i="24"/>
  <c r="J669" i="24"/>
  <c r="H143" i="24"/>
  <c r="I669" i="24"/>
  <c r="G143" i="24"/>
  <c r="E1476" i="24"/>
  <c r="I970" i="24"/>
  <c r="F143" i="24"/>
  <c r="J1195" i="24"/>
  <c r="H970" i="24"/>
  <c r="E143" i="24"/>
  <c r="I1195" i="24"/>
  <c r="G970" i="24"/>
  <c r="F669" i="24"/>
  <c r="J1476" i="24"/>
  <c r="H1195" i="24"/>
  <c r="F970" i="24"/>
  <c r="I1476" i="24"/>
  <c r="E970" i="24"/>
  <c r="H669" i="24"/>
  <c r="E669" i="24"/>
  <c r="G1195" i="24"/>
  <c r="F1476" i="24"/>
  <c r="G669" i="24"/>
  <c r="J809" i="24"/>
  <c r="L809" i="24"/>
  <c r="I809" i="24"/>
  <c r="K809" i="24"/>
  <c r="F809" i="24"/>
  <c r="H809" i="24"/>
  <c r="O809" i="24"/>
  <c r="G809" i="24"/>
  <c r="N809" i="24"/>
  <c r="M809" i="24"/>
  <c r="F388" i="24"/>
  <c r="C16" i="6"/>
  <c r="F241" i="24"/>
  <c r="F215" i="24"/>
  <c r="F1613" i="24"/>
  <c r="G241" i="24"/>
  <c r="F223" i="24"/>
  <c r="H241" i="24"/>
  <c r="G223" i="24"/>
  <c r="I241" i="24"/>
  <c r="H223" i="24"/>
  <c r="M846" i="24"/>
  <c r="I846" i="24"/>
  <c r="L846" i="24"/>
  <c r="H846" i="24"/>
  <c r="N846" i="24"/>
  <c r="J846" i="24"/>
  <c r="F846" i="24"/>
  <c r="O846" i="24"/>
  <c r="K846" i="24"/>
  <c r="G846" i="24"/>
  <c r="F840" i="24"/>
  <c r="F839" i="24"/>
  <c r="I840" i="24"/>
  <c r="I839" i="24"/>
  <c r="G840" i="24"/>
  <c r="G839" i="24"/>
  <c r="H840" i="24"/>
  <c r="H839" i="24"/>
  <c r="H412" i="24"/>
  <c r="I412" i="24"/>
  <c r="J412" i="24"/>
  <c r="F412" i="24"/>
  <c r="K412" i="24"/>
  <c r="G412" i="24"/>
  <c r="F1328" i="24"/>
  <c r="G1328" i="24"/>
  <c r="F971" i="24"/>
  <c r="H1328" i="24"/>
  <c r="G971" i="24"/>
  <c r="H971" i="24"/>
  <c r="H755" i="24"/>
  <c r="F1059" i="24"/>
  <c r="O815" i="24"/>
  <c r="K815" i="24"/>
  <c r="G815" i="24"/>
  <c r="F815" i="24"/>
  <c r="L815" i="24"/>
  <c r="H815" i="24"/>
  <c r="J815" i="24"/>
  <c r="M815" i="24"/>
  <c r="I815" i="24"/>
  <c r="N815" i="24"/>
  <c r="M814" i="24"/>
  <c r="I814" i="24"/>
  <c r="N814" i="24"/>
  <c r="J814" i="24"/>
  <c r="F814" i="24"/>
  <c r="L814" i="24"/>
  <c r="O814" i="24"/>
  <c r="K814" i="24"/>
  <c r="G814" i="24"/>
  <c r="H814" i="24"/>
  <c r="M818" i="24"/>
  <c r="I818" i="24"/>
  <c r="L818" i="24"/>
  <c r="N818" i="24"/>
  <c r="J818" i="24"/>
  <c r="F818" i="24"/>
  <c r="H818" i="24"/>
  <c r="O818" i="24"/>
  <c r="K818" i="24"/>
  <c r="G818" i="24"/>
  <c r="H1045" i="24"/>
  <c r="H1398" i="24"/>
  <c r="H574" i="24"/>
  <c r="H834" i="24"/>
  <c r="L812" i="24"/>
  <c r="H812" i="24"/>
  <c r="H886" i="24"/>
  <c r="M812" i="24"/>
  <c r="I812" i="24"/>
  <c r="I886" i="24"/>
  <c r="N812" i="24"/>
  <c r="J812" i="24"/>
  <c r="F812" i="24"/>
  <c r="F886" i="24"/>
  <c r="O812" i="24"/>
  <c r="K812" i="24"/>
  <c r="G812" i="24"/>
  <c r="G886" i="24"/>
  <c r="I1033" i="24"/>
  <c r="I1320" i="24"/>
  <c r="I76" i="24"/>
  <c r="I197" i="24"/>
  <c r="I565" i="24"/>
  <c r="I210" i="24"/>
  <c r="I717" i="24"/>
  <c r="I821" i="24"/>
  <c r="I721" i="24"/>
  <c r="I1385" i="24"/>
  <c r="I79" i="24"/>
  <c r="O1026" i="24"/>
  <c r="K1026" i="24"/>
  <c r="G1026" i="24"/>
  <c r="M556" i="24"/>
  <c r="I556" i="24"/>
  <c r="M438" i="24"/>
  <c r="I438" i="24"/>
  <c r="M1388" i="24"/>
  <c r="I1388" i="24"/>
  <c r="O784" i="24"/>
  <c r="K784" i="24"/>
  <c r="G784" i="24"/>
  <c r="M400" i="24"/>
  <c r="I400" i="24"/>
  <c r="O354" i="24"/>
  <c r="K354" i="24"/>
  <c r="G354" i="24"/>
  <c r="H1566" i="24"/>
  <c r="L1566" i="24"/>
  <c r="F1128" i="24"/>
  <c r="J1128" i="24"/>
  <c r="N1128" i="24"/>
  <c r="H1622" i="24"/>
  <c r="L1622" i="24"/>
  <c r="L1026" i="24"/>
  <c r="H1026" i="24"/>
  <c r="N556" i="24"/>
  <c r="J556" i="24"/>
  <c r="F556" i="24"/>
  <c r="N438" i="24"/>
  <c r="J438" i="24"/>
  <c r="F438" i="24"/>
  <c r="N1388" i="24"/>
  <c r="J1388" i="24"/>
  <c r="F1388" i="24"/>
  <c r="L784" i="24"/>
  <c r="H784" i="24"/>
  <c r="N400" i="24"/>
  <c r="J400" i="24"/>
  <c r="F400" i="24"/>
  <c r="L354" i="24"/>
  <c r="H354" i="24"/>
  <c r="G1566" i="24"/>
  <c r="K1566" i="24"/>
  <c r="O1566" i="24"/>
  <c r="I1128" i="24"/>
  <c r="M1128" i="24"/>
  <c r="G1622" i="24"/>
  <c r="K1622" i="24"/>
  <c r="O1622" i="24"/>
  <c r="M1026" i="24"/>
  <c r="I1026" i="24"/>
  <c r="O556" i="24"/>
  <c r="K556" i="24"/>
  <c r="G556" i="24"/>
  <c r="O438" i="24"/>
  <c r="K438" i="24"/>
  <c r="G438" i="24"/>
  <c r="O1388" i="24"/>
  <c r="K1388" i="24"/>
  <c r="G1388" i="24"/>
  <c r="M784" i="24"/>
  <c r="I784" i="24"/>
  <c r="O400" i="24"/>
  <c r="K400" i="24"/>
  <c r="G400" i="24"/>
  <c r="M354" i="24"/>
  <c r="I354" i="24"/>
  <c r="F1566" i="24"/>
  <c r="J1566" i="24"/>
  <c r="N1566" i="24"/>
  <c r="H1128" i="24"/>
  <c r="L1128" i="24"/>
  <c r="F1622" i="24"/>
  <c r="J1622" i="24"/>
  <c r="N1622" i="24"/>
  <c r="N1026" i="24"/>
  <c r="J1026" i="24"/>
  <c r="F1026" i="24"/>
  <c r="L556" i="24"/>
  <c r="H556" i="24"/>
  <c r="L438" i="24"/>
  <c r="H438" i="24"/>
  <c r="L1388" i="24"/>
  <c r="H1388" i="24"/>
  <c r="N784" i="24"/>
  <c r="J784" i="24"/>
  <c r="F784" i="24"/>
  <c r="L400" i="24"/>
  <c r="H400" i="24"/>
  <c r="N354" i="24"/>
  <c r="J354" i="24"/>
  <c r="F354" i="24"/>
  <c r="I1566" i="24"/>
  <c r="M1566" i="24"/>
  <c r="G1128" i="24"/>
  <c r="K1128" i="24"/>
  <c r="O1128" i="24"/>
  <c r="I1622" i="24"/>
  <c r="M1622" i="24"/>
  <c r="M553" i="24"/>
  <c r="I553" i="24"/>
  <c r="O440" i="24"/>
  <c r="K440" i="24"/>
  <c r="G440" i="24"/>
  <c r="M1378" i="24"/>
  <c r="I1378" i="24"/>
  <c r="O1024" i="24"/>
  <c r="K1024" i="24"/>
  <c r="G1024" i="24"/>
  <c r="M773" i="24"/>
  <c r="I773" i="24"/>
  <c r="O353" i="24"/>
  <c r="K353" i="24"/>
  <c r="G353" i="24"/>
  <c r="M391" i="24"/>
  <c r="I391" i="24"/>
  <c r="O1131" i="24"/>
  <c r="K1131" i="24"/>
  <c r="G1131" i="24"/>
  <c r="M1625" i="24"/>
  <c r="I1625" i="24"/>
  <c r="O1569" i="24"/>
  <c r="K1569" i="24"/>
  <c r="G1569" i="24"/>
  <c r="N553" i="24"/>
  <c r="J553" i="24"/>
  <c r="F553" i="24"/>
  <c r="L440" i="24"/>
  <c r="H440" i="24"/>
  <c r="N1378" i="24"/>
  <c r="J1378" i="24"/>
  <c r="F1378" i="24"/>
  <c r="L1024" i="24"/>
  <c r="H1024" i="24"/>
  <c r="N773" i="24"/>
  <c r="J773" i="24"/>
  <c r="F773" i="24"/>
  <c r="L353" i="24"/>
  <c r="H353" i="24"/>
  <c r="N391" i="24"/>
  <c r="J391" i="24"/>
  <c r="F391" i="24"/>
  <c r="L1131" i="24"/>
  <c r="H1131" i="24"/>
  <c r="N1625" i="24"/>
  <c r="J1625" i="24"/>
  <c r="F1625" i="24"/>
  <c r="L1569" i="24"/>
  <c r="H1569" i="24"/>
  <c r="O553" i="24"/>
  <c r="K553" i="24"/>
  <c r="G553" i="24"/>
  <c r="M440" i="24"/>
  <c r="I440" i="24"/>
  <c r="O1378" i="24"/>
  <c r="K1378" i="24"/>
  <c r="G1378" i="24"/>
  <c r="M1024" i="24"/>
  <c r="I1024" i="24"/>
  <c r="O773" i="24"/>
  <c r="K773" i="24"/>
  <c r="G773" i="24"/>
  <c r="M353" i="24"/>
  <c r="I353" i="24"/>
  <c r="O391" i="24"/>
  <c r="K391" i="24"/>
  <c r="G391" i="24"/>
  <c r="M1131" i="24"/>
  <c r="I1131" i="24"/>
  <c r="O1625" i="24"/>
  <c r="K1625" i="24"/>
  <c r="G1625" i="24"/>
  <c r="M1569" i="24"/>
  <c r="I1569" i="24"/>
  <c r="L553" i="24"/>
  <c r="H553" i="24"/>
  <c r="N440" i="24"/>
  <c r="J440" i="24"/>
  <c r="F440" i="24"/>
  <c r="L1378" i="24"/>
  <c r="H1378" i="24"/>
  <c r="N1024" i="24"/>
  <c r="J1024" i="24"/>
  <c r="F1024" i="24"/>
  <c r="L773" i="24"/>
  <c r="H773" i="24"/>
  <c r="N353" i="24"/>
  <c r="J353" i="24"/>
  <c r="F353" i="24"/>
  <c r="L391" i="24"/>
  <c r="H391" i="24"/>
  <c r="N1131" i="24"/>
  <c r="J1131" i="24"/>
  <c r="F1131" i="24"/>
  <c r="L1625" i="24"/>
  <c r="H1625" i="24"/>
  <c r="N1569" i="24"/>
  <c r="J1569" i="24"/>
  <c r="F1569" i="24"/>
  <c r="O561" i="24"/>
  <c r="K561" i="24"/>
  <c r="G561" i="24"/>
  <c r="O441" i="24"/>
  <c r="K441" i="24"/>
  <c r="G441" i="24"/>
  <c r="M392" i="24"/>
  <c r="I392" i="24"/>
  <c r="O1380" i="24"/>
  <c r="K1380" i="24"/>
  <c r="G1380" i="24"/>
  <c r="M1027" i="24"/>
  <c r="I1027" i="24"/>
  <c r="O775" i="24"/>
  <c r="K775" i="24"/>
  <c r="G775" i="24"/>
  <c r="M356" i="24"/>
  <c r="I356" i="24"/>
  <c r="M1671" i="24"/>
  <c r="I1671" i="24"/>
  <c r="O1613" i="24"/>
  <c r="K1613" i="24"/>
  <c r="G1613" i="24"/>
  <c r="L561" i="24"/>
  <c r="H561" i="24"/>
  <c r="L441" i="24"/>
  <c r="H441" i="24"/>
  <c r="N392" i="24"/>
  <c r="J392" i="24"/>
  <c r="F392" i="24"/>
  <c r="L1380" i="24"/>
  <c r="H1380" i="24"/>
  <c r="N1027" i="24"/>
  <c r="J1027" i="24"/>
  <c r="F1027" i="24"/>
  <c r="L775" i="24"/>
  <c r="H775" i="24"/>
  <c r="N356" i="24"/>
  <c r="J356" i="24"/>
  <c r="F356" i="24"/>
  <c r="N1671" i="24"/>
  <c r="J1671" i="24"/>
  <c r="F1671" i="24"/>
  <c r="L1613" i="24"/>
  <c r="H1613" i="24"/>
  <c r="M561" i="24"/>
  <c r="I561" i="24"/>
  <c r="M441" i="24"/>
  <c r="I441" i="24"/>
  <c r="O392" i="24"/>
  <c r="K392" i="24"/>
  <c r="G392" i="24"/>
  <c r="M1380" i="24"/>
  <c r="I1380" i="24"/>
  <c r="O1027" i="24"/>
  <c r="K1027" i="24"/>
  <c r="G1027" i="24"/>
  <c r="M775" i="24"/>
  <c r="I775" i="24"/>
  <c r="O356" i="24"/>
  <c r="K356" i="24"/>
  <c r="G356" i="24"/>
  <c r="O1671" i="24"/>
  <c r="K1671" i="24"/>
  <c r="G1671" i="24"/>
  <c r="M1613" i="24"/>
  <c r="I1613" i="24"/>
  <c r="N561" i="24"/>
  <c r="J561" i="24"/>
  <c r="F561" i="24"/>
  <c r="N441" i="24"/>
  <c r="J441" i="24"/>
  <c r="F441" i="24"/>
  <c r="L392" i="24"/>
  <c r="H392" i="24"/>
  <c r="N1380" i="24"/>
  <c r="J1380" i="24"/>
  <c r="F1380" i="24"/>
  <c r="L1027" i="24"/>
  <c r="H1027" i="24"/>
  <c r="N775" i="24"/>
  <c r="J775" i="24"/>
  <c r="F775" i="24"/>
  <c r="L356" i="24"/>
  <c r="H356" i="24"/>
  <c r="L1671" i="24"/>
  <c r="H1671" i="24"/>
  <c r="N1613" i="24"/>
  <c r="J1613" i="24"/>
  <c r="O555" i="24"/>
  <c r="K555" i="24"/>
  <c r="G555" i="24"/>
  <c r="M439" i="24"/>
  <c r="I439" i="24"/>
  <c r="O1023" i="24"/>
  <c r="K1023" i="24"/>
  <c r="G1023" i="24"/>
  <c r="M1377" i="24"/>
  <c r="I1377" i="24"/>
  <c r="O772" i="24"/>
  <c r="K772" i="24"/>
  <c r="G772" i="24"/>
  <c r="M352" i="24"/>
  <c r="I352" i="24"/>
  <c r="M1129" i="24"/>
  <c r="I1129" i="24"/>
  <c r="O390" i="24"/>
  <c r="K390" i="24"/>
  <c r="G390" i="24"/>
  <c r="M1623" i="24"/>
  <c r="I1623" i="24"/>
  <c r="O1567" i="24"/>
  <c r="K1567" i="24"/>
  <c r="G1567" i="24"/>
  <c r="L555" i="24"/>
  <c r="H555" i="24"/>
  <c r="N439" i="24"/>
  <c r="J439" i="24"/>
  <c r="F439" i="24"/>
  <c r="L1023" i="24"/>
  <c r="H1023" i="24"/>
  <c r="N1377" i="24"/>
  <c r="J1377" i="24"/>
  <c r="F1377" i="24"/>
  <c r="L772" i="24"/>
  <c r="H772" i="24"/>
  <c r="N352" i="24"/>
  <c r="J352" i="24"/>
  <c r="F352" i="24"/>
  <c r="N1129" i="24"/>
  <c r="J1129" i="24"/>
  <c r="F1129" i="24"/>
  <c r="L390" i="24"/>
  <c r="H390" i="24"/>
  <c r="N1623" i="24"/>
  <c r="J1623" i="24"/>
  <c r="F1623" i="24"/>
  <c r="L1567" i="24"/>
  <c r="H1567" i="24"/>
  <c r="M555" i="24"/>
  <c r="I555" i="24"/>
  <c r="O439" i="24"/>
  <c r="K439" i="24"/>
  <c r="G439" i="24"/>
  <c r="M1023" i="24"/>
  <c r="I1023" i="24"/>
  <c r="O1377" i="24"/>
  <c r="K1377" i="24"/>
  <c r="G1377" i="24"/>
  <c r="M772" i="24"/>
  <c r="I772" i="24"/>
  <c r="O352" i="24"/>
  <c r="K352" i="24"/>
  <c r="G352" i="24"/>
  <c r="O1129" i="24"/>
  <c r="K1129" i="24"/>
  <c r="G1129" i="24"/>
  <c r="M390" i="24"/>
  <c r="I390" i="24"/>
  <c r="O1623" i="24"/>
  <c r="K1623" i="24"/>
  <c r="G1623" i="24"/>
  <c r="M1567" i="24"/>
  <c r="I1567" i="24"/>
  <c r="N555" i="24"/>
  <c r="J555" i="24"/>
  <c r="F555" i="24"/>
  <c r="L439" i="24"/>
  <c r="H439" i="24"/>
  <c r="N1023" i="24"/>
  <c r="J1023" i="24"/>
  <c r="L1377" i="24"/>
  <c r="H1377" i="24"/>
  <c r="N772" i="24"/>
  <c r="J772" i="24"/>
  <c r="F772" i="24"/>
  <c r="L352" i="24"/>
  <c r="H352" i="24"/>
  <c r="L1129" i="24"/>
  <c r="H1129" i="24"/>
  <c r="N390" i="24"/>
  <c r="J390" i="24"/>
  <c r="F390" i="24"/>
  <c r="L1623" i="24"/>
  <c r="H1623" i="24"/>
  <c r="N1567" i="24"/>
  <c r="J1567" i="24"/>
  <c r="F1567" i="24"/>
  <c r="M1414" i="24"/>
  <c r="I1414" i="24"/>
  <c r="M588" i="24"/>
  <c r="I588" i="24"/>
  <c r="O593" i="24"/>
  <c r="K593" i="24"/>
  <c r="G593" i="24"/>
  <c r="O1568" i="24"/>
  <c r="K1568" i="24"/>
  <c r="G1568" i="24"/>
  <c r="O435" i="24"/>
  <c r="K435" i="24"/>
  <c r="G435" i="24"/>
  <c r="M1059" i="24"/>
  <c r="I1059" i="24"/>
  <c r="O388" i="24"/>
  <c r="K388" i="24"/>
  <c r="G388" i="24"/>
  <c r="M1130" i="24"/>
  <c r="I1130" i="24"/>
  <c r="O1624" i="24"/>
  <c r="K1624" i="24"/>
  <c r="G1624" i="24"/>
  <c r="N1414" i="24"/>
  <c r="J1414" i="24"/>
  <c r="F1414" i="24"/>
  <c r="N588" i="24"/>
  <c r="J588" i="24"/>
  <c r="F588" i="24"/>
  <c r="L593" i="24"/>
  <c r="H593" i="24"/>
  <c r="L1568" i="24"/>
  <c r="H1568" i="24"/>
  <c r="L435" i="24"/>
  <c r="H435" i="24"/>
  <c r="N1059" i="24"/>
  <c r="J1059" i="24"/>
  <c r="L388" i="24"/>
  <c r="H388" i="24"/>
  <c r="N1130" i="24"/>
  <c r="J1130" i="24"/>
  <c r="F1130" i="24"/>
  <c r="L1624" i="24"/>
  <c r="H1624" i="24"/>
  <c r="O1414" i="24"/>
  <c r="K1414" i="24"/>
  <c r="G1414" i="24"/>
  <c r="O588" i="24"/>
  <c r="K588" i="24"/>
  <c r="G588" i="24"/>
  <c r="M593" i="24"/>
  <c r="I593" i="24"/>
  <c r="M1568" i="24"/>
  <c r="I1568" i="24"/>
  <c r="M435" i="24"/>
  <c r="I435" i="24"/>
  <c r="O1059" i="24"/>
  <c r="K1059" i="24"/>
  <c r="G1059" i="24"/>
  <c r="M388" i="24"/>
  <c r="I388" i="24"/>
  <c r="O1130" i="24"/>
  <c r="K1130" i="24"/>
  <c r="G1130" i="24"/>
  <c r="M1624" i="24"/>
  <c r="I1624" i="24"/>
  <c r="L1414" i="24"/>
  <c r="H1414" i="24"/>
  <c r="L588" i="24"/>
  <c r="H588" i="24"/>
  <c r="N593" i="24"/>
  <c r="J593" i="24"/>
  <c r="F593" i="24"/>
  <c r="N1568" i="24"/>
  <c r="J1568" i="24"/>
  <c r="F1568" i="24"/>
  <c r="N435" i="24"/>
  <c r="J435" i="24"/>
  <c r="F435" i="24"/>
  <c r="L1059" i="24"/>
  <c r="H1059" i="24"/>
  <c r="N388" i="24"/>
  <c r="J388" i="24"/>
  <c r="L1130" i="24"/>
  <c r="H1130" i="24"/>
  <c r="N1624" i="24"/>
  <c r="J1624" i="24"/>
  <c r="F1624" i="24"/>
  <c r="F6" i="6"/>
  <c r="O5" i="6" s="1"/>
  <c r="K714" i="24"/>
  <c r="F5" i="6"/>
  <c r="F7" i="6"/>
  <c r="D19" i="6" s="1"/>
  <c r="C19" i="13" s="1"/>
  <c r="F9" i="6"/>
  <c r="H13" i="6" s="1"/>
  <c r="F8" i="6"/>
  <c r="K1591" i="24"/>
  <c r="G1591" i="24"/>
  <c r="H1591" i="24"/>
  <c r="I1591" i="24"/>
  <c r="J1591" i="24"/>
  <c r="F1591" i="24"/>
  <c r="B17" i="13"/>
  <c r="D4" i="6"/>
  <c r="AH19" i="9" s="1"/>
  <c r="B6" i="13"/>
  <c r="C11" i="13"/>
  <c r="C9" i="13"/>
  <c r="C10" i="13"/>
  <c r="C8" i="13"/>
  <c r="X37" i="9" l="1"/>
  <c r="X38" i="9"/>
  <c r="X39" i="9"/>
  <c r="X40" i="9"/>
  <c r="D21" i="6"/>
  <c r="I20" i="6"/>
  <c r="H318" i="24"/>
  <c r="G318" i="24"/>
  <c r="F318" i="24"/>
  <c r="H12" i="6"/>
  <c r="Q17" i="13" s="1"/>
  <c r="O7" i="6"/>
  <c r="F58" i="6"/>
  <c r="N18" i="6"/>
  <c r="T47" i="6"/>
  <c r="F47" i="6"/>
  <c r="T58" i="6"/>
  <c r="M47" i="6"/>
  <c r="M58" i="6"/>
  <c r="O4" i="6"/>
  <c r="K47" i="6" s="1"/>
  <c r="K48" i="6" s="1"/>
  <c r="I16" i="6"/>
  <c r="F355" i="24"/>
  <c r="E8" i="31"/>
  <c r="E6" i="31"/>
  <c r="T78" i="10"/>
  <c r="T77" i="10"/>
  <c r="F23" i="31"/>
  <c r="Q18" i="13"/>
  <c r="O813" i="24"/>
  <c r="K813" i="24"/>
  <c r="G813" i="24"/>
  <c r="N813" i="24"/>
  <c r="F813" i="24"/>
  <c r="L813" i="24"/>
  <c r="H813" i="24"/>
  <c r="M813" i="24"/>
  <c r="I813" i="24"/>
  <c r="J813" i="24"/>
  <c r="M554" i="24"/>
  <c r="I554" i="24"/>
  <c r="O490" i="24"/>
  <c r="K490" i="24"/>
  <c r="G490" i="24"/>
  <c r="O1379" i="24"/>
  <c r="K1379" i="24"/>
  <c r="G1379" i="24"/>
  <c r="M1025" i="24"/>
  <c r="I1025" i="24"/>
  <c r="O774" i="24"/>
  <c r="K774" i="24"/>
  <c r="G774" i="24"/>
  <c r="M355" i="24"/>
  <c r="I355" i="24"/>
  <c r="N554" i="24"/>
  <c r="J554" i="24"/>
  <c r="F554" i="24"/>
  <c r="L490" i="24"/>
  <c r="H490" i="24"/>
  <c r="L1379" i="24"/>
  <c r="H1379" i="24"/>
  <c r="N1025" i="24"/>
  <c r="J1025" i="24"/>
  <c r="F1025" i="24"/>
  <c r="L774" i="24"/>
  <c r="H774" i="24"/>
  <c r="N355" i="24"/>
  <c r="J355" i="24"/>
  <c r="O554" i="24"/>
  <c r="K554" i="24"/>
  <c r="G554" i="24"/>
  <c r="M490" i="24"/>
  <c r="I490" i="24"/>
  <c r="M1379" i="24"/>
  <c r="I1379" i="24"/>
  <c r="O1025" i="24"/>
  <c r="K1025" i="24"/>
  <c r="G1025" i="24"/>
  <c r="M774" i="24"/>
  <c r="I774" i="24"/>
  <c r="O355" i="24"/>
  <c r="K355" i="24"/>
  <c r="G355" i="24"/>
  <c r="L554" i="24"/>
  <c r="H554" i="24"/>
  <c r="N490" i="24"/>
  <c r="J490" i="24"/>
  <c r="F490" i="24"/>
  <c r="N1379" i="24"/>
  <c r="J1379" i="24"/>
  <c r="F1379" i="24"/>
  <c r="L1025" i="24"/>
  <c r="H1025" i="24"/>
  <c r="N774" i="24"/>
  <c r="J774" i="24"/>
  <c r="F774" i="24"/>
  <c r="L355" i="24"/>
  <c r="H355" i="24"/>
  <c r="T74" i="10"/>
  <c r="T75" i="10"/>
  <c r="I19" i="6"/>
  <c r="I18" i="6"/>
  <c r="I17" i="6"/>
  <c r="F4" i="6"/>
  <c r="O6" i="6" s="1"/>
  <c r="D12" i="6"/>
  <c r="U3" i="6" s="1"/>
  <c r="K337" i="24"/>
  <c r="G337" i="24"/>
  <c r="L337" i="24"/>
  <c r="H337" i="24"/>
  <c r="M337" i="24"/>
  <c r="I337" i="24"/>
  <c r="J337" i="24"/>
  <c r="F6" i="13"/>
  <c r="B14" i="13"/>
  <c r="C17" i="13"/>
  <c r="F8" i="13"/>
  <c r="H8" i="13"/>
  <c r="C6" i="13"/>
  <c r="F13" i="6" l="1"/>
  <c r="Q14" i="13" s="1"/>
  <c r="I4" i="10"/>
  <c r="T4" i="10"/>
  <c r="I5" i="10"/>
  <c r="E62" i="13" s="1"/>
  <c r="R47" i="6"/>
  <c r="R48" i="6" s="1"/>
  <c r="N23" i="6"/>
  <c r="K58" i="6"/>
  <c r="K59" i="6" s="1"/>
  <c r="R58" i="6"/>
  <c r="R59" i="6" s="1"/>
  <c r="D47" i="6"/>
  <c r="D48" i="6" s="1"/>
  <c r="D58" i="6"/>
  <c r="D59" i="6" s="1"/>
  <c r="T59" i="6"/>
  <c r="M59" i="6"/>
  <c r="F59" i="6"/>
  <c r="T48" i="6"/>
  <c r="M48" i="6"/>
  <c r="F48" i="6"/>
  <c r="R27" i="1"/>
  <c r="H12" i="13"/>
  <c r="E5" i="31"/>
  <c r="G23" i="31"/>
  <c r="H11" i="13"/>
  <c r="E4" i="31"/>
  <c r="E55" i="31" s="1"/>
  <c r="T76" i="10"/>
  <c r="Q16" i="13" s="1"/>
  <c r="U4" i="6"/>
  <c r="F12" i="6"/>
  <c r="Q15" i="13" s="1"/>
  <c r="AH27" i="9"/>
  <c r="AH26" i="9"/>
  <c r="W31" i="9"/>
  <c r="B15" i="13"/>
  <c r="B8" i="16"/>
  <c r="D14" i="6"/>
  <c r="F7" i="13"/>
  <c r="C14" i="13"/>
  <c r="AH25" i="9" l="1"/>
  <c r="W17" i="9"/>
  <c r="D14" i="9" s="1"/>
  <c r="F14" i="6"/>
  <c r="S47" i="6"/>
  <c r="S48" i="6" s="1"/>
  <c r="G6" i="31" s="1"/>
  <c r="L47" i="6"/>
  <c r="L48" i="6" s="1"/>
  <c r="G5" i="31" s="1"/>
  <c r="E47" i="6"/>
  <c r="E48" i="6" s="1"/>
  <c r="G4" i="31" s="1"/>
  <c r="G55" i="31" s="1"/>
  <c r="S58" i="6"/>
  <c r="S59" i="6" s="1"/>
  <c r="L58" i="6"/>
  <c r="L59" i="6" s="1"/>
  <c r="G8" i="31" s="1"/>
  <c r="E58" i="6"/>
  <c r="E59" i="6" s="1"/>
  <c r="G7" i="31" s="1"/>
  <c r="E9" i="31"/>
  <c r="F45" i="31"/>
  <c r="H45" i="31"/>
  <c r="I45" i="31"/>
  <c r="K45" i="31"/>
  <c r="E61" i="13"/>
  <c r="W30" i="9"/>
  <c r="W32" i="9"/>
  <c r="W33" i="9"/>
  <c r="B9" i="16"/>
  <c r="C9" i="16"/>
  <c r="C8" i="16"/>
  <c r="C15" i="13"/>
  <c r="G9" i="31" l="1"/>
  <c r="D15" i="9"/>
  <c r="D16" i="9"/>
  <c r="D17" i="9"/>
  <c r="E14" i="9"/>
  <c r="I4" i="31"/>
  <c r="AE16" i="9"/>
  <c r="AC16" i="9"/>
  <c r="AE17" i="9"/>
  <c r="AE14" i="9"/>
  <c r="AC17" i="9"/>
  <c r="AC15" i="9"/>
  <c r="AE15" i="9"/>
  <c r="AC14" i="9"/>
  <c r="I55" i="31" l="1"/>
  <c r="I5" i="31"/>
  <c r="I6" i="31" s="1"/>
  <c r="I7" i="31" s="1"/>
  <c r="I8" i="31" s="1"/>
  <c r="I9" i="31" s="1"/>
  <c r="E17" i="9"/>
  <c r="G17" i="9" s="1"/>
  <c r="E15" i="9"/>
  <c r="G15" i="9" s="1"/>
  <c r="E16" i="9"/>
  <c r="G16" i="9" s="1"/>
  <c r="G14" i="9"/>
  <c r="R25" i="1" s="1"/>
  <c r="B16" i="13"/>
  <c r="C16" i="13" l="1"/>
  <c r="F14" i="9" l="1"/>
  <c r="R23" i="1"/>
  <c r="R24" i="1" s="1"/>
  <c r="AB14" i="9"/>
  <c r="AB16" i="9"/>
  <c r="AB17" i="9"/>
  <c r="AB15" i="9"/>
  <c r="AD16" i="9"/>
  <c r="AD15" i="9"/>
  <c r="AD17" i="9"/>
  <c r="AD14" i="9"/>
  <c r="C16" i="9"/>
  <c r="F16" i="9" s="1"/>
  <c r="C15" i="9"/>
  <c r="F15" i="9" s="1"/>
  <c r="C17" i="9"/>
  <c r="F17" i="9" s="1"/>
  <c r="C7" i="13" l="1"/>
  <c r="H6" i="13"/>
  <c r="F9" i="31" l="1"/>
  <c r="H8" i="31" l="1"/>
  <c r="H9" i="31"/>
  <c r="F4" i="31"/>
  <c r="F55" i="31" s="1"/>
  <c r="F11" i="13"/>
  <c r="G11" i="13"/>
  <c r="H4" i="31"/>
  <c r="H55" i="31" s="1"/>
  <c r="H7" i="31"/>
  <c r="F7" i="31"/>
  <c r="F12" i="13"/>
  <c r="F5" i="31"/>
  <c r="F13" i="13"/>
  <c r="F6" i="31"/>
  <c r="G13" i="13"/>
  <c r="H6" i="31"/>
  <c r="G12" i="13"/>
  <c r="H5" i="31"/>
  <c r="F8" i="31"/>
  <c r="S4" i="6"/>
  <c r="B3" i="16"/>
  <c r="Q6" i="13"/>
  <c r="A122" i="13" s="1"/>
  <c r="Q7" i="13" l="1"/>
</calcChain>
</file>

<file path=xl/comments1.xml><?xml version="1.0" encoding="utf-8"?>
<comments xmlns="http://schemas.openxmlformats.org/spreadsheetml/2006/main">
  <authors>
    <author>Martin Matoška</author>
    <author>Martin</author>
  </authors>
  <commentList>
    <comment ref="AL1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Rozšířený nebo základní seznam ras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  <charset val="238"/>
          </rPr>
          <t>Jak postava vypadá (za koho bude považována)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64" authorId="0" shapeId="0">
      <text>
        <r>
          <rPr>
            <b/>
            <sz val="9"/>
            <color indexed="81"/>
            <rFont val="Tahoma"/>
            <family val="2"/>
            <charset val="238"/>
          </rPr>
          <t>Zahrnuje i posun ve společenském žebříčku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E66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Kontrolní buňka
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E67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Kontrolní buňka
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E68" authorId="1" shapeId="0">
      <text>
        <r>
          <rPr>
            <b/>
            <sz val="8"/>
            <color indexed="81"/>
            <rFont val="Tahoma"/>
            <family val="2"/>
            <charset val="238"/>
          </rPr>
          <t>Kontrolní buňka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E70" authorId="0" shapeId="0">
      <text>
        <r>
          <rPr>
            <b/>
            <sz val="9"/>
            <color indexed="81"/>
            <rFont val="Tahoma"/>
            <family val="2"/>
            <charset val="238"/>
          </rPr>
          <t>Bonusy na základě startovního rozhodnutí:</t>
        </r>
        <r>
          <rPr>
            <sz val="9"/>
            <color indexed="81"/>
            <rFont val="Tahoma"/>
            <family val="2"/>
            <charset val="238"/>
          </rPr>
          <t xml:space="preserve">
Na základě rozhodnutí hráče je možné přičíst k libovolným hlavním a vedlejším vlastem dohromady až tolik bodů, kolik udává tabulka. K žádné vlastnosti však nelze přičít více než 2. 
Výjimečné vlastnosti: 6 bodů k rozdělení
Kombinace: 4 body k rozdělení
Dobré zázemí: 2 body k rozdělení
</t>
        </r>
      </text>
    </comment>
    <comment ref="H80" authorId="0" shapeId="0">
      <text>
        <r>
          <rPr>
            <b/>
            <sz val="9"/>
            <color indexed="81"/>
            <rFont val="Tahoma"/>
            <family val="2"/>
            <charset val="238"/>
          </rPr>
          <t>Hod první kostkou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38"/>
          </rPr>
          <t>Hod druhou kostkou 
(u 2k6 či 3k6)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80" authorId="0" shapeId="0">
      <text>
        <r>
          <rPr>
            <b/>
            <sz val="9"/>
            <color indexed="81"/>
            <rFont val="Tahoma"/>
            <family val="2"/>
            <charset val="238"/>
          </rPr>
          <t>Bonus k hlavním vlastnostem dle zvoleného povolání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80" authorId="0" shapeId="0">
      <text>
        <r>
          <rPr>
            <b/>
            <sz val="9"/>
            <color indexed="81"/>
            <rFont val="Tahoma"/>
            <family val="2"/>
            <charset val="238"/>
          </rPr>
          <t>Bonusy na základě startovního rozhodnutí:</t>
        </r>
        <r>
          <rPr>
            <sz val="9"/>
            <color indexed="81"/>
            <rFont val="Tahoma"/>
            <family val="2"/>
            <charset val="238"/>
          </rPr>
          <t xml:space="preserve">
Na základě rozhodnutí hráče je možné přičíst k libovolným hlavním a vedlejším vlastem dohromady až tolik bodů, kolik udává tabulka. K žádné vedlejší vlastnosti však nelze přičít více než +2. 
Výjimečné vlastnosti: +6 
Kombinace: +4 
Dobré zázemí: +2
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1. záporná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2. záporná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3. záporná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1. kladná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2. kladná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3. kladná</t>
        </r>
      </text>
    </comment>
    <comment ref="C89" authorId="0" shapeId="0">
      <text>
        <r>
          <rPr>
            <b/>
            <sz val="9"/>
            <color indexed="81"/>
            <rFont val="Tahoma"/>
            <family val="2"/>
            <charset val="238"/>
          </rPr>
          <t>Volba, zda dochází ke zlepšení primárního nebo duálního povolání.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Martin Matoška</author>
  </authors>
  <commentList>
    <comment ref="G2" authorId="0" shapeId="0">
      <text>
        <r>
          <rPr>
            <b/>
            <sz val="9"/>
            <color indexed="81"/>
            <rFont val="Tahoma"/>
            <family val="2"/>
            <charset val="238"/>
          </rPr>
          <t>Plášť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  <charset val="238"/>
          </rPr>
          <t>Hlava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  <charset val="238"/>
          </rPr>
          <t>Krk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  <charset val="238"/>
          </rPr>
          <t>Pravá ruka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  <charset val="238"/>
          </rPr>
          <t>Torna</t>
        </r>
      </text>
    </comment>
    <comment ref="L2" authorId="0" shapeId="0">
      <text>
        <r>
          <rPr>
            <b/>
            <sz val="9"/>
            <color indexed="81"/>
            <rFont val="Tahoma"/>
            <family val="2"/>
            <charset val="238"/>
          </rPr>
          <t>Levá ruka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2" authorId="0" shapeId="0">
      <text>
        <r>
          <rPr>
            <b/>
            <sz val="9"/>
            <color indexed="81"/>
            <rFont val="Tahoma"/>
            <family val="2"/>
            <charset val="238"/>
          </rPr>
          <t>Pas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  <charset val="238"/>
          </rPr>
          <t>Nohy</t>
        </r>
      </text>
    </comment>
    <comment ref="O2" authorId="0" shapeId="0">
      <text>
        <r>
          <rPr>
            <b/>
            <sz val="9"/>
            <color indexed="81"/>
            <rFont val="Tahoma"/>
            <family val="2"/>
            <charset val="238"/>
          </rPr>
          <t>rukavice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  <charset val="238"/>
          </rPr>
          <t>zápěstí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  <charset val="238"/>
          </rPr>
          <t>0,1 čtv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  <charset val="238"/>
          </rPr>
          <t>0,1 čtv</t>
        </r>
      </text>
    </comment>
    <comment ref="A52" authorId="0" shapeId="0">
      <text>
        <r>
          <rPr>
            <b/>
            <sz val="9"/>
            <color indexed="81"/>
            <rFont val="Tahoma"/>
            <family val="2"/>
            <charset val="238"/>
          </rPr>
          <t>Plný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362" authorId="0" shapeId="0">
      <text>
        <r>
          <rPr>
            <b/>
            <sz val="9"/>
            <color indexed="81"/>
            <rFont val="Tahoma"/>
            <family val="2"/>
            <charset val="238"/>
          </rPr>
          <t>A4, 50 stran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496" authorId="0" shapeId="0">
      <text>
        <r>
          <rPr>
            <b/>
            <sz val="9"/>
            <color indexed="81"/>
            <rFont val="Tahoma"/>
            <family val="2"/>
            <charset val="238"/>
          </rPr>
          <t>100 stran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Martin Matoška</author>
    <author>Martin</author>
    <author>TS</author>
  </authors>
  <commentList>
    <comment ref="O3" authorId="0" shapeId="0">
      <text>
        <r>
          <rPr>
            <b/>
            <sz val="9"/>
            <color indexed="81"/>
            <rFont val="Tahoma"/>
            <family val="2"/>
            <charset val="238"/>
          </rPr>
          <t>= RCH
+ oprava za Veverku
+ oprava za Bonusy
+ Oprava za zbroj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  <charset val="238"/>
          </rPr>
          <t>= aktuální OBR (vč. opravy za boj ve zbroji)
+ oprava za Veverku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  <charset val="238"/>
          </rPr>
          <t>Započtena oprava za boj ve zbroji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38"/>
          </rPr>
          <t>= aktuální ZRČ (vč. opravy za boj ve zbroji)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  <charset val="238"/>
          </rPr>
          <t>Započtena oprava za boj ve zbroji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= aktuální SIL
</t>
        </r>
      </text>
    </comment>
    <comment ref="BR7" authorId="0" shapeId="0">
      <text>
        <r>
          <rPr>
            <b/>
            <sz val="9"/>
            <color indexed="81"/>
            <rFont val="Tahoma"/>
            <family val="2"/>
            <charset val="238"/>
          </rPr>
          <t>Boj nablízko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S7" authorId="0" shapeId="0">
      <text>
        <r>
          <rPr>
            <b/>
            <sz val="9"/>
            <color indexed="81"/>
            <rFont val="Tahoma"/>
            <family val="2"/>
            <charset val="238"/>
          </rPr>
          <t>Vrh</t>
        </r>
      </text>
    </comment>
    <comment ref="BT7" authorId="0" shapeId="0">
      <text>
        <r>
          <rPr>
            <b/>
            <sz val="9"/>
            <color indexed="81"/>
            <rFont val="Tahoma"/>
            <family val="2"/>
            <charset val="238"/>
          </rPr>
          <t>Střelba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  <charset val="238"/>
          </rPr>
          <t>= Sil</t>
        </r>
      </text>
    </comment>
    <comment ref="C12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Zohledněna rasa
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H12" authorId="1" shapeId="0">
      <text>
        <r>
          <rPr>
            <b/>
            <sz val="8"/>
            <color indexed="81"/>
            <rFont val="Tahoma"/>
            <family val="2"/>
            <charset val="238"/>
          </rPr>
          <t>SM dle povolání
+ bÚr
+ VOL</t>
        </r>
        <r>
          <rPr>
            <sz val="8"/>
            <color indexed="81"/>
            <rFont val="Tahoma"/>
            <family val="2"/>
            <charset val="238"/>
          </rPr>
          <t xml:space="preserve">
+ Veverka</t>
        </r>
      </text>
    </comment>
    <comment ref="D13" authorId="0" shapeId="0">
      <text>
        <r>
          <rPr>
            <sz val="9"/>
            <color indexed="81"/>
            <rFont val="Tahoma"/>
            <family val="2"/>
            <charset val="238"/>
          </rPr>
          <t xml:space="preserve">Ovlivněno Veverkou
</t>
        </r>
      </text>
    </comment>
    <comment ref="F13" authorId="0" shapeId="0">
      <text>
        <r>
          <rPr>
            <sz val="9"/>
            <color indexed="81"/>
            <rFont val="Tahoma"/>
            <family val="2"/>
            <charset val="238"/>
          </rPr>
          <t xml:space="preserve">Ovlivněno Veverkou
</t>
        </r>
      </text>
    </comment>
    <comment ref="H13" authorId="1" shapeId="0">
      <text>
        <r>
          <rPr>
            <b/>
            <sz val="8"/>
            <color indexed="81"/>
            <rFont val="Tahoma"/>
            <family val="2"/>
            <charset val="238"/>
          </rPr>
          <t>SM dle povolání
+ bÚr 
+ CHR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CA1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Hmotnost započtena ve zbroji. 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14" authorId="0" shapeId="0">
      <text>
        <r>
          <rPr>
            <sz val="9"/>
            <color indexed="81"/>
            <rFont val="Tahoma"/>
            <family val="2"/>
            <charset val="238"/>
          </rPr>
          <t xml:space="preserve">= (Odl + Vol) / 2
</t>
        </r>
      </text>
    </comment>
    <comment ref="C14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zvládnutím Atletiky</t>
        </r>
      </text>
    </comment>
    <comment ref="C15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Ovlivněno rasou
</t>
        </r>
      </text>
    </comment>
    <comment ref="C17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rasou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B20" authorId="2" shapeId="0">
      <text>
        <r>
          <rPr>
            <b/>
            <sz val="9"/>
            <color indexed="81"/>
            <rFont val="Tahoma"/>
            <family val="2"/>
            <charset val="238"/>
          </rPr>
          <t>(CHAR + OBR) / 2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20" authorId="1" shapeId="0">
      <text>
        <r>
          <rPr>
            <sz val="8"/>
            <color indexed="81"/>
            <rFont val="Tahoma"/>
            <family val="2"/>
            <charset val="238"/>
          </rPr>
          <t>Zohledně vliv věku
Zohledněny vlastnosti dle veverky
Zohlednění šatů
Elfové +1</t>
        </r>
      </text>
    </comment>
    <comment ref="B21" authorId="2" shapeId="0">
      <text>
        <r>
          <rPr>
            <b/>
            <sz val="9"/>
            <color indexed="81"/>
            <rFont val="Tahoma"/>
            <family val="2"/>
            <charset val="238"/>
          </rPr>
          <t>(SIL + VOL) /2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21" authorId="1" shapeId="0">
      <text>
        <r>
          <rPr>
            <b/>
            <sz val="8"/>
            <color indexed="81"/>
            <rFont val="Tahoma"/>
            <family val="2"/>
            <charset val="238"/>
          </rPr>
          <t>Zohledněn vliv věku
Zohledněny vlastnosti dle veverky</t>
        </r>
        <r>
          <rPr>
            <sz val="8"/>
            <color indexed="81"/>
            <rFont val="Tahoma"/>
            <family val="2"/>
            <charset val="238"/>
          </rPr>
          <t xml:space="preserve">
Zohlednění šatů</t>
        </r>
      </text>
    </comment>
    <comment ref="B22" authorId="2" shapeId="0">
      <text>
        <r>
          <rPr>
            <b/>
            <sz val="9"/>
            <color indexed="81"/>
            <rFont val="Tahoma"/>
            <family val="2"/>
            <charset val="238"/>
          </rPr>
          <t>(INT + ZRČ) / 2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22" authorId="1" shapeId="0">
      <text>
        <r>
          <rPr>
            <b/>
            <sz val="8"/>
            <color indexed="81"/>
            <rFont val="Tahoma"/>
            <family val="2"/>
            <charset val="238"/>
          </rPr>
          <t>Zohledně vliv věku a 
zvládnutí Bájesloví a dějeprava
Zohledněny vlastnosti dle veverky</t>
        </r>
        <r>
          <rPr>
            <sz val="8"/>
            <color indexed="81"/>
            <rFont val="Tahoma"/>
            <family val="2"/>
            <charset val="238"/>
          </rPr>
          <t xml:space="preserve">
Zohlednění šatů</t>
        </r>
      </text>
    </comment>
    <comment ref="S22" authorId="0" shapeId="0">
      <text>
        <r>
          <rPr>
            <b/>
            <sz val="9"/>
            <color indexed="81"/>
            <rFont val="Tahoma"/>
            <family val="2"/>
            <charset val="238"/>
          </rPr>
          <t>Ovlivněno zvládnutím atletiky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  <charset val="238"/>
          </rPr>
          <t>= Obratnost 
+ Bonusy k 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Q24" authorId="0" shapeId="0">
      <text>
        <r>
          <rPr>
            <b/>
            <sz val="9"/>
            <color indexed="81"/>
            <rFont val="Tahoma"/>
            <family val="2"/>
            <charset val="238"/>
          </rPr>
          <t>Kouzelné bonusy zbraně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38"/>
          </rPr>
          <t>1R = jednoruční
2R = obouruční
VRH = vrhací
Stř = střelná
Š = štít</t>
        </r>
        <r>
          <rPr>
            <sz val="9"/>
            <color indexed="81"/>
            <rFont val="Tahoma"/>
            <family val="2"/>
            <charset val="238"/>
          </rPr>
          <t xml:space="preserve">
- = jiné</t>
        </r>
      </text>
    </comment>
    <comment ref="F36" authorId="0" shapeId="0">
      <text>
        <r>
          <rPr>
            <b/>
            <sz val="9"/>
            <color indexed="81"/>
            <rFont val="Tahoma"/>
            <family val="2"/>
            <charset val="238"/>
          </rPr>
          <t>Boj nablízko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36" authorId="0" shapeId="0">
      <text>
        <r>
          <rPr>
            <b/>
            <sz val="9"/>
            <color indexed="81"/>
            <rFont val="Tahoma"/>
            <family val="2"/>
            <charset val="238"/>
          </rPr>
          <t>Vrh</t>
        </r>
      </text>
    </comment>
    <comment ref="H36" authorId="0" shapeId="0">
      <text>
        <r>
          <rPr>
            <b/>
            <sz val="9"/>
            <color indexed="81"/>
            <rFont val="Tahoma"/>
            <family val="2"/>
            <charset val="238"/>
          </rPr>
          <t>Střelba</t>
        </r>
      </text>
    </comment>
    <comment ref="J36" authorId="0" shapeId="0">
      <text>
        <r>
          <rPr>
            <b/>
            <sz val="9"/>
            <color indexed="81"/>
            <rFont val="Tahoma"/>
            <family val="2"/>
            <charset val="238"/>
          </rPr>
          <t>Min. síla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38"/>
          </rPr>
          <t>Dosah</t>
        </r>
      </text>
    </comment>
    <comment ref="O36" authorId="0" shapeId="0">
      <text>
        <r>
          <rPr>
            <b/>
            <sz val="9"/>
            <color indexed="81"/>
            <rFont val="Tahoma"/>
            <family val="2"/>
            <charset val="238"/>
          </rPr>
          <t>B = Bodné
S = sečné
D = drtivé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36" authorId="0" shapeId="0">
      <text>
        <r>
          <rPr>
            <b/>
            <sz val="9"/>
            <color indexed="81"/>
            <rFont val="Tahoma"/>
            <family val="2"/>
            <charset val="238"/>
          </rPr>
          <t>Mohou použít velikosti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Q36" authorId="0" shapeId="0">
      <text>
        <r>
          <rPr>
            <b/>
            <sz val="9"/>
            <color indexed="81"/>
            <rFont val="Tahoma"/>
            <family val="2"/>
            <charset val="238"/>
          </rPr>
          <t>Použitá bojová dovednost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38"/>
          </rPr>
          <t>Nebo zbraň použitá v obraně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  <charset val="238"/>
          </rPr>
          <t>Nebo zbraň použitá v obraně</t>
        </r>
      </text>
    </comment>
    <comment ref="F55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64" authorId="0" shapeId="0">
      <text>
        <r>
          <rPr>
            <b/>
            <sz val="9"/>
            <color indexed="81"/>
            <rFont val="Tahoma"/>
            <family val="2"/>
            <charset val="238"/>
          </rPr>
          <t>JEN k běhu!!!</t>
        </r>
      </text>
    </comment>
    <comment ref="CA86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Hmotnost započtena ve zbroji. 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Martin</author>
    <author>Martin Matoška</author>
  </authors>
  <commentList>
    <comment ref="M11" authorId="0" shapeId="0">
      <text>
        <r>
          <rPr>
            <b/>
            <sz val="8"/>
            <color indexed="81"/>
            <rFont val="Tahoma"/>
            <family val="2"/>
            <charset val="238"/>
          </rPr>
          <t>Kontrola zda není rozděleno přílož bodů zázemí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M12" authorId="0" shapeId="0">
      <text>
        <r>
          <rPr>
            <b/>
            <sz val="8"/>
            <color indexed="81"/>
            <rFont val="Tahoma"/>
            <family val="2"/>
            <charset val="238"/>
          </rPr>
          <t>Kontrola zda není rozděleno přílož bodů zázemí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M13" authorId="0" shapeId="0">
      <text>
        <r>
          <rPr>
            <b/>
            <sz val="8"/>
            <color indexed="81"/>
            <rFont val="Tahoma"/>
            <family val="2"/>
            <charset val="238"/>
          </rPr>
          <t>Kontrola zda není rozděleno přílož bodů zázemí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R23" authorId="1" shapeId="0">
      <text>
        <r>
          <rPr>
            <b/>
            <sz val="9"/>
            <color indexed="81"/>
            <rFont val="Tahoma"/>
            <family val="2"/>
            <charset val="238"/>
          </rPr>
          <t>Při aktuálním naložení a Chůzi po silnici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24" authorId="1" shapeId="0">
      <text>
        <r>
          <rPr>
            <b/>
            <sz val="9"/>
            <color indexed="81"/>
            <rFont val="Tahoma"/>
            <family val="2"/>
            <charset val="238"/>
          </rPr>
          <t>Magický bonus ke kvalitě zbroje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R24" authorId="1" shapeId="0">
      <text>
        <r>
          <rPr>
            <b/>
            <sz val="9"/>
            <color indexed="81"/>
            <rFont val="Tahoma"/>
            <family val="2"/>
            <charset val="238"/>
          </rPr>
          <t>Při aktuálním naložení a Chůzi po silnici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  <charset val="238"/>
          </rPr>
          <t>Vazba na tabulku zbroje - RZ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R25" authorId="1" shapeId="0">
      <text>
        <r>
          <rPr>
            <b/>
            <sz val="9"/>
            <color indexed="81"/>
            <rFont val="Tahoma"/>
            <family val="2"/>
            <charset val="238"/>
          </rPr>
          <t>Při aktuálním naložení a Chůzi po silnici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H26" authorId="0" shapeId="0">
      <text>
        <r>
          <rPr>
            <b/>
            <sz val="8"/>
            <color indexed="81"/>
            <rFont val="Tahoma"/>
            <family val="2"/>
            <charset val="238"/>
          </rPr>
          <t>Vazba na tabulku zbroje - RZ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H27" authorId="0" shapeId="0">
      <text>
        <r>
          <rPr>
            <b/>
            <sz val="8"/>
            <color indexed="81"/>
            <rFont val="Tahoma"/>
            <family val="2"/>
            <charset val="238"/>
          </rPr>
          <t>Vazba na tabulku zbroje - RZ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R27" authorId="1" shapeId="0">
      <text>
        <r>
          <rPr>
            <b/>
            <sz val="9"/>
            <color indexed="81"/>
            <rFont val="Tahoma"/>
            <family val="2"/>
            <charset val="238"/>
          </rPr>
          <t>Ovlivněno Veverkou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H28" authorId="0" shapeId="0">
      <text>
        <r>
          <rPr>
            <b/>
            <sz val="8"/>
            <color indexed="81"/>
            <rFont val="Tahoma"/>
            <family val="2"/>
            <charset val="238"/>
          </rPr>
          <t>Vazba na tabulku zbroje - RZ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H29" authorId="0" shapeId="0">
      <text>
        <r>
          <rPr>
            <b/>
            <sz val="8"/>
            <color indexed="81"/>
            <rFont val="Tahoma"/>
            <family val="2"/>
            <charset val="238"/>
          </rPr>
          <t>Vazba na tabulku zbroje - RZ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A39" authorId="1" shapeId="0">
      <text>
        <r>
          <rPr>
            <sz val="9"/>
            <color indexed="81"/>
            <rFont val="Tahoma"/>
            <family val="2"/>
            <charset val="238"/>
          </rPr>
          <t xml:space="preserve">Podle přesvědčení
</t>
        </r>
      </text>
    </comment>
    <comment ref="A40" authorId="1" shapeId="0">
      <text>
        <r>
          <rPr>
            <sz val="9"/>
            <color indexed="81"/>
            <rFont val="Tahoma"/>
            <family val="2"/>
            <charset val="238"/>
          </rPr>
          <t xml:space="preserve">Podle přesvědčení
</t>
        </r>
      </text>
    </comment>
    <comment ref="A41" authorId="1" shapeId="0">
      <text>
        <r>
          <rPr>
            <sz val="9"/>
            <color indexed="81"/>
            <rFont val="Tahoma"/>
            <family val="2"/>
            <charset val="238"/>
          </rPr>
          <t xml:space="preserve">Podle přesvědčení
</t>
        </r>
      </text>
    </comment>
  </commentList>
</comments>
</file>

<file path=xl/comments5.xml><?xml version="1.0" encoding="utf-8"?>
<comments xmlns="http://schemas.openxmlformats.org/spreadsheetml/2006/main">
  <authors>
    <author>Martin Matoška</author>
  </authors>
  <commentList>
    <comment ref="B69" authorId="0" shapeId="0">
      <text>
        <r>
          <rPr>
            <b/>
            <sz val="9"/>
            <color indexed="81"/>
            <rFont val="Tahoma"/>
            <family val="2"/>
            <charset val="238"/>
          </rPr>
          <t>Žluté, pokud vybráno málo
Červené, pokud vybráno moc
Modré = OK</t>
        </r>
      </text>
    </comment>
    <comment ref="I69" authorId="0" shapeId="0">
      <text>
        <r>
          <rPr>
            <b/>
            <sz val="9"/>
            <color indexed="81"/>
            <rFont val="Tahoma"/>
            <family val="2"/>
            <charset val="238"/>
          </rPr>
          <t>Žluté, pokud vybráno málo
Červené, pokud vybráno moc
Modré = OK</t>
        </r>
      </text>
    </comment>
  </commentList>
</comments>
</file>

<file path=xl/comments6.xml><?xml version="1.0" encoding="utf-8"?>
<comments xmlns="http://schemas.openxmlformats.org/spreadsheetml/2006/main">
  <authors>
    <author>Martin Matoška</author>
    <author>Martin</author>
  </authors>
  <commentList>
    <comment ref="W3" authorId="0" shapeId="0">
      <text>
        <r>
          <rPr>
            <b/>
            <sz val="9"/>
            <color indexed="81"/>
            <rFont val="Tahoma"/>
            <family val="2"/>
            <charset val="238"/>
          </rPr>
          <t>Khajit a tygrodlak střední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3" authorId="0" shapeId="0">
      <text>
        <r>
          <rPr>
            <b/>
            <sz val="9"/>
            <color indexed="81"/>
            <rFont val="Tahoma"/>
            <family val="2"/>
            <charset val="238"/>
          </rPr>
          <t>Lupič a šermíř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" authorId="1" shapeId="0">
      <text>
        <r>
          <rPr>
            <b/>
            <sz val="8"/>
            <color indexed="81"/>
            <rFont val="Tahoma"/>
            <family val="2"/>
            <charset val="238"/>
          </rPr>
          <t>Zaklínač střední, jinak Těžká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W6" authorId="0" shapeId="0">
      <text>
        <r>
          <rPr>
            <b/>
            <sz val="9"/>
            <color indexed="81"/>
            <rFont val="Tahoma"/>
            <charset val="1"/>
          </rPr>
          <t>Mistr zbraní Snížená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W7" authorId="0" shapeId="0">
      <text>
        <r>
          <rPr>
            <b/>
            <sz val="9"/>
            <color indexed="81"/>
            <rFont val="Tahoma"/>
            <charset val="1"/>
          </rPr>
          <t>Mistra zbraní a assassin Snížená</t>
        </r>
      </text>
    </comment>
    <comment ref="W8" authorId="0" shapeId="0">
      <text>
        <r>
          <rPr>
            <b/>
            <sz val="9"/>
            <color indexed="81"/>
            <rFont val="Tahoma"/>
            <charset val="1"/>
          </rPr>
          <t>Mistr zbraní a druid Snížená</t>
        </r>
      </text>
    </comment>
    <comment ref="W10" authorId="0" shapeId="0">
      <text>
        <r>
          <rPr>
            <b/>
            <sz val="9"/>
            <color indexed="81"/>
            <rFont val="Tahoma"/>
            <charset val="1"/>
          </rPr>
          <t xml:space="preserve">Šaman, vědma a druid Snížená. 
Minotaur a loxodon Snížená. 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L11" authorId="0" shapeId="0">
      <text>
        <r>
          <rPr>
            <b/>
            <sz val="9"/>
            <color indexed="81"/>
            <rFont val="Tahoma"/>
            <family val="2"/>
            <charset val="238"/>
          </rPr>
          <t>+1, pokud má postava ve zbraních uvedený Tesák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1" authorId="0" shapeId="0">
      <text>
        <r>
          <rPr>
            <b/>
            <sz val="9"/>
            <color indexed="81"/>
            <rFont val="Tahoma"/>
            <charset val="1"/>
          </rPr>
          <t>Diplomat Snížená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  <charset val="238"/>
          </rPr>
          <t>Člověk +1
+ veverka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2" authorId="0" shapeId="0">
      <text>
        <r>
          <rPr>
            <b/>
            <sz val="9"/>
            <color indexed="81"/>
            <rFont val="Tahoma"/>
            <charset val="1"/>
          </rPr>
          <t>Mistr zbraní Snížená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W13" authorId="0" shapeId="0">
      <text>
        <r>
          <rPr>
            <b/>
            <sz val="9"/>
            <color indexed="81"/>
            <rFont val="Tahoma"/>
            <charset val="1"/>
          </rPr>
          <t>Runová mág a půlelf Snížená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W14" authorId="0" shapeId="0">
      <text>
        <r>
          <rPr>
            <b/>
            <sz val="9"/>
            <color indexed="81"/>
            <rFont val="Tahoma"/>
            <charset val="1"/>
          </rPr>
          <t>Dabel a valrath Snížená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  <charset val="238"/>
          </rPr>
          <t>Rozený obchodník Snížená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Člověk +1
</t>
        </r>
      </text>
    </comment>
    <comment ref="W15" authorId="0" shapeId="0">
      <text>
        <r>
          <rPr>
            <b/>
            <sz val="9"/>
            <color indexed="81"/>
            <rFont val="Tahoma"/>
            <family val="2"/>
            <charset val="238"/>
          </rPr>
          <t>Rytíř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15" authorId="0" shapeId="0">
      <text>
        <r>
          <rPr>
            <b/>
            <sz val="9"/>
            <color indexed="81"/>
            <rFont val="Tahoma"/>
            <family val="2"/>
            <charset val="238"/>
          </rPr>
          <t>Bard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6" authorId="0" shapeId="0">
      <text>
        <r>
          <rPr>
            <b/>
            <sz val="9"/>
            <color indexed="81"/>
            <rFont val="Tahoma"/>
            <family val="2"/>
            <charset val="238"/>
          </rPr>
          <t>Elfové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  <r>
          <rPr>
            <b/>
            <sz val="9"/>
            <color indexed="81"/>
            <rFont val="Tahoma"/>
            <family val="2"/>
            <charset val="238"/>
          </rPr>
          <t>Najády Snížená</t>
        </r>
      </text>
    </comment>
    <comment ref="AI16" authorId="0" shapeId="0">
      <text>
        <r>
          <rPr>
            <b/>
            <sz val="9"/>
            <color indexed="81"/>
            <rFont val="Tahoma"/>
            <family val="2"/>
            <charset val="238"/>
          </rPr>
          <t>Veverka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7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8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9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19" authorId="0" shapeId="0">
      <text>
        <r>
          <rPr>
            <b/>
            <sz val="9"/>
            <color indexed="81"/>
            <rFont val="Tahoma"/>
            <family val="2"/>
            <charset val="238"/>
          </rPr>
          <t>Nekromant a temný mág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0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1" authorId="0" shapeId="0">
      <text>
        <r>
          <rPr>
            <b/>
            <sz val="9"/>
            <color indexed="81"/>
            <rFont val="Tahoma"/>
            <family val="2"/>
            <charset val="238"/>
          </rPr>
          <t>Elf, půlelf Snížená
Jazykový talent Snížená</t>
        </r>
      </text>
    </comment>
    <comment ref="AI21" authorId="0" shapeId="0">
      <text>
        <r>
          <rPr>
            <b/>
            <sz val="9"/>
            <color indexed="81"/>
            <rFont val="Tahoma"/>
            <family val="2"/>
            <charset val="238"/>
          </rPr>
          <t>Čaroděj a runový mág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2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3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4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  <charset val="238"/>
          </rPr>
          <t>Trpaslík Snížená
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  <charset val="238"/>
          </rPr>
          <t>Kněz
Paladin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7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Čaroděj a zaklínač Snížená
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  <charset val="238"/>
          </rPr>
          <t>Gremlin, savvas a skřítek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28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Badatel, pyrofor a šaman +1
Theurg +2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  <charset val="238"/>
          </rPr>
          <t>Druid
Runový mág
Temný mág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9" authorId="0" shapeId="0">
      <text>
        <r>
          <rPr>
            <b/>
            <sz val="9"/>
            <color indexed="81"/>
            <rFont val="Tahoma"/>
            <family val="2"/>
            <charset val="238"/>
          </rPr>
          <t>Vědma Snížená</t>
        </r>
        <r>
          <rPr>
            <sz val="9"/>
            <color indexed="81"/>
            <rFont val="Tahoma"/>
            <family val="2"/>
            <charset val="238"/>
          </rPr>
          <t xml:space="preserve">
Apatykář Snížená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  <charset val="238"/>
          </rPr>
          <t>Kněz, vědma a druid +1</t>
        </r>
      </text>
    </comment>
    <comment ref="W30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Démonik a temný mág Snížená.
Aven snížená. 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  <charset val="238"/>
          </rPr>
          <t>Démonik
Okultista
Theurg</t>
        </r>
      </text>
    </comment>
    <comment ref="W31" authorId="0" shapeId="0">
      <text>
        <r>
          <rPr>
            <b/>
            <sz val="9"/>
            <color indexed="81"/>
            <rFont val="Tahoma"/>
            <family val="2"/>
            <charset val="238"/>
          </rPr>
          <t>Vodník Snížená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  <charset val="238"/>
          </rPr>
          <t>Trpaslík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  <r>
          <rPr>
            <b/>
            <sz val="9"/>
            <color indexed="81"/>
            <rFont val="Tahoma"/>
            <family val="2"/>
            <charset val="238"/>
          </rPr>
          <t>Trpasličí cit Snížená</t>
        </r>
      </text>
    </comment>
    <comment ref="W33" authorId="0" shapeId="0">
      <text>
        <r>
          <rPr>
            <b/>
            <sz val="9"/>
            <color indexed="81"/>
            <rFont val="Tahoma"/>
            <family val="2"/>
            <charset val="238"/>
          </rPr>
          <t>Hobit a šotek Snížená. 
Hobgoblin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33" authorId="0" shapeId="0">
      <text>
        <r>
          <rPr>
            <b/>
            <sz val="9"/>
            <color indexed="81"/>
            <rFont val="Tahoma"/>
            <family val="2"/>
            <charset val="238"/>
          </rPr>
          <t>Lupič a šinobi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4" authorId="0" shapeId="0">
      <text>
        <r>
          <rPr>
            <b/>
            <sz val="9"/>
            <color indexed="81"/>
            <rFont val="Tahoma"/>
            <family val="2"/>
            <charset val="238"/>
          </rPr>
          <t>Kněz, okultista a paladin Snížená</t>
        </r>
      </text>
    </comment>
    <comment ref="W35" authorId="0" shapeId="0">
      <text>
        <r>
          <rPr>
            <b/>
            <sz val="9"/>
            <color indexed="81"/>
            <rFont val="Tahoma"/>
            <family val="2"/>
            <charset val="238"/>
          </rPr>
          <t>Orientační smysl Snížená</t>
        </r>
      </text>
    </comment>
    <comment ref="AI35" authorId="0" shapeId="0">
      <text>
        <r>
          <rPr>
            <b/>
            <sz val="9"/>
            <color indexed="81"/>
            <rFont val="Tahoma"/>
            <family val="2"/>
            <charset val="238"/>
          </rPr>
          <t>Stopař, zaklínač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6" authorId="0" shapeId="0">
      <text>
        <r>
          <rPr>
            <b/>
            <sz val="9"/>
            <color indexed="81"/>
            <rFont val="Tahoma"/>
            <family val="2"/>
            <charset val="238"/>
          </rPr>
          <t>Barbar a amazonka Snížená</t>
        </r>
        <r>
          <rPr>
            <sz val="9"/>
            <color indexed="81"/>
            <rFont val="Tahoma"/>
            <family val="2"/>
            <charset val="238"/>
          </rPr>
          <t xml:space="preserve">
Gnol, medvědodlak a stolin Snížená</t>
        </r>
      </text>
    </comment>
    <comment ref="AI36" authorId="0" shapeId="0">
      <text>
        <r>
          <rPr>
            <b/>
            <sz val="9"/>
            <color indexed="81"/>
            <rFont val="Tahoma"/>
            <family val="2"/>
            <charset val="238"/>
          </rPr>
          <t>Bojovník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7" authorId="0" shapeId="0">
      <text>
        <r>
          <rPr>
            <b/>
            <sz val="9"/>
            <color indexed="81"/>
            <rFont val="Tahoma"/>
            <family val="2"/>
            <charset val="238"/>
          </rPr>
          <t>Vědma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8" authorId="0" shapeId="0">
      <text>
        <r>
          <rPr>
            <b/>
            <sz val="9"/>
            <color indexed="81"/>
            <rFont val="Tahoma"/>
            <family val="2"/>
            <charset val="238"/>
          </rPr>
          <t>Krysodlak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38" authorId="0" shapeId="0">
      <text>
        <r>
          <rPr>
            <b/>
            <sz val="9"/>
            <color indexed="81"/>
            <rFont val="Tahoma"/>
            <family val="2"/>
            <charset val="238"/>
          </rPr>
          <t>Temný mág, okultista, démonik +1
Člověk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40" authorId="0" shapeId="0">
      <text>
        <r>
          <rPr>
            <b/>
            <sz val="9"/>
            <color indexed="81"/>
            <rFont val="Tahoma"/>
            <family val="2"/>
            <charset val="238"/>
          </rPr>
          <t>Assassin
Bard
Lupič
Šinobi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0" authorId="0" shapeId="0">
      <text>
        <r>
          <rPr>
            <b/>
            <sz val="9"/>
            <color indexed="81"/>
            <rFont val="Tahoma"/>
            <family val="2"/>
            <charset val="238"/>
          </rPr>
          <t>Kudúk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1" authorId="0" shapeId="0">
      <text>
        <r>
          <rPr>
            <b/>
            <sz val="9"/>
            <color indexed="81"/>
            <rFont val="Tahoma"/>
            <family val="2"/>
            <charset val="238"/>
          </rPr>
          <t>Stopař a nekromant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41" authorId="0" shapeId="0">
      <text>
        <r>
          <rPr>
            <sz val="9"/>
            <color indexed="81"/>
            <rFont val="Tahoma"/>
            <charset val="1"/>
          </rPr>
          <t xml:space="preserve">Alchymista +1
Apatykář +1
</t>
        </r>
      </text>
    </comment>
    <comment ref="AI42" authorId="0" shapeId="0">
      <text>
        <r>
          <rPr>
            <b/>
            <sz val="9"/>
            <color indexed="81"/>
            <rFont val="Tahoma"/>
            <family val="2"/>
            <charset val="238"/>
          </rPr>
          <t>Šermíř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4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Člověk Snížená
</t>
        </r>
      </text>
    </comment>
    <comment ref="W45" authorId="0" shapeId="0">
      <text>
        <r>
          <rPr>
            <b/>
            <sz val="9"/>
            <color indexed="81"/>
            <rFont val="Tahoma"/>
            <charset val="1"/>
          </rPr>
          <t>Stopař a dryáda Snížená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I46" authorId="0" shapeId="0">
      <text>
        <r>
          <rPr>
            <b/>
            <sz val="9"/>
            <color indexed="81"/>
            <rFont val="Tahoma"/>
            <family val="2"/>
            <charset val="238"/>
          </rPr>
          <t>Bard +1
Kněz -2
Člověk -1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7" authorId="0" shapeId="0">
      <text>
        <r>
          <rPr>
            <b/>
            <sz val="9"/>
            <color indexed="81"/>
            <rFont val="Tahoma"/>
            <charset val="1"/>
          </rPr>
          <t>Mistr zbraní Snížená.
Fúrie, valýra, skřet a skurut-hai Snížená.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W48" authorId="0" shapeId="0">
      <text>
        <r>
          <rPr>
            <b/>
            <sz val="9"/>
            <color indexed="81"/>
            <rFont val="Tahoma"/>
            <family val="2"/>
            <charset val="238"/>
          </rPr>
          <t>Kněz, okultista a paladin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49" authorId="0" shapeId="0">
      <text>
        <r>
          <rPr>
            <b/>
            <sz val="9"/>
            <color indexed="81"/>
            <rFont val="Tahoma"/>
            <family val="2"/>
            <charset val="238"/>
          </rPr>
          <t>Runový mág+1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1" authorId="0" shapeId="0">
      <text>
        <r>
          <rPr>
            <b/>
            <sz val="9"/>
            <color indexed="81"/>
            <rFont val="Tahoma"/>
            <family val="2"/>
            <charset val="238"/>
          </rPr>
          <t>Kroll a poloobr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51" authorId="0" shapeId="0">
      <text>
        <r>
          <rPr>
            <b/>
            <sz val="9"/>
            <color indexed="81"/>
            <rFont val="Tahoma"/>
            <family val="2"/>
            <charset val="238"/>
          </rPr>
          <t>Člověk +1
+ veverka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2" authorId="0" shapeId="0">
      <text>
        <r>
          <rPr>
            <b/>
            <sz val="9"/>
            <color indexed="81"/>
            <rFont val="Tahoma"/>
            <family val="2"/>
            <charset val="238"/>
          </rPr>
          <t>Stopař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5" authorId="0" shapeId="0">
      <text>
        <r>
          <rPr>
            <b/>
            <sz val="9"/>
            <color indexed="81"/>
            <rFont val="Tahoma"/>
            <family val="2"/>
            <charset val="238"/>
          </rPr>
          <t>Vědma Snížená
Ork Snížená</t>
        </r>
      </text>
    </comment>
  </commentList>
</comments>
</file>

<file path=xl/comments7.xml><?xml version="1.0" encoding="utf-8"?>
<comments xmlns="http://schemas.openxmlformats.org/spreadsheetml/2006/main">
  <authors>
    <author>Martin Matoška</author>
  </authors>
  <commentList>
    <comment ref="C3" authorId="0" shapeId="0">
      <text>
        <r>
          <rPr>
            <sz val="9"/>
            <color indexed="81"/>
            <rFont val="Tahoma"/>
            <family val="2"/>
            <charset val="238"/>
          </rPr>
          <t>Stupeň kouzla
(kouzelník, klerik,hraničář)
nebo
Suroviny na výrobu
(alchymista)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Magenergie
</t>
        </r>
        <r>
          <rPr>
            <sz val="9"/>
            <color indexed="81"/>
            <rFont val="Tahoma"/>
            <family val="2"/>
            <charset val="238"/>
          </rPr>
          <t>potřebná pro seslání nebo na výrobu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E3" authorId="0" shapeId="0">
      <text>
        <r>
          <rPr>
            <sz val="9"/>
            <color indexed="81"/>
            <rFont val="Tahoma"/>
            <family val="2"/>
            <charset val="238"/>
          </rPr>
          <t xml:space="preserve">Čas na vyvolání
nebo
Doba výroby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Dosah kouzla 
</t>
        </r>
        <r>
          <rPr>
            <sz val="9"/>
            <color indexed="81"/>
            <rFont val="Tahoma"/>
            <family val="2"/>
            <charset val="238"/>
          </rPr>
          <t>nebo</t>
        </r>
        <r>
          <rPr>
            <b/>
            <sz val="9"/>
            <color indexed="81"/>
            <rFont val="Tahoma"/>
            <family val="2"/>
            <charset val="238"/>
          </rPr>
          <t xml:space="preserve">
Doba trvání efektu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Bonus za specializaci
Postih za přeskočená kouzla
</t>
        </r>
        <r>
          <rPr>
            <sz val="9"/>
            <color indexed="81"/>
            <rFont val="Tahoma"/>
            <family val="2"/>
            <charset val="238"/>
          </rPr>
          <t xml:space="preserve">(kouzelník) NEBO
</t>
        </r>
        <r>
          <rPr>
            <b/>
            <sz val="9"/>
            <color indexed="81"/>
            <rFont val="Tahoma"/>
            <family val="2"/>
            <charset val="238"/>
          </rPr>
          <t xml:space="preserve">Bonus za pomůcky 
</t>
        </r>
        <r>
          <rPr>
            <sz val="9"/>
            <color indexed="81"/>
            <rFont val="Tahoma"/>
            <family val="2"/>
            <charset val="238"/>
          </rPr>
          <t xml:space="preserve">(alchymista) 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38"/>
          </rPr>
          <t>Oprava za stupeň náročnosti kouzla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  <charset val="238"/>
          </rPr>
          <t>Celkový profesníček na kouzlo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  <charset val="238"/>
          </rPr>
          <t>Nároky na naučení se kouzlu (za kolik kouzel bylo naučeno)
(1 nebo 2)</t>
        </r>
        <r>
          <rPr>
            <sz val="9"/>
            <color indexed="81"/>
            <rFont val="Tahoma"/>
            <family val="2"/>
            <charset val="238"/>
          </rPr>
          <t xml:space="preserve">
U alchymisty Náročnost výroby</t>
        </r>
      </text>
    </comment>
    <comment ref="N3" authorId="0" shapeId="0">
      <text>
        <r>
          <rPr>
            <sz val="9"/>
            <color indexed="81"/>
            <rFont val="Tahoma"/>
            <family val="2"/>
            <charset val="238"/>
          </rPr>
          <t>Stupeň kouzla
(kouzelník, klerik,hraničář)
nebo
Suroviny na výrobu
(alchymista)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Magenergie
</t>
        </r>
        <r>
          <rPr>
            <sz val="9"/>
            <color indexed="81"/>
            <rFont val="Tahoma"/>
            <family val="2"/>
            <charset val="238"/>
          </rPr>
          <t>potřebná pro seslání nebo na výrobu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3" authorId="0" shapeId="0">
      <text>
        <r>
          <rPr>
            <sz val="9"/>
            <color indexed="81"/>
            <rFont val="Tahoma"/>
            <family val="2"/>
            <charset val="238"/>
          </rPr>
          <t xml:space="preserve">Čas na vyvolání
nebo
Doba výroby
</t>
        </r>
      </text>
    </comment>
    <comment ref="Q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Dosah kouzla 
</t>
        </r>
        <r>
          <rPr>
            <sz val="9"/>
            <color indexed="81"/>
            <rFont val="Tahoma"/>
            <family val="2"/>
            <charset val="238"/>
          </rPr>
          <t>nebo</t>
        </r>
        <r>
          <rPr>
            <b/>
            <sz val="9"/>
            <color indexed="81"/>
            <rFont val="Tahoma"/>
            <family val="2"/>
            <charset val="238"/>
          </rPr>
          <t xml:space="preserve">
Doba trvání efektu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Bonus za specializaci
Postih za přeskočená kouzla
</t>
        </r>
        <r>
          <rPr>
            <sz val="9"/>
            <color indexed="81"/>
            <rFont val="Tahoma"/>
            <family val="2"/>
            <charset val="238"/>
          </rPr>
          <t xml:space="preserve">(kouzelník) NEBO
</t>
        </r>
        <r>
          <rPr>
            <b/>
            <sz val="9"/>
            <color indexed="81"/>
            <rFont val="Tahoma"/>
            <family val="2"/>
            <charset val="238"/>
          </rPr>
          <t xml:space="preserve">Bonus za pomůcky 
</t>
        </r>
        <r>
          <rPr>
            <sz val="9"/>
            <color indexed="81"/>
            <rFont val="Tahoma"/>
            <family val="2"/>
            <charset val="238"/>
          </rPr>
          <t xml:space="preserve">(alchymista) </t>
        </r>
      </text>
    </comment>
    <comment ref="S3" authorId="0" shapeId="0">
      <text>
        <r>
          <rPr>
            <b/>
            <sz val="9"/>
            <color indexed="81"/>
            <rFont val="Tahoma"/>
            <family val="2"/>
            <charset val="238"/>
          </rPr>
          <t>Oprava za stupeň náročnosti kouzla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  <charset val="238"/>
          </rPr>
          <t>Celkový profesníček na kouzlo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U3" authorId="0" shapeId="0">
      <text>
        <r>
          <rPr>
            <b/>
            <sz val="9"/>
            <color indexed="81"/>
            <rFont val="Tahoma"/>
            <family val="2"/>
            <charset val="238"/>
          </rPr>
          <t>Nároky na naučení se kouzlu (za kolik kouzel bylo naučeno)
(1 nebo 2)</t>
        </r>
        <r>
          <rPr>
            <sz val="9"/>
            <color indexed="81"/>
            <rFont val="Tahoma"/>
            <family val="2"/>
            <charset val="238"/>
          </rPr>
          <t xml:space="preserve">
U alchymisty Náročnost výroby</t>
        </r>
      </text>
    </comment>
  </commentList>
</comments>
</file>

<file path=xl/comments8.xml><?xml version="1.0" encoding="utf-8"?>
<comments xmlns="http://schemas.openxmlformats.org/spreadsheetml/2006/main">
  <authors>
    <author>Martin Matoška</author>
    <author>Martin</author>
  </authors>
  <commentList>
    <comment ref="E12" authorId="0" shapeId="0">
      <text>
        <r>
          <rPr>
            <b/>
            <sz val="9"/>
            <color indexed="81"/>
            <rFont val="Tahoma"/>
            <family val="2"/>
            <charset val="238"/>
          </rPr>
          <t>Max. 15 hodin chůze nebo dokud není unaven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14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AC14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AE14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D15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AC15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AE15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D16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AC16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AE16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D17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AC17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AE17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naložením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AH19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zvládnutím nosičství</t>
        </r>
        <r>
          <rPr>
            <sz val="8"/>
            <color indexed="81"/>
            <rFont val="Tahoma"/>
            <family val="2"/>
            <charset val="238"/>
          </rPr>
          <t xml:space="preserve">
Kentaur x 4</t>
        </r>
      </text>
    </comment>
    <comment ref="R44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T44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P45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R45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T45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P46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R46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T46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R47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T47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R48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T48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R49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R50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P51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R51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R52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P53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  <comment ref="R53" authorId="1" shapeId="0">
      <text>
        <r>
          <rPr>
            <b/>
            <sz val="8"/>
            <color indexed="81"/>
            <rFont val="Tahoma"/>
            <family val="2"/>
            <charset val="238"/>
          </rPr>
          <t>Snižuje se při kladné veverce o 10%
61 = Profesní talent</t>
        </r>
      </text>
    </comment>
  </commentList>
</comments>
</file>

<file path=xl/comments9.xml><?xml version="1.0" encoding="utf-8"?>
<comments xmlns="http://schemas.openxmlformats.org/spreadsheetml/2006/main">
  <authors>
    <author>Martin Matoška</author>
  </authors>
  <commentList>
    <comment ref="P16" authorId="0" shapeId="0">
      <text>
        <r>
          <rPr>
            <b/>
            <sz val="9"/>
            <color indexed="81"/>
            <rFont val="Tahoma"/>
            <family val="2"/>
            <charset val="238"/>
          </rPr>
          <t>Profesníček bez opravy za znalost a náročnost kouzla</t>
        </r>
      </text>
    </comment>
  </commentList>
</comments>
</file>

<file path=xl/comments10.xml><?xml version="1.0" encoding="utf-8"?>
<comments xmlns="http://schemas.openxmlformats.org/spreadsheetml/2006/main">
  <authors>
    <author>Martin Matoška</author>
  </authors>
  <commentList>
    <comment ref="H4" authorId="0" shapeId="0">
      <text>
        <r>
          <rPr>
            <b/>
            <sz val="9"/>
            <color indexed="81"/>
            <rFont val="Tahoma"/>
            <family val="2"/>
            <charset val="238"/>
          </rPr>
          <t>Nosnost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5" authorId="0" shapeId="0">
      <text>
        <r>
          <rPr>
            <sz val="9"/>
            <color indexed="81"/>
            <rFont val="Tahoma"/>
            <family val="2"/>
            <charset val="238"/>
          </rPr>
          <t xml:space="preserve">Kondice (počet žt)
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38"/>
          </rPr>
          <t>Nosnost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22" authorId="0" shapeId="0">
      <text>
        <r>
          <rPr>
            <sz val="9"/>
            <color indexed="81"/>
            <rFont val="Tahoma"/>
            <family val="2"/>
            <charset val="238"/>
          </rPr>
          <t xml:space="preserve">Kondice (počet žt)
</t>
        </r>
      </text>
    </comment>
    <comment ref="H38" authorId="0" shapeId="0">
      <text>
        <r>
          <rPr>
            <b/>
            <sz val="9"/>
            <color indexed="81"/>
            <rFont val="Tahoma"/>
            <family val="2"/>
            <charset val="238"/>
          </rPr>
          <t>Nosnost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39" authorId="0" shapeId="0">
      <text>
        <r>
          <rPr>
            <sz val="9"/>
            <color indexed="81"/>
            <rFont val="Tahoma"/>
            <family val="2"/>
            <charset val="238"/>
          </rPr>
          <t xml:space="preserve">Kondice (počet žt)
</t>
        </r>
      </text>
    </comment>
  </commentList>
</comments>
</file>

<file path=xl/comments11.xml><?xml version="1.0" encoding="utf-8"?>
<comments xmlns="http://schemas.openxmlformats.org/spreadsheetml/2006/main">
  <authors>
    <author>Martin Matoška</author>
    <author>Martin</author>
  </authors>
  <commentList>
    <comment ref="E3" authorId="0" shapeId="0">
      <text>
        <r>
          <rPr>
            <b/>
            <sz val="9"/>
            <color indexed="81"/>
            <rFont val="Tahoma"/>
            <family val="2"/>
            <charset val="238"/>
          </rPr>
          <t>Maximální hranice síly
(vedlejší vlastnost)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38"/>
          </rPr>
          <t>Maximální hranice obratnosti (vedlejší vlastnost)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  <charset val="238"/>
          </rPr>
          <t>Maximální hranice zručnosti (vedlejší vlastnost)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  <charset val="238"/>
          </rPr>
          <t>Maximální hranice inteligence (vedlejší vlastnost)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Q3" authorId="0" shapeId="0">
      <text>
        <r>
          <rPr>
            <b/>
            <sz val="9"/>
            <color indexed="81"/>
            <rFont val="Tahoma"/>
            <family val="2"/>
            <charset val="238"/>
          </rPr>
          <t>Maximální hranice vůle (vedlejší vlastnost)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  <charset val="238"/>
          </rPr>
          <t>Maximální hranice charisma (vedlejší vlastnost)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N3" authorId="1" shapeId="0">
      <text>
        <r>
          <rPr>
            <b/>
            <sz val="8"/>
            <color indexed="81"/>
            <rFont val="Tahoma"/>
            <family val="2"/>
            <charset val="238"/>
          </rPr>
          <t>Kvalita zbroje těla</t>
        </r>
        <r>
          <rPr>
            <sz val="8"/>
            <color indexed="81"/>
            <rFont val="Tahoma"/>
            <family val="2"/>
            <charset val="238"/>
          </rPr>
          <t xml:space="preserve">
bez šatů</t>
        </r>
      </text>
    </comment>
    <comment ref="AS3" authorId="0" shapeId="0">
      <text>
        <r>
          <rPr>
            <b/>
            <sz val="9"/>
            <color indexed="81"/>
            <rFont val="Tahoma"/>
            <family val="2"/>
            <charset val="238"/>
          </rPr>
          <t>Střední hodnota hodu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TS</author>
    <author>Martin Matoška</author>
  </authors>
  <commentList>
    <comment ref="V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Z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AB2" authorId="1" shapeId="0">
      <text>
        <r>
          <rPr>
            <sz val="9"/>
            <color indexed="81"/>
            <rFont val="Tahoma"/>
            <family val="2"/>
            <charset val="238"/>
          </rPr>
          <t xml:space="preserve">Stupeň odolnosti ne oprava
</t>
        </r>
      </text>
    </comment>
    <comment ref="AE2" authorId="0" shapeId="0">
      <text>
        <r>
          <rPr>
            <b/>
            <sz val="9"/>
            <color indexed="81"/>
            <rFont val="Tahoma"/>
            <family val="2"/>
            <charset val="238"/>
          </rPr>
          <t>Profesníček
+ Alchymie
+ Hudba</t>
        </r>
      </text>
    </comment>
  </commentList>
</comments>
</file>

<file path=xl/sharedStrings.xml><?xml version="1.0" encoding="utf-8"?>
<sst xmlns="http://schemas.openxmlformats.org/spreadsheetml/2006/main" count="50665" uniqueCount="5736">
  <si>
    <t>Síla</t>
  </si>
  <si>
    <t>Vlastnost</t>
  </si>
  <si>
    <t>Stupeň</t>
  </si>
  <si>
    <t>Bonus</t>
  </si>
  <si>
    <t>Obratnost</t>
  </si>
  <si>
    <t>Zručnost</t>
  </si>
  <si>
    <t>Vůle</t>
  </si>
  <si>
    <t>Inteligence</t>
  </si>
  <si>
    <t>Charisma</t>
  </si>
  <si>
    <t>Odolnost</t>
  </si>
  <si>
    <t>Výdrž</t>
  </si>
  <si>
    <t>Rychlost</t>
  </si>
  <si>
    <t>Smysly</t>
  </si>
  <si>
    <t>Třída</t>
  </si>
  <si>
    <t>Hmotnost</t>
  </si>
  <si>
    <t>kg</t>
  </si>
  <si>
    <t>Bojové charakteristiky</t>
  </si>
  <si>
    <t>Hlava</t>
  </si>
  <si>
    <t>Tělo</t>
  </si>
  <si>
    <t>Ruce</t>
  </si>
  <si>
    <t>Nohy</t>
  </si>
  <si>
    <t>Krása</t>
  </si>
  <si>
    <t>Nebezpečnost</t>
  </si>
  <si>
    <t>Důstojnost</t>
  </si>
  <si>
    <t>Rasa</t>
  </si>
  <si>
    <t>Povolání</t>
  </si>
  <si>
    <t>Jiné</t>
  </si>
  <si>
    <t>Popis postavy</t>
  </si>
  <si>
    <t>Oči</t>
  </si>
  <si>
    <t>Vlasy</t>
  </si>
  <si>
    <t>Zvláštní</t>
  </si>
  <si>
    <t>Chůze</t>
  </si>
  <si>
    <t>Spěch</t>
  </si>
  <si>
    <t>INI</t>
  </si>
  <si>
    <t>ZZ= Sil + zranění zbraně</t>
  </si>
  <si>
    <t>INI = ZIN + iniciativa zbraně</t>
  </si>
  <si>
    <t>ÚČ = ZÚČ + ú.č.zbraně</t>
  </si>
  <si>
    <t>OČ = ZOČ + štít nebo zbraň</t>
  </si>
  <si>
    <t>str. 1</t>
  </si>
  <si>
    <t>str. 2</t>
  </si>
  <si>
    <t>Přesvědčení</t>
  </si>
  <si>
    <t>Zvyky a návyky</t>
  </si>
  <si>
    <t>Záliby</t>
  </si>
  <si>
    <t>Nelibosti</t>
  </si>
  <si>
    <t>Strach a obavy</t>
  </si>
  <si>
    <t>Dovednost</t>
  </si>
  <si>
    <t>Zvládnutí</t>
  </si>
  <si>
    <t>str. 3</t>
  </si>
  <si>
    <t>Peníze</t>
  </si>
  <si>
    <t>Únava</t>
  </si>
  <si>
    <t>Životy</t>
  </si>
  <si>
    <t>str. 4</t>
  </si>
  <si>
    <t>Tabulka stupňů a bonusů</t>
  </si>
  <si>
    <t>2-3</t>
  </si>
  <si>
    <t>4-5</t>
  </si>
  <si>
    <t>6-7</t>
  </si>
  <si>
    <t>8-9</t>
  </si>
  <si>
    <t>10-12</t>
  </si>
  <si>
    <t>13-14</t>
  </si>
  <si>
    <t>15-16</t>
  </si>
  <si>
    <t>Stup.</t>
  </si>
  <si>
    <t>-5</t>
  </si>
  <si>
    <t>-4</t>
  </si>
  <si>
    <t>-3</t>
  </si>
  <si>
    <t>-2</t>
  </si>
  <si>
    <t>-1</t>
  </si>
  <si>
    <t>0</t>
  </si>
  <si>
    <t>+1</t>
  </si>
  <si>
    <t>+2</t>
  </si>
  <si>
    <t>17-18</t>
  </si>
  <si>
    <t>+3</t>
  </si>
  <si>
    <t>19-20</t>
  </si>
  <si>
    <t>+4</t>
  </si>
  <si>
    <t>21-22</t>
  </si>
  <si>
    <t>+5</t>
  </si>
  <si>
    <t>+6</t>
  </si>
  <si>
    <t>+7</t>
  </si>
  <si>
    <t>+8</t>
  </si>
  <si>
    <t>23-24</t>
  </si>
  <si>
    <t>25-26</t>
  </si>
  <si>
    <t>27-28</t>
  </si>
  <si>
    <t>ÚČ</t>
  </si>
  <si>
    <t>Neumí</t>
  </si>
  <si>
    <t>Špatně</t>
  </si>
  <si>
    <t>Průměrně</t>
  </si>
  <si>
    <t>Dobře</t>
  </si>
  <si>
    <t>Velmi dobře</t>
  </si>
  <si>
    <t>Dokonale *</t>
  </si>
  <si>
    <t>Opravy boje za dovednost</t>
  </si>
  <si>
    <t>Chybí</t>
  </si>
  <si>
    <t>1</t>
  </si>
  <si>
    <t>2</t>
  </si>
  <si>
    <t>3</t>
  </si>
  <si>
    <t>Am</t>
  </si>
  <si>
    <t>Av</t>
  </si>
  <si>
    <t>B</t>
  </si>
  <si>
    <t>C</t>
  </si>
  <si>
    <t>D</t>
  </si>
  <si>
    <t>E</t>
  </si>
  <si>
    <t>F</t>
  </si>
  <si>
    <t>4</t>
  </si>
  <si>
    <t>5</t>
  </si>
  <si>
    <t>6</t>
  </si>
  <si>
    <t>7</t>
  </si>
  <si>
    <t>8</t>
  </si>
  <si>
    <t>9</t>
  </si>
  <si>
    <t>13</t>
  </si>
  <si>
    <t>10</t>
  </si>
  <si>
    <t>12</t>
  </si>
  <si>
    <t>11</t>
  </si>
  <si>
    <t>14</t>
  </si>
  <si>
    <t>+10</t>
  </si>
  <si>
    <t>Lehká</t>
  </si>
  <si>
    <t>Střední</t>
  </si>
  <si>
    <t>Těžká</t>
  </si>
  <si>
    <t>Vůbec</t>
  </si>
  <si>
    <t>Nosnost (kg)</t>
  </si>
  <si>
    <t>Zkušenost potřebná k postupu</t>
  </si>
  <si>
    <t>Úr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</si>
  <si>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</si>
  <si>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</si>
  <si>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</si>
  <si>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</si>
  <si>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</si>
  <si>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</si>
  <si>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</si>
  <si>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</si>
  <si>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</si>
  <si>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</si>
  <si>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</si>
  <si>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</si>
  <si>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</si>
  <si>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</si>
  <si>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</si>
  <si>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</si>
  <si>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</si>
  <si>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</si>
  <si>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</si>
  <si>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</si>
  <si>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</si>
  <si>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</si>
  <si>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</si>
  <si>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</si>
  <si>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Síla mysli</t>
  </si>
  <si>
    <t>Zatvrzelost</t>
  </si>
  <si>
    <t>Víra</t>
  </si>
  <si>
    <t>PAČ</t>
  </si>
  <si>
    <t>Kde:</t>
  </si>
  <si>
    <t>str. 5</t>
  </si>
  <si>
    <t>Svitky a lektvary</t>
  </si>
  <si>
    <t>Název (popis)</t>
  </si>
  <si>
    <t>ks</t>
  </si>
  <si>
    <t>Váha</t>
  </si>
  <si>
    <t>Název</t>
  </si>
  <si>
    <t>Poznámka</t>
  </si>
  <si>
    <t>Kde</t>
  </si>
  <si>
    <t>Kg</t>
  </si>
  <si>
    <t>Magické a zvláštní předměty</t>
  </si>
  <si>
    <t>Dokonale</t>
  </si>
  <si>
    <t>SMS</t>
  </si>
  <si>
    <t>PM</t>
  </si>
  <si>
    <t>Celkem čerpáno PB</t>
  </si>
  <si>
    <t>Tabulka vlastností</t>
  </si>
  <si>
    <t>Vlastn.</t>
  </si>
  <si>
    <t>K dispozici</t>
  </si>
  <si>
    <t>Stálo PB</t>
  </si>
  <si>
    <t>Zbývá</t>
  </si>
  <si>
    <t>Obtížnost</t>
  </si>
  <si>
    <t>CHR</t>
  </si>
  <si>
    <t>Jazyky</t>
  </si>
  <si>
    <t xml:space="preserve"> (zlepšení o stupeň)</t>
  </si>
  <si>
    <r>
      <t>(</t>
    </r>
    <r>
      <rPr>
        <sz val="11"/>
        <color theme="1"/>
        <rFont val="Calibri"/>
        <family val="2"/>
        <charset val="238"/>
        <scheme val="minor"/>
      </rPr>
      <t>potřeba celkem</t>
    </r>
    <r>
      <rPr>
        <b/>
        <sz val="11"/>
        <color theme="1"/>
        <rFont val="Calibri"/>
        <family val="2"/>
        <charset val="238"/>
        <scheme val="minor"/>
      </rPr>
      <t>)</t>
    </r>
  </si>
  <si>
    <t>Atletika</t>
  </si>
  <si>
    <t>SIL</t>
  </si>
  <si>
    <t>Válečník</t>
  </si>
  <si>
    <t>INT</t>
  </si>
  <si>
    <t>Past</t>
  </si>
  <si>
    <t>K hodu</t>
  </si>
  <si>
    <t>OBR</t>
  </si>
  <si>
    <t>Rodný</t>
  </si>
  <si>
    <t>Bard</t>
  </si>
  <si>
    <t>x</t>
  </si>
  <si>
    <t>T</t>
  </si>
  <si>
    <t>S</t>
  </si>
  <si>
    <t>Bestiologie</t>
  </si>
  <si>
    <t>VOL</t>
  </si>
  <si>
    <t>Boj beze zbraně</t>
  </si>
  <si>
    <t>Zloděj</t>
  </si>
  <si>
    <t>ZRČ</t>
  </si>
  <si>
    <t>L</t>
  </si>
  <si>
    <t>Boj meči a šavlemi</t>
  </si>
  <si>
    <t>Boj noži a dýkami</t>
  </si>
  <si>
    <t>Tabulka obtížnosti</t>
  </si>
  <si>
    <t>Boj s holemi a kopími</t>
  </si>
  <si>
    <t>Mistrně</t>
  </si>
  <si>
    <t>Boj s vrhacími zbraněmi</t>
  </si>
  <si>
    <t>Boj se sekerami a kyji</t>
  </si>
  <si>
    <t>Obtíž.</t>
  </si>
  <si>
    <t>Botanika</t>
  </si>
  <si>
    <t xml:space="preserve"> -</t>
  </si>
  <si>
    <t>Handlířství</t>
  </si>
  <si>
    <t>Hra na loutnu</t>
  </si>
  <si>
    <t>Kouzelník</t>
  </si>
  <si>
    <t>Kartografie</t>
  </si>
  <si>
    <t>Trpaslík</t>
  </si>
  <si>
    <t>Malování</t>
  </si>
  <si>
    <t>Alchymista</t>
  </si>
  <si>
    <t>Zaklínač</t>
  </si>
  <si>
    <t>Signalizace</t>
  </si>
  <si>
    <t>Theurg</t>
  </si>
  <si>
    <t>Svádění</t>
  </si>
  <si>
    <t>Tanec</t>
  </si>
  <si>
    <t>Hraničář</t>
  </si>
  <si>
    <t>Učitelství</t>
  </si>
  <si>
    <t>Zoologie</t>
  </si>
  <si>
    <t>Zpěv</t>
  </si>
  <si>
    <t>stopař</t>
  </si>
  <si>
    <t>Na</t>
  </si>
  <si>
    <t>Tabulka ras</t>
  </si>
  <si>
    <t>Elf</t>
  </si>
  <si>
    <t>Goblin</t>
  </si>
  <si>
    <t>Gremlin</t>
  </si>
  <si>
    <t>Hobit</t>
  </si>
  <si>
    <t>Kobold</t>
  </si>
  <si>
    <t>Kroll</t>
  </si>
  <si>
    <t>Krysodlak</t>
  </si>
  <si>
    <t>Kudúk</t>
  </si>
  <si>
    <t>Ork</t>
  </si>
  <si>
    <t>Skřet</t>
  </si>
  <si>
    <t>Skurut-hai</t>
  </si>
  <si>
    <t>Šotek</t>
  </si>
  <si>
    <t>Vlkodlak</t>
  </si>
  <si>
    <t xml:space="preserve"> </t>
  </si>
  <si>
    <t>Tabulka úrovní a bonusů</t>
  </si>
  <si>
    <t>Úroveň</t>
  </si>
  <si>
    <t>Tabulka přesvědčení</t>
  </si>
  <si>
    <t>Zákonné dobro</t>
  </si>
  <si>
    <t>Dobro</t>
  </si>
  <si>
    <t>Zmatené dobro</t>
  </si>
  <si>
    <t>Zmatený neutrál</t>
  </si>
  <si>
    <t>Neutrál</t>
  </si>
  <si>
    <t>Zákonný neutrál</t>
  </si>
  <si>
    <t>Zmatené zlo</t>
  </si>
  <si>
    <t>Zlo</t>
  </si>
  <si>
    <t>Zákonné zlo</t>
  </si>
  <si>
    <t>Přesvěčení</t>
  </si>
  <si>
    <t>Hodnota</t>
  </si>
  <si>
    <t>Tabulka víry</t>
  </si>
  <si>
    <t>Síla víry</t>
  </si>
  <si>
    <t>Odpadlík</t>
  </si>
  <si>
    <t>Uctivý</t>
  </si>
  <si>
    <t>Fanatik</t>
  </si>
  <si>
    <t>Laxní</t>
  </si>
  <si>
    <t>Uctívač</t>
  </si>
  <si>
    <t>Tabulka povolání</t>
  </si>
  <si>
    <t>Skupina</t>
  </si>
  <si>
    <t>Rytíř</t>
  </si>
  <si>
    <t>Bojovník</t>
  </si>
  <si>
    <t>Šermíř</t>
  </si>
  <si>
    <t>Žoldnéř</t>
  </si>
  <si>
    <t>A</t>
  </si>
  <si>
    <t>Čaroděj</t>
  </si>
  <si>
    <t>Nekromant</t>
  </si>
  <si>
    <t>Runový mág</t>
  </si>
  <si>
    <t>Temný mág</t>
  </si>
  <si>
    <t>Lupič</t>
  </si>
  <si>
    <t>Vrah</t>
  </si>
  <si>
    <t>Šaman</t>
  </si>
  <si>
    <t>Pyrofor</t>
  </si>
  <si>
    <t>Stopař</t>
  </si>
  <si>
    <t>Démonik</t>
  </si>
  <si>
    <t>Vědma</t>
  </si>
  <si>
    <t>Kněz</t>
  </si>
  <si>
    <t>Klerik</t>
  </si>
  <si>
    <t>Paladin</t>
  </si>
  <si>
    <t>Druid</t>
  </si>
  <si>
    <t>Stupně a bonusy</t>
  </si>
  <si>
    <t>-</t>
  </si>
  <si>
    <t>V</t>
  </si>
  <si>
    <t>H</t>
  </si>
  <si>
    <t>Startovní rozhodnutí</t>
  </si>
  <si>
    <t>Dobré zázemí</t>
  </si>
  <si>
    <t>Kombinace</t>
  </si>
  <si>
    <t>Volba</t>
  </si>
  <si>
    <t>Body záz.</t>
  </si>
  <si>
    <t>Výjimečné vlastn.</t>
  </si>
  <si>
    <t>k HV</t>
  </si>
  <si>
    <t>k VV</t>
  </si>
  <si>
    <t>Původ</t>
  </si>
  <si>
    <t>Majetek</t>
  </si>
  <si>
    <t>Dovednosti</t>
  </si>
  <si>
    <t>Tabulka smyslů</t>
  </si>
  <si>
    <t>Zrak</t>
  </si>
  <si>
    <t>Hmat</t>
  </si>
  <si>
    <t>Čich</t>
  </si>
  <si>
    <t>Chuť</t>
  </si>
  <si>
    <t>Sluch</t>
  </si>
  <si>
    <t>SM</t>
  </si>
  <si>
    <t>ODL</t>
  </si>
  <si>
    <t>VDR</t>
  </si>
  <si>
    <t>RCH</t>
  </si>
  <si>
    <t>ZTZ</t>
  </si>
  <si>
    <t>KRS</t>
  </si>
  <si>
    <t>NBZ</t>
  </si>
  <si>
    <t>DST</t>
  </si>
  <si>
    <t>Nosnost</t>
  </si>
  <si>
    <t>MV</t>
  </si>
  <si>
    <t>Postih</t>
  </si>
  <si>
    <t>Vel.</t>
  </si>
  <si>
    <t>Ovládá</t>
  </si>
  <si>
    <t>K ÚČ</t>
  </si>
  <si>
    <t>K ZZ</t>
  </si>
  <si>
    <t>K OZ</t>
  </si>
  <si>
    <t>K INI</t>
  </si>
  <si>
    <t>ZZ</t>
  </si>
  <si>
    <t>OZ</t>
  </si>
  <si>
    <t>Zbraň:</t>
  </si>
  <si>
    <t>Základ</t>
  </si>
  <si>
    <t>Bonusy</t>
  </si>
  <si>
    <t>Pozn.</t>
  </si>
  <si>
    <t>Zvl.schopn.</t>
  </si>
  <si>
    <t>CELKEM</t>
  </si>
  <si>
    <t>m/k</t>
  </si>
  <si>
    <t>km /h</t>
  </si>
  <si>
    <t>Tabulka rychlosti</t>
  </si>
  <si>
    <t>Druh</t>
  </si>
  <si>
    <t>Potř. síla *</t>
  </si>
  <si>
    <t>Holínky ze silné kůže</t>
  </si>
  <si>
    <t>Plátové obutí a chrániče</t>
  </si>
  <si>
    <t>RZ</t>
  </si>
  <si>
    <t>Sandály</t>
  </si>
  <si>
    <t>Boty obyčejné</t>
  </si>
  <si>
    <t>Helma</t>
  </si>
  <si>
    <t>Rukavice plátěné</t>
  </si>
  <si>
    <t>Rukavice vysoké kožené</t>
  </si>
  <si>
    <t>Rukávy kroužkové</t>
  </si>
  <si>
    <t>Rukavice a chrániče kovové</t>
  </si>
  <si>
    <t>Zbroj vycpávaná</t>
  </si>
  <si>
    <t>Zbroj kožená</t>
  </si>
  <si>
    <t>Zbroj šupinová</t>
  </si>
  <si>
    <t>Zbroj z kroužků na plátně</t>
  </si>
  <si>
    <t>Zbroj kroužková</t>
  </si>
  <si>
    <t>Zbroj plátová</t>
  </si>
  <si>
    <t>Zbroj rytířská (turnajová)</t>
  </si>
  <si>
    <t>Zbroj mitrilová</t>
  </si>
  <si>
    <t>Chrániče nohou šupinové</t>
  </si>
  <si>
    <t>Plášť</t>
  </si>
  <si>
    <t>Plášť s kápí</t>
  </si>
  <si>
    <t>Umístění</t>
  </si>
  <si>
    <t>Jinde</t>
  </si>
  <si>
    <t>P.Sil.</t>
  </si>
  <si>
    <t>Záda</t>
  </si>
  <si>
    <t>ZBROJE</t>
  </si>
  <si>
    <t>Pož. sil.</t>
  </si>
  <si>
    <t>Dos.</t>
  </si>
  <si>
    <t>CH</t>
  </si>
  <si>
    <t>VO</t>
  </si>
  <si>
    <t>Ruka</t>
  </si>
  <si>
    <t>ABC</t>
  </si>
  <si>
    <t>Noha</t>
  </si>
  <si>
    <t>Kopí</t>
  </si>
  <si>
    <t>B,C</t>
  </si>
  <si>
    <t>Píka</t>
  </si>
  <si>
    <t>Nůž</t>
  </si>
  <si>
    <t>Sudlice</t>
  </si>
  <si>
    <t>Dýka</t>
  </si>
  <si>
    <t>Vidle</t>
  </si>
  <si>
    <t>Tesák</t>
  </si>
  <si>
    <t>Trojzubec</t>
  </si>
  <si>
    <t>Halapartna</t>
  </si>
  <si>
    <t>Mačeta</t>
  </si>
  <si>
    <t>Šavle</t>
  </si>
  <si>
    <t>Kord</t>
  </si>
  <si>
    <t>Katana</t>
  </si>
  <si>
    <t>Meč bastard</t>
  </si>
  <si>
    <t>Obušek</t>
  </si>
  <si>
    <t>Kámen</t>
  </si>
  <si>
    <t>Kyj</t>
  </si>
  <si>
    <t>Prak</t>
  </si>
  <si>
    <t>Sekera</t>
  </si>
  <si>
    <t>Palcát</t>
  </si>
  <si>
    <t>Hvězdice</t>
  </si>
  <si>
    <t>Oštěp</t>
  </si>
  <si>
    <t>Minikuše</t>
  </si>
  <si>
    <t>Pavéza</t>
  </si>
  <si>
    <t>1R</t>
  </si>
  <si>
    <t>TYP</t>
  </si>
  <si>
    <t>2R</t>
  </si>
  <si>
    <t>VRH</t>
  </si>
  <si>
    <t>Š</t>
  </si>
  <si>
    <t>Stř</t>
  </si>
  <si>
    <t>U pasu</t>
  </si>
  <si>
    <t>Nosič (kůň)</t>
  </si>
  <si>
    <t>Cep kovaný</t>
  </si>
  <si>
    <t>Štít malý</t>
  </si>
  <si>
    <t>Štít střední</t>
  </si>
  <si>
    <t>Štít velký</t>
  </si>
  <si>
    <t>Boj</t>
  </si>
  <si>
    <t xml:space="preserve">Nekouzelné vybaní - </t>
  </si>
  <si>
    <t>Poklady</t>
  </si>
  <si>
    <t>PB</t>
  </si>
  <si>
    <t>Stupně</t>
  </si>
  <si>
    <t>I</t>
  </si>
  <si>
    <t>II</t>
  </si>
  <si>
    <t>III</t>
  </si>
  <si>
    <t>IV</t>
  </si>
  <si>
    <t>VI</t>
  </si>
  <si>
    <t>VII</t>
  </si>
  <si>
    <t>VIII</t>
  </si>
  <si>
    <t>IX</t>
  </si>
  <si>
    <t>X</t>
  </si>
  <si>
    <t>XI</t>
  </si>
  <si>
    <t>XII</t>
  </si>
  <si>
    <t>XIII</t>
  </si>
  <si>
    <t>XIV</t>
  </si>
  <si>
    <t>XV</t>
  </si>
  <si>
    <t>Naučená kouzla, recepty apod.</t>
  </si>
  <si>
    <t>Co</t>
  </si>
  <si>
    <t>(kouzlení 1 kolo = 3 akce)</t>
  </si>
  <si>
    <t xml:space="preserve">Jméno: </t>
  </si>
  <si>
    <t>Zkušenost</t>
  </si>
  <si>
    <t>Iniciativa při kouzlení</t>
  </si>
  <si>
    <t>Věková skupina</t>
  </si>
  <si>
    <t>Dítě</t>
  </si>
  <si>
    <t>Mladý</t>
  </si>
  <si>
    <t>Střed</t>
  </si>
  <si>
    <t>Kmet</t>
  </si>
  <si>
    <t>Tabulka hmotnosti zbraní, zbroje a dalšího vybavení</t>
  </si>
  <si>
    <t>Zboží</t>
  </si>
  <si>
    <t>Svitek -</t>
  </si>
  <si>
    <t xml:space="preserve">Lektvar - </t>
  </si>
  <si>
    <t>Flakónek</t>
  </si>
  <si>
    <t>Destilační přístroj - laboratorní</t>
  </si>
  <si>
    <t>Destilační přístroj - přenosný</t>
  </si>
  <si>
    <t>Destilační přístroj - cestovní</t>
  </si>
  <si>
    <t>Vak s vodou (1 čtv)</t>
  </si>
  <si>
    <t>Sud malý (30 čtv)</t>
  </si>
  <si>
    <t>Sud malý s vodou (30 čtv)</t>
  </si>
  <si>
    <t>Sud malý s pivem (30 čtv)</t>
  </si>
  <si>
    <t>Truhlička dřevěná</t>
  </si>
  <si>
    <t>Truhlička dřevěná se zámkem</t>
  </si>
  <si>
    <t>Truhla dřevěná</t>
  </si>
  <si>
    <t>Truhla dřevěná se zámkem</t>
  </si>
  <si>
    <t>Truhla kovaná se zámkem</t>
  </si>
  <si>
    <t>Truhla železná se zámkem</t>
  </si>
  <si>
    <t>Olej (do lucerny) (0,5 čtv)</t>
  </si>
  <si>
    <t>Svěcená voda (0,2 čtv)</t>
  </si>
  <si>
    <t>Křesadlo</t>
  </si>
  <si>
    <t>Lucerna - obyčejná</t>
  </si>
  <si>
    <t>Lucerna s okenicemi</t>
  </si>
  <si>
    <t>Pochodeň</t>
  </si>
  <si>
    <t>Svíčka (6 směn)</t>
  </si>
  <si>
    <t>Šíp obyčejný</t>
  </si>
  <si>
    <t>Šíp se stříbrným hrotem</t>
  </si>
  <si>
    <t>Šipka obyčejná</t>
  </si>
  <si>
    <t>Šipka se stříbrným hrotem</t>
  </si>
  <si>
    <t>Toulec na šípy (12 ks)</t>
  </si>
  <si>
    <t>Toulec na šipky (8 ks)</t>
  </si>
  <si>
    <t>Toulec na šipky velký (20 ks)</t>
  </si>
  <si>
    <t>Železa (1 ks)</t>
  </si>
  <si>
    <t>Obojek - masívní</t>
  </si>
  <si>
    <t>Píšťalka</t>
  </si>
  <si>
    <t>Bubínek</t>
  </si>
  <si>
    <t>Loutna</t>
  </si>
  <si>
    <t>Lyra</t>
  </si>
  <si>
    <t>Celková hmotnost neseného vybavení</t>
  </si>
  <si>
    <t>Zbraně a zbroj</t>
  </si>
  <si>
    <t>Vybavení, peníze a poklady</t>
  </si>
  <si>
    <t>Lopata</t>
  </si>
  <si>
    <t>Motyka</t>
  </si>
  <si>
    <t>Krumpáč</t>
  </si>
  <si>
    <t>Kosa</t>
  </si>
  <si>
    <t>Srp</t>
  </si>
  <si>
    <t>Kladivo</t>
  </si>
  <si>
    <t>Kleště</t>
  </si>
  <si>
    <t>Hoblík</t>
  </si>
  <si>
    <t>Dláto</t>
  </si>
  <si>
    <t>Pila</t>
  </si>
  <si>
    <t>Křída (1ks)</t>
  </si>
  <si>
    <t>Oblečení</t>
  </si>
  <si>
    <t>Zrcátko</t>
  </si>
  <si>
    <t>Lano (provaz) (10 m)</t>
  </si>
  <si>
    <t>Provázek (10 m)</t>
  </si>
  <si>
    <t>Koberec (m2)</t>
  </si>
  <si>
    <t>Zlodějské náčiní</t>
  </si>
  <si>
    <t>Vlčí mor</t>
  </si>
  <si>
    <t>Kotlík - bronzový</t>
  </si>
  <si>
    <t>Mýdlo (1ks)</t>
  </si>
  <si>
    <t>Valcha</t>
  </si>
  <si>
    <t>Vařečka, naběračka - dřevěná</t>
  </si>
  <si>
    <t>Klubko nití + jehla</t>
  </si>
  <si>
    <t>Hřeben - stříbrný</t>
  </si>
  <si>
    <t>Hřeben - kostěný</t>
  </si>
  <si>
    <t>Zbraň</t>
  </si>
  <si>
    <t>Kámen (do praku)</t>
  </si>
  <si>
    <t>Luk dlouhý skládaný</t>
  </si>
  <si>
    <t>Luk krátký skládaný</t>
  </si>
  <si>
    <t>Hůl kovaná</t>
  </si>
  <si>
    <t>Kyj těžký</t>
  </si>
  <si>
    <t>Sekera válečná</t>
  </si>
  <si>
    <t>Kladivo válečné</t>
  </si>
  <si>
    <t>Dýka vrhací</t>
  </si>
  <si>
    <t>Sekera vrhací</t>
  </si>
  <si>
    <t>Luk krátký</t>
  </si>
  <si>
    <t>Luk dlouhý</t>
  </si>
  <si>
    <t>Luk silový</t>
  </si>
  <si>
    <t>Kuše lehká</t>
  </si>
  <si>
    <t>Kuše vojenská</t>
  </si>
  <si>
    <t>Kuše těžká</t>
  </si>
  <si>
    <t>Meč dlouhý</t>
  </si>
  <si>
    <t>Meč obouruční</t>
  </si>
  <si>
    <t>Meč široký</t>
  </si>
  <si>
    <t>Meč krátký</t>
  </si>
  <si>
    <t>Kopí dlouhé</t>
  </si>
  <si>
    <t>Kladivo vál.obouruč.</t>
  </si>
  <si>
    <t>Bota okovaná</t>
  </si>
  <si>
    <t>Rukavice okovaná</t>
  </si>
  <si>
    <t>Zbroj</t>
  </si>
  <si>
    <t>Zvl. předměty</t>
  </si>
  <si>
    <t>Běžné vybavení</t>
  </si>
  <si>
    <t>Cep obyčejný</t>
  </si>
  <si>
    <t>Toulec na šípy velký (30 ks)</t>
  </si>
  <si>
    <t xml:space="preserve">Kousek kůže - </t>
  </si>
  <si>
    <t xml:space="preserve">Kůže - </t>
  </si>
  <si>
    <t>Balíček první pomocí</t>
  </si>
  <si>
    <t>Ptačí lep (vč. lahvičky)</t>
  </si>
  <si>
    <t>Zápalná láhev</t>
  </si>
  <si>
    <t>Skalpel</t>
  </si>
  <si>
    <t>Zámek visací + klíček</t>
  </si>
  <si>
    <t>Sada závaží</t>
  </si>
  <si>
    <t>Křivule</t>
  </si>
  <si>
    <t>Kalcinátor (přenosná pícka)</t>
  </si>
  <si>
    <t>Rukávy a chrániče šupinové</t>
  </si>
  <si>
    <t>Mezisoučet</t>
  </si>
  <si>
    <t>(vyplnit)</t>
  </si>
  <si>
    <t>Tabulka vývoje vlastností</t>
  </si>
  <si>
    <t>Celkem</t>
  </si>
  <si>
    <t>(vazba na úrověň)</t>
  </si>
  <si>
    <t>Tabulka startovních vlastností</t>
  </si>
  <si>
    <t>Hází</t>
  </si>
  <si>
    <t>H1</t>
  </si>
  <si>
    <t>H2</t>
  </si>
  <si>
    <t>Start</t>
  </si>
  <si>
    <t>Gnol</t>
  </si>
  <si>
    <t>Kentaur</t>
  </si>
  <si>
    <t>Khajit</t>
  </si>
  <si>
    <t>HS</t>
  </si>
  <si>
    <t>HO</t>
  </si>
  <si>
    <t>HI</t>
  </si>
  <si>
    <t>HZ</t>
  </si>
  <si>
    <t>HV</t>
  </si>
  <si>
    <t>HC</t>
  </si>
  <si>
    <t>2k6</t>
  </si>
  <si>
    <t>1k6</t>
  </si>
  <si>
    <t>MAX</t>
  </si>
  <si>
    <t>Třídy velikosti</t>
  </si>
  <si>
    <t>Od cl</t>
  </si>
  <si>
    <t>Přítel zvířat</t>
  </si>
  <si>
    <t>Nešika</t>
  </si>
  <si>
    <t>Odol</t>
  </si>
  <si>
    <t>(popis)</t>
  </si>
  <si>
    <t>Dýmka</t>
  </si>
  <si>
    <t>Tuto stránku netisknout</t>
  </si>
  <si>
    <t>Plátová</t>
  </si>
  <si>
    <t>Rytířská turnajová</t>
  </si>
  <si>
    <t>Jméno - Rasa - Povolání</t>
  </si>
  <si>
    <t>Vzhled</t>
  </si>
  <si>
    <t>Svitky, magické a zvláštní vybavení</t>
  </si>
  <si>
    <t>Magenergie</t>
  </si>
  <si>
    <t>Zbraně</t>
  </si>
  <si>
    <t>OČ</t>
  </si>
  <si>
    <t>Spánek</t>
  </si>
  <si>
    <t>Oblečení (neoblečené na poníkovi)</t>
  </si>
  <si>
    <t>Ostatní vybavení</t>
  </si>
  <si>
    <t>Poník</t>
  </si>
  <si>
    <t>Střelivo</t>
  </si>
  <si>
    <t>Obyčejné šípy :</t>
  </si>
  <si>
    <t>Válečné šípy (+2 zranění) :</t>
  </si>
  <si>
    <t>Mědáky :</t>
  </si>
  <si>
    <t>Stříbrné :</t>
  </si>
  <si>
    <t>Zlaťáky :</t>
  </si>
  <si>
    <t>Životy :</t>
  </si>
  <si>
    <t>Magenergie :</t>
  </si>
  <si>
    <t>Magenergie hůl:</t>
  </si>
  <si>
    <t>Profesníček</t>
  </si>
  <si>
    <t>Jméno:</t>
  </si>
  <si>
    <t>str. 6</t>
  </si>
  <si>
    <t>Veverka</t>
  </si>
  <si>
    <t>Kladná</t>
  </si>
  <si>
    <t>Záporná</t>
  </si>
  <si>
    <t>Zakrslík</t>
  </si>
  <si>
    <t>Obezita</t>
  </si>
  <si>
    <t>Normál</t>
  </si>
  <si>
    <t>Chlubil</t>
  </si>
  <si>
    <t>Sběratel</t>
  </si>
  <si>
    <t>Lenoch</t>
  </si>
  <si>
    <t>Důvěřivý</t>
  </si>
  <si>
    <t>Rýpal</t>
  </si>
  <si>
    <t>Obžerství</t>
  </si>
  <si>
    <t>Popleta</t>
  </si>
  <si>
    <t>Zohavení</t>
  </si>
  <si>
    <t>Žvanil</t>
  </si>
  <si>
    <t>Alergie</t>
  </si>
  <si>
    <t>Jednooký</t>
  </si>
  <si>
    <t>Debil</t>
  </si>
  <si>
    <t>Masochista</t>
  </si>
  <si>
    <t>Sadista</t>
  </si>
  <si>
    <t>Šprýmař</t>
  </si>
  <si>
    <t>Rasista</t>
  </si>
  <si>
    <t>Marnotratník</t>
  </si>
  <si>
    <t>Rozumbrada</t>
  </si>
  <si>
    <t>Lhář</t>
  </si>
  <si>
    <t>Intrikán</t>
  </si>
  <si>
    <t>Chamtivec</t>
  </si>
  <si>
    <t>Všeuměl</t>
  </si>
  <si>
    <t>Smolař</t>
  </si>
  <si>
    <t>Samotář</t>
  </si>
  <si>
    <t>Hazardér</t>
  </si>
  <si>
    <t>Nervák</t>
  </si>
  <si>
    <t>Smraďoch</t>
  </si>
  <si>
    <t>Deprese</t>
  </si>
  <si>
    <t>Patolízal</t>
  </si>
  <si>
    <t>Pověrčivost</t>
  </si>
  <si>
    <t>Pesimista</t>
  </si>
  <si>
    <t>Schizofrenie</t>
  </si>
  <si>
    <t>Krasavec</t>
  </si>
  <si>
    <t>Diplomat</t>
  </si>
  <si>
    <t>Silák</t>
  </si>
  <si>
    <t>Akrobat</t>
  </si>
  <si>
    <t>Tvrďák</t>
  </si>
  <si>
    <t>Drsňák</t>
  </si>
  <si>
    <t>Magik</t>
  </si>
  <si>
    <t>Štístko</t>
  </si>
  <si>
    <t>Dlouhověkost</t>
  </si>
  <si>
    <t>Mistr zbraní</t>
  </si>
  <si>
    <t>Mistr magie</t>
  </si>
  <si>
    <t>Orientační smysl</t>
  </si>
  <si>
    <t>Krotitel</t>
  </si>
  <si>
    <t>Kamenná mysl</t>
  </si>
  <si>
    <t>Elfí krok</t>
  </si>
  <si>
    <t>Jazykový talent</t>
  </si>
  <si>
    <t>Pronikavý zrak</t>
  </si>
  <si>
    <t>Vytříbená chuť</t>
  </si>
  <si>
    <t>Neobyčejný čich</t>
  </si>
  <si>
    <t>Bylinkář</t>
  </si>
  <si>
    <t>Léčitel</t>
  </si>
  <si>
    <t>Rychlý běžec</t>
  </si>
  <si>
    <t>Regenerace</t>
  </si>
  <si>
    <t>Telekinetik</t>
  </si>
  <si>
    <t>Věštec</t>
  </si>
  <si>
    <t>Telepat</t>
  </si>
  <si>
    <t>Pyrokinetik</t>
  </si>
  <si>
    <t>Svalovec</t>
  </si>
  <si>
    <t>Inteligent</t>
  </si>
  <si>
    <t>Atlet</t>
  </si>
  <si>
    <t>Neoblomný</t>
  </si>
  <si>
    <t>Imitátor</t>
  </si>
  <si>
    <t>Příjemný hlas</t>
  </si>
  <si>
    <t>Řečník</t>
  </si>
  <si>
    <t>Miláček bohů</t>
  </si>
  <si>
    <t>Osoba</t>
  </si>
  <si>
    <t>Užitečné kontakty ve světě</t>
  </si>
  <si>
    <t>Osobní deník - tabulky a poznámky</t>
  </si>
  <si>
    <t>Obsidiánová dýka</t>
  </si>
  <si>
    <t>Tetovací souprava</t>
  </si>
  <si>
    <t>Hřeben - dřevěný</t>
  </si>
  <si>
    <t>Postihy za znalost boje v</t>
  </si>
  <si>
    <t>Stáří</t>
  </si>
  <si>
    <t>let</t>
  </si>
  <si>
    <t>Barva</t>
  </si>
  <si>
    <t>Žvtsch</t>
  </si>
  <si>
    <t xml:space="preserve">Záložní a uskladněný majetek: </t>
  </si>
  <si>
    <t>Šaty</t>
  </si>
  <si>
    <t>Boty</t>
  </si>
  <si>
    <t>Ozdoby</t>
  </si>
  <si>
    <t>Poklady a zvláštní předměty</t>
  </si>
  <si>
    <t>Strážce pokladu</t>
  </si>
  <si>
    <t>str. 8</t>
  </si>
  <si>
    <t>ÚČ / ZZ</t>
  </si>
  <si>
    <t>Tabulky pomocné, operativní evidence</t>
  </si>
  <si>
    <t>Položka</t>
  </si>
  <si>
    <t>Aktuální stav</t>
  </si>
  <si>
    <t>Měďáky</t>
  </si>
  <si>
    <t>Stříbrňáky</t>
  </si>
  <si>
    <t>Zlaťáky</t>
  </si>
  <si>
    <t>Výchozí</t>
  </si>
  <si>
    <t>MAX.</t>
  </si>
  <si>
    <t>str. 9</t>
  </si>
  <si>
    <t>Stínové zranění</t>
  </si>
  <si>
    <t>Předmět 1</t>
  </si>
  <si>
    <t>Předmět 2</t>
  </si>
  <si>
    <t>Předmět 3</t>
  </si>
  <si>
    <t>Osobní úkoly a mise</t>
  </si>
  <si>
    <t>Událost</t>
  </si>
  <si>
    <t>Jídlo čerstvé</t>
  </si>
  <si>
    <t>Jídlo sušené</t>
  </si>
  <si>
    <t>Vaky s vodou</t>
  </si>
  <si>
    <t>Pomocník 1</t>
  </si>
  <si>
    <t>Pomocník 2</t>
  </si>
  <si>
    <t>Terén</t>
  </si>
  <si>
    <t>Znalost</t>
  </si>
  <si>
    <t>Procházka</t>
  </si>
  <si>
    <t>Km/h</t>
  </si>
  <si>
    <t>Používané zbraně a štíty</t>
  </si>
  <si>
    <t>Silnice</t>
  </si>
  <si>
    <t>Příroda</t>
  </si>
  <si>
    <t>Lesy</t>
  </si>
  <si>
    <t>Hory</t>
  </si>
  <si>
    <t>Opr.</t>
  </si>
  <si>
    <t>Rychlost přesunu (km/h) a únava za 1 hod.</t>
  </si>
  <si>
    <t>Jednoruký</t>
  </si>
  <si>
    <t>K RCH</t>
  </si>
  <si>
    <t>Věk</t>
  </si>
  <si>
    <t>Bonusy za atletiku</t>
  </si>
  <si>
    <t>Bonusy za nosičství</t>
  </si>
  <si>
    <t>Otužilost</t>
  </si>
  <si>
    <t xml:space="preserve"> (* =možné jen pro vyjmenovaná povolání)</t>
  </si>
  <si>
    <t>Dožití a vliv věku (do)</t>
  </si>
  <si>
    <t>1. Výběr rasy a povolání</t>
  </si>
  <si>
    <t>Aktuální úroveň</t>
  </si>
  <si>
    <t>Zkušenostní body</t>
  </si>
  <si>
    <t xml:space="preserve"> tj. </t>
  </si>
  <si>
    <t>bodů zázemí</t>
  </si>
  <si>
    <t>Aktuální herní rok</t>
  </si>
  <si>
    <t>Hod na "veverku"</t>
  </si>
  <si>
    <t>k%</t>
  </si>
  <si>
    <t>Asketik</t>
  </si>
  <si>
    <t>Název schopnosti</t>
  </si>
  <si>
    <t>Apatický</t>
  </si>
  <si>
    <t>Arogantní</t>
  </si>
  <si>
    <t>Bezelstný</t>
  </si>
  <si>
    <t>Citlivý</t>
  </si>
  <si>
    <t>Cílevědomý</t>
  </si>
  <si>
    <t>Ctižádostivý</t>
  </si>
  <si>
    <t>Drzý</t>
  </si>
  <si>
    <t>Držgrešle</t>
  </si>
  <si>
    <t>Důsledný</t>
  </si>
  <si>
    <t>Energický</t>
  </si>
  <si>
    <t>Flegmatický</t>
  </si>
  <si>
    <t>Hloubavý</t>
  </si>
  <si>
    <t>Hrdý</t>
  </si>
  <si>
    <t>Humorný</t>
  </si>
  <si>
    <t>Iniciativní</t>
  </si>
  <si>
    <t>Intrikář</t>
  </si>
  <si>
    <t>Chamtivý</t>
  </si>
  <si>
    <t>Chladný</t>
  </si>
  <si>
    <t>Klidný</t>
  </si>
  <si>
    <t>Kreativní</t>
  </si>
  <si>
    <t>Lenivý</t>
  </si>
  <si>
    <t>Lhostejný</t>
  </si>
  <si>
    <t>Lstivý</t>
  </si>
  <si>
    <t>Málomluvný</t>
  </si>
  <si>
    <t>Nadšený novým</t>
  </si>
  <si>
    <t>Naivní</t>
  </si>
  <si>
    <t>Náruživý</t>
  </si>
  <si>
    <t>Nedůtklivý</t>
  </si>
  <si>
    <t>Nedůvěřivý</t>
  </si>
  <si>
    <t>Nepořádný</t>
  </si>
  <si>
    <t>Nerozhodný</t>
  </si>
  <si>
    <t>Nervózní</t>
  </si>
  <si>
    <t>Nestálý</t>
  </si>
  <si>
    <t>Netolerantní</t>
  </si>
  <si>
    <t>Nezodpovědný</t>
  </si>
  <si>
    <t>Obětavý</t>
  </si>
  <si>
    <t>Oddaný / Věrný</t>
  </si>
  <si>
    <t>Odměřený</t>
  </si>
  <si>
    <t>Odpovědný</t>
  </si>
  <si>
    <t xml:space="preserve">Odvážný </t>
  </si>
  <si>
    <t>Opatrný</t>
  </si>
  <si>
    <t>Opilec</t>
  </si>
  <si>
    <t>Ostražitý</t>
  </si>
  <si>
    <t>Otevřený</t>
  </si>
  <si>
    <t>Panovačný</t>
  </si>
  <si>
    <t xml:space="preserve">Patolízal  </t>
  </si>
  <si>
    <t>Pomlouvačný</t>
  </si>
  <si>
    <t>Pracovitý</t>
  </si>
  <si>
    <t>Pečlivý</t>
  </si>
  <si>
    <t>Pokorný</t>
  </si>
  <si>
    <t>Pořádkumilovný</t>
  </si>
  <si>
    <t>Povýšený</t>
  </si>
  <si>
    <t>Prostořeký</t>
  </si>
  <si>
    <t>Přátelský</t>
  </si>
  <si>
    <t>Přímočarý</t>
  </si>
  <si>
    <t>Přísný</t>
  </si>
  <si>
    <t>Přizpůsobivý</t>
  </si>
  <si>
    <t>Rozhodný</t>
  </si>
  <si>
    <t>Samotářský</t>
  </si>
  <si>
    <t>Sebekritický</t>
  </si>
  <si>
    <t>Sebevědomý</t>
  </si>
  <si>
    <t>Soběstačný</t>
  </si>
  <si>
    <t>Soutěživý</t>
  </si>
  <si>
    <t>Společenský</t>
  </si>
  <si>
    <t>Spolehlivý</t>
  </si>
  <si>
    <t>Stydlivý</t>
  </si>
  <si>
    <t>Surovec</t>
  </si>
  <si>
    <t>Svárlivý</t>
  </si>
  <si>
    <t>Tajnůstkářský</t>
  </si>
  <si>
    <t>Tolerantní</t>
  </si>
  <si>
    <t>Tvůrčí</t>
  </si>
  <si>
    <t>Ukecaný</t>
  </si>
  <si>
    <t>Upřímný</t>
  </si>
  <si>
    <t>Urážlivý</t>
  </si>
  <si>
    <t>Úskočný</t>
  </si>
  <si>
    <t>Vážný</t>
  </si>
  <si>
    <t>Veselý</t>
  </si>
  <si>
    <t>Vnímavý</t>
  </si>
  <si>
    <t>Vstřícný</t>
  </si>
  <si>
    <t>Vtipný</t>
  </si>
  <si>
    <t>Vůdčí typ</t>
  </si>
  <si>
    <t>Výbušný</t>
  </si>
  <si>
    <t>Vypočítavý</t>
  </si>
  <si>
    <t>Zádumčivý</t>
  </si>
  <si>
    <t>Zákeřný</t>
  </si>
  <si>
    <t>Zbabělý</t>
  </si>
  <si>
    <t xml:space="preserve">Ziskuchtivý </t>
  </si>
  <si>
    <t>Zmatkař</t>
  </si>
  <si>
    <t>Ztřeštěný</t>
  </si>
  <si>
    <t>Zvědavý</t>
  </si>
  <si>
    <t>Žárlivý</t>
  </si>
  <si>
    <t>Charakter</t>
  </si>
  <si>
    <t>Dýmka ve volném čase</t>
  </si>
  <si>
    <t>Do postele jít jen nalitý</t>
  </si>
  <si>
    <t>Pěkná žena do postele</t>
  </si>
  <si>
    <t>Poroučet pití pro celou hospodu</t>
  </si>
  <si>
    <t>Časné ranní vstávání</t>
  </si>
  <si>
    <t>Dlouhé ponocování</t>
  </si>
  <si>
    <t>Pořádání oslav s početnými hosty</t>
  </si>
  <si>
    <t>Utracení každého zlaťáku</t>
  </si>
  <si>
    <t>Oblékání se dle poslední módy</t>
  </si>
  <si>
    <t>Okusování si nehtů</t>
  </si>
  <si>
    <t>Odříhnutí po dobrém jídle</t>
  </si>
  <si>
    <t>Kreslení po zdech</t>
  </si>
  <si>
    <t>Zpívat si do kroku</t>
  </si>
  <si>
    <t>Procházky v přírodě</t>
  </si>
  <si>
    <t>Nechávat si informace pro sebe</t>
  </si>
  <si>
    <t>Spát osaměle, stranou od ostatních</t>
  </si>
  <si>
    <t>Ranní a večerní modlitba</t>
  </si>
  <si>
    <t>Každý den trénovat boj</t>
  </si>
  <si>
    <t>Odplivnutí si při spatření kočky</t>
  </si>
  <si>
    <t>Spát v botách / ve zbroji</t>
  </si>
  <si>
    <t>Každou urážku trestat soubojem</t>
  </si>
  <si>
    <t>Před spaním si přepočítat peníze</t>
  </si>
  <si>
    <t>Začínat hovor slovem „Tak...“</t>
  </si>
  <si>
    <t>Zeptat se vždy 2x</t>
  </si>
  <si>
    <t>Spoléhat jen sám na sebe</t>
  </si>
  <si>
    <t>Nikdy neodkládat svoji hůl</t>
  </si>
  <si>
    <t>Všude navštívit knihovnu</t>
  </si>
  <si>
    <t>Přisvojit si největší díl kořisti</t>
  </si>
  <si>
    <t>Denní péče o vousy / vlasy</t>
  </si>
  <si>
    <t>Starostlivá péče o zbraně a zbroj</t>
  </si>
  <si>
    <t>Péče o zvířata</t>
  </si>
  <si>
    <t>Ranní sklenka vína</t>
  </si>
  <si>
    <t>Čaj o páté</t>
  </si>
  <si>
    <t>Být vždy první</t>
  </si>
  <si>
    <t>Chodit jako poslední</t>
  </si>
  <si>
    <t>Různé pověry</t>
  </si>
  <si>
    <t>Z draků</t>
  </si>
  <si>
    <t>Ze selhání</t>
  </si>
  <si>
    <t>Ze zlodějů</t>
  </si>
  <si>
    <t>Z osamělosti</t>
  </si>
  <si>
    <t>Ze ztráty důstojnosti</t>
  </si>
  <si>
    <t>Z postav v černých kápích</t>
  </si>
  <si>
    <t>Z násilné smrti</t>
  </si>
  <si>
    <t>Z vody</t>
  </si>
  <si>
    <t>Z výšek</t>
  </si>
  <si>
    <t>Z výběrčích daní</t>
  </si>
  <si>
    <t>Ze stříbra / vlčího moru</t>
  </si>
  <si>
    <t>Ze zrcadel</t>
  </si>
  <si>
    <t>Ze ztráty přízně boha</t>
  </si>
  <si>
    <t>Z živelných pohrom</t>
  </si>
  <si>
    <t>Ze ztráty přátel</t>
  </si>
  <si>
    <t>Ze zbraní</t>
  </si>
  <si>
    <t>Z prozrazení</t>
  </si>
  <si>
    <t>Z veřejného vystupování</t>
  </si>
  <si>
    <t>Zjizvené tváře</t>
  </si>
  <si>
    <t>Slzy</t>
  </si>
  <si>
    <t>Vyhrožování</t>
  </si>
  <si>
    <t>Dlouhé řeči</t>
  </si>
  <si>
    <t>Krásnější ženy/muži</t>
  </si>
  <si>
    <t>Hazardní hry</t>
  </si>
  <si>
    <t>Prázdná kapsa</t>
  </si>
  <si>
    <t>Jídla z mořských tvorů</t>
  </si>
  <si>
    <t>Pach potu</t>
  </si>
  <si>
    <t>Plíseň</t>
  </si>
  <si>
    <t>Maso</t>
  </si>
  <si>
    <t>Bahno / Hnůj</t>
  </si>
  <si>
    <t>Rezavé zbraně</t>
  </si>
  <si>
    <t>Hadi</t>
  </si>
  <si>
    <t>Vojáci</t>
  </si>
  <si>
    <t>Sychravý podzim</t>
  </si>
  <si>
    <t>Dlouhé cestování</t>
  </si>
  <si>
    <t>Týrání zvířat / lidí</t>
  </si>
  <si>
    <t>Pozdní příchody</t>
  </si>
  <si>
    <t>Chrámy a svatyně</t>
  </si>
  <si>
    <t>Krev</t>
  </si>
  <si>
    <t>Práce</t>
  </si>
  <si>
    <t>Pravidla</t>
  </si>
  <si>
    <t>Hluk</t>
  </si>
  <si>
    <t>Jiná náboženství</t>
  </si>
  <si>
    <t>Jiné rasy</t>
  </si>
  <si>
    <t>Pavouci</t>
  </si>
  <si>
    <t>Rychlí koně</t>
  </si>
  <si>
    <t>Studené pivo</t>
  </si>
  <si>
    <t>Zpěv slavíků</t>
  </si>
  <si>
    <t>Modrá barva</t>
  </si>
  <si>
    <t>Kořeněné jídlo</t>
  </si>
  <si>
    <t>Teplá postel</t>
  </si>
  <si>
    <t>Lesklé brnění</t>
  </si>
  <si>
    <t>Plné břicho</t>
  </si>
  <si>
    <t>Černé pláště</t>
  </si>
  <si>
    <t>Pohodlné boty</t>
  </si>
  <si>
    <t>Hra v kostky</t>
  </si>
  <si>
    <t>Adrenalin / Hazard se životem</t>
  </si>
  <si>
    <t>Vysoké hory</t>
  </si>
  <si>
    <t>Charita</t>
  </si>
  <si>
    <t>Pozorování noční oblohy</t>
  </si>
  <si>
    <t>Soutěže</t>
  </si>
  <si>
    <t>Nakupování</t>
  </si>
  <si>
    <t>Experimentování</t>
  </si>
  <si>
    <t>Mučení</t>
  </si>
  <si>
    <t>Zdolávání překážek</t>
  </si>
  <si>
    <t>Luštění hádanek</t>
  </si>
  <si>
    <t>Moc / Ovládání jiných</t>
  </si>
  <si>
    <t>Pestrá výzdoba</t>
  </si>
  <si>
    <t>Cestování</t>
  </si>
  <si>
    <t>Létání</t>
  </si>
  <si>
    <t>Prsteny a jiné šperky</t>
  </si>
  <si>
    <t>Tetování</t>
  </si>
  <si>
    <t>Skládání a recitace básní</t>
  </si>
  <si>
    <t>Pozornost druhých</t>
  </si>
  <si>
    <t>Vyprávění vtipů</t>
  </si>
  <si>
    <t>Studium starých knih</t>
  </si>
  <si>
    <t>Roztomilá zvířátka</t>
  </si>
  <si>
    <t>Temná místa</t>
  </si>
  <si>
    <t>Vytáčení ostatních</t>
  </si>
  <si>
    <t>Plný měšec</t>
  </si>
  <si>
    <t>Zabíjení</t>
  </si>
  <si>
    <t>Tiché lesy</t>
  </si>
  <si>
    <r>
      <t>Ostré m</t>
    </r>
    <r>
      <rPr>
        <b/>
        <sz val="10"/>
        <color theme="1"/>
        <rFont val="Times New Roman"/>
        <family val="1"/>
        <charset val="238"/>
      </rPr>
      <t>e</t>
    </r>
    <r>
      <rPr>
        <sz val="10"/>
        <color theme="1"/>
        <rFont val="Times New Roman"/>
        <family val="1"/>
        <charset val="238"/>
      </rPr>
      <t>če</t>
    </r>
  </si>
  <si>
    <t>Foukačka</t>
  </si>
  <si>
    <t>Lakmusový papírek</t>
  </si>
  <si>
    <t xml:space="preserve">Jed - </t>
  </si>
  <si>
    <t>Šipka do foukačky</t>
  </si>
  <si>
    <t>Nese &lt; 1xNOS</t>
  </si>
  <si>
    <t>Nese &lt; 2xNOS</t>
  </si>
  <si>
    <t>Nese &lt; 3xNOS</t>
  </si>
  <si>
    <t>Velké</t>
  </si>
  <si>
    <t>Naložení</t>
  </si>
  <si>
    <t>Náklad postavy</t>
  </si>
  <si>
    <t>Andamitová</t>
  </si>
  <si>
    <t>Zbroj andamitová</t>
  </si>
  <si>
    <t>Helma rytířská</t>
  </si>
  <si>
    <t>Helma andamitová</t>
  </si>
  <si>
    <t>Kapuce kroužková</t>
  </si>
  <si>
    <t>Maska kovová</t>
  </si>
  <si>
    <t>zrak -1</t>
  </si>
  <si>
    <t>sluch -1</t>
  </si>
  <si>
    <t>bez</t>
  </si>
  <si>
    <t>Rukavice a chrániče andamitové</t>
  </si>
  <si>
    <t>hmat -1</t>
  </si>
  <si>
    <t>hmat -4</t>
  </si>
  <si>
    <t>hmat -6, ZRČ -3, Prof -1</t>
  </si>
  <si>
    <t>Andamitové obutí a chrániče</t>
  </si>
  <si>
    <t>RCH -2</t>
  </si>
  <si>
    <t>RCH -1</t>
  </si>
  <si>
    <t>běh RCH -1</t>
  </si>
  <si>
    <t>Boxer</t>
  </si>
  <si>
    <t>Dýka zubatá</t>
  </si>
  <si>
    <t>Stilleto</t>
  </si>
  <si>
    <t>Bodlo</t>
  </si>
  <si>
    <t>Nůž bojový</t>
  </si>
  <si>
    <t>Khopesh</t>
  </si>
  <si>
    <t>Meč cvičný</t>
  </si>
  <si>
    <t>Nunchaku</t>
  </si>
  <si>
    <t>Čakan</t>
  </si>
  <si>
    <t>SD</t>
  </si>
  <si>
    <t>Palice těžká</t>
  </si>
  <si>
    <t>Sekera bojová</t>
  </si>
  <si>
    <t>Sukovice</t>
  </si>
  <si>
    <t>Hůl léčitelská</t>
  </si>
  <si>
    <t>Hůl kouzelnická</t>
  </si>
  <si>
    <t>Hůl druidská</t>
  </si>
  <si>
    <t>Kúsa</t>
  </si>
  <si>
    <t>BS</t>
  </si>
  <si>
    <t>Duální povolání</t>
  </si>
  <si>
    <t>Duální povolání (D)</t>
  </si>
  <si>
    <t>Primární povolání (P)</t>
  </si>
  <si>
    <t>Postup v (P/D)</t>
  </si>
  <si>
    <t>P</t>
  </si>
  <si>
    <t>CELKOVÁ úroveň</t>
  </si>
  <si>
    <t xml:space="preserve">Pozn.: </t>
  </si>
  <si>
    <t>Barbar</t>
  </si>
  <si>
    <t>Pohlaví</t>
  </si>
  <si>
    <t>Muž</t>
  </si>
  <si>
    <t>Žena</t>
  </si>
  <si>
    <t>M</t>
  </si>
  <si>
    <t>Barbarka</t>
  </si>
  <si>
    <t>Elfka</t>
  </si>
  <si>
    <t>Goblinka</t>
  </si>
  <si>
    <t>Hobitka</t>
  </si>
  <si>
    <t>Koboldice</t>
  </si>
  <si>
    <t>Krollka</t>
  </si>
  <si>
    <t>Krysodlačice</t>
  </si>
  <si>
    <t>Kudůčice</t>
  </si>
  <si>
    <t>Orčice</t>
  </si>
  <si>
    <t>Skřetice</t>
  </si>
  <si>
    <t>Šotčice</t>
  </si>
  <si>
    <t>Tollice</t>
  </si>
  <si>
    <t>Trpaslice</t>
  </si>
  <si>
    <t>Vlkodlačice</t>
  </si>
  <si>
    <t>Trubadůra</t>
  </si>
  <si>
    <t>Bojovnice</t>
  </si>
  <si>
    <t>Čarodějka</t>
  </si>
  <si>
    <t>Druidka</t>
  </si>
  <si>
    <t>Kněžka</t>
  </si>
  <si>
    <t>Lupička</t>
  </si>
  <si>
    <t>Nekromantka</t>
  </si>
  <si>
    <t>Paladinka</t>
  </si>
  <si>
    <t>Pyroforka</t>
  </si>
  <si>
    <t>Runová mágyně</t>
  </si>
  <si>
    <t>Rytířka</t>
  </si>
  <si>
    <t>Stopařka</t>
  </si>
  <si>
    <t>Šamanka</t>
  </si>
  <si>
    <t>Šermířka</t>
  </si>
  <si>
    <t>Temná mágyně</t>
  </si>
  <si>
    <t>Žoldnéřka</t>
  </si>
  <si>
    <t>Troll</t>
  </si>
  <si>
    <t>Zaklínačka</t>
  </si>
  <si>
    <t>Člověk (M)</t>
  </si>
  <si>
    <t>Člověk (F)</t>
  </si>
  <si>
    <t>Satyr</t>
  </si>
  <si>
    <t>Lizzard</t>
  </si>
  <si>
    <t>Stolin</t>
  </si>
  <si>
    <t>Dryáda</t>
  </si>
  <si>
    <t>Valkýra</t>
  </si>
  <si>
    <t>Tygrodlak</t>
  </si>
  <si>
    <t>Amazonka</t>
  </si>
  <si>
    <t>Nagga</t>
  </si>
  <si>
    <t>Gnolka</t>
  </si>
  <si>
    <t>Kentaurka</t>
  </si>
  <si>
    <t>Khajitka</t>
  </si>
  <si>
    <t>Lizzardka</t>
  </si>
  <si>
    <t>Stolinka</t>
  </si>
  <si>
    <t>Tygrodlačice</t>
  </si>
  <si>
    <t>Naggin</t>
  </si>
  <si>
    <t>Obr</t>
  </si>
  <si>
    <t>Obryně</t>
  </si>
  <si>
    <t>Sarkon</t>
  </si>
  <si>
    <t>Sarkonka</t>
  </si>
  <si>
    <t>Zlobr</t>
  </si>
  <si>
    <t>Zlobryně</t>
  </si>
  <si>
    <t>Grond</t>
  </si>
  <si>
    <t>Grondka</t>
  </si>
  <si>
    <t>Skřítek</t>
  </si>
  <si>
    <t>Skřítčice</t>
  </si>
  <si>
    <t>Fůrie</t>
  </si>
  <si>
    <t>Lítec</t>
  </si>
  <si>
    <t>Seznam</t>
  </si>
  <si>
    <t>Šinobi</t>
  </si>
  <si>
    <t>Čarodějnice</t>
  </si>
  <si>
    <t>Malach</t>
  </si>
  <si>
    <t>Assassinka</t>
  </si>
  <si>
    <t>KZT</t>
  </si>
  <si>
    <t>Počet schopností povolání v závislosti na úrovni</t>
  </si>
  <si>
    <t>Počet schopností povolání</t>
  </si>
  <si>
    <t>Duál:</t>
  </si>
  <si>
    <t>Nese &lt;= 5xNOS</t>
  </si>
  <si>
    <t>Lehké</t>
  </si>
  <si>
    <t>Maximální</t>
  </si>
  <si>
    <t>Do</t>
  </si>
  <si>
    <t>Slepý</t>
  </si>
  <si>
    <t>Hluchý</t>
  </si>
  <si>
    <t>Hluchoněmý</t>
  </si>
  <si>
    <t>Nahluchlý</t>
  </si>
  <si>
    <t>Prskavost</t>
  </si>
  <si>
    <t>Pajdavost</t>
  </si>
  <si>
    <t>Dýchavičnost</t>
  </si>
  <si>
    <t>Neplodnost</t>
  </si>
  <si>
    <t>Špatná imunita</t>
  </si>
  <si>
    <t>Závratě</t>
  </si>
  <si>
    <t>Rybí oči</t>
  </si>
  <si>
    <t>Sklerotik</t>
  </si>
  <si>
    <t>Xenofobie</t>
  </si>
  <si>
    <t>Sexista</t>
  </si>
  <si>
    <t>Egoista</t>
  </si>
  <si>
    <t>Bezbožník</t>
  </si>
  <si>
    <t>Lidumil</t>
  </si>
  <si>
    <t>Nevinný pohled</t>
  </si>
  <si>
    <t>Profesní talent</t>
  </si>
  <si>
    <t>Rozený básník</t>
  </si>
  <si>
    <t>Výřečnost</t>
  </si>
  <si>
    <t>Médium</t>
  </si>
  <si>
    <t>Vliv naložení na rychlost a obratnost postavy</t>
  </si>
  <si>
    <t>2) Stáří postavy</t>
  </si>
  <si>
    <t>Tabulka iniciativy a akcí</t>
  </si>
  <si>
    <t>Zk.</t>
  </si>
  <si>
    <t>Prostor po obrázek postavy</t>
  </si>
  <si>
    <t>Rychlostní údaj</t>
  </si>
  <si>
    <t>Vůb.</t>
  </si>
  <si>
    <t>Šp.</t>
  </si>
  <si>
    <t>Prům.</t>
  </si>
  <si>
    <t>V.D.</t>
  </si>
  <si>
    <t>Dok.</t>
  </si>
  <si>
    <t>Dob.</t>
  </si>
  <si>
    <t>Velmi dobře *</t>
  </si>
  <si>
    <t>Krouž.,šupinová</t>
  </si>
  <si>
    <t>Babice</t>
  </si>
  <si>
    <t>-6-</t>
  </si>
  <si>
    <t>-5--3</t>
  </si>
  <si>
    <t>-2-0</t>
  </si>
  <si>
    <t>1-3</t>
  </si>
  <si>
    <t>7-9</t>
  </si>
  <si>
    <t>13-15</t>
  </si>
  <si>
    <t>4-6</t>
  </si>
  <si>
    <t>16-18</t>
  </si>
  <si>
    <t>19-21</t>
  </si>
  <si>
    <t>22-24</t>
  </si>
  <si>
    <t>25-27</t>
  </si>
  <si>
    <t>28-30</t>
  </si>
  <si>
    <t>31-33</t>
  </si>
  <si>
    <t>34+</t>
  </si>
  <si>
    <t>m/2A</t>
  </si>
  <si>
    <t>m/A</t>
  </si>
  <si>
    <t>%</t>
  </si>
  <si>
    <t>Kvalita zbroje (KZ)</t>
  </si>
  <si>
    <t>SMO</t>
  </si>
  <si>
    <t>SMÚ</t>
  </si>
  <si>
    <t>Assassin</t>
  </si>
  <si>
    <t>Theurgika</t>
  </si>
  <si>
    <t>Prof</t>
  </si>
  <si>
    <t>Dat.</t>
  </si>
  <si>
    <t>Harass</t>
  </si>
  <si>
    <t>Unese</t>
  </si>
  <si>
    <t>Utáhne</t>
  </si>
  <si>
    <t>Opravy za boj ve zbroji (započeteno v INI a OBR)</t>
  </si>
  <si>
    <t>Mast-</t>
  </si>
  <si>
    <t>Prášek-</t>
  </si>
  <si>
    <t>Ebonitová hůlka</t>
  </si>
  <si>
    <t>Parfém-</t>
  </si>
  <si>
    <t>Boty Elfí</t>
  </si>
  <si>
    <t>Pytel Beztíže</t>
  </si>
  <si>
    <t>Plášť Chameleon</t>
  </si>
  <si>
    <t>Hvězdice Bumerang</t>
  </si>
  <si>
    <t>Zásadový</t>
  </si>
  <si>
    <t>Okultismus</t>
  </si>
  <si>
    <t>Sociologie</t>
  </si>
  <si>
    <t>Hypnotizér</t>
  </si>
  <si>
    <t>Meč zaklínačský</t>
  </si>
  <si>
    <t>A,B,C</t>
  </si>
  <si>
    <t>Kum. zkušenost potřebná k postupu</t>
  </si>
  <si>
    <t>MSIL</t>
  </si>
  <si>
    <t>MINT</t>
  </si>
  <si>
    <t>MZRČ</t>
  </si>
  <si>
    <t>MOBR</t>
  </si>
  <si>
    <t>MVOL</t>
  </si>
  <si>
    <t>MCHR</t>
  </si>
  <si>
    <t>Max</t>
  </si>
  <si>
    <t>žt</t>
  </si>
  <si>
    <t>postih za &lt; než</t>
  </si>
  <si>
    <t>Uctívá</t>
  </si>
  <si>
    <t>Vzhledové upřesnění</t>
  </si>
  <si>
    <t>Běloch</t>
  </si>
  <si>
    <t>Běloška</t>
  </si>
  <si>
    <t>Světlý elf</t>
  </si>
  <si>
    <t>Světlá elfka</t>
  </si>
  <si>
    <t>Temný elf</t>
  </si>
  <si>
    <t>Temná elfka</t>
  </si>
  <si>
    <t>Rasa a pohl.</t>
  </si>
  <si>
    <t>Nekouzelné vybaní - šaty, zbroj a modifikátory vzhledu</t>
  </si>
  <si>
    <t>Kápě (látková)</t>
  </si>
  <si>
    <t>Maska děsivá</t>
  </si>
  <si>
    <t>Dřeváky</t>
  </si>
  <si>
    <t>Mokasíny kožené</t>
  </si>
  <si>
    <t>Rukavice a chrániče kožené</t>
  </si>
  <si>
    <t>Chrániče paží a ramen kožené</t>
  </si>
  <si>
    <t>Rukavice zimní (palčáky)</t>
  </si>
  <si>
    <t>Boty zimní</t>
  </si>
  <si>
    <t>Baranice (teplá čepice)</t>
  </si>
  <si>
    <t>Opravy</t>
  </si>
  <si>
    <t>Mráz +1</t>
  </si>
  <si>
    <t>hmat -2, Mráz +1</t>
  </si>
  <si>
    <t xml:space="preserve"> - (bez šatů)</t>
  </si>
  <si>
    <t>Mráz -2</t>
  </si>
  <si>
    <t>Doplňky</t>
  </si>
  <si>
    <t>Parfém: Vůně peněz</t>
  </si>
  <si>
    <t>Parfém: Deodorant</t>
  </si>
  <si>
    <t>Parfém: Smyslná krása</t>
  </si>
  <si>
    <t>Parfém: Tchoř</t>
  </si>
  <si>
    <t>Parfém: Pot strachu</t>
  </si>
  <si>
    <t>Parfém: Pach smrti</t>
  </si>
  <si>
    <t>Út</t>
  </si>
  <si>
    <t>Ob</t>
  </si>
  <si>
    <t>Třída vel.</t>
  </si>
  <si>
    <t>Tvář</t>
  </si>
  <si>
    <t>St.</t>
  </si>
  <si>
    <t>H.</t>
  </si>
  <si>
    <t>Vlast.</t>
  </si>
  <si>
    <t>Rodný jazyk</t>
  </si>
  <si>
    <t>Vybráno schopností</t>
  </si>
  <si>
    <t>Poznámky</t>
  </si>
  <si>
    <t>SCHOPNOST</t>
  </si>
  <si>
    <t>DOVEDNOST</t>
  </si>
  <si>
    <t>Diplomacie</t>
  </si>
  <si>
    <t>Jazyk - Černá řeč</t>
  </si>
  <si>
    <t>Jazyk - Drakomluva</t>
  </si>
  <si>
    <t>Jazyk - Elfština</t>
  </si>
  <si>
    <t>Jazyk - Harasština</t>
  </si>
  <si>
    <t>Jazyk - Obecná řeč</t>
  </si>
  <si>
    <t>Jazyk - Severština</t>
  </si>
  <si>
    <t>Jazyk - Trpasličtina</t>
  </si>
  <si>
    <t>Jazyk - Východní orient.</t>
  </si>
  <si>
    <t>Jazyk - Západní imánský</t>
  </si>
  <si>
    <t>Lodivodství</t>
  </si>
  <si>
    <t>Kniha-</t>
  </si>
  <si>
    <t>Hůlka-</t>
  </si>
  <si>
    <t>Boty-</t>
  </si>
  <si>
    <t>Opiát-</t>
  </si>
  <si>
    <t>Léčitelská souprava</t>
  </si>
  <si>
    <t>Kostka-</t>
  </si>
  <si>
    <t>Pytel-</t>
  </si>
  <si>
    <t>Plášť-</t>
  </si>
  <si>
    <t>Protijed-</t>
  </si>
  <si>
    <t>Bomba-</t>
  </si>
  <si>
    <t>Truhla alch.-cestovní</t>
  </si>
  <si>
    <t>Truhla alch.-přenosná</t>
  </si>
  <si>
    <t>Truhla alch.-velká</t>
  </si>
  <si>
    <t>Papírek-</t>
  </si>
  <si>
    <t>Brýle-</t>
  </si>
  <si>
    <t>Past-</t>
  </si>
  <si>
    <t>Rukavice-</t>
  </si>
  <si>
    <t>Maska-</t>
  </si>
  <si>
    <t>Rachejtle-</t>
  </si>
  <si>
    <t>Talisman-</t>
  </si>
  <si>
    <t>Kulička-</t>
  </si>
  <si>
    <t>Hlína-</t>
  </si>
  <si>
    <t>Prach-</t>
  </si>
  <si>
    <t>Dýmovnice</t>
  </si>
  <si>
    <t>Flakónek skleněný</t>
  </si>
  <si>
    <t>Flakonek hliněný</t>
  </si>
  <si>
    <t>Cena</t>
  </si>
  <si>
    <t>Cena (St)</t>
  </si>
  <si>
    <t>Nákup</t>
  </si>
  <si>
    <t>Prodej</t>
  </si>
  <si>
    <t>Koeficienty</t>
  </si>
  <si>
    <t>Suroviny alchymistické</t>
  </si>
  <si>
    <t>Nákup a prodej standardního vybavení ve městě</t>
  </si>
  <si>
    <t xml:space="preserve">Činnost: </t>
  </si>
  <si>
    <t xml:space="preserve">Znalost Handlířství postavy:  </t>
  </si>
  <si>
    <t>tj.</t>
  </si>
  <si>
    <t>zl</t>
  </si>
  <si>
    <t>st</t>
  </si>
  <si>
    <t>md</t>
  </si>
  <si>
    <t>KS</t>
  </si>
  <si>
    <t>CENA (St)</t>
  </si>
  <si>
    <t xml:space="preserve">Třída velikosti: </t>
  </si>
  <si>
    <t>(nákup zbrojí a šatů)</t>
  </si>
  <si>
    <t>NE</t>
  </si>
  <si>
    <t>Zábava</t>
  </si>
  <si>
    <t>Šaty a zbroje</t>
  </si>
  <si>
    <t>Cestovní výbava</t>
  </si>
  <si>
    <t>Domácí výbava</t>
  </si>
  <si>
    <t>Deka teplá (vlněná)</t>
  </si>
  <si>
    <t>Zavazadla</t>
  </si>
  <si>
    <t>Koeficienty váhy a ceny zbroje</t>
  </si>
  <si>
    <t>Velikost</t>
  </si>
  <si>
    <t>ČINNOST</t>
  </si>
  <si>
    <t>Vak malý (5 kg)</t>
  </si>
  <si>
    <t>Košík proutěný (15 kg)</t>
  </si>
  <si>
    <t>Karafa na olej (0,5 čtv)</t>
  </si>
  <si>
    <t>Pytel režný (50 kg)</t>
  </si>
  <si>
    <t>Torna kožená (30 kg)</t>
  </si>
  <si>
    <t>Vak velký (15 kg)</t>
  </si>
  <si>
    <t>Pouzdro na svitky (30 ks)</t>
  </si>
  <si>
    <t>Sud velký (120 čtv)</t>
  </si>
  <si>
    <t>Váček na peníze (50 ks)</t>
  </si>
  <si>
    <t>Váček na peníze XL (200 ks)</t>
  </si>
  <si>
    <t>Karafa s olejem (0,5 čtv)</t>
  </si>
  <si>
    <t>Odvar-</t>
  </si>
  <si>
    <t>Lembas (elfí chleba) (1 čen)</t>
  </si>
  <si>
    <t>Džbánek - hliněný (4 čtv)</t>
  </si>
  <si>
    <t>Česnek (0,1 kg)</t>
  </si>
  <si>
    <t>Čapka kožená tvrzená</t>
  </si>
  <si>
    <t>Sebe</t>
  </si>
  <si>
    <t>(vše) na velikost</t>
  </si>
  <si>
    <t>Přilba</t>
  </si>
  <si>
    <t>Boty elfí</t>
  </si>
  <si>
    <t>Brnění andamitové komplet</t>
  </si>
  <si>
    <t>Brnění kožené komplet</t>
  </si>
  <si>
    <t>Brnění z kroužků komplet</t>
  </si>
  <si>
    <t>Brnění vycpávané komplet</t>
  </si>
  <si>
    <t>Brnění šupinové komplet</t>
  </si>
  <si>
    <t>Brnění kroužkové komplet</t>
  </si>
  <si>
    <t>Brnění plátové komplet</t>
  </si>
  <si>
    <t>Brnění rytířské komplet</t>
  </si>
  <si>
    <t>MUNICE</t>
  </si>
  <si>
    <t>Šíp dalekonosný</t>
  </si>
  <si>
    <t>Šíp válečný</t>
  </si>
  <si>
    <t>Šíp průrazný</t>
  </si>
  <si>
    <t>Šíp zápalný</t>
  </si>
  <si>
    <t>Šíp rybářský</t>
  </si>
  <si>
    <t>Minišipka</t>
  </si>
  <si>
    <t>Kopí do balisty</t>
  </si>
  <si>
    <t>Minišipka tupá</t>
  </si>
  <si>
    <t>Šipka válečná</t>
  </si>
  <si>
    <t>Šipka průrazná</t>
  </si>
  <si>
    <t>Koule kamenná</t>
  </si>
  <si>
    <t>Koule ježatá</t>
  </si>
  <si>
    <t>Hůl s vystřel.čepelí</t>
  </si>
  <si>
    <t xml:space="preserve">Celková hodnota obchodu (St): </t>
  </si>
  <si>
    <t>1) U řádku v Dovednostech, kde chyběly vzorce byly doplněny</t>
  </si>
  <si>
    <t>2) Doplněn výpočet OU (více řádků), doplněna tabulka atletiky na str. 2 o sloupec s bonusy k OU</t>
  </si>
  <si>
    <t>3) U bojových dovedností zohledněna kladná vlastnost "Mistr zbraní"</t>
  </si>
  <si>
    <t>4) Opraven vzorec pro DST v části vhled a boj (byl tam odkaz na chybný sloupec)</t>
  </si>
  <si>
    <t>5) Opraveny chybné součty v buňkách E40 a F40 na listu Vzhled a boj</t>
  </si>
  <si>
    <t>6) Botanika nově ovlivněna kladnou veverkou Bylinkář</t>
  </si>
  <si>
    <t>7) Zahrnuty dodatečné změny v dovednostech</t>
  </si>
  <si>
    <t xml:space="preserve">     - Přejmenování Pohyb v … na Orientace v….</t>
  </si>
  <si>
    <t xml:space="preserve">     - zrušení dovednosti Pohyb ve městě</t>
  </si>
  <si>
    <t xml:space="preserve">     - zrušení dovednosti Orientace (podle hvězd)</t>
  </si>
  <si>
    <t xml:space="preserve">     - úprava tabulky Orientace v… (z hlediska dopadu na rychlost)</t>
  </si>
  <si>
    <t xml:space="preserve">     - změna vlastnosti (z OBR na SIL) u Orientace v lese</t>
  </si>
  <si>
    <t>1) V listu Tabulky přidán vzoreček do buňky P57 (dávala špatnou hodnotu při kladné veverce Profesní znalost)</t>
  </si>
  <si>
    <t>2) Opraven přírůstek životů u zaklínače od 10 úr. (2 ne 1)</t>
  </si>
  <si>
    <t>3) Doplněny vzorce i do 5. a 6. tabulky zbraní (dříve bez vzorců)</t>
  </si>
  <si>
    <t>Zaklínačský přívěšek</t>
  </si>
  <si>
    <t>4) Do zvláštního vybavení doplněn zaklínačský přívěšek</t>
  </si>
  <si>
    <t>5) Náročnost Proutkařství opravena na lehká (v souladu se změnami u Dovedností)</t>
  </si>
  <si>
    <t>Volby</t>
  </si>
  <si>
    <t>Charakter ovlivněný přesvědčením</t>
  </si>
  <si>
    <t>Věrný</t>
  </si>
  <si>
    <t>Odvážný</t>
  </si>
  <si>
    <t>Šílený</t>
  </si>
  <si>
    <t>Nepřátelský</t>
  </si>
  <si>
    <t>Ziskuchtivý</t>
  </si>
  <si>
    <t>Popudlivý</t>
  </si>
  <si>
    <t>Ochotný</t>
  </si>
  <si>
    <t>Oddaný</t>
  </si>
  <si>
    <t>Zmatkář</t>
  </si>
  <si>
    <t>Pravdomluvný</t>
  </si>
  <si>
    <t>7) První sloupec vlastností v Charakteru postavy (list 2-Postava) vychází ze zvoleného přesvědčení (nabídka se mění po zvolení přesvědčení)</t>
  </si>
  <si>
    <r>
      <t xml:space="preserve">Verze 03: Změny od minulé verze </t>
    </r>
    <r>
      <rPr>
        <sz val="11"/>
        <color theme="1"/>
        <rFont val="Calibri"/>
        <family val="2"/>
        <charset val="238"/>
        <scheme val="minor"/>
      </rPr>
      <t>(2016_v02)</t>
    </r>
  </si>
  <si>
    <r>
      <t xml:space="preserve">Verze 02: Změny od minulé verze </t>
    </r>
    <r>
      <rPr>
        <sz val="11"/>
        <color theme="1"/>
        <rFont val="Calibri"/>
        <family val="2"/>
        <charset val="238"/>
        <scheme val="minor"/>
      </rPr>
      <t>(2016)</t>
    </r>
  </si>
  <si>
    <t>8) Pro vyjmenovaná povolání opravena obtížnost dovednosti Drakomluva</t>
  </si>
  <si>
    <t>10) Pro kentaura zvýšena nosnost (x4, dle tabulky Tvorba postavy)</t>
  </si>
  <si>
    <t>9) Ve výpočtu rychlosti zohledněna rasa (Kroll, Khajit, Hobit, aj.)</t>
  </si>
  <si>
    <t>6) V listu Dovednosti doplněn chybějící vzorec do buňky H22</t>
  </si>
  <si>
    <t>11) Do datové tabulky zbrojí doplněn prázdný řádek (umožňující výpočet i v případě, že nemá žádnou zbroj)</t>
  </si>
  <si>
    <r>
      <t xml:space="preserve">Verze 04: Změny od minulé verze </t>
    </r>
    <r>
      <rPr>
        <sz val="11"/>
        <color theme="1"/>
        <rFont val="Calibri"/>
        <family val="2"/>
        <charset val="238"/>
        <scheme val="minor"/>
      </rPr>
      <t>(2016_v03)</t>
    </r>
  </si>
  <si>
    <t>Silácké řeči</t>
  </si>
  <si>
    <t>1) Opravena INI u sudlice (z -1 na 0) v listu 1 (Vzhled a boj) na BQ79</t>
  </si>
  <si>
    <t>2) Opraven přírustek životů pro paladina a stopaře od 10. úrovně (2 ne 1)</t>
  </si>
  <si>
    <t xml:space="preserve">3) V listu Vzhled a boj opraven součet v buňce K12 (nepočítala hmotnost veškeré zbroje). </t>
  </si>
  <si>
    <t>4) Opraveny parametry druidské hole</t>
  </si>
  <si>
    <t>5) Opraveny odkazy na zbraně v bojových tabulkách (Síla se nepočítá do ZZ u kuší, deník počítal u jiných zbraní - tesák, válečná sekera, dlouhý skládaný luk, kyj)</t>
  </si>
  <si>
    <t>OU</t>
  </si>
  <si>
    <t>Schopnosti</t>
  </si>
  <si>
    <t>6) Upraven list Úsporný tisk</t>
  </si>
  <si>
    <t>7) V tabulce atletiky, dějepravy a nosičství vymazána hvězdička za "Dokonale" (nepočítalo v odkazech)</t>
  </si>
  <si>
    <t>8) Opraveno ZZ u těžkého kyje (z 11 na 10)</t>
  </si>
  <si>
    <t>9) V Tvorbě postavy rozšířen výběr u duálního povolání o ženské ekvivalenty povolání</t>
  </si>
  <si>
    <t>Obr 2hlavý</t>
  </si>
  <si>
    <t>11) Oprava názvu "theurgyně" na "theurgika" v listu Povolání</t>
  </si>
  <si>
    <t>Potlačení bolesti</t>
  </si>
  <si>
    <t>12) Doplnění dovednosti Náboženství, přejmenování dovednosti Odolnost proti bolesti na Potlačování bolesti</t>
  </si>
  <si>
    <t>Základní dovedností dle abecedy</t>
  </si>
  <si>
    <t>13) Rozdělení dovedností na základní (předvyplněny v tabulce) a doplňkové (volí si)</t>
  </si>
  <si>
    <t>Dov. + ODL</t>
  </si>
  <si>
    <t>Mez vyř.</t>
  </si>
  <si>
    <t>Postihy</t>
  </si>
  <si>
    <t>1/4</t>
  </si>
  <si>
    <t>1/5</t>
  </si>
  <si>
    <t>1/6</t>
  </si>
  <si>
    <t>1 až 4</t>
  </si>
  <si>
    <t>1/8</t>
  </si>
  <si>
    <t>5 až 8</t>
  </si>
  <si>
    <t>1/10</t>
  </si>
  <si>
    <t xml:space="preserve"> 9+</t>
  </si>
  <si>
    <t>1/100</t>
  </si>
  <si>
    <t>14) Opravena mez vyřazení a postih za méně než 1/3 žt podle zvládnutí dovednosti Potlačení bolesti</t>
  </si>
  <si>
    <t>Uctívaní bohové</t>
  </si>
  <si>
    <t>Běžná jména</t>
  </si>
  <si>
    <t>Elfové</t>
  </si>
  <si>
    <t>Trpaslíci</t>
  </si>
  <si>
    <t>Drowové</t>
  </si>
  <si>
    <t>Kár</t>
  </si>
  <si>
    <t>Elbereth</t>
  </si>
  <si>
    <t>Varda</t>
  </si>
  <si>
    <t>Bohyně moudrosti</t>
  </si>
  <si>
    <t>Dardragon</t>
  </si>
  <si>
    <t>Gorthaur</t>
  </si>
  <si>
    <t>Bůh chaosu</t>
  </si>
  <si>
    <t>Freya</t>
  </si>
  <si>
    <t>Eilistraee</t>
  </si>
  <si>
    <t>Vána</t>
  </si>
  <si>
    <t>Beltinie</t>
  </si>
  <si>
    <t>Bohyně lásky</t>
  </si>
  <si>
    <t>Estë</t>
  </si>
  <si>
    <t>Brigid</t>
  </si>
  <si>
    <t>Bohyně léčitelka</t>
  </si>
  <si>
    <t>Aldaron</t>
  </si>
  <si>
    <t>Oromë</t>
  </si>
  <si>
    <t>Tauron</t>
  </si>
  <si>
    <t>Dryas</t>
  </si>
  <si>
    <t>Bůh zvěře a lovu</t>
  </si>
  <si>
    <t>Ulmo</t>
  </si>
  <si>
    <t>Bůh  moří</t>
  </si>
  <si>
    <t>Manwë</t>
  </si>
  <si>
    <t>Bronteus</t>
  </si>
  <si>
    <t>Sůlimo</t>
  </si>
  <si>
    <t>Bůh nebes a vládce bohů</t>
  </si>
  <si>
    <t>Gilanar</t>
  </si>
  <si>
    <t>Valadorn</t>
  </si>
  <si>
    <t>Bůh ochránce</t>
  </si>
  <si>
    <t>Kementári</t>
  </si>
  <si>
    <t>Yavana</t>
  </si>
  <si>
    <t>Mud</t>
  </si>
  <si>
    <t>Bohyně plodnosti a úrody</t>
  </si>
  <si>
    <t>Mandos</t>
  </si>
  <si>
    <t>Bůh podsvětí</t>
  </si>
  <si>
    <t>Veles</t>
  </si>
  <si>
    <t>Silvanus</t>
  </si>
  <si>
    <t>Bůh pastevec</t>
  </si>
  <si>
    <t>Agelaos</t>
  </si>
  <si>
    <t>Tane</t>
  </si>
  <si>
    <t>Aulë</t>
  </si>
  <si>
    <t>Bůh řemesel</t>
  </si>
  <si>
    <t>Vása</t>
  </si>
  <si>
    <t>Baldr</t>
  </si>
  <si>
    <t>Bůh slunce a ohně</t>
  </si>
  <si>
    <t>Haleos</t>
  </si>
  <si>
    <t>Adrasteia</t>
  </si>
  <si>
    <t>Niena</t>
  </si>
  <si>
    <t>Bohyně smrti</t>
  </si>
  <si>
    <t>Vairë</t>
  </si>
  <si>
    <t>Lolth</t>
  </si>
  <si>
    <t>Themis</t>
  </si>
  <si>
    <t>Bohyně soudu a rovnováhy</t>
  </si>
  <si>
    <t>Tulkas</t>
  </si>
  <si>
    <t>Astaldo</t>
  </si>
  <si>
    <t>Teutos</t>
  </si>
  <si>
    <t>Bůh války</t>
  </si>
  <si>
    <t>Bohyně štěstěny</t>
  </si>
  <si>
    <t>Akra</t>
  </si>
  <si>
    <t>Nessa</t>
  </si>
  <si>
    <t>Lórien</t>
  </si>
  <si>
    <t>Eumélos</t>
  </si>
  <si>
    <t>Bůh vína a radosti</t>
  </si>
  <si>
    <t>Eönwë</t>
  </si>
  <si>
    <t>Isildur</t>
  </si>
  <si>
    <t>Posel Mud</t>
  </si>
  <si>
    <t>Posel bohů</t>
  </si>
  <si>
    <t>Melkor</t>
  </si>
  <si>
    <t>Morgoth</t>
  </si>
  <si>
    <t>Mortan</t>
  </si>
  <si>
    <t>Nepřítel bohů, pán pekel</t>
  </si>
  <si>
    <t>Bohyně ničitelka, matka démonů</t>
  </si>
  <si>
    <t>Namah</t>
  </si>
  <si>
    <t>Kálí</t>
  </si>
  <si>
    <t>neuctívá žádného z bohů</t>
  </si>
  <si>
    <t>15) Doplněna možnost volby uctívaného boha (vč. jiných jmen u elfů, drowů a trpaslíků) ze seznamu</t>
  </si>
  <si>
    <t>Akrobacie</t>
  </si>
  <si>
    <t>lupič</t>
  </si>
  <si>
    <t>Aktivní kryt</t>
  </si>
  <si>
    <t>Alchymistův společník</t>
  </si>
  <si>
    <t>Volná</t>
  </si>
  <si>
    <t>krysa</t>
  </si>
  <si>
    <t>žába</t>
  </si>
  <si>
    <t>bark</t>
  </si>
  <si>
    <t>vlňáček</t>
  </si>
  <si>
    <t>duh.motýl</t>
  </si>
  <si>
    <t>chezevin</t>
  </si>
  <si>
    <t>Aura klidu</t>
  </si>
  <si>
    <t>vědma</t>
  </si>
  <si>
    <t>Aura smrti</t>
  </si>
  <si>
    <t>nekromant</t>
  </si>
  <si>
    <t>temný mág</t>
  </si>
  <si>
    <t>žoldnéř</t>
  </si>
  <si>
    <t>Bleskové reakce</t>
  </si>
  <si>
    <t>Boj beze zbroje</t>
  </si>
  <si>
    <t>Boj obouruč</t>
  </si>
  <si>
    <t>bojovník</t>
  </si>
  <si>
    <t>ZZ +1</t>
  </si>
  <si>
    <t>ZZ +2</t>
  </si>
  <si>
    <t>ÚČ +1, ZZ +3</t>
  </si>
  <si>
    <t>Boj proti nemrtvým</t>
  </si>
  <si>
    <t>ÚČ +1</t>
  </si>
  <si>
    <t>ÚČ+1,ZZ+1</t>
  </si>
  <si>
    <t>ÚČ+2,ZZ+1,OČ+1</t>
  </si>
  <si>
    <t>ÚČ+2,ZZ+2,OČ+1</t>
  </si>
  <si>
    <t>Boj proti zvířatům</t>
  </si>
  <si>
    <t>šinobi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</si>
  <si>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</si>
  <si>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</si>
  <si>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</si>
  <si>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</si>
  <si>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</si>
  <si>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</si>
  <si>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</si>
  <si>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</si>
  <si>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</si>
  <si>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</si>
  <si>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</si>
  <si>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</si>
  <si>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Převodník povolání</t>
  </si>
  <si>
    <t>Boj před publikem</t>
  </si>
  <si>
    <t>rytíř</t>
  </si>
  <si>
    <t>paladin</t>
  </si>
  <si>
    <t>pyrofor</t>
  </si>
  <si>
    <t>šaman</t>
  </si>
  <si>
    <t>theurg</t>
  </si>
  <si>
    <t>zaklínač</t>
  </si>
  <si>
    <t>bard</t>
  </si>
  <si>
    <t>šermíř</t>
  </si>
  <si>
    <t>kněz</t>
  </si>
  <si>
    <t>démonik</t>
  </si>
  <si>
    <t>Boj s netvory</t>
  </si>
  <si>
    <t>ÚČ+1,ZZ+1,OČ+1</t>
  </si>
  <si>
    <t>ÚČ+2,ZZ+2,OČ+2</t>
  </si>
  <si>
    <t>Boj s pláštěm</t>
  </si>
  <si>
    <t>OZ +2</t>
  </si>
  <si>
    <t>OZ +3</t>
  </si>
  <si>
    <t>OZ +4</t>
  </si>
  <si>
    <t>Boj v sedle</t>
  </si>
  <si>
    <t>ÚČ+1,OČ+1</t>
  </si>
  <si>
    <t>Bojové umění</t>
  </si>
  <si>
    <t>INI +1</t>
  </si>
  <si>
    <t>INI +2</t>
  </si>
  <si>
    <t>INI +3</t>
  </si>
  <si>
    <t>INI +4</t>
  </si>
  <si>
    <t>INI +5</t>
  </si>
  <si>
    <t>INI +6</t>
  </si>
  <si>
    <t>INI +7</t>
  </si>
  <si>
    <t>INI +8</t>
  </si>
  <si>
    <t>INI +9</t>
  </si>
  <si>
    <t>Bojové zvíře</t>
  </si>
  <si>
    <t>boj. pes</t>
  </si>
  <si>
    <t>boj. puma</t>
  </si>
  <si>
    <t>boj. l. vlk</t>
  </si>
  <si>
    <t>Bojový amulet</t>
  </si>
  <si>
    <t>2 mg</t>
  </si>
  <si>
    <t>3 mg</t>
  </si>
  <si>
    <t>6 mg</t>
  </si>
  <si>
    <t>8 mg</t>
  </si>
  <si>
    <t>10 mg</t>
  </si>
  <si>
    <t>12 mg</t>
  </si>
  <si>
    <t>14 mg</t>
  </si>
  <si>
    <t>16 mg</t>
  </si>
  <si>
    <t>18 mg</t>
  </si>
  <si>
    <t>7 mg</t>
  </si>
  <si>
    <t>15 mg</t>
  </si>
  <si>
    <t>21 mg</t>
  </si>
  <si>
    <t>24 mg</t>
  </si>
  <si>
    <t>Schopnosti vybraného povolání</t>
  </si>
  <si>
    <t>Budování sítě</t>
  </si>
  <si>
    <t>P13</t>
  </si>
  <si>
    <t>P14</t>
  </si>
  <si>
    <t>P15</t>
  </si>
  <si>
    <t>Bylinková zahrádka</t>
  </si>
  <si>
    <t>P0</t>
  </si>
  <si>
    <t>Cílené studium</t>
  </si>
  <si>
    <t>čaroděj</t>
  </si>
  <si>
    <t>o 1</t>
  </si>
  <si>
    <t>Čarodějova hůl</t>
  </si>
  <si>
    <t>Čerpání z anomálií</t>
  </si>
  <si>
    <t>ANO</t>
  </si>
  <si>
    <t>runový mág</t>
  </si>
  <si>
    <t>Čerpání z lesů</t>
  </si>
  <si>
    <t>druid</t>
  </si>
  <si>
    <t>Čerpání z mysli</t>
  </si>
  <si>
    <t>Čerpání z odříkání</t>
  </si>
  <si>
    <t>Čerpání z relikvií</t>
  </si>
  <si>
    <t>Čerpání z rituálů Temnoty</t>
  </si>
  <si>
    <t>Čerpání z rostlin</t>
  </si>
  <si>
    <t>Čerpání z těla</t>
  </si>
  <si>
    <t>Čerpání z vody</t>
  </si>
  <si>
    <t>Čerpání z živočichů</t>
  </si>
  <si>
    <t>Čerpání ze siločar</t>
  </si>
  <si>
    <t>Čerpání ze vzduchu</t>
  </si>
  <si>
    <t>Čerpání ze zloby</t>
  </si>
  <si>
    <t>Členství v řádu</t>
  </si>
  <si>
    <t>novic</t>
  </si>
  <si>
    <t>panoš</t>
  </si>
  <si>
    <t>zbrojný r.</t>
  </si>
  <si>
    <t>řadový r.</t>
  </si>
  <si>
    <t>starší ř.</t>
  </si>
  <si>
    <t>mistr řádu</t>
  </si>
  <si>
    <t>komtur</t>
  </si>
  <si>
    <t>velmistr</t>
  </si>
  <si>
    <t>Členství v řádu+</t>
  </si>
  <si>
    <t>Dary lesa</t>
  </si>
  <si>
    <t>Defenzivní boj</t>
  </si>
  <si>
    <t>OZ +1</t>
  </si>
  <si>
    <t>Démonická kouzla</t>
  </si>
  <si>
    <t>Destilace magenergie</t>
  </si>
  <si>
    <t>4xZRČ+</t>
  </si>
  <si>
    <t>6xZRČ+</t>
  </si>
  <si>
    <t>8xZRČ+</t>
  </si>
  <si>
    <t>10xZRČ+</t>
  </si>
  <si>
    <t>Detekce démonů</t>
  </si>
  <si>
    <t xml:space="preserve"> -10 a méně</t>
  </si>
  <si>
    <t xml:space="preserve"> -9 až -5</t>
  </si>
  <si>
    <t xml:space="preserve"> -4 až 0</t>
  </si>
  <si>
    <t>Marnivý</t>
  </si>
  <si>
    <t>Puntičkář</t>
  </si>
  <si>
    <t>Každodenní péče o vzhled</t>
  </si>
  <si>
    <t>Ničení přírody</t>
  </si>
  <si>
    <t>Děti</t>
  </si>
  <si>
    <t>Móda a doplňky</t>
  </si>
  <si>
    <t>Divokost</t>
  </si>
  <si>
    <t>Domobrana</t>
  </si>
  <si>
    <t>Doplňování surovin</t>
  </si>
  <si>
    <t>Drakobijectví</t>
  </si>
  <si>
    <t>Maximální znalost dovedností u jednotlivých povolání</t>
  </si>
  <si>
    <t>MAX 1</t>
  </si>
  <si>
    <t>Možná znalost</t>
  </si>
  <si>
    <t>MAX 2</t>
  </si>
  <si>
    <t>Rodové zvýhodnění</t>
  </si>
  <si>
    <t>16) Doplněna kontrola na maximální možné zvládnutí dovedností (v závislosti na povolání), včetně zohlednění rodových zbraní</t>
  </si>
  <si>
    <t>Drcení kostí</t>
  </si>
  <si>
    <t>Druidská magie</t>
  </si>
  <si>
    <t>Drtivost</t>
  </si>
  <si>
    <t>Experimenty s lektvary</t>
  </si>
  <si>
    <t>Extrakce přírodních jedů</t>
  </si>
  <si>
    <t>Hledání skrytého</t>
  </si>
  <si>
    <t>Hlídka</t>
  </si>
  <si>
    <t>Hudební zdatnost</t>
  </si>
  <si>
    <t>Chrabrost</t>
  </si>
  <si>
    <t>Ideál</t>
  </si>
  <si>
    <t>Imunita</t>
  </si>
  <si>
    <t>Infiltrace</t>
  </si>
  <si>
    <t>Imitace hlasu</t>
  </si>
  <si>
    <t>Kapsářství</t>
  </si>
  <si>
    <t>Kombinace démonů</t>
  </si>
  <si>
    <t>st. I a II</t>
  </si>
  <si>
    <t>st. až IV</t>
  </si>
  <si>
    <t>st. až VI</t>
  </si>
  <si>
    <t>st. až VII</t>
  </si>
  <si>
    <t>Kouzelnická hůl</t>
  </si>
  <si>
    <t>Komunikace se zvířaty</t>
  </si>
  <si>
    <t>Kouzla luku</t>
  </si>
  <si>
    <t>4 mg</t>
  </si>
  <si>
    <t>20 mg</t>
  </si>
  <si>
    <t>32 mg</t>
  </si>
  <si>
    <t>28 mg</t>
  </si>
  <si>
    <t>Krocení démonů</t>
  </si>
  <si>
    <t>Krotitelství</t>
  </si>
  <si>
    <t>+1; 1 spol.</t>
  </si>
  <si>
    <t>+2; 1 spol.</t>
  </si>
  <si>
    <t>+2; 2 spol.</t>
  </si>
  <si>
    <t>+3; 2 spol.</t>
  </si>
  <si>
    <t>+4; 2 spol.</t>
  </si>
  <si>
    <t>+4; 3 spol.</t>
  </si>
  <si>
    <t>+5; 3 spol.</t>
  </si>
  <si>
    <t>+5; 4 spol.</t>
  </si>
  <si>
    <t>Krvavá magie</t>
  </si>
  <si>
    <t>Krysařství</t>
  </si>
  <si>
    <t>Kung Fu</t>
  </si>
  <si>
    <t>Lámání kleteb a prokletí</t>
  </si>
  <si>
    <t>Láska boží</t>
  </si>
  <si>
    <t>Hněv boží</t>
  </si>
  <si>
    <t>Léčba cizích zranění</t>
  </si>
  <si>
    <t>3;3x/den</t>
  </si>
  <si>
    <t>Léčba vlastních zranění</t>
  </si>
  <si>
    <t>Léčitelská hůl</t>
  </si>
  <si>
    <t>Léčitelská magie</t>
  </si>
  <si>
    <t>Léčitelství</t>
  </si>
  <si>
    <t>Let na koštěti</t>
  </si>
  <si>
    <t>8 km/h.</t>
  </si>
  <si>
    <t>50 km/h.</t>
  </si>
  <si>
    <t>16 km/h.</t>
  </si>
  <si>
    <t>25 km/h.</t>
  </si>
  <si>
    <t>32 km/h.</t>
  </si>
  <si>
    <t>40 km/h.</t>
  </si>
  <si>
    <t>Líčení pastí</t>
  </si>
  <si>
    <t>Lov</t>
  </si>
  <si>
    <t>Lučba</t>
  </si>
  <si>
    <t>Lučba 2</t>
  </si>
  <si>
    <t>Lučba 2 - Bomby</t>
  </si>
  <si>
    <t>Lučba: Kouzel.předměty 1</t>
  </si>
  <si>
    <t>Lučba 2: Kouzel.předměty 1</t>
  </si>
  <si>
    <t>Lučba 2: Jedy 2</t>
  </si>
  <si>
    <t>Lučba 2: Jedy 3</t>
  </si>
  <si>
    <t>Lučba: Kouzelné prsteny</t>
  </si>
  <si>
    <t>Lučba 2: Kouzelné prsteny</t>
  </si>
  <si>
    <t>Lučba: Kouzel.předměty 2</t>
  </si>
  <si>
    <t>Lučba 2: Kouzel.předměty 2</t>
  </si>
  <si>
    <t>Lučba 2: Kouzel.předměty 3</t>
  </si>
  <si>
    <t>Lučba: Lektvary 1</t>
  </si>
  <si>
    <t>Lučba: Lektvary 2</t>
  </si>
  <si>
    <t>Lučba 2: Lektvary 2</t>
  </si>
  <si>
    <t>Lučba: Lektvary 3</t>
  </si>
  <si>
    <t>Lučba 2: Lektvary 3</t>
  </si>
  <si>
    <t>Lučba: Lektvary 4</t>
  </si>
  <si>
    <t>Lučba: Lektvary 5</t>
  </si>
  <si>
    <t>Lučba 2: Lektvary 6</t>
  </si>
  <si>
    <t>Lučba: Ochranné svitky</t>
  </si>
  <si>
    <t>Lučba 2: Opiáty</t>
  </si>
  <si>
    <t>Lučba: Opiáty</t>
  </si>
  <si>
    <t>Lučba: Parfémy</t>
  </si>
  <si>
    <t>Lučba: Pasti 1</t>
  </si>
  <si>
    <t>Lučba 2: Pasti 1</t>
  </si>
  <si>
    <t>Lučba: Pasti 2</t>
  </si>
  <si>
    <t>Lučba 2: Pasti 2</t>
  </si>
  <si>
    <t>Lučba: Pasti 3</t>
  </si>
  <si>
    <t>Lučba 2: Pasti 4</t>
  </si>
  <si>
    <t>Lučba: Pomůcky</t>
  </si>
  <si>
    <t>Lučba 2: Posilující svitky</t>
  </si>
  <si>
    <t>Lučba 2: Prsteny moci</t>
  </si>
  <si>
    <t>Lučba: Rachejtle</t>
  </si>
  <si>
    <t>Lučba 2: Talismany 1</t>
  </si>
  <si>
    <t>Lučba: Talismany 1</t>
  </si>
  <si>
    <t>Lučba 2: Talismany 2</t>
  </si>
  <si>
    <t>Lučba 2: Talismany 3</t>
  </si>
  <si>
    <t>Lučba: Výbušniny</t>
  </si>
  <si>
    <t>Lučba 2: Vzdušná torpéda</t>
  </si>
  <si>
    <t>Lučba: Zaklínání duchů 1</t>
  </si>
  <si>
    <t>Lučba: Zaklínání duchů 2</t>
  </si>
  <si>
    <t>Lučba 2: Zaklínání duchů 3</t>
  </si>
  <si>
    <t>Magická znalost</t>
  </si>
  <si>
    <t>Magické tetování</t>
  </si>
  <si>
    <t>Magický společník</t>
  </si>
  <si>
    <t>Magický společník 2</t>
  </si>
  <si>
    <t>Masti a lektvary</t>
  </si>
  <si>
    <t>Matení nepřítele</t>
  </si>
  <si>
    <t>Út+3/2,OZ+4</t>
  </si>
  <si>
    <t>Út+3/2,OZ+5</t>
  </si>
  <si>
    <t>Út+4/2,OZ+6</t>
  </si>
  <si>
    <t>Mistr.boj s kopím na zemi</t>
  </si>
  <si>
    <t>Mentální vlna</t>
  </si>
  <si>
    <t>1 cíl</t>
  </si>
  <si>
    <t>přímka</t>
  </si>
  <si>
    <t>60 st.</t>
  </si>
  <si>
    <t>okruh</t>
  </si>
  <si>
    <t>Míchání jedů</t>
  </si>
  <si>
    <t>Mistrovský boj s dl. holí</t>
  </si>
  <si>
    <t>Mistrovský boj s dl.meči</t>
  </si>
  <si>
    <t>Mistr.boj s foukačkou</t>
  </si>
  <si>
    <t>Mistr.boj s kladivy a palcáty</t>
  </si>
  <si>
    <t>Mistr.boj s kr. holí</t>
  </si>
  <si>
    <t>Mistr.boj s kr. meči</t>
  </si>
  <si>
    <t>Mistr.boj s kyji</t>
  </si>
  <si>
    <t>Mistr.boj s pláštěm</t>
  </si>
  <si>
    <t>Mistr.boj s velkými štíty</t>
  </si>
  <si>
    <t>Mistr.boj se sekerami</t>
  </si>
  <si>
    <t>Mistr.boj se stř. štíty</t>
  </si>
  <si>
    <t>Mistrovské odstřelovačství</t>
  </si>
  <si>
    <t>Mistrovský útěk</t>
  </si>
  <si>
    <t>RCH +1</t>
  </si>
  <si>
    <t>RCH +2</t>
  </si>
  <si>
    <t>RCH +3</t>
  </si>
  <si>
    <t>Mluvení se stromy</t>
  </si>
  <si>
    <t>Moc víry</t>
  </si>
  <si>
    <t>Modifikace kouzel</t>
  </si>
  <si>
    <t>Past 10</t>
  </si>
  <si>
    <t>Past 8</t>
  </si>
  <si>
    <t>Naslouchání kouzlům</t>
  </si>
  <si>
    <t>Nečitelnost</t>
  </si>
  <si>
    <t>Neodhalitelnost</t>
  </si>
  <si>
    <t>Neovlivnitelnost</t>
  </si>
  <si>
    <t>Neškodný vzhled</t>
  </si>
  <si>
    <t>NBZ -1</t>
  </si>
  <si>
    <t>NBZ -2</t>
  </si>
  <si>
    <t>NBZ -3</t>
  </si>
  <si>
    <t>Nezdolnost</t>
  </si>
  <si>
    <t>Odborné poutání</t>
  </si>
  <si>
    <t>Odevzdání se bohu</t>
  </si>
  <si>
    <t>Odhad hodnoty pokladu</t>
  </si>
  <si>
    <t>Odhad nepřítele</t>
  </si>
  <si>
    <t>Odhad úmyslu</t>
  </si>
  <si>
    <t>Odhad zbraně</t>
  </si>
  <si>
    <t>Odhad životnosti výbušnin</t>
  </si>
  <si>
    <t>Odhalování padělků</t>
  </si>
  <si>
    <t>Odhalování převleků</t>
  </si>
  <si>
    <t>Odolnost smyslů</t>
  </si>
  <si>
    <t>Odolnost vůči jedům</t>
  </si>
  <si>
    <t>36%</t>
  </si>
  <si>
    <t>žvtsch 12</t>
  </si>
  <si>
    <t>max 1</t>
  </si>
  <si>
    <t>Odvracení démonů</t>
  </si>
  <si>
    <t>Odvracení nemrvých</t>
  </si>
  <si>
    <t>Odvracení neviděných</t>
  </si>
  <si>
    <t>Odvracení zvířat</t>
  </si>
  <si>
    <t>Odhad povahy</t>
  </si>
  <si>
    <t>Past 11</t>
  </si>
  <si>
    <t>Past 9</t>
  </si>
  <si>
    <t>Odhad úrovně</t>
  </si>
  <si>
    <t>Odříkání a sebemrskačství</t>
  </si>
  <si>
    <t>Ochočování jedov. tvorů</t>
  </si>
  <si>
    <t>Odvracení živlů</t>
  </si>
  <si>
    <t>Ohebnost</t>
  </si>
  <si>
    <t>Ohlušení</t>
  </si>
  <si>
    <t>Ochrana druhých</t>
  </si>
  <si>
    <t>2 ochrany</t>
  </si>
  <si>
    <t>3 ochrany</t>
  </si>
  <si>
    <t>4 ochrany</t>
  </si>
  <si>
    <t>5 ochran</t>
  </si>
  <si>
    <t>7 ochran</t>
  </si>
  <si>
    <t>Ochrana před černou mag.</t>
  </si>
  <si>
    <t>Ochrana před chaosem</t>
  </si>
  <si>
    <t>KZ +1</t>
  </si>
  <si>
    <t>KZ +2</t>
  </si>
  <si>
    <t>KZ +3</t>
  </si>
  <si>
    <t>KZ +5</t>
  </si>
  <si>
    <t>Ochrana před ohněm</t>
  </si>
  <si>
    <t>-1 žt</t>
  </si>
  <si>
    <t>-2 žt</t>
  </si>
  <si>
    <t>-3 žt</t>
  </si>
  <si>
    <t>Ochrana před zlem</t>
  </si>
  <si>
    <t>Ochrana sfér</t>
  </si>
  <si>
    <t>OČ +1</t>
  </si>
  <si>
    <t>OČ +2</t>
  </si>
  <si>
    <t>OČ +3</t>
  </si>
  <si>
    <t>OČ +4</t>
  </si>
  <si>
    <t>OČ +5</t>
  </si>
  <si>
    <t>Omráčení</t>
  </si>
  <si>
    <t>Osvojení si kouzel</t>
  </si>
  <si>
    <t>max. st. 2</t>
  </si>
  <si>
    <t>max. st. 4</t>
  </si>
  <si>
    <t>max. st. 6</t>
  </si>
  <si>
    <t>max. st. 7</t>
  </si>
  <si>
    <t>libovolné</t>
  </si>
  <si>
    <t>Otvírání zámků</t>
  </si>
  <si>
    <t>Otvírání zámků 2</t>
  </si>
  <si>
    <t>+9</t>
  </si>
  <si>
    <t>Ovládání biče</t>
  </si>
  <si>
    <t>Ovládání Klíče</t>
  </si>
  <si>
    <t>Ovládání nemrtvých</t>
  </si>
  <si>
    <t>1/3</t>
  </si>
  <si>
    <t>Pletení bičů</t>
  </si>
  <si>
    <t>10 m</t>
  </si>
  <si>
    <t>20 m</t>
  </si>
  <si>
    <t>40 m</t>
  </si>
  <si>
    <t>70 m</t>
  </si>
  <si>
    <t>100 m</t>
  </si>
  <si>
    <t>150 m</t>
  </si>
  <si>
    <t>Podrobování nemrtvých</t>
  </si>
  <si>
    <t>Pohyb v ekosystému</t>
  </si>
  <si>
    <t>Pohyb ve stínech</t>
  </si>
  <si>
    <t>Pokr.boj 2 zbraněmi</t>
  </si>
  <si>
    <t>OZ+1</t>
  </si>
  <si>
    <t>Út+1/0,OZ+1</t>
  </si>
  <si>
    <t>Út+1/1,OZ+2</t>
  </si>
  <si>
    <t>Út+2/1,OZ+3</t>
  </si>
  <si>
    <t>Út+2/2,OZ+4</t>
  </si>
  <si>
    <t>Pokr.boj beze zbraně</t>
  </si>
  <si>
    <t>Pokr.boj s holí</t>
  </si>
  <si>
    <t>Pokr.boj s jednoruč. meči</t>
  </si>
  <si>
    <t>ÚČ+1,OZ+1</t>
  </si>
  <si>
    <t>Út+1/1</t>
  </si>
  <si>
    <t>Pokr.boj s obour.mečem</t>
  </si>
  <si>
    <t>Pokr.boj s trojzub.a kopím</t>
  </si>
  <si>
    <t>Pokr.boj s vrh. zbraněmi</t>
  </si>
  <si>
    <t>Pokr.boj se štíty</t>
  </si>
  <si>
    <t>Posílená tvorba iluzí</t>
  </si>
  <si>
    <t>Past +1</t>
  </si>
  <si>
    <t>Past +2</t>
  </si>
  <si>
    <t>Past +3</t>
  </si>
  <si>
    <t>Past +4</t>
  </si>
  <si>
    <t>Posílené kletby</t>
  </si>
  <si>
    <t>Posílené psych.působení</t>
  </si>
  <si>
    <t>Posilování nemrtvých</t>
  </si>
  <si>
    <t>Posilování schopn. Sítě</t>
  </si>
  <si>
    <t>Povely</t>
  </si>
  <si>
    <t>Povolávání démonů</t>
  </si>
  <si>
    <t>Povýšení</t>
  </si>
  <si>
    <t>Povýšení +</t>
  </si>
  <si>
    <t>Přesvědčivá argumentace</t>
  </si>
  <si>
    <t>Převleky,maskování</t>
  </si>
  <si>
    <t>Průraznost</t>
  </si>
  <si>
    <t>+b.úr.</t>
  </si>
  <si>
    <t>Probodnutí zbroje</t>
  </si>
  <si>
    <t>Probuzení a uspání Hvozdu</t>
  </si>
  <si>
    <t>Prodlužování životn.k.p.</t>
  </si>
  <si>
    <t>Předpovídání budoucnosti</t>
  </si>
  <si>
    <t>Přesun</t>
  </si>
  <si>
    <t>Př.vP: Nalezení vody</t>
  </si>
  <si>
    <t>Př.vP: Vábnička</t>
  </si>
  <si>
    <t>Př.vP: Cit země</t>
  </si>
  <si>
    <t>Př.vP: Maskování</t>
  </si>
  <si>
    <t>Př.vP: Cit vody</t>
  </si>
  <si>
    <t>Př.vP: Vytrvalý pochod</t>
  </si>
  <si>
    <t>Psychická odolnost</t>
  </si>
  <si>
    <t>Pyrokineze</t>
  </si>
  <si>
    <t>Rychlá lukostřelba</t>
  </si>
  <si>
    <t>Rychlá lukostřelba 2</t>
  </si>
  <si>
    <t>Rychlý pochod</t>
  </si>
  <si>
    <t>Rozdrcení zla</t>
  </si>
  <si>
    <t>Rozeznání ďáblů</t>
  </si>
  <si>
    <t>Rozeznání podrobení</t>
  </si>
  <si>
    <t>Rozeznání sesíl. kouzla</t>
  </si>
  <si>
    <t>Runová magie</t>
  </si>
  <si>
    <t>Runový náhrdelník</t>
  </si>
  <si>
    <t>Řeč těla</t>
  </si>
  <si>
    <t>Řízení podrobeného těla</t>
  </si>
  <si>
    <t>4 body</t>
  </si>
  <si>
    <t>5 bodů</t>
  </si>
  <si>
    <t>6 bodů</t>
  </si>
  <si>
    <t>8 bodů</t>
  </si>
  <si>
    <t>Sehranost</t>
  </si>
  <si>
    <t>ÚČ+2,OZ+2</t>
  </si>
  <si>
    <t>Sériové útoky</t>
  </si>
  <si>
    <t>Snižování bojovnosti</t>
  </si>
  <si>
    <t>boj. -2</t>
  </si>
  <si>
    <t>boj. -3</t>
  </si>
  <si>
    <t>boj. -4</t>
  </si>
  <si>
    <t>boj. -5</t>
  </si>
  <si>
    <t>boj. -6</t>
  </si>
  <si>
    <t>Soustředění</t>
  </si>
  <si>
    <t>Souznění s přírodou</t>
  </si>
  <si>
    <t>Společník z Chaosu</t>
  </si>
  <si>
    <t>Stínání hlav</t>
  </si>
  <si>
    <t>Stopování</t>
  </si>
  <si>
    <t>Svatá zbroj</t>
  </si>
  <si>
    <t>Svatý symbol</t>
  </si>
  <si>
    <t>Šerm</t>
  </si>
  <si>
    <t>Šestý smysl</t>
  </si>
  <si>
    <t>SMS +1</t>
  </si>
  <si>
    <t>SMS +3</t>
  </si>
  <si>
    <t>Šifrování</t>
  </si>
  <si>
    <t>Štít víry</t>
  </si>
  <si>
    <t>Tahání informací</t>
  </si>
  <si>
    <t>Tanec čepelí</t>
  </si>
  <si>
    <t>Telekineze</t>
  </si>
  <si>
    <t>25</t>
  </si>
  <si>
    <t>50</t>
  </si>
  <si>
    <t>200</t>
  </si>
  <si>
    <t>Telepatie</t>
  </si>
  <si>
    <t>200 m</t>
  </si>
  <si>
    <t>Temná alchymie</t>
  </si>
  <si>
    <t>Tichý pohyb</t>
  </si>
  <si>
    <t>Totem</t>
  </si>
  <si>
    <t>Tranz</t>
  </si>
  <si>
    <t>Truhla</t>
  </si>
  <si>
    <t>Tvorba artefaktů</t>
  </si>
  <si>
    <t>Tvorba nových kouzel</t>
  </si>
  <si>
    <t>Učení se kouzlům</t>
  </si>
  <si>
    <t>Učení se písním</t>
  </si>
  <si>
    <t>Ukrytí se</t>
  </si>
  <si>
    <t>Úprava pasti v kouzle</t>
  </si>
  <si>
    <t>Útěk</t>
  </si>
  <si>
    <t>Vazební kameny</t>
  </si>
  <si>
    <t>Velení jednotlivcům</t>
  </si>
  <si>
    <t>Velení skupině</t>
  </si>
  <si>
    <t>2 útoky</t>
  </si>
  <si>
    <t>3 útoky</t>
  </si>
  <si>
    <t>Vícenásobné útoky</t>
  </si>
  <si>
    <t>Vícenásobné útoky 2</t>
  </si>
  <si>
    <t>Vidění démonů</t>
  </si>
  <si>
    <t>všechny</t>
  </si>
  <si>
    <t>Vidění magenergie</t>
  </si>
  <si>
    <t>Vidění neviděných</t>
  </si>
  <si>
    <t>Vycítění bytosti</t>
  </si>
  <si>
    <t>Vycítění lži</t>
  </si>
  <si>
    <t>Vycítění zla</t>
  </si>
  <si>
    <t>1 směna</t>
  </si>
  <si>
    <t>Vylepšená střelba</t>
  </si>
  <si>
    <t>Vylepšování kuší</t>
  </si>
  <si>
    <t>Vylepšování rachejtlí</t>
  </si>
  <si>
    <t>Vylepš.zákl.nemrtvých</t>
  </si>
  <si>
    <t>Vymítání démonů</t>
  </si>
  <si>
    <t>Vymítání ďáblů</t>
  </si>
  <si>
    <t>Vymýšlení fint</t>
  </si>
  <si>
    <t>Vynalézání</t>
  </si>
  <si>
    <t>Výroba darkerů</t>
  </si>
  <si>
    <t>Výroba golemů</t>
  </si>
  <si>
    <t>Výroba kuší</t>
  </si>
  <si>
    <t>Výroba obléh. strojů</t>
  </si>
  <si>
    <t>Výroba sítí a boj s nimi</t>
  </si>
  <si>
    <t>Vyřazení smyslu</t>
  </si>
  <si>
    <t>Vysávání a předávání</t>
  </si>
  <si>
    <t>Vyvolávání bhutů</t>
  </si>
  <si>
    <t>Vyvolávání ďáblů</t>
  </si>
  <si>
    <t>Vyvolávání elementálů</t>
  </si>
  <si>
    <t>Výzva</t>
  </si>
  <si>
    <t>Zabití</t>
  </si>
  <si>
    <t>+14</t>
  </si>
  <si>
    <t>+16</t>
  </si>
  <si>
    <t>+18</t>
  </si>
  <si>
    <t>Zaklínačská magie</t>
  </si>
  <si>
    <t>Zaklínačské elixíry</t>
  </si>
  <si>
    <t>Zaklínání džinů</t>
  </si>
  <si>
    <t>Zaklínání efreetů</t>
  </si>
  <si>
    <t>Zastrašování 1</t>
  </si>
  <si>
    <t>Zastrašování 2</t>
  </si>
  <si>
    <t>Záznam kouzel do svitků</t>
  </si>
  <si>
    <t>Mg. 3</t>
  </si>
  <si>
    <t>Mg. 8</t>
  </si>
  <si>
    <t>Mg. 30</t>
  </si>
  <si>
    <t>Zápis kouzel do svitku</t>
  </si>
  <si>
    <t>jen st. 1</t>
  </si>
  <si>
    <t>Zastavení cizích kouzel</t>
  </si>
  <si>
    <t>Získání si pozornosti</t>
  </si>
  <si>
    <t>Zkouška trav</t>
  </si>
  <si>
    <t>Znamení Temnoty</t>
  </si>
  <si>
    <t>Zostřené smysly</t>
  </si>
  <si>
    <t>Zrychlené kouzlení</t>
  </si>
  <si>
    <t>Zuřivost</t>
  </si>
  <si>
    <t>Zvířecí metamorfózy</t>
  </si>
  <si>
    <t>Zvířecí společník</t>
  </si>
  <si>
    <t>lovecké</t>
  </si>
  <si>
    <t>válečné</t>
  </si>
  <si>
    <t>dravec</t>
  </si>
  <si>
    <t>bitevní</t>
  </si>
  <si>
    <t>Život na cestách</t>
  </si>
  <si>
    <t>Aktualizuj schopnosti povolání</t>
  </si>
  <si>
    <t>(CTRL+SHIFT+A)</t>
  </si>
  <si>
    <t>Volné schopnosti vybraného povolání</t>
  </si>
  <si>
    <t>Píseň: Budíček</t>
  </si>
  <si>
    <t>Píseň: Nabití energií</t>
  </si>
  <si>
    <t>Píseň: Pochodový krok</t>
  </si>
  <si>
    <t>Píseň: Provokuj</t>
  </si>
  <si>
    <t>Past 13</t>
  </si>
  <si>
    <t>Píseň: Rozrušení</t>
  </si>
  <si>
    <t>Píseň: Soustředění</t>
  </si>
  <si>
    <t>Píseň: Bojový um</t>
  </si>
  <si>
    <t>Píseň: Bujaré veselí</t>
  </si>
  <si>
    <t>Píseň: Uklidnění</t>
  </si>
  <si>
    <t>Píseň: Pravé vidění</t>
  </si>
  <si>
    <t>Píseň: Radost</t>
  </si>
  <si>
    <t>Píseň: Rušení magie</t>
  </si>
  <si>
    <t>Píseň: Sladký spánek</t>
  </si>
  <si>
    <t>Píseň: Smutek</t>
  </si>
  <si>
    <t>Píseň: Snění</t>
  </si>
  <si>
    <t>Píseň: Úspěch</t>
  </si>
  <si>
    <t>Píseň: Vytrvalost</t>
  </si>
  <si>
    <t>Píseň: Hypnóza</t>
  </si>
  <si>
    <t>Píseň: Sugesce</t>
  </si>
  <si>
    <t>Píseň: Zmámení</t>
  </si>
  <si>
    <t>Píseň: Levitace</t>
  </si>
  <si>
    <t>Píseň: Bouře</t>
  </si>
  <si>
    <t>Píseň: Melancholie</t>
  </si>
  <si>
    <t>Píseň: Negace</t>
  </si>
  <si>
    <t>Píseň: Odvrácení zla</t>
  </si>
  <si>
    <t>Píseň: Smíření</t>
  </si>
  <si>
    <t>žvtsch 9</t>
  </si>
  <si>
    <t>žvtsch 15</t>
  </si>
  <si>
    <t>Píseň: Temná zášť</t>
  </si>
  <si>
    <t>Píseň: Únava</t>
  </si>
  <si>
    <t>Píseň: Vláda nad věcmi</t>
  </si>
  <si>
    <t>Píseň: Zmatení</t>
  </si>
  <si>
    <t>Píseň: Vítr</t>
  </si>
  <si>
    <t>Hraničářská kouzla</t>
  </si>
  <si>
    <t>Léčivá kouzla</t>
  </si>
  <si>
    <t>Kouzla pocestných</t>
  </si>
  <si>
    <t>Znamení</t>
  </si>
  <si>
    <t>Psychická kouzla</t>
  </si>
  <si>
    <t>Kouzla Meče 1</t>
  </si>
  <si>
    <t>Kouzla Meče 2</t>
  </si>
  <si>
    <t>Kouzla pocestných 2</t>
  </si>
  <si>
    <t>Útočná kouzla hole</t>
  </si>
  <si>
    <t>Lesní kouzla</t>
  </si>
  <si>
    <t>Kouzla hněvu</t>
  </si>
  <si>
    <t>Kouzla ekosystému</t>
  </si>
  <si>
    <t>Kouzla ublížení</t>
  </si>
  <si>
    <t>Kouzla temných sil</t>
  </si>
  <si>
    <t>Kouzelné plody</t>
  </si>
  <si>
    <t>Kouzla temných sil 2</t>
  </si>
  <si>
    <t xml:space="preserve">       Po výběru schopnosti + stupně znalosti se automaticky doplní poznámka, použitá vlastnost a počet použitých profibodů</t>
  </si>
  <si>
    <t xml:space="preserve">       Doplněna kontrola (barevné upozornění - červeně) na výběr neexistujícího stupně schopnosti</t>
  </si>
  <si>
    <t xml:space="preserve">17) Doplněno makro na výběr schopností pro zvolená povolání (tlačítko nebo klávesová zkratka). </t>
  </si>
  <si>
    <t xml:space="preserve">       Doplněn dynamický rozevírací seznam v tabulce schopností a volných schopností. </t>
  </si>
  <si>
    <t>OZ +7</t>
  </si>
  <si>
    <t>OZ +8</t>
  </si>
  <si>
    <t>OZ +9</t>
  </si>
  <si>
    <t>Út+3/4,OZ+1,INI+1</t>
  </si>
  <si>
    <t>60%</t>
  </si>
  <si>
    <t>Ochočování zvířat</t>
  </si>
  <si>
    <t>Bylinkaření</t>
  </si>
  <si>
    <t>Půlelf</t>
  </si>
  <si>
    <t>18) Doplněn výběr rasy "půlelf" (res. "Půlelf(ka) 1" pro ty, vyrůstající mezi lidmi nebo "Půlefl(ka) 2" pro ty, vyrůstající mezi elfy)</t>
  </si>
  <si>
    <t>Půleflka</t>
  </si>
  <si>
    <t xml:space="preserve">       Nutná korekce 3 náhodně vybraných vlastností dle elfa (pro 1) či člověka (pro 2)</t>
  </si>
  <si>
    <t>10) Ve výpočtu startovní Odolnosti (list PB) zohledněny opravy za rasu</t>
  </si>
  <si>
    <r>
      <t xml:space="preserve">Verze 2017_01: Změny od minulé verze </t>
    </r>
    <r>
      <rPr>
        <sz val="11"/>
        <color theme="1"/>
        <rFont val="Calibri"/>
        <family val="2"/>
        <charset val="238"/>
        <scheme val="minor"/>
      </rPr>
      <t>(2016_v04)</t>
    </r>
  </si>
  <si>
    <t>1) Rodný jazyk je generován automaticky, na základě zvolené rasy (s možností vzorec zrušit výběrem při atypických podmínkách)</t>
  </si>
  <si>
    <t xml:space="preserve">     uvedené. </t>
  </si>
  <si>
    <t>2) V opravě za dovednosti je nově automaticky zohledněna i oprava za rasu, povolání či jiné zvýhodnění v pravidlech pro dovednosti</t>
  </si>
  <si>
    <t xml:space="preserve">3) U schopnosti Bylinkaření se automaticky dopočítává % do poznámky (ale je nutné po každém postupu spustit makro na </t>
  </si>
  <si>
    <t xml:space="preserve">     aktualizaci schopností povolání)</t>
  </si>
  <si>
    <t>1.</t>
  </si>
  <si>
    <t>Amulet-</t>
  </si>
  <si>
    <t xml:space="preserve">Zbraň - </t>
  </si>
  <si>
    <t>Obecná položka</t>
  </si>
  <si>
    <t>Zbraň 1</t>
  </si>
  <si>
    <t>Zbraň 2</t>
  </si>
  <si>
    <t>Zbraň 3</t>
  </si>
  <si>
    <t>Osobní deník - Nesené vybavení a majetek</t>
  </si>
  <si>
    <t>SUM</t>
  </si>
  <si>
    <t>5) Přidán list 7 (Nosič) pro vybavení, které není neseno postavou</t>
  </si>
  <si>
    <t>4) List 4-majetek rozčleněn do sekcí podle umístění vybavení (v každé sekci přístupné pouze logicky možné vybavení)</t>
  </si>
  <si>
    <t>Kynedril</t>
  </si>
  <si>
    <t>Ucpávky do uší</t>
  </si>
  <si>
    <t>Rouška</t>
  </si>
  <si>
    <t>Zvl.předměty</t>
  </si>
  <si>
    <t>Mapa -</t>
  </si>
  <si>
    <t>Dřívka a kameny</t>
  </si>
  <si>
    <t>Flakonek s pískem</t>
  </si>
  <si>
    <t>Rolničky</t>
  </si>
  <si>
    <t>Dubový list</t>
  </si>
  <si>
    <t>Oblázek od moře</t>
  </si>
  <si>
    <t>Medvědí srst</t>
  </si>
  <si>
    <t xml:space="preserve">Kůl dřevěný - </t>
  </si>
  <si>
    <t xml:space="preserve">Šála - </t>
  </si>
  <si>
    <t>Střevíce</t>
  </si>
  <si>
    <t>Bandalír</t>
  </si>
  <si>
    <t>6) Opravena náročnost dovednosti Zpěv na Střední</t>
  </si>
  <si>
    <t>7) V listu 2-Postava opraven vzorec na výpočet rychlosti (vazba na naložení, rozhozená změnou listu 4-majetek)</t>
  </si>
  <si>
    <t>8) Opraven odkaz na hmotnost bot a rukavic v listu 4-majetek</t>
  </si>
  <si>
    <t>9) Doplněna kontrola na přetížení zavazadla na zádech (červeně vytíží nosnost zavazadla)</t>
  </si>
  <si>
    <t>10) U zbraní přidána do vzorce, kdy se hmotnost napočítá možnost "Jinde" (ke stávajícím "Nosič (kůň)" a "Doma")</t>
  </si>
  <si>
    <t>Králičí packa (pro štěstí)</t>
  </si>
  <si>
    <t>Kus provazu oběšence (pro štěstí)</t>
  </si>
  <si>
    <t>11) Bonus na profesníček za Profesní znalost magie se nyní počítá automaticky</t>
  </si>
  <si>
    <t xml:space="preserve">     Taktéž v listu 6-Tabulky opraveny vzorce s vazbou na naložení dle listu 4-majetek</t>
  </si>
  <si>
    <t>12) Vypočtené % bylinkaření se zobrazuje jako % (ne jako desetinné místo)</t>
  </si>
  <si>
    <t>13) Automaticky jsou dopočítány i hodnoty magenergie pro čerpání (na základě hodnot vlastností). Nutné spuštění makra jako u 3)</t>
  </si>
  <si>
    <t>14) V Shopu opraveno zaokrouhlování na celé md</t>
  </si>
  <si>
    <t>OU +1, zbroj 0</t>
  </si>
  <si>
    <t>OU +1, zbroj vycp.</t>
  </si>
  <si>
    <t>OU +2, zbroj vycp.</t>
  </si>
  <si>
    <t>OU +3, zbroj vycp.</t>
  </si>
  <si>
    <t>OU +3, zbroj kož.</t>
  </si>
  <si>
    <t>OU +4, zbroj kož.</t>
  </si>
  <si>
    <t>Past: 10 ~ 0</t>
  </si>
  <si>
    <t>Píseň: Zpomalení</t>
  </si>
  <si>
    <t>OZ+1 (další -1)</t>
  </si>
  <si>
    <t>OZ+2 (další -2)</t>
  </si>
  <si>
    <t>OZ+3 (další -3)</t>
  </si>
  <si>
    <t>OZ+4 (další -4)</t>
  </si>
  <si>
    <t>OZ+5 (další -5)</t>
  </si>
  <si>
    <t>1 akce</t>
  </si>
  <si>
    <t>ÚČ-1,ZZ+1</t>
  </si>
  <si>
    <t>ÚČ-2,ZZ+2</t>
  </si>
  <si>
    <t>ÚČ-3,ZZ+3</t>
  </si>
  <si>
    <t>ÚČ+1,ZZ-1</t>
  </si>
  <si>
    <t>ÚČ+2,ZZ-2</t>
  </si>
  <si>
    <t>ÚČ+3,ZZ-3</t>
  </si>
  <si>
    <t>ÚČ+4,ZZ-4</t>
  </si>
  <si>
    <t>Čest</t>
  </si>
  <si>
    <t>Démoni astrálních sfér</t>
  </si>
  <si>
    <t>Ublížení</t>
  </si>
  <si>
    <t>Démonologie</t>
  </si>
  <si>
    <t>Válečné malování</t>
  </si>
  <si>
    <t>Div.: Válečné malování</t>
  </si>
  <si>
    <t>Div.: Rána z milosti</t>
  </si>
  <si>
    <t>+Rána z milosti</t>
  </si>
  <si>
    <t>+Psych.teror</t>
  </si>
  <si>
    <t>+Spojení rukou</t>
  </si>
  <si>
    <t>+Vysátí jedu</t>
  </si>
  <si>
    <t>+Psych.odolnost</t>
  </si>
  <si>
    <t>Div.: Psychický teror</t>
  </si>
  <si>
    <t>Div.: Spojení rukou</t>
  </si>
  <si>
    <t>Div.: Vysátí jedu</t>
  </si>
  <si>
    <t>Div.: Psychická odolnost</t>
  </si>
  <si>
    <t>Zastrašování +2</t>
  </si>
  <si>
    <t>stín.žt při mučení</t>
  </si>
  <si>
    <t>lze obouruč</t>
  </si>
  <si>
    <t>PM+2, psych.k. +1</t>
  </si>
  <si>
    <t>max. 1. úr.</t>
  </si>
  <si>
    <t>max. 2. úr.</t>
  </si>
  <si>
    <t>max. 3. úr.</t>
  </si>
  <si>
    <t>Sběr I 0 Sur</t>
  </si>
  <si>
    <t>Sběr I 1 Sur</t>
  </si>
  <si>
    <t>Sběr I 2 Sur</t>
  </si>
  <si>
    <t>Sběr I 3 Sur</t>
  </si>
  <si>
    <t>Sběr I 4 Sur</t>
  </si>
  <si>
    <t>Sběr I 5 Sur</t>
  </si>
  <si>
    <t>ZZ+1</t>
  </si>
  <si>
    <t>Út +1/1</t>
  </si>
  <si>
    <t>Druidovy zbraně</t>
  </si>
  <si>
    <t>OZ +1 na hůl</t>
  </si>
  <si>
    <t>+Hraničářská</t>
  </si>
  <si>
    <t>ZZ+1 proti A,B</t>
  </si>
  <si>
    <t>ZZ+2 proti A,B</t>
  </si>
  <si>
    <t>ZZ+3 proti A,B</t>
  </si>
  <si>
    <t>ZZ+b.úr. proti A,B</t>
  </si>
  <si>
    <t>ÚČ +2</t>
  </si>
  <si>
    <t>Hvozd</t>
  </si>
  <si>
    <t>Ideál: Ochranná moc</t>
  </si>
  <si>
    <t>Ideál: Přízeň štěstěny</t>
  </si>
  <si>
    <t>Ideál: Rozeznání klamu</t>
  </si>
  <si>
    <t>Ideál: Velitelská vůle</t>
  </si>
  <si>
    <t>Ideál: Odolání magii</t>
  </si>
  <si>
    <t>Ideál: Vliv ideálu</t>
  </si>
  <si>
    <t>2 hody (1x/den)</t>
  </si>
  <si>
    <t>Iluze +1</t>
  </si>
  <si>
    <t>Velení: ÚČ+1,OČ+1</t>
  </si>
  <si>
    <t>ZTR~8(4)~0</t>
  </si>
  <si>
    <t>nemoci+1</t>
  </si>
  <si>
    <t>nemoc+2,šok+1</t>
  </si>
  <si>
    <t>Kniha kouzel</t>
  </si>
  <si>
    <t>+Čerpání</t>
  </si>
  <si>
    <t>+Schopnosti</t>
  </si>
  <si>
    <t>+Vlastnosti</t>
  </si>
  <si>
    <t>+Kouzlení z krve</t>
  </si>
  <si>
    <t>+Nápravná</t>
  </si>
  <si>
    <t>L: Ošetři lehká zranění</t>
  </si>
  <si>
    <t>L: Neutralizace jedu</t>
  </si>
  <si>
    <t>L: Ošetři těžká zranění</t>
  </si>
  <si>
    <t>L: Vyleč lehkou nemoc</t>
  </si>
  <si>
    <t>1x za sezení</t>
  </si>
  <si>
    <t>Mistrovský boj 2 dýkami</t>
  </si>
  <si>
    <t>Mistrovský boj 2 zbraněmi</t>
  </si>
  <si>
    <t>Mistrovský vrh hvězdic</t>
  </si>
  <si>
    <t>Meditace</t>
  </si>
  <si>
    <t>1sm.+1sm./zdroj</t>
  </si>
  <si>
    <t>INI+1,Út+2/2,OZ+4</t>
  </si>
  <si>
    <t>INI+1,Út+3/2,OZ+4</t>
  </si>
  <si>
    <t>Út+4/2,OZ+4</t>
  </si>
  <si>
    <t>INI+1,Út+2/4,OZ+2</t>
  </si>
  <si>
    <t>INI+1,Út+2/5,OZ+2</t>
  </si>
  <si>
    <t>INI+1,Út+3/6,OZ+2</t>
  </si>
  <si>
    <t>1.OZ+4; 2.OZ+0</t>
  </si>
  <si>
    <t>1.OZ+5; 2.OZ+1</t>
  </si>
  <si>
    <t>1.OZ+5; 2.OZ+2; 3.OZ+0</t>
  </si>
  <si>
    <t>Necropotence magna</t>
  </si>
  <si>
    <t>Odhal.+1, Uzavř.0</t>
  </si>
  <si>
    <t>Odhal.+3, Uzavř.+1</t>
  </si>
  <si>
    <t>Odhal.+4, Uzavř.+2</t>
  </si>
  <si>
    <t>Odhal.+6, Uzavř.+3</t>
  </si>
  <si>
    <t>Odhal.+8, Uzavř.+4</t>
  </si>
  <si>
    <t>Nezájem neviděných</t>
  </si>
  <si>
    <t>max. sf. 1</t>
  </si>
  <si>
    <t>max. sf. 3</t>
  </si>
  <si>
    <t>max. sf. 5</t>
  </si>
  <si>
    <t>max. sf. 7</t>
  </si>
  <si>
    <t>max. sf. 9</t>
  </si>
  <si>
    <t>max. sf. 11</t>
  </si>
  <si>
    <t>Zrcadlení</t>
  </si>
  <si>
    <t>Přesměrování</t>
  </si>
  <si>
    <t>Ochr.před mentál.souboj.</t>
  </si>
  <si>
    <t>Otevření brány Temnot</t>
  </si>
  <si>
    <t>INI+1,Út+2/1,OZ+4</t>
  </si>
  <si>
    <t>Út+1/+1</t>
  </si>
  <si>
    <t>48%</t>
  </si>
  <si>
    <t>72%</t>
  </si>
  <si>
    <t>84%</t>
  </si>
  <si>
    <t>96%</t>
  </si>
  <si>
    <t>Poznání artefaktů</t>
  </si>
  <si>
    <t>NOS +1 kg</t>
  </si>
  <si>
    <t>NOS +2 kg</t>
  </si>
  <si>
    <t>NOS +4 kg</t>
  </si>
  <si>
    <t>NOS +6 kg</t>
  </si>
  <si>
    <t>splynutí</t>
  </si>
  <si>
    <t>+převleky</t>
  </si>
  <si>
    <t>+nenápadnost</t>
  </si>
  <si>
    <t>+napodobení</t>
  </si>
  <si>
    <t>Iluze+2,Psych.k.+1</t>
  </si>
  <si>
    <t>Iluze+3,Psych.k.+1</t>
  </si>
  <si>
    <t>Iluze+4,Psych.k.+2</t>
  </si>
  <si>
    <t>1x/den, ZZ+2</t>
  </si>
  <si>
    <t>1x/den, ZZ+4</t>
  </si>
  <si>
    <t>2x/den, ZZ+6</t>
  </si>
  <si>
    <t>2x/den, ZZ+8</t>
  </si>
  <si>
    <t>3x/den, ZZ+10</t>
  </si>
  <si>
    <t>Lo</t>
  </si>
  <si>
    <t>Lo,Um</t>
  </si>
  <si>
    <t>Lo,Um,Or</t>
  </si>
  <si>
    <t>Lo,Um,Or,En,</t>
  </si>
  <si>
    <t>Lo,Um,Or,En,Pal</t>
  </si>
  <si>
    <t>Lo,Um,Or,En,Pal,Mon</t>
  </si>
  <si>
    <t>Spěch +1</t>
  </si>
  <si>
    <t>Spěch +2</t>
  </si>
  <si>
    <t>Spěch +3</t>
  </si>
  <si>
    <t>Spěch +4</t>
  </si>
  <si>
    <t>Odhad rizika</t>
  </si>
  <si>
    <t>+Zmenšení rizika</t>
  </si>
  <si>
    <t>+Skrytí úmyslu</t>
  </si>
  <si>
    <t>+Minim.rizika</t>
  </si>
  <si>
    <t>S: Odhad rizika</t>
  </si>
  <si>
    <t>S: Zmenšení rizika</t>
  </si>
  <si>
    <t>S: Skrytí úmyslu</t>
  </si>
  <si>
    <t>S: Minimalizace rizika</t>
  </si>
  <si>
    <t>zná šanci</t>
  </si>
  <si>
    <t>+1 ke k10 nebo +7%</t>
  </si>
  <si>
    <t>1x/den +2 ke k10 či +15%</t>
  </si>
  <si>
    <t>ÚČ+1,OČ+1,Boj+1</t>
  </si>
  <si>
    <t>ÚČ+2,OČ+1,Boj+1</t>
  </si>
  <si>
    <t>ÚČ+2,OČ+2,Boj+1</t>
  </si>
  <si>
    <t>ÚČ+3,OČ+2,Boj+2</t>
  </si>
  <si>
    <t>Čarodějná</t>
  </si>
  <si>
    <t>Velkokapacitní</t>
  </si>
  <si>
    <t>Bojová</t>
  </si>
  <si>
    <t>Před kouzly varující</t>
  </si>
  <si>
    <t>Mysl posilující</t>
  </si>
  <si>
    <t>Důstoná</t>
  </si>
  <si>
    <t>Inteligentní</t>
  </si>
  <si>
    <t>Kombinovaná</t>
  </si>
  <si>
    <t>Míření</t>
  </si>
  <si>
    <t>Účinnost</t>
  </si>
  <si>
    <t>Jistá ruka</t>
  </si>
  <si>
    <t>Snadný cíl</t>
  </si>
  <si>
    <t>Hbitost</t>
  </si>
  <si>
    <t>Zvýšený dostřel</t>
  </si>
  <si>
    <t>VS: Míření</t>
  </si>
  <si>
    <t>VS: Účinnost</t>
  </si>
  <si>
    <t>VS: Jistá ruka</t>
  </si>
  <si>
    <t>Vel.D+: Út +1/1</t>
  </si>
  <si>
    <t>Vel.D+: Út +2/2</t>
  </si>
  <si>
    <t>VS: Snadný cíl</t>
  </si>
  <si>
    <t>VS: Hbitost</t>
  </si>
  <si>
    <t>VS: Zvýšený dostřel</t>
  </si>
  <si>
    <t>žvtsch 10</t>
  </si>
  <si>
    <t>žvtsch 11</t>
  </si>
  <si>
    <t>žvtsch 13</t>
  </si>
  <si>
    <t>žvtsch 14</t>
  </si>
  <si>
    <t>žvtsch 16</t>
  </si>
  <si>
    <t>Uškrcení</t>
  </si>
  <si>
    <t>Přeříznutí šlachy</t>
  </si>
  <si>
    <t>Probodnutí</t>
  </si>
  <si>
    <t>Podříznutí hrdla</t>
  </si>
  <si>
    <t>Zastřelení</t>
  </si>
  <si>
    <t>Kouzla  meče</t>
  </si>
  <si>
    <t>Kouzla meče 2</t>
  </si>
  <si>
    <t>Mag. střeh</t>
  </si>
  <si>
    <t>Znamení II</t>
  </si>
  <si>
    <t>Zaostření mysli</t>
  </si>
  <si>
    <t>1 sm.+1 sm./zdroj</t>
  </si>
  <si>
    <t>Zázraky</t>
  </si>
  <si>
    <t>Posílené smysly</t>
  </si>
  <si>
    <t>+Regenerace</t>
  </si>
  <si>
    <t>+Nezdolnost</t>
  </si>
  <si>
    <t>Posunutý práh bolesti</t>
  </si>
  <si>
    <t>Z: Posunutý práh bolesti</t>
  </si>
  <si>
    <t>Bolest +1</t>
  </si>
  <si>
    <t>Z: Koncentrace síly</t>
  </si>
  <si>
    <t>+Koncentrace síly</t>
  </si>
  <si>
    <t>+Požehnání bolesti</t>
  </si>
  <si>
    <t>Z: Požehnání bolesti</t>
  </si>
  <si>
    <t>Zran.&gt;1/2 = Út +1/+1</t>
  </si>
  <si>
    <t>+Bojový řev</t>
  </si>
  <si>
    <t>Z: Bojový řev</t>
  </si>
  <si>
    <t>Z: Odol.pr.zastrašování</t>
  </si>
  <si>
    <t>+Odol.pr. zastrašování</t>
  </si>
  <si>
    <t>Z: Krvavé běsnění</t>
  </si>
  <si>
    <t>+Krvavé běsnění</t>
  </si>
  <si>
    <t>INI+2,ZZ+2,MV=1</t>
  </si>
  <si>
    <t>Z: Proměna v berserkra</t>
  </si>
  <si>
    <t>Z: Dobrovolná proměna</t>
  </si>
  <si>
    <t>+Proměna v berserkra</t>
  </si>
  <si>
    <t>+Dobrovolná proměna</t>
  </si>
  <si>
    <t>15) Do popisů schopností doplněny počítané hodnoty všude, kde bylo možné, podrobnější rozpad schopností s využitím volných</t>
  </si>
  <si>
    <t xml:space="preserve">       (Obdobně jako v bodě 3)</t>
  </si>
  <si>
    <t>Krásné ženy</t>
  </si>
  <si>
    <t>Krásní muži</t>
  </si>
  <si>
    <t>Hledání bylin</t>
  </si>
  <si>
    <t>Důstojné ženy</t>
  </si>
  <si>
    <t>Důstojní muži</t>
  </si>
  <si>
    <t>Nebezpečné ženy</t>
  </si>
  <si>
    <t>Nebezpeční muži</t>
  </si>
  <si>
    <t>Kvalitní víno</t>
  </si>
  <si>
    <t>Silná pálenka</t>
  </si>
  <si>
    <t>Teplý čaj</t>
  </si>
  <si>
    <t>Hlupáci</t>
  </si>
  <si>
    <t>Chytráci</t>
  </si>
  <si>
    <t>Horko</t>
  </si>
  <si>
    <t>Zima</t>
  </si>
  <si>
    <t>Déšť (vlhko)</t>
  </si>
  <si>
    <t>Kouzelníci</t>
  </si>
  <si>
    <t>Válečníci</t>
  </si>
  <si>
    <t>Zloději</t>
  </si>
  <si>
    <t>Hraničáři</t>
  </si>
  <si>
    <t>Alchymisté</t>
  </si>
  <si>
    <t>Klerici</t>
  </si>
  <si>
    <t>Boháči</t>
  </si>
  <si>
    <t>Žebráci</t>
  </si>
  <si>
    <t>Prosby o pomoc</t>
  </si>
  <si>
    <t>Ticho</t>
  </si>
  <si>
    <t>Mapy</t>
  </si>
  <si>
    <t>Kouření dýmky</t>
  </si>
  <si>
    <t>Z myší a krys</t>
  </si>
  <si>
    <t>Z pavouků</t>
  </si>
  <si>
    <t>Z vlkodlaků</t>
  </si>
  <si>
    <t>Z nemrtvích</t>
  </si>
  <si>
    <t>Z chudoby</t>
  </si>
  <si>
    <t>Z hladu</t>
  </si>
  <si>
    <t>Ze stáří a nemocí</t>
  </si>
  <si>
    <t>Z magie</t>
  </si>
  <si>
    <t>Z manželky/manžela</t>
  </si>
  <si>
    <t>Ze slunce</t>
  </si>
  <si>
    <t>Nedochvilnost (pozdní příchody)</t>
  </si>
  <si>
    <t>Každodenní tréning hudby</t>
  </si>
  <si>
    <t>Péče a rozšiřování sbírky</t>
  </si>
  <si>
    <t>Ze ztráty vybavení</t>
  </si>
  <si>
    <t>O přátele</t>
  </si>
  <si>
    <t>O zvířecí společníky</t>
  </si>
  <si>
    <t>Pečetidlo</t>
  </si>
  <si>
    <t>Nebozez</t>
  </si>
  <si>
    <t>16) Opraveny vzorce v tabulce zbraní č. 6</t>
  </si>
  <si>
    <r>
      <t xml:space="preserve">Verze 2017_02: Změny od minulé verze </t>
    </r>
    <r>
      <rPr>
        <sz val="11"/>
        <color theme="1"/>
        <rFont val="Calibri"/>
        <family val="2"/>
        <charset val="238"/>
        <scheme val="minor"/>
      </rPr>
      <t>(2017_v01)</t>
    </r>
  </si>
  <si>
    <t>1) Schopnost theurga Styk s astrálními světy opravena na volnou, opraveny profibody u schopností Vidění magenergie, Vidění magenergie II, Destilace magenergie</t>
  </si>
  <si>
    <t xml:space="preserve">     Odolnost vůči magii, Odolnost proti jedům, Prodlužování a odhad životsnosti kouz. předmětů, Odvracení živlů, Alchymistův společník, Styk s astrálními světy III</t>
  </si>
  <si>
    <t xml:space="preserve">     Vymítání démonů, Pokročilý boj s holí a Vylepšování elementálů III</t>
  </si>
  <si>
    <t>2) Opravena náročnost Šperkařství pro trpalíka a kudúka (střední)</t>
  </si>
  <si>
    <t>Astron</t>
  </si>
  <si>
    <t>Zobák-</t>
  </si>
  <si>
    <t>Oči-</t>
  </si>
  <si>
    <t>Mg.</t>
  </si>
  <si>
    <t>O</t>
  </si>
  <si>
    <t>N</t>
  </si>
  <si>
    <t>Naučeno</t>
  </si>
  <si>
    <t>Může umět</t>
  </si>
  <si>
    <t>3) Optimalizována tabulka pro kouzla, doplněna kontrola na počet naučených kouzel u kouzelníka</t>
  </si>
  <si>
    <t>4) Doplněn  automatický výpočet zkušeností chybějících na postup</t>
  </si>
  <si>
    <t>5) Doplněn automatický výpočet iniciativy při kouzlení (list Kouzla). Schopnost Zrychlené kouzlení 2 ale nesmí být vybrána v Dovednostech, pokud není naučena alespoň na I.</t>
  </si>
  <si>
    <t>Padělatelská souprava</t>
  </si>
  <si>
    <t>6) Přidány chybějící bonusy na Orientaci v … pro zvýhodněná povolání (automatický dopočet u dovednosti)</t>
  </si>
  <si>
    <t>7) Opraveny profibody u schopnosti Svatý symbol</t>
  </si>
  <si>
    <t>Posměšky</t>
  </si>
  <si>
    <t>Násilí</t>
  </si>
  <si>
    <t>Slamák</t>
  </si>
  <si>
    <t>8) Do oblečení a pokrývek hlavy doplněn  slamák</t>
  </si>
  <si>
    <t>Bolest +2</t>
  </si>
  <si>
    <t>Bolest +3</t>
  </si>
  <si>
    <t>Zran.&gt;1/2 = Út +2/+2</t>
  </si>
  <si>
    <t>9A: VOL~SIL+1k10~0 (Boj -1)</t>
  </si>
  <si>
    <t>9A: VOL~SIL+1k10~0 (Boj -2)</t>
  </si>
  <si>
    <t>9A: VOL~SIL+1k10~0 (Boj -3)</t>
  </si>
  <si>
    <t>INT~?~0/berserkr</t>
  </si>
  <si>
    <t>INT~0~0/berserkr</t>
  </si>
  <si>
    <t>9) U bojovníka upraveny profibody u schopností Bojové zvíře, Bojovnické manévry, Ničení zbroje, Boj obouruč, Divokost, Odhad nepřítele, Odhad zbranně, Odhad zbraně 2</t>
  </si>
  <si>
    <t>10) Rozšířen rozsah seznamu na Volné schopnosti na 80 řádků (60 bylo v jisté kombinaci povolání málo)</t>
  </si>
  <si>
    <t xml:space="preserve">11) Upraveny profibody u kouzelnických schopností Odhad úrovně, Naslouchání kouzlům  1 a 2, Zápis kouzel do svitku, Rezervoár kouzel, Posilování nemrtvých, Únava z kouzlení, </t>
  </si>
  <si>
    <t>12) U schopnosti Krvavé čerpání opravena získaná magenergie</t>
  </si>
  <si>
    <t xml:space="preserve">        Černokněžnictví, Vylepšená kouzelná hůl, Rozeznání sesílaného kouzla</t>
  </si>
  <si>
    <t>13) U druidské schopnosti Wyda 2 opravena použitá vlastnost</t>
  </si>
  <si>
    <t>14) U druida opravena náročnost dovednosti Boj s holemi a kopími (lehká)</t>
  </si>
  <si>
    <t>15) U jazyků zohledněna kladná "veverka" - Jazykový talent (72; 73) snižující náročnost</t>
  </si>
  <si>
    <t>16) Znevýraznění základních dovedností s neznalostí (znalost = "Vůbec")</t>
  </si>
  <si>
    <t>17) Opraven překlep u schopnosti Útěk (2x lupič místo lupiče a vraha)</t>
  </si>
  <si>
    <t xml:space="preserve">18) V listu Úsporný tisk opraveny odkazy na volné schopnosti </t>
  </si>
  <si>
    <t>19) U druida doplněna nová schopnost - Přivolávání</t>
  </si>
  <si>
    <t>Přivolávání</t>
  </si>
  <si>
    <t>Obr ledový</t>
  </si>
  <si>
    <t>Obryně ledová</t>
  </si>
  <si>
    <t>Trpělivý</t>
  </si>
  <si>
    <t>20) Náročnost tance snížena pro Rozeného tanečníka</t>
  </si>
  <si>
    <t>Poslech hudby</t>
  </si>
  <si>
    <t>Za den urazí</t>
  </si>
  <si>
    <t>Hod.</t>
  </si>
  <si>
    <t>Mil</t>
  </si>
  <si>
    <t>b.ú.</t>
  </si>
  <si>
    <t>21) Opraven dopad naložení na Rychlost (neovlivní stupeň ale opravu)</t>
  </si>
  <si>
    <t>22) V listu Tabulky upravena tabulka cestovní rychlosti (ponechána jen chůze, ale vyčísleno, kolik urazí za den)</t>
  </si>
  <si>
    <t>Najáda</t>
  </si>
  <si>
    <t>Pavoučnatka</t>
  </si>
  <si>
    <t>Aven</t>
  </si>
  <si>
    <t>Avenika</t>
  </si>
  <si>
    <t>Zákl.</t>
  </si>
  <si>
    <t>Merfolk (M)</t>
  </si>
  <si>
    <t>Merfolk (F)</t>
  </si>
  <si>
    <t>23) Promítnuty změny v Dovednostech - Zpěv změněn na lehkou dovednost, sloučení Řečnictví a Vypravěčství do dovednosti Rétorika</t>
  </si>
  <si>
    <t>Letectví</t>
  </si>
  <si>
    <t xml:space="preserve">   přejmenování Ovládání leteckých nestvůr na Letectví, </t>
  </si>
  <si>
    <t>24) Do povolání doplněn alternativní název pro vraha (assassin)</t>
  </si>
  <si>
    <t>Wakizaši</t>
  </si>
  <si>
    <t>25) Mezi zbraně doplněn východní "tesák" - Wakizaši</t>
  </si>
  <si>
    <t xml:space="preserve">  Za den ujde</t>
  </si>
  <si>
    <t>mil</t>
  </si>
  <si>
    <t xml:space="preserve">26) Zvětšen prostor na poznámku u používaných zbraní. </t>
  </si>
  <si>
    <t xml:space="preserve"> Za hod. ujde</t>
  </si>
  <si>
    <t>Cestování po silnici</t>
  </si>
  <si>
    <t>Uhýbání v boji</t>
  </si>
  <si>
    <t>Únava za den</t>
  </si>
  <si>
    <t>b.Ú.</t>
  </si>
  <si>
    <t>27) Do listu Vzhled a boj vráceny údaje o cestovní rychlosti na silnici (odkazy na list 6-Tabulky)</t>
  </si>
  <si>
    <r>
      <t>Verze 2018_01: Změny od minulé verze</t>
    </r>
    <r>
      <rPr>
        <sz val="11"/>
        <color theme="1"/>
        <rFont val="Calibri"/>
        <family val="2"/>
        <charset val="238"/>
        <scheme val="minor"/>
      </rPr>
      <t xml:space="preserve"> (2017_v02)</t>
    </r>
  </si>
  <si>
    <t>1) Změna výpočtu vzhledových ukazatelů - KRS, DST a NBZ</t>
  </si>
  <si>
    <t>2) V souvislosti se změnou Dovedností změněny opravy za znalost a nároky na naučení se stupni dovednosti</t>
  </si>
  <si>
    <t>3) Rychlost běhu při boji zvýšena o 4 sáhy / 2A v souvislosti se změnou v Rychlost pohybu a únava</t>
  </si>
  <si>
    <t>Kroužk.na plátně, mitrilová</t>
  </si>
  <si>
    <t>Mis.</t>
  </si>
  <si>
    <t>Použití:</t>
  </si>
  <si>
    <t>Použití zbraní</t>
  </si>
  <si>
    <t>Bodání</t>
  </si>
  <si>
    <t>Sekání</t>
  </si>
  <si>
    <t>Drcení</t>
  </si>
  <si>
    <t>Střelba</t>
  </si>
  <si>
    <t>Vrh</t>
  </si>
  <si>
    <t>Na blízko</t>
  </si>
  <si>
    <t>Blokování</t>
  </si>
  <si>
    <t>Útočení</t>
  </si>
  <si>
    <t>Alchymie:</t>
  </si>
  <si>
    <t>Předpoklady</t>
  </si>
  <si>
    <t>Znalosti</t>
  </si>
  <si>
    <t>za rasu</t>
  </si>
  <si>
    <t xml:space="preserve"> = CELKEM</t>
  </si>
  <si>
    <t>Osobní deník - schopnosti povolání</t>
  </si>
  <si>
    <t>Osobní deník - všeobecné dovednosti</t>
  </si>
  <si>
    <t>4) Rozdělení Schopností a Dovedností do 2 listů</t>
  </si>
  <si>
    <t>Hudba</t>
  </si>
  <si>
    <t>Orientace</t>
  </si>
  <si>
    <t>5) Upraveny dovednosti na platné pro rok 2018, včetně bonusů pro vybraná povolání</t>
  </si>
  <si>
    <t>6) Tabulka zbraní rozšířena o řádek s použitím (na blízko, střelba, vrh, druhá ruka)</t>
  </si>
  <si>
    <t>Duál.povolání</t>
  </si>
  <si>
    <t>7) Upraveny opravy za boj ve zbroji dle dovedeností 2018</t>
  </si>
  <si>
    <t>8) Na str. 2-Postava doplněn sloupec s aktuální hodnotou oprav za vlastnost (ovlivněno naložením, bojem ve zbroji)</t>
  </si>
  <si>
    <t>9) Opravena tabulka vlivu naložení na rychlost a únavu</t>
  </si>
  <si>
    <t>10) Upravena rodové zvýhodnění pro rasy dle přejmenovaných dovedností</t>
  </si>
  <si>
    <t>11) Opraveny tabulky pro výpočet bojových čísel v návaznosti na změny v dovednostech a rozšířeny o volbu druhu útoku</t>
  </si>
  <si>
    <t>Lehká zr.</t>
  </si>
  <si>
    <t>Neutral. jedu</t>
  </si>
  <si>
    <t>Těžká zr.</t>
  </si>
  <si>
    <t>Nemoci</t>
  </si>
  <si>
    <t>Vzdělání</t>
  </si>
  <si>
    <t>Záporné</t>
  </si>
  <si>
    <t>Hod / Volba</t>
  </si>
  <si>
    <t>Zázemí</t>
  </si>
  <si>
    <t>Stručný popis</t>
  </si>
  <si>
    <t>Beznohý</t>
  </si>
  <si>
    <t>Nevidí. Nemůže běhat.</t>
  </si>
  <si>
    <t xml:space="preserve">Neslyší. Nemluví. Jen posunky. </t>
  </si>
  <si>
    <t xml:space="preserve">Pohyb jen za pomoci rukou. </t>
  </si>
  <si>
    <t>Hrbáč</t>
  </si>
  <si>
    <t>Hrb na zádech.</t>
  </si>
  <si>
    <t>Neslyší.</t>
  </si>
  <si>
    <t xml:space="preserve">Jedna ruka. Nemůže obouruční a střelné zbraně. </t>
  </si>
  <si>
    <t>Němý</t>
  </si>
  <si>
    <t xml:space="preserve">Nemůže mluvit, jen používat posunky. </t>
  </si>
  <si>
    <t>Jednonohý</t>
  </si>
  <si>
    <t xml:space="preserve">Jedna noha. Nemůže sprintovat. </t>
  </si>
  <si>
    <t>03</t>
  </si>
  <si>
    <t>Epilepsie</t>
  </si>
  <si>
    <t xml:space="preserve">Ve stresu Kontrola těla ~ 11 ~ nic / záchvat 3k6 kol. </t>
  </si>
  <si>
    <t>04</t>
  </si>
  <si>
    <t>Chybějící ucho či nos / poleptání / jizva na tváři</t>
  </si>
  <si>
    <t xml:space="preserve">O 50% vyšší váha. Únava přibývá o 50% rychleji. </t>
  </si>
  <si>
    <t>05</t>
  </si>
  <si>
    <t>Přecitlivělost na magii</t>
  </si>
  <si>
    <t xml:space="preserve">Negativní kouzla 2x účinnost. Na past v kouzle -2. Pozitivní kouzla mají nepříjemné vedlejší účinky. </t>
  </si>
  <si>
    <t>06</t>
  </si>
  <si>
    <t>Lykantropie</t>
  </si>
  <si>
    <t>07</t>
  </si>
  <si>
    <t>Vampirismus</t>
  </si>
  <si>
    <t>Za úplňku se mění ve vlka. Změna zranitelnosti.</t>
  </si>
  <si>
    <t xml:space="preserve">Aktivní v noci, pije krev. Změna zranitelnosti. </t>
  </si>
  <si>
    <t>08</t>
  </si>
  <si>
    <t>Šilhavost</t>
  </si>
  <si>
    <t>Vidí šejdrem</t>
  </si>
  <si>
    <t>09</t>
  </si>
  <si>
    <t>Koktavost</t>
  </si>
  <si>
    <t xml:space="preserve">O 50% delší vyvolávání kouzel. </t>
  </si>
  <si>
    <t>Hemofilie</t>
  </si>
  <si>
    <t>Špatná srážlivost krve. Bodná a sečná poranění krvácejí 1k6 kol (1 žt/kolo).</t>
  </si>
  <si>
    <t>Jed</t>
  </si>
  <si>
    <t>Vyhublost</t>
  </si>
  <si>
    <t>Nemoc</t>
  </si>
  <si>
    <t>Odl</t>
  </si>
  <si>
    <t>Zvolená druhá kladná</t>
  </si>
  <si>
    <t>Zvolená třetí kladná</t>
  </si>
  <si>
    <t>Zvolená druhá záporná</t>
  </si>
  <si>
    <t>Zvolená třetí záporná</t>
  </si>
  <si>
    <t>Rozděleného celkového počtu</t>
  </si>
  <si>
    <t xml:space="preserve">Hůře vidí. </t>
  </si>
  <si>
    <t>Hůře slyší, lepší hmat. Občas nutné říct 2x.</t>
  </si>
  <si>
    <t>15</t>
  </si>
  <si>
    <t>Sex. indispozice</t>
  </si>
  <si>
    <t xml:space="preserve">Nepohledná postava, má problém najít partnera. </t>
  </si>
  <si>
    <t>16</t>
  </si>
  <si>
    <t>Napadá na jednu nohu</t>
  </si>
  <si>
    <t>17</t>
  </si>
  <si>
    <t>Přitahuje pozornost hmyzu, lze jej snadno nají po čichu.</t>
  </si>
  <si>
    <t>19</t>
  </si>
  <si>
    <t>Chronická bolest</t>
  </si>
  <si>
    <t>Denně 15% riziko postihu -2 na hody na INT a ZRČ</t>
  </si>
  <si>
    <t>20</t>
  </si>
  <si>
    <t>Větší riziko onemocnění</t>
  </si>
  <si>
    <t>21</t>
  </si>
  <si>
    <t>Nemůže mít potomky</t>
  </si>
  <si>
    <t>22</t>
  </si>
  <si>
    <t>Albín</t>
  </si>
  <si>
    <t>Bledá pleť a světlé vlasy. Vyloučení ze společnosti</t>
  </si>
  <si>
    <t>23</t>
  </si>
  <si>
    <t>Potřebuje spát déle</t>
  </si>
  <si>
    <t>24</t>
  </si>
  <si>
    <t>Lehký spánek</t>
  </si>
  <si>
    <t>Neusne, nebo se probudí při každém větším hluku</t>
  </si>
  <si>
    <t>Barvoslepost</t>
  </si>
  <si>
    <t>Není schopen rozlišit některé barvy</t>
  </si>
  <si>
    <t>26</t>
  </si>
  <si>
    <t>Ve výšce hrozí šok (Kontrola mysli ~ 15 ~ 0)</t>
  </si>
  <si>
    <t>27</t>
  </si>
  <si>
    <t>Menší než nejmenší jeho rasy</t>
  </si>
  <si>
    <t>28</t>
  </si>
  <si>
    <t>Studený pohled bez emocí</t>
  </si>
  <si>
    <t>29</t>
  </si>
  <si>
    <t>30</t>
  </si>
  <si>
    <t>Strašení zvířat</t>
  </si>
  <si>
    <t>Zvířata se od ní odtahují nebo na ni útočí.</t>
  </si>
  <si>
    <t>31</t>
  </si>
  <si>
    <t>Hrozí alergická reakce</t>
  </si>
  <si>
    <t>32</t>
  </si>
  <si>
    <t>Únava z běhu dvojnásobná. Postava méně vydrží.</t>
  </si>
  <si>
    <t>33</t>
  </si>
  <si>
    <t>Při řeči kolem sebe plive</t>
  </si>
  <si>
    <t>Narozen(a)</t>
  </si>
  <si>
    <t>Kladné vlastnosti</t>
  </si>
  <si>
    <t>Záporné vlastnosti</t>
  </si>
  <si>
    <t>34</t>
  </si>
  <si>
    <t>Umělecký antitalent</t>
  </si>
  <si>
    <t>35</t>
  </si>
  <si>
    <t xml:space="preserve">O 8% nižší šance při hodech k%. </t>
  </si>
  <si>
    <t>36</t>
  </si>
  <si>
    <t xml:space="preserve">Neúčastní se hlasování, vše je mu jedno. </t>
  </si>
  <si>
    <t>37</t>
  </si>
  <si>
    <t xml:space="preserve">Hledání +1k6 kol, kouzla +1 kolo. </t>
  </si>
  <si>
    <t>38</t>
  </si>
  <si>
    <t>Umí všechno,  ale nic pořádně</t>
  </si>
  <si>
    <t>39</t>
  </si>
  <si>
    <t>Proti pasti na ZRČ a OBR -2. K hodům na ZRČ -2.</t>
  </si>
  <si>
    <t>40</t>
  </si>
  <si>
    <t xml:space="preserve">Přitahuje smolné události. Na pasti -2 k hodu. </t>
  </si>
  <si>
    <t>41</t>
  </si>
  <si>
    <t xml:space="preserve">Nevydrží v úkrytu, snadno se rozlobí. </t>
  </si>
  <si>
    <t>Stupeň Int = 6 a nelze zvyšovat.</t>
  </si>
  <si>
    <t>42</t>
  </si>
  <si>
    <t>43</t>
  </si>
  <si>
    <t>44</t>
  </si>
  <si>
    <t>45</t>
  </si>
  <si>
    <t>46</t>
  </si>
  <si>
    <t>47</t>
  </si>
  <si>
    <t>48</t>
  </si>
  <si>
    <t>49</t>
  </si>
  <si>
    <t>51</t>
  </si>
  <si>
    <t>Roztržitost</t>
  </si>
  <si>
    <t>Zapomíná na "nepodstatné" věci. Při nudných činnostech utíká myšlenkami pryč (neudrží pozornost).</t>
  </si>
  <si>
    <t>52</t>
  </si>
  <si>
    <t>Lehká amnézie</t>
  </si>
  <si>
    <t>Ve vzpomínkách na minulost má občas mezery</t>
  </si>
  <si>
    <t>53</t>
  </si>
  <si>
    <t>sSil</t>
  </si>
  <si>
    <t>sObr</t>
  </si>
  <si>
    <t>sZrč</t>
  </si>
  <si>
    <t>sVol</t>
  </si>
  <si>
    <t>sInt</t>
  </si>
  <si>
    <t>sChr</t>
  </si>
  <si>
    <t>Klaustrofobie</t>
  </si>
  <si>
    <t>Panický strach z uzavřených prostor</t>
  </si>
  <si>
    <t>56</t>
  </si>
  <si>
    <t>Hematofobie</t>
  </si>
  <si>
    <t>Nevolnost a riziko ztráty vědomí při pohledu na krev</t>
  </si>
  <si>
    <t>57</t>
  </si>
  <si>
    <t>Hlasy</t>
  </si>
  <si>
    <t>Postava občas slyší Hlasy, které ji k něčemu nabádají</t>
  </si>
  <si>
    <t>58</t>
  </si>
  <si>
    <t>Nic mu není vhod, neustále kritizuje.</t>
  </si>
  <si>
    <t>59</t>
  </si>
  <si>
    <t>Chorobně žárlivý</t>
  </si>
  <si>
    <t>K objektu své vášně nevolí nikomu se ani přiblížit</t>
  </si>
  <si>
    <t>60</t>
  </si>
  <si>
    <t>Nespavost</t>
  </si>
  <si>
    <t>Existuje riziko, že se nevyspí nebo jen tak napůl</t>
  </si>
  <si>
    <t>66</t>
  </si>
  <si>
    <t>65</t>
  </si>
  <si>
    <t>Sexuální úchylka</t>
  </si>
  <si>
    <t>Nezabije humanoida</t>
  </si>
  <si>
    <t>Pacifista II</t>
  </si>
  <si>
    <t>Nezabije ani nenechá zemřít humanoida</t>
  </si>
  <si>
    <t>Působí rád bolest a nebere zajatce</t>
  </si>
  <si>
    <t>61</t>
  </si>
  <si>
    <t>62</t>
  </si>
  <si>
    <t>63</t>
  </si>
  <si>
    <t>64</t>
  </si>
  <si>
    <t>55</t>
  </si>
  <si>
    <t>54</t>
  </si>
  <si>
    <t>Amnézie</t>
  </si>
  <si>
    <t>18</t>
  </si>
  <si>
    <t>Špatný zrak</t>
  </si>
  <si>
    <t>02</t>
  </si>
  <si>
    <t>01</t>
  </si>
  <si>
    <t>67</t>
  </si>
  <si>
    <t>Po prvním zranění se přestane bránit, nebude se ani nenechá léčit</t>
  </si>
  <si>
    <t>68</t>
  </si>
  <si>
    <t>Tropí družině naschvály.</t>
  </si>
  <si>
    <t>Mrzout</t>
  </si>
  <si>
    <t xml:space="preserve">Nesměje se neustále se tváří kysele. </t>
  </si>
  <si>
    <t>"Jiný humor"</t>
  </si>
  <si>
    <t>Má svůj vlastní smysl pro humor</t>
  </si>
  <si>
    <t>69</t>
  </si>
  <si>
    <t>Nesnáší jiné rasy</t>
  </si>
  <si>
    <t>70</t>
  </si>
  <si>
    <t>Nesnáší cizince</t>
  </si>
  <si>
    <t>71</t>
  </si>
  <si>
    <t>Své pohlaví považuje za nadřazené druhému</t>
  </si>
  <si>
    <t>72</t>
  </si>
  <si>
    <t>Považuje se ve všech směrech za nejlepšího</t>
  </si>
  <si>
    <t>73</t>
  </si>
  <si>
    <t>Ve městě vždy hned utratí k% peněz za hlouposti</t>
  </si>
  <si>
    <t>74</t>
  </si>
  <si>
    <t>Neustále kritizuje výkony ostatních.</t>
  </si>
  <si>
    <t>75</t>
  </si>
  <si>
    <t>Mluví vždy pravdu</t>
  </si>
  <si>
    <t>Neustále lže a něco si vymýšlí</t>
  </si>
  <si>
    <t>76</t>
  </si>
  <si>
    <t>Intrikuje a snaží se ostatními manipulovat</t>
  </si>
  <si>
    <t>77</t>
  </si>
  <si>
    <t>78</t>
  </si>
  <si>
    <t>Lakomec</t>
  </si>
  <si>
    <t>Nechce se vzdát peněz</t>
  </si>
  <si>
    <t>Lační po bohatství a podléhá vidině zisku</t>
  </si>
  <si>
    <t>79</t>
  </si>
  <si>
    <t>S každým se dá hned do řeči, neudrží ádné tajemvstí</t>
  </si>
  <si>
    <t>80</t>
  </si>
  <si>
    <t>81</t>
  </si>
  <si>
    <t>Vyhledává samotu, drží se stranou od ostatních</t>
  </si>
  <si>
    <t>82</t>
  </si>
  <si>
    <t>Tyran</t>
  </si>
  <si>
    <t>Má pocit nadřazenosti, chce rozkazovat ostatním</t>
  </si>
  <si>
    <t>83</t>
  </si>
  <si>
    <t>Rád riskuje, riziko je pro něj výzva</t>
  </si>
  <si>
    <t>84</t>
  </si>
  <si>
    <t>Nábož. fanatik</t>
  </si>
  <si>
    <t>Nevěří v bohy, nechodí do chrámů</t>
  </si>
  <si>
    <t>Dodržuje dané rituály a snaží se konvertovat i ostatní</t>
  </si>
  <si>
    <t>85</t>
  </si>
  <si>
    <t>Divoch</t>
  </si>
  <si>
    <t>Nemá společenské vychování</t>
  </si>
  <si>
    <t>86</t>
  </si>
  <si>
    <t>Neustále má potřebu pomáhat a to i nepřátelům</t>
  </si>
  <si>
    <t>87</t>
  </si>
  <si>
    <t>88</t>
  </si>
  <si>
    <t>Rád se přesvádí, chlubí se s každým úspěchem či šperky</t>
  </si>
  <si>
    <t>89</t>
  </si>
  <si>
    <t>Sbírá co si hráč určí. Sbírka je na prvním místě zájmu</t>
  </si>
  <si>
    <t>90</t>
  </si>
  <si>
    <t>91</t>
  </si>
  <si>
    <t>Náměsíčnost</t>
  </si>
  <si>
    <t>Podléhá vlivu měsíce, může chodit ve spánku</t>
  </si>
  <si>
    <t>92</t>
  </si>
  <si>
    <t>Věří všemu, co mu kdo nakuká</t>
  </si>
  <si>
    <t>93</t>
  </si>
  <si>
    <t>Občas postavu přepadají deprese</t>
  </si>
  <si>
    <t>94</t>
  </si>
  <si>
    <t>Zvědavec</t>
  </si>
  <si>
    <t>Chce všemu přijít na kloub, všechno vyzkoušet</t>
  </si>
  <si>
    <t>95</t>
  </si>
  <si>
    <t>Kloní se vždy na nejsilnější stranu</t>
  </si>
  <si>
    <t>96</t>
  </si>
  <si>
    <t>Věří různým pověrám</t>
  </si>
  <si>
    <t>97</t>
  </si>
  <si>
    <t>Depresivní maniak</t>
  </si>
  <si>
    <t>Každý den si hází, jakou bude mít náladu</t>
  </si>
  <si>
    <t>98</t>
  </si>
  <si>
    <t>Postavě se občas změní osobnost</t>
  </si>
  <si>
    <t>99</t>
  </si>
  <si>
    <t>Nezvratný osud</t>
  </si>
  <si>
    <t>Postava do 3k6 měsíců zemře</t>
  </si>
  <si>
    <t>Je krásný</t>
  </si>
  <si>
    <t>Je důstojný</t>
  </si>
  <si>
    <t>Vypadá nebezpečně</t>
  </si>
  <si>
    <t>Zlaté ručičky</t>
  </si>
  <si>
    <t>Nezlomný duch</t>
  </si>
  <si>
    <t>Vzrozený šarm</t>
  </si>
  <si>
    <t>Má vyšší odolnost</t>
  </si>
  <si>
    <t>Každý přestup na vyšší úroveň získá navíc +1 žt</t>
  </si>
  <si>
    <t>Bojové reflexy</t>
  </si>
  <si>
    <t>Zvýšená INI</t>
  </si>
  <si>
    <t>Max. magenergie vyšší o úroveň postavy</t>
  </si>
  <si>
    <t>Stárne o 1/3 pomaleji, dožije se o 1/3 více</t>
  </si>
  <si>
    <t>Bonus +3 k hodu proti iluzím</t>
  </si>
  <si>
    <t>Bonus +3 k hodu proti psychickým kouzlům</t>
  </si>
  <si>
    <t>Odol. proti magii</t>
  </si>
  <si>
    <t>Kouzla mají poloviční účinnost, +2 proti pastem v kouzle</t>
  </si>
  <si>
    <t>Odol.proti jedům</t>
  </si>
  <si>
    <t>Bonus proti jedům</t>
  </si>
  <si>
    <t>Odol.proti teplotám</t>
  </si>
  <si>
    <t>Teplota 1/2 vliv a 2 hody proti pasti</t>
  </si>
  <si>
    <t>Odol.proti bolesti</t>
  </si>
  <si>
    <t>Potlačení bolesti lehká dovednost</t>
  </si>
  <si>
    <t>Odol.proti alkoholu</t>
  </si>
  <si>
    <t>Odol.proti přeměnám</t>
  </si>
  <si>
    <t xml:space="preserve">Past u metamorfóz +2. </t>
  </si>
  <si>
    <t>Bonus na smysly</t>
  </si>
  <si>
    <t>Silná imunita</t>
  </si>
  <si>
    <t>Menší šance onemocnět</t>
  </si>
  <si>
    <t>Pevnější obrana mysli</t>
  </si>
  <si>
    <t>Lepší výdrž</t>
  </si>
  <si>
    <t>Vytrvalec</t>
  </si>
  <si>
    <t>Štíhlá linie</t>
  </si>
  <si>
    <t>Optimální postava</t>
  </si>
  <si>
    <t>Lépe rozezná pohyb a obrysy ve tmě (mimo abs.)</t>
  </si>
  <si>
    <t>Vidí i mlze či dýmu</t>
  </si>
  <si>
    <t>Jemný hmat</t>
  </si>
  <si>
    <t>Zlepšený cit v rukou</t>
  </si>
  <si>
    <t>Zlepšená ostrost chuti</t>
  </si>
  <si>
    <t>Zlepšený sluch</t>
  </si>
  <si>
    <t>Zlepšený čich</t>
  </si>
  <si>
    <t>Zlepšený zrak, vidí 2x dál než ostatní</t>
  </si>
  <si>
    <t>Při běhu a sprintu +1 k RCH</t>
  </si>
  <si>
    <t>Každá hodina odpočinku vyléčí 1 žt</t>
  </si>
  <si>
    <t>Ranní ptáče</t>
  </si>
  <si>
    <t>Stačí mu spát 4 hodiny</t>
  </si>
  <si>
    <t>Gigantismus</t>
  </si>
  <si>
    <t>Vyšší než nejvyšší z rasy</t>
  </si>
  <si>
    <t>Proti pastem +1, při fatálu ještě 1 hod</t>
  </si>
  <si>
    <t>Na postup potřebuje o 10% xp méně</t>
  </si>
  <si>
    <t>Všechny zbraně jen lehká obtížnost</t>
  </si>
  <si>
    <t>Na magii / alchymii / hudbu má bunus</t>
  </si>
  <si>
    <t>Orientace lehká dovednost a má na ni bonus +2</t>
  </si>
  <si>
    <t>Zoologie lehká dovednost</t>
  </si>
  <si>
    <t>Plížení se +2</t>
  </si>
  <si>
    <t>Trpaslličí cit</t>
  </si>
  <si>
    <t>Mineralogie lehká dovednost</t>
  </si>
  <si>
    <t>Jazyka o 1 nižší náročnost</t>
  </si>
  <si>
    <t>Fotografická paměť</t>
  </si>
  <si>
    <t>Vzpomínání +3</t>
  </si>
  <si>
    <t>Může se učit Léčivé byliny, Botanika lehká dovednost</t>
  </si>
  <si>
    <t>Telekineze st. II</t>
  </si>
  <si>
    <t>Telepatie st. II</t>
  </si>
  <si>
    <t>Pyrokineze st. II</t>
  </si>
  <si>
    <t>Navíc 1/2 profibodů síly při postupu</t>
  </si>
  <si>
    <t>Navíc 1/2 profibodů inteligence při postupu</t>
  </si>
  <si>
    <t>Navíc 1/2 profibodů zručnosti při postupu</t>
  </si>
  <si>
    <t>Navíc 1/2 profibodů obratnosti při postupu</t>
  </si>
  <si>
    <t>Navíc 1/2 profibodů vůle při postupu</t>
  </si>
  <si>
    <t>Navíc 1/2 profibodů charisma při postupu</t>
  </si>
  <si>
    <t>Neútočí na něj zvířata a on na ně</t>
  </si>
  <si>
    <t>Jednou za den až 10 žt nebo lehkou nemoc</t>
  </si>
  <si>
    <t>Jednou za den může přivolat ducha mrtvého</t>
  </si>
  <si>
    <t>Občas mívá věštěcké sny v nichž může vidět budoucnost</t>
  </si>
  <si>
    <t>Jednou denně umí kouzlo Hypnóza</t>
  </si>
  <si>
    <t>Výborná intuice</t>
  </si>
  <si>
    <t>Při rozhodování se může opřít o svoji intuici</t>
  </si>
  <si>
    <t>Napodobí hlas jiné bytosti</t>
  </si>
  <si>
    <t>Odhad protivníka</t>
  </si>
  <si>
    <t>60% šance na správný odhad úrovně či přesvědčení</t>
  </si>
  <si>
    <t>Může rozmlouvat s astrální sférou či s bohem</t>
  </si>
  <si>
    <t>HodK</t>
  </si>
  <si>
    <t>HodZ</t>
  </si>
  <si>
    <t>Společenský status</t>
  </si>
  <si>
    <t>Citové vazby</t>
  </si>
  <si>
    <t>a)</t>
  </si>
  <si>
    <t>b)</t>
  </si>
  <si>
    <t xml:space="preserve">Postava je zcela nezávislá ve svém rozhodování. </t>
  </si>
  <si>
    <t>Přátelé a nepřátelé</t>
  </si>
  <si>
    <t>(Zvol až 2 možnosti)</t>
  </si>
  <si>
    <t xml:space="preserve">Postava má mocného nepřítele, kterého zná. </t>
  </si>
  <si>
    <t>c)</t>
  </si>
  <si>
    <t>d)</t>
  </si>
  <si>
    <t>e)</t>
  </si>
  <si>
    <t xml:space="preserve">Postava má přátele, u nichž může najít útočiště a pomocnou ruku. </t>
  </si>
  <si>
    <t>f)</t>
  </si>
  <si>
    <t xml:space="preserve">Postava má mocného ochránce, který jí v nouzi může pomoci. </t>
  </si>
  <si>
    <t>g)</t>
  </si>
  <si>
    <t>Postava má někoho, na kom jí záleží a koho bude chránit (dítě, lásku, partnera, staré rodiče, ...)</t>
  </si>
  <si>
    <t xml:space="preserve">Postava nemá významné přátele / nepřátele. </t>
  </si>
  <si>
    <t xml:space="preserve">Postava má velmi mocného nepřítele, kterého nezná a který jí znepříjemňuje život. </t>
  </si>
  <si>
    <t>Postava má za sebou vlivnou organizaci, která jí poskytuje informace a ochranu</t>
  </si>
  <si>
    <t xml:space="preserve">Postava má nepřítele přibližně na stejné úrovni jako je ona sama, kterého zná </t>
  </si>
  <si>
    <t>Životní styl a náklady</t>
  </si>
  <si>
    <t xml:space="preserve">a) </t>
  </si>
  <si>
    <t>Standardní</t>
  </si>
  <si>
    <t xml:space="preserve"> = Běžné životní nákladů dobrodruhů na cestách</t>
  </si>
  <si>
    <t xml:space="preserve"> 2  st / den (6 zl / měsíc)</t>
  </si>
  <si>
    <t xml:space="preserve"> = Žije velmi skromě a šetrně, téměř neutrácí</t>
  </si>
  <si>
    <t xml:space="preserve"> 10 md / den (1,5 zl /měsíc)</t>
  </si>
  <si>
    <t>Nákladný</t>
  </si>
  <si>
    <t xml:space="preserve"> = Za své peníze si chce užít spokojeného života bez odříkání či si platí pomocníka</t>
  </si>
  <si>
    <t xml:space="preserve"> 5 st / den (15 zl / měsíc)</t>
  </si>
  <si>
    <t xml:space="preserve">d) </t>
  </si>
  <si>
    <t>Bohémský</t>
  </si>
  <si>
    <t xml:space="preserve"> 1 zl / den (30 zl / měsíc)</t>
  </si>
  <si>
    <t xml:space="preserve"> = Užívá života plnými doušky, ničeho si neodříká či si vydržuje milenku (/milence)</t>
  </si>
  <si>
    <t>Rozhodnutí o původu postavy vs. talentu</t>
  </si>
  <si>
    <t>Jiná omezení</t>
  </si>
  <si>
    <t>(zvol až 4 možnosti nebo nechej nevyplněno)</t>
  </si>
  <si>
    <t>Bez omezení</t>
  </si>
  <si>
    <t>Kodex cti - postava se zavázala dodržovat určitá pravidla, která nesmí porušit</t>
  </si>
  <si>
    <t>Min. 1 hod./den</t>
  </si>
  <si>
    <t>Rituály - postava musí dodržovat a vykonávat dohodnuté (často náboženské) rituály a pravidla.</t>
  </si>
  <si>
    <t xml:space="preserve">Poslání - postava naplňuje určité nesobecké poslání, které má pro ni nejvyšší prioritu </t>
  </si>
  <si>
    <t>Dvojník - postava má dvojníka, který se pohybuje krajem a dělá problémy</t>
  </si>
  <si>
    <t xml:space="preserve">Sociální stigma - postava je vyloučena ze společnosti, může být terčem nepřátelství. </t>
  </si>
  <si>
    <t>Skrytá identita - postava žije dvojím životem.Svůj druhý život se snaží utajit před ostatními</t>
  </si>
  <si>
    <t>Půlelfka</t>
  </si>
  <si>
    <t>Seznam VP</t>
  </si>
  <si>
    <t>Seznam PJ</t>
  </si>
  <si>
    <t>VP</t>
  </si>
  <si>
    <t>PJ</t>
  </si>
  <si>
    <t>3. Startovní rozhodnutí o postavě</t>
  </si>
  <si>
    <t>2. Hody k6 na vlastnosti</t>
  </si>
  <si>
    <t>(Zapiš výsledek hodu/hodů do příslušných políček)</t>
  </si>
  <si>
    <t>Startovní navýšení zvolených vlastností dle uvážení hráče</t>
  </si>
  <si>
    <t>Tabulka rozhodnutí hráče</t>
  </si>
  <si>
    <t>Z1</t>
  </si>
  <si>
    <t>Z2</t>
  </si>
  <si>
    <t>Z3</t>
  </si>
  <si>
    <t>K1</t>
  </si>
  <si>
    <t>K2</t>
  </si>
  <si>
    <t>K3</t>
  </si>
  <si>
    <t xml:space="preserve">  / </t>
  </si>
  <si>
    <t>Opravy za Veverku</t>
  </si>
  <si>
    <t>ZV_1</t>
  </si>
  <si>
    <t>ZV_2</t>
  </si>
  <si>
    <t>ZV_3</t>
  </si>
  <si>
    <t>KV_1</t>
  </si>
  <si>
    <t>KV_2</t>
  </si>
  <si>
    <t>KV_3</t>
  </si>
  <si>
    <t>12) Rozšířena tvorba postavy na 3 záporné a 3 kladné</t>
  </si>
  <si>
    <t>13) Upravena tvorba postavy - zadávání do listu Tvorba postavy i hodů</t>
  </si>
  <si>
    <t>14) Upraveny hodnoty vlastností ras dle změn v pravidlech pro Tvorbu postavy</t>
  </si>
  <si>
    <t>Na umělecké dovednosti -2 k hodu</t>
  </si>
  <si>
    <t>Odolný proti bolesti</t>
  </si>
  <si>
    <t>Umělec</t>
  </si>
  <si>
    <t>Na umělecké dovednosti +1 k hodu</t>
  </si>
  <si>
    <t>Rozený malíř</t>
  </si>
  <si>
    <t>Rozený tanečník</t>
  </si>
  <si>
    <t>Trpasličí cit</t>
  </si>
  <si>
    <t>Tlačítka umožňují vybrat pro úsporný tisk jen dovednosti, zvládané a) Dobře a lépe nebo b) Průměrně a lépe c) Špatně nebo lépe</t>
  </si>
  <si>
    <t>15) Přidány tlačítka, které pro Úsporný tisk vybírají jen dovednosti, které postava zná Špatně + / Průměrně + / Dobře +</t>
  </si>
  <si>
    <t>Alchymie</t>
  </si>
  <si>
    <t>Magie</t>
  </si>
  <si>
    <t>za víru</t>
  </si>
  <si>
    <t>Magie:</t>
  </si>
  <si>
    <t>16) Upravena Hudební zdatnost u barda (změny podle Profesníčku)</t>
  </si>
  <si>
    <t>17) Do listu kouzla doplněn profesníček nejen pro magii, ale i alchymii, hudbu, zázraky a přírodní magii</t>
  </si>
  <si>
    <t>nástroj</t>
  </si>
  <si>
    <t>18) Drobné úpravy v parametrech zbraní v souvislosti se změnou pravidel pro zbraně</t>
  </si>
  <si>
    <t>19) Opravena chyba ve výpočtu životů od 16. úrovně v listu PB</t>
  </si>
  <si>
    <t>Nechodit první</t>
  </si>
  <si>
    <t>Navštěvovat knihovny</t>
  </si>
  <si>
    <t>Zkoumat runy a symboly</t>
  </si>
  <si>
    <t>Z demence</t>
  </si>
  <si>
    <t>Z ovládnutí temným mágem</t>
  </si>
  <si>
    <t>Z požáru</t>
  </si>
  <si>
    <t>Marnotratnost</t>
  </si>
  <si>
    <t>Opilecké žvásty</t>
  </si>
  <si>
    <t>Háklivost na osobní věci</t>
  </si>
  <si>
    <t>Naslouchání příběhům</t>
  </si>
  <si>
    <t>Koně a jízda na nich</t>
  </si>
  <si>
    <t>Četba knih</t>
  </si>
  <si>
    <t>Dlouhé procházky</t>
  </si>
  <si>
    <t>20) V tabulce zbraní v jejich ovládání má vrh přednost před ovládáním zbraně (např. při hodu mečem rozhoduje schopnost vrhu, ne boje s meči)</t>
  </si>
  <si>
    <t>Kouzla temné přírody</t>
  </si>
  <si>
    <t>21) Změny v hraničářských a démonických kouzlech</t>
  </si>
  <si>
    <t>22) Opraven překlep u kněze - Uctívače ve výpočtu profesníčku v listu Kouzla</t>
  </si>
  <si>
    <t>Kůň/Povoz</t>
  </si>
  <si>
    <t>Měděné:</t>
  </si>
  <si>
    <t xml:space="preserve">Únava </t>
  </si>
  <si>
    <t xml:space="preserve">Vybavení (ruční zápis) </t>
  </si>
  <si>
    <t xml:space="preserve">Zlaté: </t>
  </si>
  <si>
    <t xml:space="preserve">Stříbrné: </t>
  </si>
  <si>
    <t>23) Upraven zápis schopnosti Bojové manévry (stupeň jednotlivých dílčích dovedností = stupeň znalosti Bojových manévrů)</t>
  </si>
  <si>
    <t>24) Opraveny pb a čísla u schopnosti Pokročilý boj se sekerami a kyji</t>
  </si>
  <si>
    <t>25) Opraven odkaz na dovednost Potlačení bolesti (PBolesti) způsobující chybné počítání meze vyřazení v listu Postava</t>
  </si>
  <si>
    <t>LVL</t>
  </si>
  <si>
    <t>Vějíř</t>
  </si>
  <si>
    <t>26) Do zbraní doplněn plášť a vějíř</t>
  </si>
  <si>
    <t>Dominantní muži</t>
  </si>
  <si>
    <t>Četba knihy</t>
  </si>
  <si>
    <t>viz zvl. list</t>
  </si>
  <si>
    <t>27) Do schopností doplněna Výrobí zdatnost II a Alchymie, upraven profesníček pro bardskou Hudbu (jen znalost bez bonusu barda)</t>
  </si>
  <si>
    <t>Opravy za boj ve zbroji (k INI, OBR a ZRČ)</t>
  </si>
  <si>
    <t>Započtené bonusy</t>
  </si>
  <si>
    <t>Boj ve zbroji</t>
  </si>
  <si>
    <t>Aktual.</t>
  </si>
  <si>
    <t>28) Opraveno povolení maximálního stupně znalosti u rodových zbraní (nefungovalo)</t>
  </si>
  <si>
    <t>29) Opravena tabulka opravy za zbroj a tabulka oprav za dovednost boje, smazány zastaralé opravy za terén a únavu v listu Tabulky</t>
  </si>
  <si>
    <t>30) K opravě za dovednost Zpracování zvěře přičítáno +1, pokud postava používá (má ve zbraních uveden) Tesák</t>
  </si>
  <si>
    <t>31) Opraven odkaz na dovednot Potlačení bolesti u postihů za méně než 1/3 žt</t>
  </si>
  <si>
    <t>ÚČ+1,OZ+2</t>
  </si>
  <si>
    <t>Lesní kouzla I</t>
  </si>
  <si>
    <t>Lesní kouzla II</t>
  </si>
  <si>
    <t>Rukávy mithrilové</t>
  </si>
  <si>
    <t>Kapuce mithrilová</t>
  </si>
  <si>
    <r>
      <t>Verze 2018_02: Změny od minulé verze</t>
    </r>
    <r>
      <rPr>
        <sz val="11"/>
        <color theme="1"/>
        <rFont val="Calibri"/>
        <family val="2"/>
        <charset val="238"/>
        <scheme val="minor"/>
      </rPr>
      <t xml:space="preserve"> (2018_v01)</t>
    </r>
  </si>
  <si>
    <t>1) Opraven výpočet KZ zad pro rasy s KZ &gt; 0</t>
  </si>
  <si>
    <t>2) Doplněny schopnosti temného kněze Temné dary a Zvrácené rituály</t>
  </si>
  <si>
    <t>3) Úprava rytířových schopností Boj před publikem, Boj v sedle, PB s kladivy, PB s obour. mečem, PB s trojzubcem, PB se štíty, Sehranost</t>
  </si>
  <si>
    <t>4) Opravena mximální možná znalost Drakomluvy u druida a mágů</t>
  </si>
  <si>
    <t>5) U bojovníka upravena schopnost Drcení kostí</t>
  </si>
  <si>
    <t>6) U mága opraveny popisy schopností Odhad úrovně, Neodhalitelnost</t>
  </si>
  <si>
    <t>7) U druida upraveny schopnosti Druidská wyda I, Předpovídání počasí, Druidská magie, Kouzla hněvu</t>
  </si>
  <si>
    <t>8) Upraveny bonusy u schopnosti Magická znalost (paladin, zaklínač), Mistrovský boj s kladivy a palcáty (paladin)</t>
  </si>
  <si>
    <t>9) Upravena schopnost Zaklínačská magie</t>
  </si>
  <si>
    <t xml:space="preserve">10) V listu Tabulky opraveno znalostní zvýhodnění pro kladnou veverku Profesní talent. </t>
  </si>
  <si>
    <t>11) Vrah - úprava popisů schopnosti Mistr. boj se 2 dýkami.</t>
  </si>
  <si>
    <t>12) Upravena zlodějská schopnost Hledání skrytého, Ohebnost, Otvírání zámků, Kapsářství, Odborné poutání, Odhad hodnoty pokladu, Odhalování padělků</t>
  </si>
  <si>
    <t>13) Upravena kněžská schopnost Odevzdání se bohu,</t>
  </si>
  <si>
    <t>14) Opraveny ceny a váhy zbrojí v databázi podle souboru Vše o zbrojích</t>
  </si>
  <si>
    <t>15) Opravena únava za chůzi v listu Tabulky (nové koeficienty v buňkách D14-D17)</t>
  </si>
  <si>
    <r>
      <t>Verze 2018_03: Změny od minulé verze</t>
    </r>
    <r>
      <rPr>
        <sz val="11"/>
        <color theme="1"/>
        <rFont val="Calibri"/>
        <family val="2"/>
        <charset val="238"/>
        <scheme val="minor"/>
      </rPr>
      <t xml:space="preserve"> (2018_v02)</t>
    </r>
  </si>
  <si>
    <t>1) Opraveny popisy u schopnosti pokročilý boj s kladivy a palcáty (uvedení do souladu s pravidly pro povolání)</t>
  </si>
  <si>
    <t>2) Opravena chyba u postihu za méně než 1/3 životů (nepočítal s potlačením bolesti, ale s tancem)</t>
  </si>
  <si>
    <t>Ruka 1</t>
  </si>
  <si>
    <t>Ruka SN</t>
  </si>
  <si>
    <t>Ruka ZZ</t>
  </si>
  <si>
    <t>Hlava SN</t>
  </si>
  <si>
    <t>Hlava ZZ</t>
  </si>
  <si>
    <t>Zuby SN</t>
  </si>
  <si>
    <t>Zuby ZZ</t>
  </si>
  <si>
    <t>Zuby 1</t>
  </si>
  <si>
    <t>Hlava 1</t>
  </si>
  <si>
    <t>Zuby</t>
  </si>
  <si>
    <t>Ruka(vice) s drápy</t>
  </si>
  <si>
    <t>Bota s čepelí</t>
  </si>
  <si>
    <t>Pařát</t>
  </si>
  <si>
    <t>Zobák</t>
  </si>
  <si>
    <t>Kusadla</t>
  </si>
  <si>
    <t>Rohy</t>
  </si>
  <si>
    <t>3) Doplněny parametry pro boj z blízka u ras, které mají odlišnosti (pařáty, kousnutí) a možnost výběru zubů v tabulce zbraní</t>
  </si>
  <si>
    <t>4) Doplněny bonusy k uhnutí za velmi dobrou (+1) či dokonalou (+2) znalost boje beze zbraně</t>
  </si>
  <si>
    <t>OV</t>
  </si>
  <si>
    <t>5) V tabulce Dovedností doplněn sloupec OV s celkovou opravou k ověření, včetně obvykle používané vlastnosti (kromě gamblerství, kde může být různá použivá vlastnost)</t>
  </si>
  <si>
    <t>Léčba závislostí</t>
  </si>
  <si>
    <t>až st. I</t>
  </si>
  <si>
    <t>až st. II, postih -1</t>
  </si>
  <si>
    <t>až st. III, postih -1</t>
  </si>
  <si>
    <t>až st. IV, postih -2</t>
  </si>
  <si>
    <t>až st. V, postih -3</t>
  </si>
  <si>
    <t>6) U vědmy upravena schopnost Léčba závislostí</t>
  </si>
  <si>
    <t>7) Doplněna schopnost Nekroalchymie</t>
  </si>
  <si>
    <t>Nekroalchymie</t>
  </si>
  <si>
    <t>+zombie</t>
  </si>
  <si>
    <t>+ghůl</t>
  </si>
  <si>
    <t>+skaab</t>
  </si>
  <si>
    <t>+dreugh</t>
  </si>
  <si>
    <t>+revenant</t>
  </si>
  <si>
    <t>+zvrácenost</t>
  </si>
  <si>
    <t>+monstrozita</t>
  </si>
  <si>
    <t>Kancodlak</t>
  </si>
  <si>
    <t>Kancodlačice</t>
  </si>
  <si>
    <t>Kly</t>
  </si>
  <si>
    <t>8) Rozčleněnní magenergie podle povolání</t>
  </si>
  <si>
    <r>
      <t>Verze 2019_01: Změny od minulé verze</t>
    </r>
    <r>
      <rPr>
        <sz val="11"/>
        <color theme="1"/>
        <rFont val="Calibri"/>
        <family val="2"/>
        <charset val="238"/>
        <scheme val="minor"/>
      </rPr>
      <t xml:space="preserve"> (2018_v03)</t>
    </r>
  </si>
  <si>
    <t>1) Stopař nově magické povolání - doplněny magické schopnosti</t>
  </si>
  <si>
    <t>Přírodní magie</t>
  </si>
  <si>
    <t>Meditace - druidská</t>
  </si>
  <si>
    <t>Čerpání z harmonie</t>
  </si>
  <si>
    <t>Čerpání z talismanu</t>
  </si>
  <si>
    <t>Hraničářská magie</t>
  </si>
  <si>
    <t>K. pocestných</t>
  </si>
  <si>
    <t>Léčivá k.</t>
  </si>
  <si>
    <t>Úsporné kouzlení</t>
  </si>
  <si>
    <t>3A / 10 k</t>
  </si>
  <si>
    <t>2 k/20 k</t>
  </si>
  <si>
    <t>3 k/30 k</t>
  </si>
  <si>
    <t>6 k/2 sm</t>
  </si>
  <si>
    <t>4 k/1 sm</t>
  </si>
  <si>
    <t>Uklidni zvíře</t>
  </si>
  <si>
    <t>Najdi jed</t>
  </si>
  <si>
    <t>Neutralizuj jed</t>
  </si>
  <si>
    <t>Najdi past</t>
  </si>
  <si>
    <t>Mluv se zvířaty</t>
  </si>
  <si>
    <t>Přikaž zvířeti</t>
  </si>
  <si>
    <t>Mag. zrcadlo</t>
  </si>
  <si>
    <t>Rozdělej oheň</t>
  </si>
  <si>
    <t>Ochr.před deštěm</t>
  </si>
  <si>
    <t>Ochr.před bouří</t>
  </si>
  <si>
    <t>Přivolej druida</t>
  </si>
  <si>
    <t>Ochr.před zimou</t>
  </si>
  <si>
    <t>Ochr.před vlky</t>
  </si>
  <si>
    <t>Telepatická ochr.</t>
  </si>
  <si>
    <t>Vládni př. věcem</t>
  </si>
  <si>
    <t>Zastav krvácení</t>
  </si>
  <si>
    <t>Uzdrav leh.zr.</t>
  </si>
  <si>
    <t>Uzdrav těž.zr.</t>
  </si>
  <si>
    <t>Uzdrav l.nemoc.</t>
  </si>
  <si>
    <t>Uzdrav v.t.zr.</t>
  </si>
  <si>
    <t>Ošetři omrzl.</t>
  </si>
  <si>
    <t>Ošetři popál.</t>
  </si>
  <si>
    <t>Uzdrav t. nemoc</t>
  </si>
  <si>
    <t>Šíp varování</t>
  </si>
  <si>
    <t>Šíp hněvu</t>
  </si>
  <si>
    <t>Šíp zloby</t>
  </si>
  <si>
    <t>Šíp nenávisti</t>
  </si>
  <si>
    <t>Dvojitý výstřel</t>
  </si>
  <si>
    <t>Naváděcí šíp</t>
  </si>
  <si>
    <t>Bílý šíp</t>
  </si>
  <si>
    <t>Signální šíp</t>
  </si>
  <si>
    <t>Bojový</t>
  </si>
  <si>
    <t>Rychlý</t>
  </si>
  <si>
    <t>Jednoduchý</t>
  </si>
  <si>
    <t>Základní</t>
  </si>
  <si>
    <t>Rozšířený</t>
  </si>
  <si>
    <t>Pokročilý</t>
  </si>
  <si>
    <t>Velký</t>
  </si>
  <si>
    <t>Kouzla luku 2</t>
  </si>
  <si>
    <t>Ohnivý šíp</t>
  </si>
  <si>
    <t>Antimagický šíp</t>
  </si>
  <si>
    <t>Ohnutý šíp</t>
  </si>
  <si>
    <t>Zpomalující šíp</t>
  </si>
  <si>
    <t>Mrazící šíp</t>
  </si>
  <si>
    <t>Trojitý výstřel</t>
  </si>
  <si>
    <t>Nehmotný šíp</t>
  </si>
  <si>
    <t>Smrtící šíp</t>
  </si>
  <si>
    <t>2) Upravena pravidla pro čerpání magenergie - každý z 6 druhů na jinou vlastnost, ale podle jednotného vzorce pro obor</t>
  </si>
  <si>
    <t>Čerpání z hlubin</t>
  </si>
  <si>
    <t>3) U démonika nahrazena schopnost Posilování kouzel sdílenou schopností Modifikace kouzel</t>
  </si>
  <si>
    <t>Čerpání z půstu</t>
  </si>
  <si>
    <t>Čerpání z tance</t>
  </si>
  <si>
    <t>Čerpání ze souznění</t>
  </si>
  <si>
    <t>Čerpání z rituálů</t>
  </si>
  <si>
    <t>Magenergie 2</t>
  </si>
  <si>
    <t>4) V listu Tvorba postavy opravena výběrová roletka u výběru rasy (seznam byl neúplný)</t>
  </si>
  <si>
    <t>5) Pojmenovány buňky určené ke kopírování do vyšších verzí deníku</t>
  </si>
  <si>
    <t>Ambiciózní</t>
  </si>
  <si>
    <r>
      <t>Verze 2020_01: Změny od minulé verze</t>
    </r>
    <r>
      <rPr>
        <sz val="11"/>
        <color theme="1"/>
        <rFont val="Calibri"/>
        <family val="2"/>
        <charset val="238"/>
        <scheme val="minor"/>
      </rPr>
      <t xml:space="preserve"> (2019_v01)</t>
    </r>
  </si>
  <si>
    <t>Stupně a opravy</t>
  </si>
  <si>
    <t>profibodů</t>
  </si>
  <si>
    <t>ŽIvoty</t>
  </si>
  <si>
    <t>KON</t>
  </si>
  <si>
    <t>(oprava odolnosti za rasu)</t>
  </si>
  <si>
    <t>Body</t>
  </si>
  <si>
    <t>1) Zrušen list PB (Přesun to listu Tvorba postavy)</t>
  </si>
  <si>
    <t>3) Startovní rozhodnutí a jeho vliv na vlatnosti dle nových pravidel (Tvorba postavy)</t>
  </si>
  <si>
    <t>4) Upraveny vlastnosti ras dle nových pravidel (Rasy)</t>
  </si>
  <si>
    <t>2) Vývoj počtu životů dle nových pravidel (Povolání, Tvorba postavy)</t>
  </si>
  <si>
    <t>ÚR</t>
  </si>
  <si>
    <t>Je možno ještě vybrat</t>
  </si>
  <si>
    <t>Schopnosti duálního povolání</t>
  </si>
  <si>
    <t>6) Upravena tabulka profibodů u dovedností (nově se už nevstahuje na schopnosti)</t>
  </si>
  <si>
    <t>5) U schopností zrušeny vlastnosti a profibody, doplněna minimální úrovně pro studium a zda je volná schopnost. Úprava tabulek, makra i vzorců.</t>
  </si>
  <si>
    <t>7) Schopnosti rozděleny podle primárního a duální povolání (ne na normální a volné)</t>
  </si>
  <si>
    <t>assassin</t>
  </si>
  <si>
    <t>Badatel</t>
  </si>
  <si>
    <t>Badatelka</t>
  </si>
  <si>
    <t>[Zoologie I] ZZ +1</t>
  </si>
  <si>
    <t>[Zoologie II] ÚČ+1,ZZ+1</t>
  </si>
  <si>
    <t>8) Změna způsobu výpočtu profibodů a úprava náročností u jednotlivých obtížností dovedností. (Nově se za profibody už neučí schopnosti)</t>
  </si>
  <si>
    <t>Hodný!</t>
  </si>
  <si>
    <t>[Zvířecí společník I] 3 povely</t>
  </si>
  <si>
    <t>5 povelů</t>
  </si>
  <si>
    <t>všechny povely</t>
  </si>
  <si>
    <t>INI+3,Út+6/3</t>
  </si>
  <si>
    <t>INI+1,Út+2/4,OZ+1</t>
  </si>
  <si>
    <t>[Střelba II] ÚČ+1</t>
  </si>
  <si>
    <t>[Střelba II] Út+1/1</t>
  </si>
  <si>
    <t>[Střelba III] Út+2/1</t>
  </si>
  <si>
    <t>[Střelba III] Út+2/2</t>
  </si>
  <si>
    <t>[Střelba IV] Út+3/3</t>
  </si>
  <si>
    <t>[Strelba III] INI +1</t>
  </si>
  <si>
    <t>[Střelba V] INI +7</t>
  </si>
  <si>
    <t>[ÚR 4] INI +2</t>
  </si>
  <si>
    <t>[ÚR 6] INI +3</t>
  </si>
  <si>
    <t>[ÚR 8] INI +4</t>
  </si>
  <si>
    <t>[ÚR 10] INI +5</t>
  </si>
  <si>
    <t>[ÚR 12] INI +6</t>
  </si>
  <si>
    <t>[ÚR 17] INI +8</t>
  </si>
  <si>
    <t>[ÚR 20] INI +9</t>
  </si>
  <si>
    <t>[ÚR 23] INI +10</t>
  </si>
  <si>
    <t>[ÚR 26] INI +11</t>
  </si>
  <si>
    <t>[ÚR 27] INI +12</t>
  </si>
  <si>
    <t>1A = ÚČ+1</t>
  </si>
  <si>
    <t>1A=ÚČ+1,2A=ÚČ +3</t>
  </si>
  <si>
    <t>Kouzla hraničářská</t>
  </si>
  <si>
    <t>K.hraničářská</t>
  </si>
  <si>
    <t>[ÚR 6] K. luku I</t>
  </si>
  <si>
    <t>[ÚR 11] Mag. střeh</t>
  </si>
  <si>
    <t>[ÚR 16] K. luku II</t>
  </si>
  <si>
    <t>Kouzla léčivá</t>
  </si>
  <si>
    <t>Kouzla - Magický střeh</t>
  </si>
  <si>
    <t>66%</t>
  </si>
  <si>
    <t>badatel</t>
  </si>
  <si>
    <t>600</t>
  </si>
  <si>
    <t>1 200</t>
  </si>
  <si>
    <t>50 m</t>
  </si>
  <si>
    <t>600 m</t>
  </si>
  <si>
    <t>1 200 m</t>
  </si>
  <si>
    <t>[ÚR 11] +2</t>
  </si>
  <si>
    <t>[ÚR 16] +3</t>
  </si>
  <si>
    <t>[Nosičství II] únava chůze 1/2</t>
  </si>
  <si>
    <t>Popáleniny/Omrzliny</t>
  </si>
  <si>
    <t>L: Ošetři popáleniny/omrzliny</t>
  </si>
  <si>
    <t>1k6 žt (1x/den)</t>
  </si>
  <si>
    <t>1k6 žt (2x/den)</t>
  </si>
  <si>
    <t>1k6 žt (3x/den)</t>
  </si>
  <si>
    <t>1k6 žt (4x/den)</t>
  </si>
  <si>
    <t>1k6 žt (5x/den)</t>
  </si>
  <si>
    <t>JED +2 (1x/den)</t>
  </si>
  <si>
    <t>JED +3 (1x/den)</t>
  </si>
  <si>
    <t>JED +4 (2x/den)</t>
  </si>
  <si>
    <t>JED +5 (2x/den)</t>
  </si>
  <si>
    <t>2k6 žt (1x/den)</t>
  </si>
  <si>
    <t>2k6 žt (2x/den)</t>
  </si>
  <si>
    <t>2k6+4 žt (1x/den)</t>
  </si>
  <si>
    <t>[Stopování I] 1k6 čenů</t>
  </si>
  <si>
    <t>[Komunikace se zvířaty VIII]</t>
  </si>
  <si>
    <t>[Zoologie V] ÚČ+2,ZZ+5,OU+1</t>
  </si>
  <si>
    <t>[Zoologie III] ÚČ+1,ZZ+2, OU+1</t>
  </si>
  <si>
    <t>[Zoologie IV] ÚČ+1,ZZ+3,OU+1</t>
  </si>
  <si>
    <t>[Zoologie IV] ÚČ+1,ZZ+4,OU+1</t>
  </si>
  <si>
    <t>Hůl krátká</t>
  </si>
  <si>
    <t>Hůl dlouhá</t>
  </si>
  <si>
    <t>Bič</t>
  </si>
  <si>
    <t>Důtky</t>
  </si>
  <si>
    <t>Kámen velký</t>
  </si>
  <si>
    <t>Kus skály</t>
  </si>
  <si>
    <t>9) Upraveny parametry zbraní v listu 1-Vzhled a boj dle aktuálních pravidel</t>
  </si>
  <si>
    <t>10) Upraven výpočet základních bojových čísel dle aktuálních pravidel (INI = RCH, ZÚČN = OBR, ZÚČS = ZRČ)</t>
  </si>
  <si>
    <t>11) Upravena požadovaná síla u zbrojí a její hlídání v tabulce zbrojí (červeně zvýrazněná buňka při překročení)</t>
  </si>
  <si>
    <t>12) Změny ve výpočtu síly mysli (změny u povolání, i v útoku VOL ne CHAR, zrušení PM)</t>
  </si>
  <si>
    <t>13) Od 16. úrovně není 3. hlavní vlastnost (úprava dle nových pravidel)</t>
  </si>
  <si>
    <t>INI+2,Út+3/3</t>
  </si>
  <si>
    <t>INI+3,Út+3/3</t>
  </si>
  <si>
    <t>ODL~11~0/1k6+1 kol</t>
  </si>
  <si>
    <t>ODL~12~0/2k6 kol</t>
  </si>
  <si>
    <t>ODL~13~1 kolo/1 směnu</t>
  </si>
  <si>
    <t>Út+1/1,OZ+1</t>
  </si>
  <si>
    <t>[Učení se písním III] boj. -1</t>
  </si>
  <si>
    <t>CHR~13~0</t>
  </si>
  <si>
    <t>CHR~12~0</t>
  </si>
  <si>
    <t>SMS +5</t>
  </si>
  <si>
    <t>Past: 11 ~ 0</t>
  </si>
  <si>
    <t>Past: 12 ~ 0</t>
  </si>
  <si>
    <t>Past: 13 ~ 0</t>
  </si>
  <si>
    <t>Past: 15 ~ 0</t>
  </si>
  <si>
    <t>st. I</t>
  </si>
  <si>
    <t>[ÚR 4] st. II</t>
  </si>
  <si>
    <t>[ÚR 7] st. III</t>
  </si>
  <si>
    <t>[ÚR 10] st. IV</t>
  </si>
  <si>
    <t>[ÚR 13] st. V</t>
  </si>
  <si>
    <t>[ÚR 16] st. VI</t>
  </si>
  <si>
    <t>[UP II] -2 b, 1x/den</t>
  </si>
  <si>
    <t>[UP VI] -4 b, 3x/den</t>
  </si>
  <si>
    <t>Píseň: Meditační hudba</t>
  </si>
  <si>
    <t>ÚČ +1; CHAR~ 13~0</t>
  </si>
  <si>
    <t>ÚČ +1, OZ+1; CHAR~12~0</t>
  </si>
  <si>
    <t>INI+1,ÚČ +2,OČ +1; CHAR~11~0</t>
  </si>
  <si>
    <t>[Boj.manévry V, Finty VIII] OZ +1</t>
  </si>
  <si>
    <t>Út+2/2,OZ+5</t>
  </si>
  <si>
    <t>[PB 2 zbraně V] Út+2/1,OZ+4</t>
  </si>
  <si>
    <t>Út+3/2,OZ+3</t>
  </si>
  <si>
    <t>Út+4/3,OZ+5</t>
  </si>
  <si>
    <t>[PB s meči V, Boj s meči V] Út+2/2,OZ+3</t>
  </si>
  <si>
    <t>Út +2/1,OZ +5</t>
  </si>
  <si>
    <t>Út +2/1,OZ +6</t>
  </si>
  <si>
    <t>Út +2/2,OZ +6</t>
  </si>
  <si>
    <t>Út +3/2,OZ +7</t>
  </si>
  <si>
    <t>[Blokování V, PB se štíty V] Út +1/1,OZ +5</t>
  </si>
  <si>
    <t>[Blokování II] OZ+1</t>
  </si>
  <si>
    <t>[Blokování II] OZ+2</t>
  </si>
  <si>
    <t>[Blokování III] OZ+3</t>
  </si>
  <si>
    <t>[Blokování III] OZ+4</t>
  </si>
  <si>
    <t>[Blokování IV] OZ+5</t>
  </si>
  <si>
    <t>[Boj man.X, Vícenásobné út. III]</t>
  </si>
  <si>
    <t>[Odhad nepř. IV, Boj. man. VI] Út -2/+4</t>
  </si>
  <si>
    <t>Út -1/+5</t>
  </si>
  <si>
    <t>Út -0/+4+k6+</t>
  </si>
  <si>
    <t>[TN!, Tanec I, PB 2 zbraně I] INI +1</t>
  </si>
  <si>
    <t>[TN!, Tanec II] INI +1, ÚČ +1</t>
  </si>
  <si>
    <t>[TN!, Tanec II] INI +2, ÚČ +1</t>
  </si>
  <si>
    <t>[TN!, Tanec III] INI +3, ÚČ +3</t>
  </si>
  <si>
    <t>INI (zbraň) +1</t>
  </si>
  <si>
    <t>[Vícenás.út. VI] INI (zbraň) +7</t>
  </si>
  <si>
    <t>[Léčba vl. zr. VI] 2; 1x/den</t>
  </si>
  <si>
    <t>2; 2x/den</t>
  </si>
  <si>
    <t>3;2x/den</t>
  </si>
  <si>
    <t>4;3x/den</t>
  </si>
  <si>
    <t>4;4x/den</t>
  </si>
  <si>
    <t>Míra zranění</t>
  </si>
  <si>
    <t xml:space="preserve"> + Útok</t>
  </si>
  <si>
    <t xml:space="preserve"> + Obrana</t>
  </si>
  <si>
    <t xml:space="preserve"> + Způsobované zranění</t>
  </si>
  <si>
    <t xml:space="preserve"> + Zranitenost</t>
  </si>
  <si>
    <t>15) Doplněny střelné sbraně vyráběné pyrofory</t>
  </si>
  <si>
    <t>Hákovnice</t>
  </si>
  <si>
    <t>Arkebuza</t>
  </si>
  <si>
    <t>Bambitka</t>
  </si>
  <si>
    <t>R</t>
  </si>
  <si>
    <t>Startovní bonus k hlavním vlastn.</t>
  </si>
  <si>
    <t>BSIL</t>
  </si>
  <si>
    <t>BOBR</t>
  </si>
  <si>
    <t>BZRČ</t>
  </si>
  <si>
    <t>BINT</t>
  </si>
  <si>
    <t>BVOL</t>
  </si>
  <si>
    <t>BCHR</t>
  </si>
  <si>
    <t>16) Doplněny startovní bonusy k vlastnostem podle povolání</t>
  </si>
  <si>
    <t>Pokr.boj s kuší</t>
  </si>
  <si>
    <t>[Vrh II] ÚČ+1</t>
  </si>
  <si>
    <t>[Vrh II] INI+1, ÚČ+1</t>
  </si>
  <si>
    <t>[Vrh III] INI+1, Út +1/1</t>
  </si>
  <si>
    <t>[Vrh III] INI+1, Út +2/1</t>
  </si>
  <si>
    <t>[Vrh III] INI+2, Út +2/2</t>
  </si>
  <si>
    <t>[ÚR 21] +4</t>
  </si>
  <si>
    <t>[TN!] 1x/3 dny</t>
  </si>
  <si>
    <t>[TN!] 1x / 60 hod</t>
  </si>
  <si>
    <t>[TN!] 1x/2 dny</t>
  </si>
  <si>
    <t>[TN!] 1x/36 hod.</t>
  </si>
  <si>
    <t>[TN!] 1x/den</t>
  </si>
  <si>
    <t>[TN!] 1x/12 hod.</t>
  </si>
  <si>
    <t xml:space="preserve"> + Lepící</t>
  </si>
  <si>
    <t xml:space="preserve"> + Ochromující</t>
  </si>
  <si>
    <t xml:space="preserve"> + Neviditelná</t>
  </si>
  <si>
    <t>Mg. 15</t>
  </si>
  <si>
    <t>Mg. 60</t>
  </si>
  <si>
    <t>Alchymistická výbava</t>
  </si>
  <si>
    <t>pomůcky</t>
  </si>
  <si>
    <t>[TN!] kostlivec</t>
  </si>
  <si>
    <t>[TN!] Cílené jedy</t>
  </si>
  <si>
    <t>[TN!] Dvoječené lektv.</t>
  </si>
  <si>
    <t>[TN!] Čerpání z hrůz</t>
  </si>
  <si>
    <t>[TN!] Dravčí meč</t>
  </si>
  <si>
    <t>Ruce: Út+2/3,OZ+2</t>
  </si>
  <si>
    <t>Ruce: Út+2/3,OZ+3</t>
  </si>
  <si>
    <t>Ruce: Út+2/4,OZ+3</t>
  </si>
  <si>
    <t>Ruce: Út+2/5,OZ+3</t>
  </si>
  <si>
    <t>Ruce: Út+2/6,OZ+4</t>
  </si>
  <si>
    <t>[ÚR 16] +4</t>
  </si>
  <si>
    <t>[ÚR 21] +6</t>
  </si>
  <si>
    <t>bÚr+VOL~10+VOL~ 0</t>
  </si>
  <si>
    <t>bÚr+VOL~11+VOL~ 0</t>
  </si>
  <si>
    <t>bÚr+VOL~12+VOL~ 0</t>
  </si>
  <si>
    <t>bÚr+VOL~13+VOL~ 0</t>
  </si>
  <si>
    <t>bÚr+VOL~14+VOL~ 0</t>
  </si>
  <si>
    <t>ROZ/2~ 11 ~0</t>
  </si>
  <si>
    <t>ROZ/2~13~0</t>
  </si>
  <si>
    <t>ROZ/2~15~0</t>
  </si>
  <si>
    <t>Konání zázraků</t>
  </si>
  <si>
    <t>[PB s holí V, Boj s holí V] Út+2/1,OZ+4</t>
  </si>
  <si>
    <t>INI+1,Út+4/2,OZ+5</t>
  </si>
  <si>
    <t>[Boj s holí II] OZ+1</t>
  </si>
  <si>
    <t>[Boj s holí II] ÚČ+1,OZ+1</t>
  </si>
  <si>
    <t>[Boj s holí III] ÚČ+1,OZ+2</t>
  </si>
  <si>
    <t>[Boj s holí III] Út+1/1,OZ+2</t>
  </si>
  <si>
    <t>[Boj s holí IV] Út+2/1,OZ+3</t>
  </si>
  <si>
    <t>[ÚR 6] INI +2</t>
  </si>
  <si>
    <t>[ÚR 9] INI +3</t>
  </si>
  <si>
    <t>[ÚR 12] INI +4</t>
  </si>
  <si>
    <t>[ÚR 15] INI +5</t>
  </si>
  <si>
    <t>[K. Přijetí hole] 5 mg</t>
  </si>
  <si>
    <t>[2 kouzla hole] 15 mg</t>
  </si>
  <si>
    <t>[2 kouzla hole] 20 mg</t>
  </si>
  <si>
    <t>[3 kouzla hole] 25 mg</t>
  </si>
  <si>
    <t>[3 kouzla hole] 30 mg</t>
  </si>
  <si>
    <t>[4 kouzla hole] 35mg</t>
  </si>
  <si>
    <t>[4 kouzla hole] 40 mg</t>
  </si>
  <si>
    <t>[TN! Runová magie V] 1 kouzlo, 15 mg</t>
  </si>
  <si>
    <t>[TN!] 2 kouzla, 30 mg</t>
  </si>
  <si>
    <t>[TN!] 4 kouzla, 60 mg</t>
  </si>
  <si>
    <t>[TN!] 8 kouzel, 120 mg</t>
  </si>
  <si>
    <t>Sečtělost</t>
  </si>
  <si>
    <t>max. st.8</t>
  </si>
  <si>
    <t>Arkána</t>
  </si>
  <si>
    <t>17) U kouzelníků náhrada profesní znalosti I a II schopností Arkána, oprava výpočtu profesníčku v listu Kouzla</t>
  </si>
  <si>
    <t>[ÚR 7] Pokročilá (Prof.-2)</t>
  </si>
  <si>
    <t>[ÚR 10] Těžká (Prof.-3)</t>
  </si>
  <si>
    <t>[ÚR 13] Velmi těžká (Prof.-4)</t>
  </si>
  <si>
    <t>[ÚR 16] Mistrovská (Prof.-6)</t>
  </si>
  <si>
    <t>Posílené ochrany</t>
  </si>
  <si>
    <t>[Int 13] 2</t>
  </si>
  <si>
    <t>[INT 16] 3</t>
  </si>
  <si>
    <t>[INT 19] 4</t>
  </si>
  <si>
    <t>[INT 22] 5</t>
  </si>
  <si>
    <t>14) Aktualizovány schopnosti stopaře, barda, šermíře, badatele, kněze, runového mága</t>
  </si>
  <si>
    <t>INI+2,Út+4/3</t>
  </si>
  <si>
    <t>INI+2,Út+5/3</t>
  </si>
  <si>
    <t>[Vrh V, PB s vrh. zbr. V] INI+2,Út+3/2</t>
  </si>
  <si>
    <t>Mistrovský vrh nožů</t>
  </si>
  <si>
    <t>INI+3,Út+3/2</t>
  </si>
  <si>
    <t>INI+3,Út+4/3</t>
  </si>
  <si>
    <t>INI+4,Út+4/4</t>
  </si>
  <si>
    <t>[PB vrh. zbr. V, Boj s noži IV] INI+2,Út+3/2</t>
  </si>
  <si>
    <t>[TN!]</t>
  </si>
  <si>
    <t>+20</t>
  </si>
  <si>
    <t>[Zákeřné útoky V] +12</t>
  </si>
  <si>
    <t>1 zl / měs.</t>
  </si>
  <si>
    <t>5 zl / měs.</t>
  </si>
  <si>
    <t>10 zl / měs.</t>
  </si>
  <si>
    <t>20 zl / měs.</t>
  </si>
  <si>
    <t>30 zl / měs.</t>
  </si>
  <si>
    <t>40 zl / měs.</t>
  </si>
  <si>
    <t>60 zl / měs.</t>
  </si>
  <si>
    <t>80 zl / měs.</t>
  </si>
  <si>
    <t>100 zl / měs.</t>
  </si>
  <si>
    <t>150 zl/měs.</t>
  </si>
  <si>
    <t>200 zl/měs.</t>
  </si>
  <si>
    <t>250 zl/měs.</t>
  </si>
  <si>
    <t>Lezecké techniky</t>
  </si>
  <si>
    <t>[Odhad hodn. pokl. I, Padělání II] 0</t>
  </si>
  <si>
    <t>[Převleky IV, Neškodný vzhled IV] +1</t>
  </si>
  <si>
    <t>Honácký</t>
  </si>
  <si>
    <t>24 pramenný</t>
  </si>
  <si>
    <t>Lamač</t>
  </si>
  <si>
    <t>[Drátenictví II] Jezdecký</t>
  </si>
  <si>
    <t xml:space="preserve">[TN! Budování sítě VI] </t>
  </si>
  <si>
    <t>11+INT</t>
  </si>
  <si>
    <t>15+INT</t>
  </si>
  <si>
    <t>19+INT</t>
  </si>
  <si>
    <t>[Mag.znalost V] ÚČ +1</t>
  </si>
  <si>
    <t>[Okultismus I] ZZ +1</t>
  </si>
  <si>
    <t>[Okultismus II] OU+1, ZZ+1</t>
  </si>
  <si>
    <t>[Okultismus III] Ú+1/1,OČ +1</t>
  </si>
  <si>
    <t>[Okultismus IV] Ú+1/2,OČ +1</t>
  </si>
  <si>
    <t>[Okultismus V] Ú+2/3,OČ +1</t>
  </si>
  <si>
    <t>[Bestiologie I] ZZ +1</t>
  </si>
  <si>
    <t>[Bestiologie II] OU+1, ZZ+1</t>
  </si>
  <si>
    <t>[Bestiologie III] Ú+1/1,OČ +1</t>
  </si>
  <si>
    <t>[Bestiologie IV] Ú+1/2,OČ +1</t>
  </si>
  <si>
    <t>[Bestiologie V] Ú+2/3,OČ +1</t>
  </si>
  <si>
    <t>Út+2/2,OZ+3</t>
  </si>
  <si>
    <t>Út+2/3,OZ+3</t>
  </si>
  <si>
    <t>Út+2/4,OZ+3</t>
  </si>
  <si>
    <t>Út+2/4,OZ+4</t>
  </si>
  <si>
    <t>Út+3/5,OZ+4</t>
  </si>
  <si>
    <t>+Odolnost vůči otravám</t>
  </si>
  <si>
    <t>K: Znamení</t>
  </si>
  <si>
    <t>K: Znamení 2</t>
  </si>
  <si>
    <t>+Rychlé reflexy</t>
  </si>
  <si>
    <t>+Imunita</t>
  </si>
  <si>
    <t>+Hbitost</t>
  </si>
  <si>
    <t>+Rezistence na magii</t>
  </si>
  <si>
    <t>+Psychická odolnost</t>
  </si>
  <si>
    <t>+Teplotní regulace</t>
  </si>
  <si>
    <t>Kouzla psychická</t>
  </si>
  <si>
    <t>Út+2/3,OZ+1,INI+1</t>
  </si>
  <si>
    <t>Út+3/4,OZ+1,INI+2</t>
  </si>
  <si>
    <t>Út+2/4,OZ+1,INI+1</t>
  </si>
  <si>
    <t>Út+3/5,OZ+1,INI+3</t>
  </si>
  <si>
    <t>OZ +10</t>
  </si>
  <si>
    <t>[Blokování V] OZ +6</t>
  </si>
  <si>
    <t>[Boj kopími II] ZZ+1</t>
  </si>
  <si>
    <t>[Boj kopími II] Út+1/1</t>
  </si>
  <si>
    <t>[Boj kopími II] Út+1/1,OZ+1</t>
  </si>
  <si>
    <t>[Boj kopími III]Út+1/2,OZ+1</t>
  </si>
  <si>
    <t>[Boj kopími IV] Út+2/3,OZ+1</t>
  </si>
  <si>
    <t>[ÚR 2] Svobodník</t>
  </si>
  <si>
    <t>[ÚR 4] Desátník</t>
  </si>
  <si>
    <t>[ÚR 6] Seržant</t>
  </si>
  <si>
    <t>[ÚR 8] Praporečník</t>
  </si>
  <si>
    <t>[ÚR 10] Poručík</t>
  </si>
  <si>
    <t>[ÚR 13] Kapitán</t>
  </si>
  <si>
    <t>[ÚR 16] Plukovník</t>
  </si>
  <si>
    <t>[ÚR 21] Generál</t>
  </si>
  <si>
    <t>PB Chr +3</t>
  </si>
  <si>
    <t>PB Chr +7</t>
  </si>
  <si>
    <t>PB Chr +11</t>
  </si>
  <si>
    <t>PB Chr +16</t>
  </si>
  <si>
    <t>PB Chr +21</t>
  </si>
  <si>
    <t>PB Chr +27</t>
  </si>
  <si>
    <t>PB Chr +33</t>
  </si>
  <si>
    <t>PB Chr +40</t>
  </si>
  <si>
    <t>ZZ +3</t>
  </si>
  <si>
    <t>ZZ +4</t>
  </si>
  <si>
    <t>ZZ +5</t>
  </si>
  <si>
    <t>ZZ +6</t>
  </si>
  <si>
    <t>Út+2/4,OZ+1</t>
  </si>
  <si>
    <t>Út+2/5,OZ+1</t>
  </si>
  <si>
    <t>Út+2/6,OZ+1</t>
  </si>
  <si>
    <t>Út+2/6,OZ+2</t>
  </si>
  <si>
    <t>Út+3/7,OZ+2</t>
  </si>
  <si>
    <t>boj.grizzly</t>
  </si>
  <si>
    <t>boj lev</t>
  </si>
  <si>
    <t>SMO +3xCHAR</t>
  </si>
  <si>
    <t>1x/10 d,INI +2,max. 1</t>
  </si>
  <si>
    <t>1x/7 d,INI +2,max. 1</t>
  </si>
  <si>
    <t>1x/5 d,INI+3,max.2</t>
  </si>
  <si>
    <t>1x/3 d,INI+3,max.2</t>
  </si>
  <si>
    <t>1x/2 d,INI+4,max.2</t>
  </si>
  <si>
    <t>1x/1 d,INI+4,max.3</t>
  </si>
  <si>
    <t>1x/12 h.,INI+5,max.3</t>
  </si>
  <si>
    <t>1x/8 h.,INI+5,max.3</t>
  </si>
  <si>
    <t>1x/4 h.,INI+6,max.4</t>
  </si>
  <si>
    <t>[Botanika II] 1k6 čenů</t>
  </si>
  <si>
    <t>[TN!] RCH +1</t>
  </si>
  <si>
    <t>[ÚR2] +Hraničářská</t>
  </si>
  <si>
    <t>[ÚR3] +Léčivá 1</t>
  </si>
  <si>
    <t>[ÚR6] +Hněvu</t>
  </si>
  <si>
    <t>[ÚR8] +Lesní kouzla II</t>
  </si>
  <si>
    <t>[ÚR11] +Ekosystému</t>
  </si>
  <si>
    <t>[ÚR13] +Mag.střeh</t>
  </si>
  <si>
    <t>Past 14</t>
  </si>
  <si>
    <t>Past 12</t>
  </si>
  <si>
    <t>[ÚR 11] o 2</t>
  </si>
  <si>
    <t>[ÚR 16] o 3</t>
  </si>
  <si>
    <t>[Okultismus II] ZZ +1</t>
  </si>
  <si>
    <t>Út +1/+1</t>
  </si>
  <si>
    <t>Út +1/+2</t>
  </si>
  <si>
    <t>Út +1/+2, OČ +1</t>
  </si>
  <si>
    <t>Út +2/+3, OČ +1</t>
  </si>
  <si>
    <t>nemoc+3,šok+1,jedy+1</t>
  </si>
  <si>
    <t>1/12</t>
  </si>
  <si>
    <t>Oživování nemrtvých</t>
  </si>
  <si>
    <t>INI+2,Út+3/2</t>
  </si>
  <si>
    <t>INI+2,Út+5/2</t>
  </si>
  <si>
    <t>INI+2,Út+4/2</t>
  </si>
  <si>
    <t>INI+2,Út+6/2</t>
  </si>
  <si>
    <t>INI+3,Út+7/2</t>
  </si>
  <si>
    <t>[Vyvolávání elementálů I]</t>
  </si>
  <si>
    <t>Proměny</t>
  </si>
  <si>
    <t>Woo Doo</t>
  </si>
  <si>
    <t>[ÚR 8] +Proměny</t>
  </si>
  <si>
    <t>[ÚR 11] +Předpovídání budoucnosti</t>
  </si>
  <si>
    <t>WooDoo</t>
  </si>
  <si>
    <t>1 jehla</t>
  </si>
  <si>
    <t>2 jehly</t>
  </si>
  <si>
    <t>3 jehly</t>
  </si>
  <si>
    <t>4 jehly</t>
  </si>
  <si>
    <t>5 jehel</t>
  </si>
  <si>
    <t>6 jehel</t>
  </si>
  <si>
    <t>Út+2/4</t>
  </si>
  <si>
    <t>3 měsíce</t>
  </si>
  <si>
    <t>4 měsíce</t>
  </si>
  <si>
    <t>5 měsíců</t>
  </si>
  <si>
    <t>6 měsíců</t>
  </si>
  <si>
    <t>7 měsíců</t>
  </si>
  <si>
    <t>Výroba střelných zbraní</t>
  </si>
  <si>
    <t>+Arkebuza</t>
  </si>
  <si>
    <t>+Bambitka</t>
  </si>
  <si>
    <t>+Bombarda</t>
  </si>
  <si>
    <t>[Vol 13] SMO+1</t>
  </si>
  <si>
    <t>[Vol 15] SMO+2,Iluze+1,psych.k.+1</t>
  </si>
  <si>
    <t>Út+3/4,OZ+1</t>
  </si>
  <si>
    <t>Út+3/5,OZ+1</t>
  </si>
  <si>
    <t>Út+3/6,OZ+1</t>
  </si>
  <si>
    <t>Út+1/2,OZ+1</t>
  </si>
  <si>
    <t>Út+2/3,OZ+1</t>
  </si>
  <si>
    <t>ZTZ ~ 11 ~</t>
  </si>
  <si>
    <t>ZTZ ~ 13 ~</t>
  </si>
  <si>
    <t>ZTZ ~ 15 ~</t>
  </si>
  <si>
    <t>ZTZ ~ 17 ~</t>
  </si>
  <si>
    <t>ZTZ ~ 19~</t>
  </si>
  <si>
    <t>ZTZ ~ 21 ~</t>
  </si>
  <si>
    <t>Morální zásady</t>
  </si>
  <si>
    <t>OZ 2</t>
  </si>
  <si>
    <t>OZ 3</t>
  </si>
  <si>
    <t>OZ 4</t>
  </si>
  <si>
    <t>OZ 5</t>
  </si>
  <si>
    <t>Út+4/4</t>
  </si>
  <si>
    <t>Út+5/4</t>
  </si>
  <si>
    <t>Út+6/4</t>
  </si>
  <si>
    <t>Út+7/5</t>
  </si>
  <si>
    <t>[Střelba V, PB s kuší V] Út+4/3</t>
  </si>
  <si>
    <t>INI+1,Út+3/2,OZ+3</t>
  </si>
  <si>
    <t>INI+2,Út+3/2,OZ+3</t>
  </si>
  <si>
    <t>INI+3,Út+3/2,OZ+3</t>
  </si>
  <si>
    <t>INI+3,Út+4/2,OZ+3</t>
  </si>
  <si>
    <t>INI+4,Út+4/2,OZ+4</t>
  </si>
  <si>
    <t>1.OZ+7; 2.OZ+3; 3.OZ+2; 4. OZ +1</t>
  </si>
  <si>
    <t>1.OZ+6; 2.OZ+3; 3.OZ+1, 4. OZ +1</t>
  </si>
  <si>
    <t>1.OZ+6; 2.OZ+2; 3.OZ+1, 4. OZ 0</t>
  </si>
  <si>
    <t>INI+1,Út+1/1,OZ+1</t>
  </si>
  <si>
    <t>[TN!] -1</t>
  </si>
  <si>
    <t>[TN!] -2</t>
  </si>
  <si>
    <t>[TN!] -3</t>
  </si>
  <si>
    <t>[TN!] -5</t>
  </si>
  <si>
    <t>[TN!] -7</t>
  </si>
  <si>
    <t>Profesionální pověst</t>
  </si>
  <si>
    <t>18) Aktualizovány schopnosti lupiče, zaklínače, žoldnéře, bojovníka, druida, čaroděje, nekromanta, šamana, pyrofora, paladina a assassina</t>
  </si>
  <si>
    <t>INT~11~0/sepuka</t>
  </si>
  <si>
    <t>Zab: Omráčení</t>
  </si>
  <si>
    <t>Zab: Podříznutí hrdla</t>
  </si>
  <si>
    <t>Zab: Probodnutí</t>
  </si>
  <si>
    <t>Zab: Přeříznutí šlach</t>
  </si>
  <si>
    <t>Zab: Uškrcení</t>
  </si>
  <si>
    <t>Zab: Zastřelení</t>
  </si>
  <si>
    <t>Sil+BONUS ~9+ODL+bÚr+ KZ oběti~0</t>
  </si>
  <si>
    <t>OBR+ROZ+BONUS ~ 13 ~ 0</t>
  </si>
  <si>
    <t>Obr+BONUS ~ 12+KZ nohy/ruky ~0</t>
  </si>
  <si>
    <t>OBR+BONUS ~13+KZ oběti ~0</t>
  </si>
  <si>
    <t>OBR+BONUS ~12~ 0</t>
  </si>
  <si>
    <t>ZRČ ~ 13+KZ ~0</t>
  </si>
  <si>
    <t>[Jezdectví II] ZZ +1</t>
  </si>
  <si>
    <t>ÚČ +1, ZZ +2</t>
  </si>
  <si>
    <t>ÚČ +2, ZZ +4</t>
  </si>
  <si>
    <t>[TN!] ZZ+2</t>
  </si>
  <si>
    <t>[TN!] Út +1/3</t>
  </si>
  <si>
    <t>[TN!] Út +1/5</t>
  </si>
  <si>
    <t>[TN!] Út +2/6</t>
  </si>
  <si>
    <t>INI+1,Út+2/3,OZ+1</t>
  </si>
  <si>
    <t>Út+1/+2</t>
  </si>
  <si>
    <t>Út+1/+3</t>
  </si>
  <si>
    <t>Út+2/+4</t>
  </si>
  <si>
    <t>+1 pb CHR</t>
  </si>
  <si>
    <t>+2 pb CHR</t>
  </si>
  <si>
    <t>+3 pb CHR</t>
  </si>
  <si>
    <t>+4 pb CHR</t>
  </si>
  <si>
    <t>+5 pb CHR</t>
  </si>
  <si>
    <t>+6 pb CHR</t>
  </si>
  <si>
    <t>+7 pb CHR</t>
  </si>
  <si>
    <t>+8 pb CHR</t>
  </si>
  <si>
    <t>Věhlas</t>
  </si>
  <si>
    <t>20) Pro všechna povolání upraveny hlavní/vedlejší vlastnosti a počty schopností dle aktuálních pravidel</t>
  </si>
  <si>
    <t>23. a vyšší</t>
  </si>
  <si>
    <t>18. a vyšší</t>
  </si>
  <si>
    <t>13. a vyšší</t>
  </si>
  <si>
    <t>8. a vyšší</t>
  </si>
  <si>
    <t>4. a vyšší</t>
  </si>
  <si>
    <t>libovolný</t>
  </si>
  <si>
    <t>22 a vyšší</t>
  </si>
  <si>
    <t>16 a vyšší</t>
  </si>
  <si>
    <t>10 a vyšší</t>
  </si>
  <si>
    <t>4 a vyšší</t>
  </si>
  <si>
    <t>Kouzla - Kletby</t>
  </si>
  <si>
    <t>Kouzla - Kletby II</t>
  </si>
  <si>
    <t>zl x startovní úroveň</t>
  </si>
  <si>
    <t>Kouzla nápravná</t>
  </si>
  <si>
    <t>INI+1,Út+2/1,OZ+3</t>
  </si>
  <si>
    <t>INI+1,Út+2/2,OZ+3</t>
  </si>
  <si>
    <t>INI+2,Út+2/2,OZ+3</t>
  </si>
  <si>
    <t>INI+3,Út+3/3,OZ+3</t>
  </si>
  <si>
    <t>Kouzla léčebná 2</t>
  </si>
  <si>
    <t>[ÚR 6] +Útočná hole</t>
  </si>
  <si>
    <t>[ÚR 11] +Léčivá 2</t>
  </si>
  <si>
    <t>Lučba 2: Hůlky</t>
  </si>
  <si>
    <t>Mentální útoky</t>
  </si>
  <si>
    <t>250 m</t>
  </si>
  <si>
    <t>300 m</t>
  </si>
  <si>
    <t>Ochr. před ment. útoky</t>
  </si>
  <si>
    <t>dotek</t>
  </si>
  <si>
    <t>2 m</t>
  </si>
  <si>
    <t>6 m</t>
  </si>
  <si>
    <t>Ochr. před bílou magií</t>
  </si>
  <si>
    <t>Ochr. před přírodní magií</t>
  </si>
  <si>
    <t>Umlčení</t>
  </si>
  <si>
    <t>ODL~11~0/2k6 kol</t>
  </si>
  <si>
    <t>ODL~13~0/1 sm.</t>
  </si>
  <si>
    <t>ODL~15~0/bÚr sm.</t>
  </si>
  <si>
    <t>19) Aktualizovány schopnosti šinobiho, rytíře, démonika, vědmy, theurga, temného mága, temného kněze</t>
  </si>
  <si>
    <t>21) Načtené schopnosti řazeny podle volnosti (první ne volné), dále dle úrovně, kde jsou dostupné a nakonec dle názvu</t>
  </si>
  <si>
    <t>Čerpání z hlubin [Černá]</t>
  </si>
  <si>
    <t>Čerpání z mysli [Modrá]</t>
  </si>
  <si>
    <t>Čerpání z těla [Červená]</t>
  </si>
  <si>
    <t>Čerpání ze siločar [Červená]</t>
  </si>
  <si>
    <t>Znamení Temnoty [Černá]</t>
  </si>
  <si>
    <t>Krvavé čerpání [Černá]</t>
  </si>
  <si>
    <t>Čerpání z ohně [Červená]</t>
  </si>
  <si>
    <t>Lilith</t>
  </si>
  <si>
    <t>Li-Lith</t>
  </si>
  <si>
    <t>Bohyně šílenství, sexuality a vražd</t>
  </si>
  <si>
    <t>22) Promítnuty změny v hlavních vlastnostech některých povolání  (z důvodů kombinací pro duální povolání a lepšího rozložení vlastností)</t>
  </si>
  <si>
    <t>23) Opraven výpočet počtu životů na vyšších úrovních - nezohledňovalo zvýšení síly</t>
  </si>
  <si>
    <t>[Lektvary I]</t>
  </si>
  <si>
    <t>[Jedy II]</t>
  </si>
  <si>
    <t>[Lektvary I, Ochr.svitky]</t>
  </si>
  <si>
    <t>[Ochr. svitky]</t>
  </si>
  <si>
    <t>[Kouz.předměty I, Ochr. svitky]</t>
  </si>
  <si>
    <t>[Pasti II]</t>
  </si>
  <si>
    <t>[Talismany I]</t>
  </si>
  <si>
    <t>[Kouz.předměty I]</t>
  </si>
  <si>
    <t>[Pasti I]</t>
  </si>
  <si>
    <t>[Evokace duchů]</t>
  </si>
  <si>
    <t>[Zaklínání duchů I]</t>
  </si>
  <si>
    <t>[Talismany II]</t>
  </si>
  <si>
    <t>[Lektvary III]</t>
  </si>
  <si>
    <t>[Zaklínání duchů II]</t>
  </si>
  <si>
    <t>24) Opravena tabulka pro výpočet PB (chybný odkaz u kladné veverky)</t>
  </si>
  <si>
    <t>Zlepšování při postupech</t>
  </si>
  <si>
    <t>Zvolit si v Tabulce vývoje vlastností v prvním řádku P při zlepšování primárního povolání nebo D při zlepšování duálního povolání</t>
  </si>
  <si>
    <t>Doplnit ve sloupci odpovídajícím nové úrovni 1 do řádku se zlepšovanou vlastností</t>
  </si>
  <si>
    <t>25) Vynechány listy LVL a CP</t>
  </si>
  <si>
    <t>26.</t>
  </si>
  <si>
    <t>27.</t>
  </si>
  <si>
    <t>28.</t>
  </si>
  <si>
    <t>29.</t>
  </si>
  <si>
    <t>30.</t>
  </si>
  <si>
    <t>26) Aktualizovány tabulky pro výpočet zkušenosti potřebné na postup dle aktuálních pravidel</t>
  </si>
  <si>
    <t>Vyska</t>
  </si>
  <si>
    <t>Vaha</t>
  </si>
  <si>
    <t>165+2k20</t>
  </si>
  <si>
    <t>54+3k20</t>
  </si>
  <si>
    <t>175+2k10</t>
  </si>
  <si>
    <t>160+1k20</t>
  </si>
  <si>
    <t>53+1k20</t>
  </si>
  <si>
    <t>161+2k20</t>
  </si>
  <si>
    <t>46+3k20</t>
  </si>
  <si>
    <t>68+3k20</t>
  </si>
  <si>
    <t>150+1k20</t>
  </si>
  <si>
    <t>41+1k20</t>
  </si>
  <si>
    <t>142+2k20</t>
  </si>
  <si>
    <t>34+2k20</t>
  </si>
  <si>
    <t>62+2k20</t>
  </si>
  <si>
    <t>110+2k20</t>
  </si>
  <si>
    <t>28+1k20</t>
  </si>
  <si>
    <t>88+3k20</t>
  </si>
  <si>
    <t>21+1k20</t>
  </si>
  <si>
    <t>40+2k20</t>
  </si>
  <si>
    <t>4+1k20</t>
  </si>
  <si>
    <t>150+2k20</t>
  </si>
  <si>
    <t>46+2k20</t>
  </si>
  <si>
    <t>158+2k20</t>
  </si>
  <si>
    <t>70+2k20</t>
  </si>
  <si>
    <t>166+2k20</t>
  </si>
  <si>
    <t>125+3k20</t>
  </si>
  <si>
    <t>159+2k20</t>
  </si>
  <si>
    <t>152+2k20</t>
  </si>
  <si>
    <t>48+2k20</t>
  </si>
  <si>
    <t>Kostěj nesmrtelný</t>
  </si>
  <si>
    <t>220+3k20</t>
  </si>
  <si>
    <t>82+1k20</t>
  </si>
  <si>
    <t>177+3k20</t>
  </si>
  <si>
    <t>95+5k20</t>
  </si>
  <si>
    <t>157+1k20</t>
  </si>
  <si>
    <t>57+1k20</t>
  </si>
  <si>
    <t>64+3k20</t>
  </si>
  <si>
    <t>30+1k20</t>
  </si>
  <si>
    <t>92+2k20</t>
  </si>
  <si>
    <t>44+1k20</t>
  </si>
  <si>
    <t>Kyklop</t>
  </si>
  <si>
    <t>400+5k20</t>
  </si>
  <si>
    <t>180+2k20</t>
  </si>
  <si>
    <t>45+2k20</t>
  </si>
  <si>
    <t>100+2k20</t>
  </si>
  <si>
    <t>50+3k20</t>
  </si>
  <si>
    <t>49+1k20</t>
  </si>
  <si>
    <t>55+2k20</t>
  </si>
  <si>
    <t>10+1k20</t>
  </si>
  <si>
    <t>Výška:</t>
  </si>
  <si>
    <t>Váha:</t>
  </si>
  <si>
    <t>27) Doplněna nápověda pro rozmezí (či hody na náhodné) výšky a váhy postavy</t>
  </si>
  <si>
    <t>Leprechaun</t>
  </si>
  <si>
    <t>20+1k10</t>
  </si>
  <si>
    <t>1k3</t>
  </si>
  <si>
    <t>Runa</t>
  </si>
  <si>
    <t>Loxodon</t>
  </si>
  <si>
    <t>Loxodonka</t>
  </si>
  <si>
    <t>240+3k20</t>
  </si>
  <si>
    <t>150+5k20</t>
  </si>
  <si>
    <t>Medvědodlak</t>
  </si>
  <si>
    <t>Mědvědodlačice</t>
  </si>
  <si>
    <t>180+1k20</t>
  </si>
  <si>
    <t>80+2k20</t>
  </si>
  <si>
    <t>Medvědodlačice</t>
  </si>
  <si>
    <t>185+2k20</t>
  </si>
  <si>
    <t>58+1k20</t>
  </si>
  <si>
    <t>Minotaur</t>
  </si>
  <si>
    <t>Minotaurka</t>
  </si>
  <si>
    <t>201+2k20</t>
  </si>
  <si>
    <t>140+3k20</t>
  </si>
  <si>
    <t>Minitaur</t>
  </si>
  <si>
    <t>147+3k20</t>
  </si>
  <si>
    <t>154+1k20</t>
  </si>
  <si>
    <t>40+1k20</t>
  </si>
  <si>
    <t>340+3k20</t>
  </si>
  <si>
    <t>210+5k20</t>
  </si>
  <si>
    <t>360+2k20</t>
  </si>
  <si>
    <t>230+4k20</t>
  </si>
  <si>
    <t>360+5k20</t>
  </si>
  <si>
    <t>240+5k20</t>
  </si>
  <si>
    <t>94+2k20</t>
  </si>
  <si>
    <t>170+1k20</t>
  </si>
  <si>
    <t>63+1k20</t>
  </si>
  <si>
    <t>Rhox</t>
  </si>
  <si>
    <t>Rhoxka</t>
  </si>
  <si>
    <t>230+3k20</t>
  </si>
  <si>
    <t>Roh</t>
  </si>
  <si>
    <t>200+2k20</t>
  </si>
  <si>
    <t>90+3k20</t>
  </si>
  <si>
    <t>14+1k6</t>
  </si>
  <si>
    <t>36+2k20</t>
  </si>
  <si>
    <t>50+1k20</t>
  </si>
  <si>
    <t>Troglodyt</t>
  </si>
  <si>
    <t>225+3k20</t>
  </si>
  <si>
    <t>110+4k20</t>
  </si>
  <si>
    <t>174+1k20</t>
  </si>
  <si>
    <t>66+1k20</t>
  </si>
  <si>
    <t>60+2k20</t>
  </si>
  <si>
    <t>Věštík</t>
  </si>
  <si>
    <t>17+1k10</t>
  </si>
  <si>
    <t>1 až 2</t>
  </si>
  <si>
    <t>167+1k20</t>
  </si>
  <si>
    <t>Vodník</t>
  </si>
  <si>
    <t>155+2k20</t>
  </si>
  <si>
    <t>307+3k20</t>
  </si>
  <si>
    <t>245+5k20</t>
  </si>
  <si>
    <t>28) Doplněny rasy pro PJ</t>
  </si>
  <si>
    <t>29) Opraveno zaokrouhlování u meze vyřazení</t>
  </si>
  <si>
    <r>
      <t>Verze 2020_02: Změny od minulé verze</t>
    </r>
    <r>
      <rPr>
        <sz val="11"/>
        <color theme="1"/>
        <rFont val="Calibri"/>
        <family val="2"/>
        <charset val="238"/>
        <scheme val="minor"/>
      </rPr>
      <t xml:space="preserve"> (2020_v01)</t>
    </r>
  </si>
  <si>
    <t>1) Snížení počtu dovedností, povolení vyššího stupně dovednosti</t>
  </si>
  <si>
    <t>Velmi Dobře</t>
  </si>
  <si>
    <t>2) Kontrola a oprava bonusů a použitých vlastností u dovedností</t>
  </si>
  <si>
    <t>3) Zrušení schopnosti Druhá ruka z bojových čísel</t>
  </si>
  <si>
    <t>4) Rozšíření bojových čísel o znalost Mistrovsky</t>
  </si>
  <si>
    <t xml:space="preserve">5) Úprava maximální znalosti dovedností pro jednotlivá povolání </t>
  </si>
  <si>
    <r>
      <t>Verze 2020_03: Změny od minulé verze</t>
    </r>
    <r>
      <rPr>
        <sz val="11"/>
        <color theme="1"/>
        <rFont val="Calibri"/>
        <family val="2"/>
        <charset val="238"/>
        <scheme val="minor"/>
      </rPr>
      <t xml:space="preserve"> (2020_v02)</t>
    </r>
  </si>
  <si>
    <t>1) Oprava vlastnosti u dovedností (list Max_DOV) z CHAR na CHR (nefungoval odečet v listu 4-Dovednosti)</t>
  </si>
  <si>
    <t>2) Opětovně rozlišena SMO (SM+VOL) a SMÚ (SM+CHR)</t>
  </si>
  <si>
    <t>Illithid</t>
  </si>
  <si>
    <t>200+2k10</t>
  </si>
  <si>
    <t>92+1k20</t>
  </si>
  <si>
    <t>3) U temného kněze doplněna chybějící schopnost Hněv boží</t>
  </si>
  <si>
    <t>4) U kněze a temného kněza doplněny chybějící schopnosti Kouzla Patrona a Kouzla Ochránce</t>
  </si>
  <si>
    <t>Malířská paleta barev</t>
  </si>
  <si>
    <t>Malířský stojan</t>
  </si>
  <si>
    <t>Skicář</t>
  </si>
  <si>
    <t>5) Do věcí k výběru doplněno: Malířský stojan, Malířská paleta barev a Skicář</t>
  </si>
  <si>
    <r>
      <t>Výška</t>
    </r>
    <r>
      <rPr>
        <sz val="8"/>
        <color theme="1"/>
        <rFont val="Calibri"/>
        <family val="2"/>
        <charset val="238"/>
        <scheme val="minor"/>
      </rPr>
      <t xml:space="preserve"> (cm)</t>
    </r>
  </si>
  <si>
    <t>MB</t>
  </si>
  <si>
    <t>6) Tabulka zbrojí rozšířena o sloupec MB (magický bonus ke KZ), který se pak přičítá do souhrnné tabulky RZ jednotlivých částí těla</t>
  </si>
  <si>
    <t>7) U kouzel vymazán nefungující vzorec pro výpočet INI při kouzlení (ponecháno na ruční doplnění)</t>
  </si>
  <si>
    <t>8) Drobné úpravy v listu Úsporný tisk (změna uspořádání, automatické načítání 3 horních zbraní z listu 1-Vhled a boj)</t>
  </si>
  <si>
    <t>Řemdih</t>
  </si>
  <si>
    <t>Řemdih těžký</t>
  </si>
  <si>
    <t>9) Oprava názvu zbraně (řemdich -&gt; řemdih)</t>
  </si>
  <si>
    <t>N / P</t>
  </si>
  <si>
    <t xml:space="preserve"> + 1 st</t>
  </si>
  <si>
    <t xml:space="preserve"> + 2 st</t>
  </si>
  <si>
    <t>Kniha (50 stran)</t>
  </si>
  <si>
    <t>Obchod</t>
  </si>
  <si>
    <t>Pergamen (svitek)</t>
  </si>
  <si>
    <t>Zbrojíř - ZBRANĚ</t>
  </si>
  <si>
    <t>Přesýpací hodiny (6 směn)</t>
  </si>
  <si>
    <t>Přesýpací hodiny (1 směna)</t>
  </si>
  <si>
    <t>Přesýpací hodiny (6 kol)</t>
  </si>
  <si>
    <t>Třecí miska a tlouček</t>
  </si>
  <si>
    <t>Váhy + sada závaží</t>
  </si>
  <si>
    <t>Lektvar Rudý kříž</t>
  </si>
  <si>
    <t>Univerzální protijed</t>
  </si>
  <si>
    <t>Stáje</t>
  </si>
  <si>
    <t>Cestovní prostředky</t>
  </si>
  <si>
    <t>Vůz - žebřiňák (2000 kg)</t>
  </si>
  <si>
    <t>Vůz - prostý (2500 kg)</t>
  </si>
  <si>
    <t>Vůz - prostý s plachtou (3000 kg)</t>
  </si>
  <si>
    <t>Kočár - prostý (1800 kg)</t>
  </si>
  <si>
    <t>Kočár - krytý (1500 kg)</t>
  </si>
  <si>
    <t>Kočár - luxusní (1 200 kg)</t>
  </si>
  <si>
    <t>Sedlo - obyčejné</t>
  </si>
  <si>
    <t>Sedlo - zdobené</t>
  </si>
  <si>
    <t>Sedlo - dámské</t>
  </si>
  <si>
    <t>Sedlo - dámské zdobené</t>
  </si>
  <si>
    <t>Koňský handlíř</t>
  </si>
  <si>
    <t>Býk (tažný skot)</t>
  </si>
  <si>
    <t>Jízdní zvířata</t>
  </si>
  <si>
    <t>Mezek (tažný)</t>
  </si>
  <si>
    <t>Mula (tažná)</t>
  </si>
  <si>
    <t>Poník (jezdecký pro A)</t>
  </si>
  <si>
    <t>Baškir (tažný kůň)</t>
  </si>
  <si>
    <t>Hucul (tažný kůň)</t>
  </si>
  <si>
    <t>Sob (tažný)</t>
  </si>
  <si>
    <t>Pony (jezdecký B)</t>
  </si>
  <si>
    <t>Norik (jezdecký kůň B)</t>
  </si>
  <si>
    <t>Varan (letecký B)</t>
  </si>
  <si>
    <t>Hroch (válečný C)</t>
  </si>
  <si>
    <t>Buvol (tažný)</t>
  </si>
  <si>
    <t>Osel (tažný / jezdecký B)</t>
  </si>
  <si>
    <t>Slonice (jezdecký C)</t>
  </si>
  <si>
    <t>Velbloud (tažný)</t>
  </si>
  <si>
    <t>Dromedár (jezdecký C)</t>
  </si>
  <si>
    <t>Gidran (jezdecký kůň B)</t>
  </si>
  <si>
    <t>Nosorožec (válečný C)</t>
  </si>
  <si>
    <t>Vial (válečný kůň C)</t>
  </si>
  <si>
    <t>Kirgiz (jezdecký kůň B)</t>
  </si>
  <si>
    <t>Los (jezdecký C)</t>
  </si>
  <si>
    <t>Cimmaron (válečný kůň C)</t>
  </si>
  <si>
    <t>Plnokrevník (jezdecký B)</t>
  </si>
  <si>
    <t>Mošna (10 kg)</t>
  </si>
  <si>
    <t>Jídlo a pití</t>
  </si>
  <si>
    <t>Hostinec</t>
  </si>
  <si>
    <t>Pálenka (1 čtv)</t>
  </si>
  <si>
    <t>Voda minerální (1 čtv)</t>
  </si>
  <si>
    <t>Pivo (1čtv)</t>
  </si>
  <si>
    <t>Medovina (1čtv)</t>
  </si>
  <si>
    <r>
      <t>Verze 2020_04: Změny od minulé verze</t>
    </r>
    <r>
      <rPr>
        <sz val="11"/>
        <color theme="1"/>
        <rFont val="Calibri"/>
        <family val="2"/>
        <charset val="238"/>
        <scheme val="minor"/>
      </rPr>
      <t xml:space="preserve"> (2020_v03)</t>
    </r>
  </si>
  <si>
    <t>1) Cenová reforma (úpravy prodejních a nákupních cen v závislosti na handlířství - až mistrovky)</t>
  </si>
  <si>
    <t>2) Rozšíření Shopu o nové položky a jeho přeuspořádání</t>
  </si>
  <si>
    <t>Víno-archivní (1 čtv)</t>
  </si>
  <si>
    <t>Krollí dryák (1 čtv)</t>
  </si>
  <si>
    <t>Rum (1 čtv)</t>
  </si>
  <si>
    <t>Trpasličí špiritus</t>
  </si>
  <si>
    <t>Víno (1 čtv)</t>
  </si>
  <si>
    <t>Koření (špetka)</t>
  </si>
  <si>
    <t>Souprava na údržbu zbraní</t>
  </si>
  <si>
    <t>Krejčovství - šaty</t>
  </si>
  <si>
    <t>Krejčovství</t>
  </si>
  <si>
    <t>Doplňky ovlivňující vzhled</t>
  </si>
  <si>
    <t>Šaty obyčejné - ženské</t>
  </si>
  <si>
    <t>Šaty nuzné - ženské</t>
  </si>
  <si>
    <t>Šaty svůdné - ženské</t>
  </si>
  <si>
    <t>Šaty drsňácké - ženské</t>
  </si>
  <si>
    <t>Šaty luxusní - ženské</t>
  </si>
  <si>
    <t>Šaty řeholní - ženské</t>
  </si>
  <si>
    <t>Šaty komické - ženské</t>
  </si>
  <si>
    <t>Šaty služebnické - ženské</t>
  </si>
  <si>
    <t>Šaty obyčejné - mužské</t>
  </si>
  <si>
    <t>Šaty nuzné - mužské</t>
  </si>
  <si>
    <t>Šaty svůdné - mužské</t>
  </si>
  <si>
    <t>Šaty drsňácké - mužské</t>
  </si>
  <si>
    <t>Šaty luxusní - mužské</t>
  </si>
  <si>
    <t>Šaty řeholní - mužské</t>
  </si>
  <si>
    <t>Šaty komické - mužské</t>
  </si>
  <si>
    <t>Šaty služebnické - mužské</t>
  </si>
  <si>
    <t>Zimní doplňky</t>
  </si>
  <si>
    <t>Kožich luxusní</t>
  </si>
  <si>
    <t>Zlatá královská koruna</t>
  </si>
  <si>
    <t>Zlatý řetěz s erbem</t>
  </si>
  <si>
    <t>Zlatý srp</t>
  </si>
  <si>
    <t>Líčidla</t>
  </si>
  <si>
    <t>Ozdobné řetězy a cvoky</t>
  </si>
  <si>
    <t>Drahé šperky</t>
  </si>
  <si>
    <t>Parfém: Pot a krev</t>
  </si>
  <si>
    <t>Zesměšnění</t>
  </si>
  <si>
    <t>Pláště</t>
  </si>
  <si>
    <t>Plášť (obyčejný)</t>
  </si>
  <si>
    <t>Pláš s kápí impregnovaný</t>
  </si>
  <si>
    <t>Vřeštiplášť</t>
  </si>
  <si>
    <t>Plášť chameleon</t>
  </si>
  <si>
    <t>Krejčovství - pláště</t>
  </si>
  <si>
    <t>Zlatnictví</t>
  </si>
  <si>
    <t>Kožešnictví</t>
  </si>
  <si>
    <t>Zbrojířství - zbroje</t>
  </si>
  <si>
    <t>Brnění mitrilové komplet</t>
  </si>
  <si>
    <t>Vycpávaná</t>
  </si>
  <si>
    <t>Kožená</t>
  </si>
  <si>
    <t>3) Úprava postihů za zbroj s ohledem na nové stupně dovedností (velmi dobře, mistrně)</t>
  </si>
  <si>
    <t>SMS -2</t>
  </si>
  <si>
    <t>Turban</t>
  </si>
  <si>
    <t>Čapka</t>
  </si>
  <si>
    <t>Šátek</t>
  </si>
  <si>
    <t>Maska plesová (škraboška)</t>
  </si>
  <si>
    <t>Oděvy a zbroje - hlava</t>
  </si>
  <si>
    <t>Plížení se +1</t>
  </si>
  <si>
    <t>RCH -2, Plížení se -3</t>
  </si>
  <si>
    <t>Suknice a návleky kroužkové</t>
  </si>
  <si>
    <t>Suknice a návleky mithrilové</t>
  </si>
  <si>
    <t>Oděvy a zbroje - ruce</t>
  </si>
  <si>
    <t>Oděvy a zbroje - nohy</t>
  </si>
  <si>
    <t>Rukavice s drápy</t>
  </si>
  <si>
    <t>Bojový nůž</t>
  </si>
  <si>
    <t>Žbraně</t>
  </si>
  <si>
    <t>Kulka olověná</t>
  </si>
  <si>
    <t>Kulka stříbraná</t>
  </si>
  <si>
    <t>Kulka průbojná</t>
  </si>
  <si>
    <t>Munice</t>
  </si>
  <si>
    <t>Světlo</t>
  </si>
  <si>
    <t>Lampión</t>
  </si>
  <si>
    <t>Svícen (bronzový) - 1 rameno</t>
  </si>
  <si>
    <t>Svícen 3 ramenný</t>
  </si>
  <si>
    <t>Svícen 5 ramenný</t>
  </si>
  <si>
    <t>Svícen 7 ramenný</t>
  </si>
  <si>
    <t>Inkoust (0,1 čtv) + husí brk</t>
  </si>
  <si>
    <t>Rybářská výbava</t>
  </si>
  <si>
    <t>Další vybavení</t>
  </si>
  <si>
    <t>Nástroje</t>
  </si>
  <si>
    <t>Váček s dýmkovou směsí</t>
  </si>
  <si>
    <t>Dýmková směs</t>
  </si>
  <si>
    <t>Drát (10 s)</t>
  </si>
  <si>
    <t>Pomůcky</t>
  </si>
  <si>
    <t>Flétna - chromovaná</t>
  </si>
  <si>
    <t>Vybavení</t>
  </si>
  <si>
    <t>Klec ptačí - proutěná</t>
  </si>
  <si>
    <t>Řetěz železný (5 m)</t>
  </si>
  <si>
    <t>Část</t>
  </si>
  <si>
    <t>Síť (2x2 s)</t>
  </si>
  <si>
    <t>Lovecké pomůcky</t>
  </si>
  <si>
    <t>G</t>
  </si>
  <si>
    <t>J</t>
  </si>
  <si>
    <t>Pečetní prsten</t>
  </si>
  <si>
    <t>Lampa</t>
  </si>
  <si>
    <t>Roh (hlásný)</t>
  </si>
  <si>
    <t>Kalhoty -</t>
  </si>
  <si>
    <t>Košile -</t>
  </si>
  <si>
    <t>Kožich -</t>
  </si>
  <si>
    <t xml:space="preserve">Opasek - </t>
  </si>
  <si>
    <t xml:space="preserve">Sukně - </t>
  </si>
  <si>
    <t>Vesta -</t>
  </si>
  <si>
    <t>4) Upraven list 5-Majetek aby navazoval na aktualizovaný seznam věcí a jejich přiřazení k jednotlivým částem těla, kde se zpravidla přepravují</t>
  </si>
  <si>
    <t>5) Opraveny chybné odkazy pro kopírování do nové verze deníku</t>
  </si>
  <si>
    <t>6) Opravena hlavní vlastnost u stopaře (chybně byla OBR namísto VOL)</t>
  </si>
  <si>
    <t>7) V listu 6-kouzla doplněn sloupec O (oprava za stupeň kouzla)</t>
  </si>
  <si>
    <t>[Vaření II] pramen OK?</t>
  </si>
  <si>
    <t>8) U hraničářů nahrazen odkaz na Degustaci (zrušená) odkazem na Vaření</t>
  </si>
  <si>
    <t>9) V listu 1-Vzhled a boj vymazán matoucí součet požadované síly u zbrojí</t>
  </si>
  <si>
    <t>10) V listu 4-Dovednosti ve sloupci AA nahrazen ve vzorci odkaz z '3-Schopnosti'!$X$4 na '3-Schopnosti'!$AS$3 (odkazovalo na primární, ne duální povolání)</t>
  </si>
  <si>
    <t xml:space="preserve">       a neumožńovalo pak v dovednostech maxima pro duální povolání</t>
  </si>
  <si>
    <t>(nutno spustit po každém postupu)</t>
  </si>
  <si>
    <t>Povinná pole, pokud nejsou vyplněná</t>
  </si>
  <si>
    <t>Barevné schéma pro vyplňování deníku</t>
  </si>
  <si>
    <t>Nepovinná pole, pokud nejsou vyplněná</t>
  </si>
  <si>
    <t>Vzorce a automaticky počítaná pole. Neměnit!</t>
  </si>
  <si>
    <t>Tisková oblast (stránka)</t>
  </si>
  <si>
    <t>Upozornění, instrukce</t>
  </si>
  <si>
    <t>Nevyplńovat. Prázdné pole.</t>
  </si>
  <si>
    <t>Khajit - lev</t>
  </si>
  <si>
    <t>Khajit - tygr</t>
  </si>
  <si>
    <t>Khajit - rys</t>
  </si>
  <si>
    <t>Khajit - jaguár</t>
  </si>
  <si>
    <t>Khajit - leopard</t>
  </si>
  <si>
    <t>Khajitka - lvice</t>
  </si>
  <si>
    <t>Khajitka - tygřice</t>
  </si>
  <si>
    <t>Khajitka - puma</t>
  </si>
  <si>
    <t>Khajitka - panter</t>
  </si>
  <si>
    <t>Khajitka - kočka</t>
  </si>
  <si>
    <t>Pomocné, informační, netištěné tabulky.</t>
  </si>
  <si>
    <t>Zdůrazněné, netištěné vzroce. Neměnit.</t>
  </si>
  <si>
    <t>Předvyplněná netištěná pole. Upravit!</t>
  </si>
  <si>
    <t>Provedená volba</t>
  </si>
  <si>
    <t>Záz.</t>
  </si>
  <si>
    <t>Vlastnost / Úroveň</t>
  </si>
  <si>
    <t>Učitel - Kdo:</t>
  </si>
  <si>
    <r>
      <t>Verze 2020_05: Změny od minulé verze</t>
    </r>
    <r>
      <rPr>
        <sz val="11"/>
        <color theme="1"/>
        <rFont val="Calibri"/>
        <family val="2"/>
        <charset val="238"/>
        <scheme val="minor"/>
      </rPr>
      <t xml:space="preserve"> (2020_v04)</t>
    </r>
  </si>
  <si>
    <t>1) Barevné zvýraznění polí k vyplnění v deníku</t>
  </si>
  <si>
    <t>2) Označení tiskové oblasti stránky (orámování)</t>
  </si>
  <si>
    <t xml:space="preserve">3) Přehození pořadí stran 1 a 2. Drobné prostorové přeuspořádání listu 2-Postava. </t>
  </si>
  <si>
    <t>4) Skrytí netisknutých pomocných tabulek</t>
  </si>
  <si>
    <t>5) V dovednostech barevně zvýrazněna podle skupiny vlastnost ne dovednost (pro lepší čitelnost)</t>
  </si>
  <si>
    <t>Síla (SIL)</t>
  </si>
  <si>
    <t>Obratnost (OBR)</t>
  </si>
  <si>
    <t>Zručnost (ZRČ)</t>
  </si>
  <si>
    <t>Vůle (VOL)</t>
  </si>
  <si>
    <t>Inteligence (INT)</t>
  </si>
  <si>
    <t>Charisma (CHR)</t>
  </si>
  <si>
    <t>6) U dovedností doplněna tabulka pro zadání zvláštního bonusu k profibodům (např. na základě některých schopností), které se pak přičítá k získaným pb.</t>
  </si>
  <si>
    <t xml:space="preserve">7) U vybavení je možné doplnění i nevyjmenovaných položek do torny a u pasu (pod čarou) s ručním zadáním váhy. </t>
  </si>
  <si>
    <t>Osobní deník - Pomocníci, zvířata, společníci</t>
  </si>
  <si>
    <t xml:space="preserve">8) Rozšířen prostor pro kouzla. Společníci přesunuti do samostatného listu. </t>
  </si>
  <si>
    <t>NOS</t>
  </si>
  <si>
    <t>ŽVTSCH</t>
  </si>
  <si>
    <t>MAG.</t>
  </si>
  <si>
    <t>Kouz.</t>
  </si>
  <si>
    <t>ZÚČ</t>
  </si>
  <si>
    <t>ZZZ</t>
  </si>
  <si>
    <t>OU / KZ</t>
  </si>
  <si>
    <t>KON / MV</t>
  </si>
  <si>
    <t>Typ:</t>
  </si>
  <si>
    <t>Rasa:</t>
  </si>
  <si>
    <t>Životy:</t>
  </si>
  <si>
    <t>Mágy:</t>
  </si>
  <si>
    <t>Únava:</t>
  </si>
  <si>
    <t>Narozen</t>
  </si>
  <si>
    <t>Schopnosti a kouzla:</t>
  </si>
  <si>
    <t>Léčení</t>
  </si>
  <si>
    <t>Odp.1</t>
  </si>
  <si>
    <t>Odp.2</t>
  </si>
  <si>
    <t>Byl.1</t>
  </si>
  <si>
    <t>Byl.2</t>
  </si>
  <si>
    <t>HM 1</t>
  </si>
  <si>
    <t>HM 2</t>
  </si>
  <si>
    <t>Záz.1</t>
  </si>
  <si>
    <t>Záz.2</t>
  </si>
  <si>
    <t>Nesené vybavení</t>
  </si>
  <si>
    <t>9) Přidána str. 8 pro společníky</t>
  </si>
  <si>
    <t>10) Opraven výpočet opravy za sílu pro kuše (0) v tabulkách zbraní - chybný odkaz</t>
  </si>
  <si>
    <t>Ničení zbroje</t>
  </si>
  <si>
    <t>tabulka</t>
  </si>
  <si>
    <t>Panoš</t>
  </si>
  <si>
    <t>[ÚR 24] INI (zbraň) +8</t>
  </si>
  <si>
    <t>[ÚR 27] INI (zbraň) +9</t>
  </si>
  <si>
    <t>[ÚR 5] INI (zbraň) +2</t>
  </si>
  <si>
    <t>[ÚR 8] INI (zbraň) +3</t>
  </si>
  <si>
    <t>[ÚR 11] INI (zbraň) +4</t>
  </si>
  <si>
    <t>[ÚR 14] INI (zbraň) +5</t>
  </si>
  <si>
    <t>[ÚR 17] INI (zbraň) +6</t>
  </si>
  <si>
    <t>Zabiják obrů</t>
  </si>
  <si>
    <t>Provokování</t>
  </si>
  <si>
    <t>12) U žoldnéře zrušena schopnost Souznění se zbraní, doplněny schopnosti Ničení zbroje a Provokování, oslabeny Vícenásobné útoky a Sehranost</t>
  </si>
  <si>
    <t>14) U rytíře zrušena schopnost Souznění se zbraní, doplněny schopnosti Panoš, Lámání kopí a Zabiják obrů, oslabeny Vícenásobné útoky a Sehranost</t>
  </si>
  <si>
    <t>Vyhýbavé našlapování</t>
  </si>
  <si>
    <t>OU +1 (při běhu)</t>
  </si>
  <si>
    <t>OU +2 (při běhu)</t>
  </si>
  <si>
    <t>OU +3 (při běhu)</t>
  </si>
  <si>
    <t>13) U šermíře zrušena schopnost Souznění se zbraní, doplněny schopnosti Odzbrojení a Vyhýbavé našlapování, oslabeny Vícenásobné útoky a Sehranost</t>
  </si>
  <si>
    <t>Zvířecí instinkty</t>
  </si>
  <si>
    <t>11) U bojovníka zrušena schopnost Souznění se zbraní, doplněny schopnosti Ničení štítů a Zvířecí instinkty, oslabeny Vícenásobné útoky a Sehranost</t>
  </si>
  <si>
    <t>ZZ +2proti D a větším</t>
  </si>
  <si>
    <r>
      <rPr>
        <sz val="9"/>
        <color rgb="FF00B050"/>
        <rFont val="Calibri"/>
        <family val="2"/>
        <charset val="238"/>
      </rPr>
      <t xml:space="preserve">[Úr 11] </t>
    </r>
    <r>
      <rPr>
        <sz val="9"/>
        <color rgb="FF00B050"/>
        <rFont val="Calibri"/>
        <family val="2"/>
        <charset val="238"/>
        <scheme val="minor"/>
      </rPr>
      <t>ZZ +4 proti D a větším</t>
    </r>
  </si>
  <si>
    <t>[Úr 16] ZZ +6 proti D a větším</t>
  </si>
  <si>
    <t>[Úr 21] ZZ +8 proti D a větším</t>
  </si>
  <si>
    <t>15) Zvýšeny profobody u startovního vzdělání na hlavní vlastnosti (od stupně 5 výše)</t>
  </si>
  <si>
    <r>
      <t>Verze 2020_06: Změny od minulé verze</t>
    </r>
    <r>
      <rPr>
        <sz val="11"/>
        <color theme="1"/>
        <rFont val="Calibri"/>
        <family val="2"/>
        <charset val="238"/>
        <scheme val="minor"/>
      </rPr>
      <t xml:space="preserve"> (2020_v05)</t>
    </r>
  </si>
  <si>
    <t>1) U runového mága oprava u schopnosti Čerpání z hlubin (z důvodu překlepu se nanabízela)</t>
  </si>
  <si>
    <t>[UP I,1x/boj] +1 ÚČ nebo ZZ</t>
  </si>
  <si>
    <t>[UP I,1x/boj] ÚČ +1 střelba</t>
  </si>
  <si>
    <t>[UP II,1x/den] +1 žt, -1 bÚ</t>
  </si>
  <si>
    <t>[UP IV,1x/den] +2 žt, -3 bÚ</t>
  </si>
  <si>
    <t>[UP VI,1x/den] +3 žt, -6 bÚ</t>
  </si>
  <si>
    <t>[UP III,2x/den] +1, +8%</t>
  </si>
  <si>
    <t>[UP IV,2x/den] +2, +16%</t>
  </si>
  <si>
    <t>[UP V,2x/den] +3, +24%</t>
  </si>
  <si>
    <t>[UP II,1x/den] ZTZ ~ 8 ~ 0</t>
  </si>
  <si>
    <t>[UP III,1x/den] ZTZ ~ 10 ~ 0</t>
  </si>
  <si>
    <t>[UP IV,1x/den] ZTZ ~ 12~ 0</t>
  </si>
  <si>
    <t>[UP V,1x/den] ZTZ ~ 14 ~ 0</t>
  </si>
  <si>
    <t>[UP VI,1x/den] ZTZ ~ 16 ~ 0</t>
  </si>
  <si>
    <t>[UP IV,3x/den] zlo a zák.zlo</t>
  </si>
  <si>
    <t>[UP IV,2x/den]  ROZ+INT ~ 7 ~ 0</t>
  </si>
  <si>
    <t>2) U barda do popisu doplněna max. četnost písní</t>
  </si>
  <si>
    <t>3) Opraven popisek u schopnosti Klamný výpad</t>
  </si>
  <si>
    <t>4) Rozšířena tabulka na započtené bonusy a odkaz na ni pro potřeby kopírování</t>
  </si>
  <si>
    <t>5) Z hmotnosti peněz odečteny drahokamy</t>
  </si>
  <si>
    <t>6) Pojmenovány odkazy pro kopírování typu magie a INI při kouzlení z listu 6-Kouzla</t>
  </si>
  <si>
    <t>BOJ</t>
  </si>
  <si>
    <t>CO</t>
  </si>
  <si>
    <t>7) V tabulce společníků (list 8-Pomocníci) přidána kolonka na bojovnost (BOJ) a obranu zbraně (OZ)</t>
  </si>
  <si>
    <t>8) V listu 2-Postava, nahrazena část tabulky pomocné evidence novou tabulkou se sumací bojových čísel postavy a společníků</t>
  </si>
  <si>
    <t>Drahokamy</t>
  </si>
  <si>
    <t>A/N</t>
  </si>
  <si>
    <t>KZ</t>
  </si>
  <si>
    <t>Zbraň 4</t>
  </si>
  <si>
    <t>Zbraň 5</t>
  </si>
  <si>
    <t>Zbraň 6</t>
  </si>
  <si>
    <t>JAK</t>
  </si>
  <si>
    <t>Osobní deník - bojová čísla postavy</t>
  </si>
  <si>
    <t>Statusy</t>
  </si>
  <si>
    <t>str. 10</t>
  </si>
  <si>
    <t>Absťák:</t>
  </si>
  <si>
    <t>Lehká závislost</t>
  </si>
  <si>
    <t>Závislost</t>
  </si>
  <si>
    <t>Silná závislost</t>
  </si>
  <si>
    <t>Těžká závislost</t>
  </si>
  <si>
    <t>Absolutní závislost</t>
  </si>
  <si>
    <t>Prof.</t>
  </si>
  <si>
    <t>Berserkr</t>
  </si>
  <si>
    <t>Ležící</t>
  </si>
  <si>
    <t>(postavení se za 3A)</t>
  </si>
  <si>
    <t>Omotání / Obalení / Svázání / Držení</t>
  </si>
  <si>
    <t xml:space="preserve">Přisátí </t>
  </si>
  <si>
    <t>(např. upíří netopýr, vampýr)</t>
  </si>
  <si>
    <t>Opilost</t>
  </si>
  <si>
    <t>Náladička</t>
  </si>
  <si>
    <t>Opička</t>
  </si>
  <si>
    <t>Opice</t>
  </si>
  <si>
    <t>Drak</t>
  </si>
  <si>
    <t>Nepravidelné bonusy/postihy</t>
  </si>
  <si>
    <t>Oslepení</t>
  </si>
  <si>
    <t>základ</t>
  </si>
  <si>
    <t>bonus za dovednost Boj poslepu</t>
  </si>
  <si>
    <t>Otřesení</t>
  </si>
  <si>
    <t>Těžké</t>
  </si>
  <si>
    <t>2A: (PB ~ 13 ~ 0)</t>
  </si>
  <si>
    <t>2A: (PB ~ 16 ~ 0)</t>
  </si>
  <si>
    <t>2A: (PB ~ 19 ~ 0)</t>
  </si>
  <si>
    <t>Přeložení</t>
  </si>
  <si>
    <t>Velké naložení</t>
  </si>
  <si>
    <t>Maximální naložení</t>
  </si>
  <si>
    <t>Spoutání</t>
  </si>
  <si>
    <t>Těžce zraněný (tj. kondice &lt; 1/3 max. žt)</t>
  </si>
  <si>
    <t>Unavený</t>
  </si>
  <si>
    <t>Vyčerpaný</t>
  </si>
  <si>
    <t>Zcela vyčerpaný</t>
  </si>
  <si>
    <t xml:space="preserve"> (Únava &gt;= 1x VDR)</t>
  </si>
  <si>
    <t xml:space="preserve"> (Únava &gt;=2x VDR)</t>
  </si>
  <si>
    <t xml:space="preserve"> (Únava &gt;= 3x VDR)</t>
  </si>
  <si>
    <t>Zastrašení</t>
  </si>
  <si>
    <t>Zlomenina</t>
  </si>
  <si>
    <t xml:space="preserve">Ochromení </t>
  </si>
  <si>
    <t>(psychický šok)</t>
  </si>
  <si>
    <t>1. stupně</t>
  </si>
  <si>
    <t>2. a 3. stupně</t>
  </si>
  <si>
    <t>Zpomalení</t>
  </si>
  <si>
    <t>(postih -3)</t>
  </si>
  <si>
    <t>9) Doplněn list 10-BOJ, kde jsou shrnuta bojová čísla a vlivy, které na ně podle okolností mohou působit (Situační bonusy a Statusy)</t>
  </si>
  <si>
    <t>(primárně určeno k použití v elektronické verzi deníku)</t>
  </si>
  <si>
    <t>Pomocník 1:</t>
  </si>
  <si>
    <t>Pomocník 2:</t>
  </si>
  <si>
    <t>Pomocník 3:</t>
  </si>
  <si>
    <t>10) V listu 8 opraven překlep ve slově "pomocník" (3x)</t>
  </si>
  <si>
    <t>11) U nekromanta odmazána schopnost Vylepšená kouzelná hůl (už není v pravidlech povolání)</t>
  </si>
  <si>
    <t>12) U dovedenosti hrnčířství nebylo možné vybrat vyšší znalost než Vůbec - opraveno</t>
  </si>
  <si>
    <t>13) U druida opraveno - čerpání z půstu je volná schopnost</t>
  </si>
  <si>
    <t xml:space="preserve">14) Pro kouzelníky opraveny hranice pro učení se novým kouzlům (počet kouzel v listu 6-Kouzla) </t>
  </si>
  <si>
    <t>15) V listu kouzla opraven vzorec za výrobní zdatnost alchymisty (hledalo jen pro primární, ne pro duální povolání)</t>
  </si>
  <si>
    <t>16) Odmazán jeden sloupec v pravé části v listu Kouzla, aby bylo umožněno kopírování kouzel z deníku i do této části</t>
  </si>
  <si>
    <t>17) Změna společníků ve schopnosti Temný společník 2 u démonika, temného mága a nekromanta</t>
  </si>
  <si>
    <t>Aqrabuamelu</t>
  </si>
  <si>
    <t>Girtablilu</t>
  </si>
  <si>
    <t>168+2k20</t>
  </si>
  <si>
    <t>110+3k20</t>
  </si>
  <si>
    <t>Klepeto</t>
  </si>
  <si>
    <t>Ocas</t>
  </si>
  <si>
    <t>100</t>
  </si>
  <si>
    <t>18) Opraveno načítání popisu při hodu 100 na Veverku</t>
  </si>
  <si>
    <t>19) Opraven výpočet % bylinkaření u mistrovské botaniky</t>
  </si>
  <si>
    <t>Drakonian</t>
  </si>
  <si>
    <t>Drakonianka</t>
  </si>
  <si>
    <t>Oprava na</t>
  </si>
  <si>
    <t>ÚČ nablízko</t>
  </si>
  <si>
    <t>ZZ nablízko</t>
  </si>
  <si>
    <t>ZOČ</t>
  </si>
  <si>
    <t>Oprava bojových čísel za velikost</t>
  </si>
  <si>
    <t>Opravy bojových čísel za velikost</t>
  </si>
  <si>
    <t>Za velikost</t>
  </si>
  <si>
    <t>Nebrání se (ZOČ)</t>
  </si>
  <si>
    <t xml:space="preserve">  Obrana uhnutím (OU)</t>
  </si>
  <si>
    <t>1) Zapracovány výpočty pro boj - opravy za velikost dle nové tabulky. Tabulka oprav za velikost změněna v listu 7-Tabulky</t>
  </si>
  <si>
    <r>
      <t>Verze 2020_07: Změny od minulé verze</t>
    </r>
    <r>
      <rPr>
        <sz val="11"/>
        <color theme="1"/>
        <rFont val="Calibri"/>
        <family val="2"/>
        <charset val="238"/>
        <scheme val="minor"/>
      </rPr>
      <t xml:space="preserve"> (2020_v06)</t>
    </r>
  </si>
  <si>
    <t>Speciální zbraň</t>
  </si>
  <si>
    <t>Originální zbraň</t>
  </si>
  <si>
    <t>Sil</t>
  </si>
  <si>
    <t>2) Umožněno zadání parametrů vlatní, speciální zbraně</t>
  </si>
  <si>
    <t>220+6k10</t>
  </si>
  <si>
    <t>150+4k20</t>
  </si>
  <si>
    <t>1A=ÚČ+1,2A=ÚČ +3, 3A=ÚČ +6</t>
  </si>
  <si>
    <t>3) Opraven popisek u schopnosti míření (bonus u 3 akcí míření)</t>
  </si>
  <si>
    <t>2k6 č.</t>
  </si>
  <si>
    <t>4k6 č.</t>
  </si>
  <si>
    <t>8k6 č.</t>
  </si>
  <si>
    <t>Nález 0, Rozez. 0</t>
  </si>
  <si>
    <t>Nález +1, Rozez. 0</t>
  </si>
  <si>
    <t>Nález +2, Rozez. 0</t>
  </si>
  <si>
    <t>Nález +3, Rozez. 0</t>
  </si>
  <si>
    <t>Nález +4, Rozez. +1</t>
  </si>
  <si>
    <t>Nález +5, Rozez. +2</t>
  </si>
  <si>
    <t>jezdecké</t>
  </si>
  <si>
    <t>[PB s luky V, Střelba V] Út+3/4</t>
  </si>
  <si>
    <t>Út+5/+5</t>
  </si>
  <si>
    <t>Út+6/6</t>
  </si>
  <si>
    <t>Jiné bonusy</t>
  </si>
  <si>
    <t>CELLKEM</t>
  </si>
  <si>
    <t>Zrychlené kouzlení I, II</t>
  </si>
  <si>
    <t>Urážlivé zesměšnění</t>
  </si>
  <si>
    <t>Štěstí</t>
  </si>
  <si>
    <t>2x</t>
  </si>
  <si>
    <t>3x</t>
  </si>
  <si>
    <t>4x</t>
  </si>
  <si>
    <t>5x</t>
  </si>
  <si>
    <t>2 m, 0</t>
  </si>
  <si>
    <t>4 m, +1</t>
  </si>
  <si>
    <t>8 m, +2</t>
  </si>
  <si>
    <t>10 m, 0</t>
  </si>
  <si>
    <t>30 m, +1</t>
  </si>
  <si>
    <t>60 m, +2</t>
  </si>
  <si>
    <t>90 m, +3</t>
  </si>
  <si>
    <t>120 m, +4</t>
  </si>
  <si>
    <t>ÚRx8 mg</t>
  </si>
  <si>
    <t>ÚRx12 mg</t>
  </si>
  <si>
    <t>ÚRx16 mg</t>
  </si>
  <si>
    <t>ÚRx20 mg</t>
  </si>
  <si>
    <t>ÚRx24 mg</t>
  </si>
  <si>
    <t>ÚRx32 mg</t>
  </si>
  <si>
    <t>ÚRx40 mg</t>
  </si>
  <si>
    <t>Zastrašování</t>
  </si>
  <si>
    <t>Identifikace</t>
  </si>
  <si>
    <t>odhad</t>
  </si>
  <si>
    <t>doplnění</t>
  </si>
  <si>
    <t>renovace</t>
  </si>
  <si>
    <t>Dobíjecí krystaly</t>
  </si>
  <si>
    <t>Konstrukty</t>
  </si>
  <si>
    <t>Efektivní výroba</t>
  </si>
  <si>
    <t>-5%</t>
  </si>
  <si>
    <t>-10%</t>
  </si>
  <si>
    <t>-15%</t>
  </si>
  <si>
    <t>-20%</t>
  </si>
  <si>
    <t>-25%</t>
  </si>
  <si>
    <t>základní</t>
  </si>
  <si>
    <t>Esoterika</t>
  </si>
  <si>
    <t>42%</t>
  </si>
  <si>
    <t>54%</t>
  </si>
  <si>
    <t>78%</t>
  </si>
  <si>
    <t>90%</t>
  </si>
  <si>
    <t>102%</t>
  </si>
  <si>
    <r>
      <t>Verze 2021_01: Změny od minulé verze</t>
    </r>
    <r>
      <rPr>
        <sz val="11"/>
        <color theme="1"/>
        <rFont val="Calibri"/>
        <family val="2"/>
        <charset val="238"/>
        <scheme val="minor"/>
      </rPr>
      <t xml:space="preserve"> (2020_v07)</t>
    </r>
  </si>
  <si>
    <t xml:space="preserve">1) Aktualizace schopností povolání na 2021 - Stopař, Zaklínač, Druid, Bard, Vědma, Lupič, Žoldnéř, Rytíř, Assassin, Čaroděj, </t>
  </si>
  <si>
    <t>2) Aktualizace schopností povolání na 2021 - Nekromant, Runový mág, Kněz, Šermíř, Bojovník, Šaman, Paladin, Démonik, Pyrofor, Badatel</t>
  </si>
  <si>
    <t>[ÚR 10] INI +3</t>
  </si>
  <si>
    <t>[ÚR 14] INI +4</t>
  </si>
  <si>
    <t>Hobgoblin</t>
  </si>
  <si>
    <t>Hobgoblinka</t>
  </si>
  <si>
    <t>30+2k10</t>
  </si>
  <si>
    <t>Mineralogie</t>
  </si>
  <si>
    <t>CHAR</t>
  </si>
  <si>
    <t>Přetvářka</t>
  </si>
  <si>
    <t>1) Nové zpracování dovedností (méně, jinak rozmístěné), aktualizace s tím spojených pravidel a změn</t>
  </si>
  <si>
    <t>2) Změna u síly mysli (místo úrovně jen bonus za úroveň)</t>
  </si>
  <si>
    <t>Fyzické</t>
  </si>
  <si>
    <t>Duševní</t>
  </si>
  <si>
    <t>Základní vlastnosti</t>
  </si>
  <si>
    <t>Odvozené vlastnosti</t>
  </si>
  <si>
    <t>Zkr.</t>
  </si>
  <si>
    <t>Kouzelnická</t>
  </si>
  <si>
    <t>Hraničářská</t>
  </si>
  <si>
    <t>Kněžská</t>
  </si>
  <si>
    <t>MAX magenergie</t>
  </si>
  <si>
    <t>Procentní šance na úspěch:</t>
  </si>
  <si>
    <t>Plus</t>
  </si>
  <si>
    <t>bÚr</t>
  </si>
  <si>
    <t>Úroveň (Úr)</t>
  </si>
  <si>
    <t>Kondice (žt)</t>
  </si>
  <si>
    <t>Způsobované zranění</t>
  </si>
  <si>
    <t>ZÚN</t>
  </si>
  <si>
    <t>ZÚS</t>
  </si>
  <si>
    <t>Útok nablízko</t>
  </si>
  <si>
    <t>Střelba a vrh</t>
  </si>
  <si>
    <t>Zvl. (mag.) bonusy</t>
  </si>
  <si>
    <t>Za boj beze zbraně</t>
  </si>
  <si>
    <t>Za obratnost</t>
  </si>
  <si>
    <t>Za akrobacii</t>
  </si>
  <si>
    <t>Za bonusy</t>
  </si>
  <si>
    <t>Osobní deník - vlastnosti a bojová čísla</t>
  </si>
  <si>
    <r>
      <rPr>
        <b/>
        <sz val="10"/>
        <color indexed="8"/>
        <rFont val="Calibri"/>
        <family val="2"/>
        <charset val="238"/>
      </rPr>
      <t>Start.rozhodnutí</t>
    </r>
    <r>
      <rPr>
        <sz val="10"/>
        <color indexed="8"/>
        <rFont val="Calibri"/>
        <family val="2"/>
        <charset val="238"/>
      </rPr>
      <t xml:space="preserve">: </t>
    </r>
  </si>
  <si>
    <t>Na postup</t>
  </si>
  <si>
    <t>Osobní deník - vzhled, charakter, historie a kontakty</t>
  </si>
  <si>
    <t>Významné události</t>
  </si>
  <si>
    <t>V torně</t>
  </si>
  <si>
    <t>Ukryté</t>
  </si>
  <si>
    <t>Nemá u sebe</t>
  </si>
  <si>
    <t>hod.</t>
  </si>
  <si>
    <t>Datum</t>
  </si>
  <si>
    <t>Odpočinek</t>
  </si>
  <si>
    <t>Byliny</t>
  </si>
  <si>
    <t>Lektvary</t>
  </si>
  <si>
    <t>Body narkom.</t>
  </si>
  <si>
    <t>Z ?</t>
  </si>
  <si>
    <t>3) Přepracovány str. 1 (Vlastnosti a bojové charakteristiky) a str. 2 Vzhled a charakter</t>
  </si>
  <si>
    <t>4) Do tabulek evidence doplněno sledování čepání magenergie a léčení</t>
  </si>
  <si>
    <t>Orientálec</t>
  </si>
  <si>
    <t>Orientálka</t>
  </si>
  <si>
    <t>Ostrovan</t>
  </si>
  <si>
    <t>Ostrovanka</t>
  </si>
  <si>
    <t>Beduín</t>
  </si>
  <si>
    <t>Beduínka</t>
  </si>
  <si>
    <t>Standard</t>
  </si>
  <si>
    <t>Odvaha</t>
  </si>
  <si>
    <t>ODV</t>
  </si>
  <si>
    <t>Přesun při boji</t>
  </si>
  <si>
    <t>Běh při boji</t>
  </si>
  <si>
    <t>Tritón</t>
  </si>
  <si>
    <t>Tritónka</t>
  </si>
  <si>
    <t>5) Upraven výpočet bonusů k profesníčku dle nových pravidel</t>
  </si>
  <si>
    <t>ZZ +8</t>
  </si>
  <si>
    <t>ZZ +10</t>
  </si>
  <si>
    <t>[Boj s noži II] ÚČ+1</t>
  </si>
  <si>
    <t>[Boj s noži III] INI+1,Út +1/+1</t>
  </si>
  <si>
    <t>[Boj s noži IV] INI+1,Út+2/2,OZ+1</t>
  </si>
  <si>
    <t>[Vrh IV] INI+2, Út +2/2</t>
  </si>
  <si>
    <t>0 (6 kol)</t>
  </si>
  <si>
    <t>+1 (12 kol)</t>
  </si>
  <si>
    <t>+2 (20 kol)</t>
  </si>
  <si>
    <t>+3 (30 kol)</t>
  </si>
  <si>
    <t>+4 (40 kol)</t>
  </si>
  <si>
    <t>+5 (1 SM)</t>
  </si>
  <si>
    <t>+6 (2 SM)</t>
  </si>
  <si>
    <t>+7 (3 SM)</t>
  </si>
  <si>
    <t>[Zákeřné útoky V] Omráření</t>
  </si>
  <si>
    <t xml:space="preserve">[Extrakce přír. jedů III] </t>
  </si>
  <si>
    <t xml:space="preserve">[Péče o zvířata II] </t>
  </si>
  <si>
    <t>Padělání</t>
  </si>
  <si>
    <t>0 (Listiny)</t>
  </si>
  <si>
    <t>+1 (Pečeti)</t>
  </si>
  <si>
    <t>+2 (Výrobky)</t>
  </si>
  <si>
    <t>+3 (Umění)</t>
  </si>
  <si>
    <t>+4 (Šperky)</t>
  </si>
  <si>
    <t>[Signalizace II] 11+INT</t>
  </si>
  <si>
    <t>[Řeč těla II] +1</t>
  </si>
  <si>
    <t>Mistr.boj s praky</t>
  </si>
  <si>
    <t>[Úr. 2] +1</t>
  </si>
  <si>
    <t>Lučba 2: Předměty povolání</t>
  </si>
  <si>
    <t>[Pomůcky]</t>
  </si>
  <si>
    <t>Lučba: Předměty povolání</t>
  </si>
  <si>
    <t>[Jedy I]</t>
  </si>
  <si>
    <t>[Kouzelné předměty I]</t>
  </si>
  <si>
    <t>[Lektvary V]</t>
  </si>
  <si>
    <t>[Ochranné svitky]</t>
  </si>
  <si>
    <t>[Lektvary II]</t>
  </si>
  <si>
    <t>[Lektvary IV]</t>
  </si>
  <si>
    <t>6) V listu 6-Kouzla opraven výpočet opravy pro jednotlivé položky Alchymie a Hudby</t>
  </si>
  <si>
    <t>VOL~7+žvtsch~0</t>
  </si>
  <si>
    <t>VOL~2+žvtsch~0</t>
  </si>
  <si>
    <t>VOL~3+žvtsch~0</t>
  </si>
  <si>
    <t>VOL~4+žvtsch~0</t>
  </si>
  <si>
    <t>VOL~5+žvtsch~0</t>
  </si>
  <si>
    <t>VOL~6+žvtsch~0</t>
  </si>
  <si>
    <t>VOL~1+žvtsch~0</t>
  </si>
  <si>
    <t>Jazyky +1</t>
  </si>
  <si>
    <t>0, žvtsch 3</t>
  </si>
  <si>
    <t>+1, žvtsch 6</t>
  </si>
  <si>
    <t>+2, žvtsch 9</t>
  </si>
  <si>
    <t>+3, žvtsch 12</t>
  </si>
  <si>
    <t>+4, žvtsch 15</t>
  </si>
  <si>
    <t>+5, žvtsch 18</t>
  </si>
  <si>
    <t>+6, žvtsch 22</t>
  </si>
  <si>
    <t>+7, žvtsch 27</t>
  </si>
  <si>
    <t>+8, žvtsch 33</t>
  </si>
  <si>
    <t>+9, žvtsch 40</t>
  </si>
  <si>
    <t>+10, žvtsch 48</t>
  </si>
  <si>
    <t>+11, žvtsch 60</t>
  </si>
  <si>
    <t>ZRČ~10~0</t>
  </si>
  <si>
    <t>Potačení bolesti +1</t>
  </si>
  <si>
    <t>Potlačení alkoholu +1</t>
  </si>
  <si>
    <t>Kontrola těla +1</t>
  </si>
  <si>
    <t>Kontrola mysli +1</t>
  </si>
  <si>
    <t>Otužilost +1</t>
  </si>
  <si>
    <t>[Úr 2] +1</t>
  </si>
  <si>
    <t>[Úr. 10, Čtení III] Zaheslovaná</t>
  </si>
  <si>
    <t>[Čtení I] Učební</t>
  </si>
  <si>
    <t>[Úr. 2, Čtení II] Obyčejná</t>
  </si>
  <si>
    <t>[Úr. 6, Čtení III] Posilující</t>
  </si>
  <si>
    <t>[Úr. 14, Čtení IV] S Pastí</t>
  </si>
  <si>
    <t>[Úr. 18, Čtení V] Levitující</t>
  </si>
  <si>
    <t>[Úr. 22, Čtení VI] Vnímající</t>
  </si>
  <si>
    <t>st. až VIII</t>
  </si>
  <si>
    <t>[Čtení I] jen st. 1</t>
  </si>
  <si>
    <t>[Čtení II] max. st. 2</t>
  </si>
  <si>
    <t>[Čtení II] max. st. 4</t>
  </si>
  <si>
    <t>[Čtení III] max. st. 6</t>
  </si>
  <si>
    <t>[Čtení III] max. st.8</t>
  </si>
  <si>
    <t>o 2</t>
  </si>
  <si>
    <t>o 3</t>
  </si>
  <si>
    <t>[ÚR 4]  Lehká (Prof.-1)</t>
  </si>
  <si>
    <t>Sesílání kouzel</t>
  </si>
  <si>
    <t>Specializace I</t>
  </si>
  <si>
    <t>Specializace II</t>
  </si>
  <si>
    <t>Specializace III</t>
  </si>
  <si>
    <t>[Úr. 11] +2</t>
  </si>
  <si>
    <t>[Úr. 16] +3</t>
  </si>
  <si>
    <t>[Úr. 21] +4</t>
  </si>
  <si>
    <t>[Úr. 18] +2</t>
  </si>
  <si>
    <t>[Úr. 23] +3</t>
  </si>
  <si>
    <t>[Úr. 28] +4</t>
  </si>
  <si>
    <t>Obory kouzel</t>
  </si>
  <si>
    <t>Časoprostor</t>
  </si>
  <si>
    <t>Energie</t>
  </si>
  <si>
    <t>Iluze</t>
  </si>
  <si>
    <t>Psychika</t>
  </si>
  <si>
    <t>Materiál</t>
  </si>
  <si>
    <t>Vitalita</t>
  </si>
  <si>
    <t>Poznání</t>
  </si>
  <si>
    <t>Ochrana</t>
  </si>
  <si>
    <t>CA</t>
  </si>
  <si>
    <t>EN</t>
  </si>
  <si>
    <t>IL</t>
  </si>
  <si>
    <t>PS</t>
  </si>
  <si>
    <t>MA</t>
  </si>
  <si>
    <t>PO</t>
  </si>
  <si>
    <t>OC</t>
  </si>
  <si>
    <t>Specializace</t>
  </si>
  <si>
    <t>Specializace 1</t>
  </si>
  <si>
    <t>Specializace 2</t>
  </si>
  <si>
    <t>Specializace 3</t>
  </si>
  <si>
    <t>Obor</t>
  </si>
  <si>
    <t>7) Do listu 6-Kouzla zakomponován výpočet bonusu podle specializace na obor kouzel u kouzelníka</t>
  </si>
  <si>
    <t xml:space="preserve">[Cíl.studium III, Modifikace k. V] </t>
  </si>
  <si>
    <t>[TN!] Pokušitel</t>
  </si>
  <si>
    <t>[TN!] Svůdce</t>
  </si>
  <si>
    <t>[TN!] Škůdce</t>
  </si>
  <si>
    <t>[TN!] Pán pekel</t>
  </si>
  <si>
    <t>[TN!] Otevření brány</t>
  </si>
  <si>
    <t>[TN!, Zvířecí spol.VI] 1x/14 d, INI +1, max. 1</t>
  </si>
  <si>
    <t>[Botanika III] 2k6 čenů</t>
  </si>
  <si>
    <t>[Botanika IV] 6k6 čenů</t>
  </si>
  <si>
    <t>[Botanika IV] 8k6 čenů</t>
  </si>
  <si>
    <t xml:space="preserve">[Zoologie II] </t>
  </si>
  <si>
    <t xml:space="preserve">[Zoologie III] </t>
  </si>
  <si>
    <t xml:space="preserve">[Zoologie IV] </t>
  </si>
  <si>
    <t xml:space="preserve">[Zoologie V] </t>
  </si>
  <si>
    <t>[TN!, Zpěv I] Hvozd</t>
  </si>
  <si>
    <t>[TN!, Zpěv II] Les, sad,park</t>
  </si>
  <si>
    <t>[TN!, Zpěv III] Strom</t>
  </si>
  <si>
    <t>Moudrost</t>
  </si>
  <si>
    <t>Diplomacie +1</t>
  </si>
  <si>
    <t>Učitelství +1</t>
  </si>
  <si>
    <t>[Péče o zvířata II] hlídací</t>
  </si>
  <si>
    <t>Boží požehnání</t>
  </si>
  <si>
    <t>Boží intervence</t>
  </si>
  <si>
    <t>[Úr. 2] 1/4</t>
  </si>
  <si>
    <t>[TN !]</t>
  </si>
  <si>
    <t>[Okultismus III] ZZ +1</t>
  </si>
  <si>
    <t>[Štít víry V] 1 ochrana</t>
  </si>
  <si>
    <t>[Svatý symbol VIII] bÚr+VOL~10+VOL~ 0</t>
  </si>
  <si>
    <t>Mechanika a fyzika</t>
  </si>
  <si>
    <t>Lučba: Jedy</t>
  </si>
  <si>
    <t>Lov bestií</t>
  </si>
  <si>
    <t>C+ ZZ +2</t>
  </si>
  <si>
    <t>C+ ZZ +3</t>
  </si>
  <si>
    <t>C+ ZZ +4</t>
  </si>
  <si>
    <t>C+ ZZ +5</t>
  </si>
  <si>
    <t>[Lov IV, Boj se zvířaty VI] C+ ZZ +1</t>
  </si>
  <si>
    <t>Přátelství bestie</t>
  </si>
  <si>
    <t>1x</t>
  </si>
  <si>
    <t>[Vyvolávání elementálů I] 0</t>
  </si>
  <si>
    <t>[Identifikace III] odhad</t>
  </si>
  <si>
    <t>ÚČ +1, OZ+1</t>
  </si>
  <si>
    <t>ÚČ +1, OZ+2</t>
  </si>
  <si>
    <t>ÚČ +2, OZ+2</t>
  </si>
  <si>
    <t>ÚČ +3, OZ+3</t>
  </si>
  <si>
    <t>IL +1, PK 0</t>
  </si>
  <si>
    <t>IL +2, PK +1</t>
  </si>
  <si>
    <t>IL+3, PK+1</t>
  </si>
  <si>
    <t>IL+4,PK+2</t>
  </si>
  <si>
    <t>Kočičí pády</t>
  </si>
  <si>
    <t xml:space="preserve"> -1k6</t>
  </si>
  <si>
    <t xml:space="preserve"> -2k6</t>
  </si>
  <si>
    <t xml:space="preserve"> -3k6</t>
  </si>
  <si>
    <t>Levitace</t>
  </si>
  <si>
    <t>3 kola</t>
  </si>
  <si>
    <t>6 kol</t>
  </si>
  <si>
    <t>9 kol</t>
  </si>
  <si>
    <t>12 kol</t>
  </si>
  <si>
    <t>[Lez.tech V] 1 kolo</t>
  </si>
  <si>
    <t>Ukrytí se II</t>
  </si>
  <si>
    <t>[Tvorba artef. I] 2</t>
  </si>
  <si>
    <t xml:space="preserve">[Vyvol.element. IV] </t>
  </si>
  <si>
    <t>[Esoterika II] OČ +1</t>
  </si>
  <si>
    <t>[Esoterika IV] OČ +2</t>
  </si>
  <si>
    <t>[Esoterika VI] OČ +3</t>
  </si>
  <si>
    <t>[Esoterika VIII] OČ +4</t>
  </si>
  <si>
    <t>[Esoterika X] OČ +5</t>
  </si>
  <si>
    <t>8) Revize schopností podle pravidel povolání na 2022</t>
  </si>
  <si>
    <t>9) Revize pojmenování a rozsahů kopírovaných oblastí deníkuk (COPY_XY)</t>
  </si>
  <si>
    <r>
      <rPr>
        <b/>
        <sz val="11"/>
        <color theme="1"/>
        <rFont val="Calibri"/>
        <family val="2"/>
        <charset val="238"/>
        <scheme val="minor"/>
      </rPr>
      <t>Verze 2021_02 Změny od minulé verze</t>
    </r>
    <r>
      <rPr>
        <sz val="11"/>
        <color theme="1"/>
        <rFont val="Calibri"/>
        <family val="2"/>
        <charset val="238"/>
        <scheme val="minor"/>
      </rPr>
      <t xml:space="preserve"> (2021_v01)</t>
    </r>
  </si>
  <si>
    <t>10) Omezení výběru ras pro vlastní postavy</t>
  </si>
  <si>
    <t>11) Změna označení charismy u dovedností (CHR-&gt;CHAR)</t>
  </si>
  <si>
    <t>ŽÁDNÉ</t>
  </si>
  <si>
    <t>2) Do zatvrzelosti doplněna chybějící oprava za veverku "Zatvrzelý"</t>
  </si>
  <si>
    <r>
      <rPr>
        <b/>
        <sz val="11"/>
        <color theme="1"/>
        <rFont val="Calibri"/>
        <family val="2"/>
        <charset val="238"/>
        <scheme val="minor"/>
      </rPr>
      <t>Verze 2021_03 Změny od minulé verze</t>
    </r>
    <r>
      <rPr>
        <sz val="11"/>
        <color theme="1"/>
        <rFont val="Calibri"/>
        <family val="2"/>
        <charset val="238"/>
        <scheme val="minor"/>
      </rPr>
      <t xml:space="preserve"> (2021_v02)</t>
    </r>
  </si>
  <si>
    <t>3) V listu Tvorba postavy opraveno označení v tabulce u rozdělení bodů vlastnostem z Kombinace na Standard (v souladu s dřívější volbou)</t>
  </si>
  <si>
    <t>1) Povolena (pro PJ) možnost výběru - žádné povolání</t>
  </si>
  <si>
    <t>1) U kněze opravena hlavní vlastnost (vůle ne inteligence)</t>
  </si>
  <si>
    <t>2) U péče o zvířata opraven odkaz na bonus k dovednosti</t>
  </si>
  <si>
    <t>3) Abecední setřízení ras (způsobovalo chybu ve vyhledávání opravy na profesníček)</t>
  </si>
  <si>
    <r>
      <rPr>
        <b/>
        <sz val="11"/>
        <color theme="1"/>
        <rFont val="Calibri"/>
        <family val="2"/>
        <charset val="238"/>
        <scheme val="minor"/>
      </rPr>
      <t>Verze 2021_04 Změny od minulé verze</t>
    </r>
    <r>
      <rPr>
        <sz val="11"/>
        <color theme="1"/>
        <rFont val="Calibri"/>
        <family val="2"/>
        <charset val="238"/>
        <scheme val="minor"/>
      </rPr>
      <t xml:space="preserve"> (2021_v03)</t>
    </r>
  </si>
  <si>
    <t>1) Opraveny bonusy za Arkanu u kouzelníka v listu Kouzla</t>
  </si>
  <si>
    <t>2) Opraveno zohlednění opravy za rasu v Odolnosti</t>
  </si>
  <si>
    <t>Předmět</t>
  </si>
  <si>
    <t>Vak (1 čtv)</t>
  </si>
  <si>
    <t>Vak na vodu (prázdný)</t>
  </si>
  <si>
    <t>Soudeček (3 čtv)</t>
  </si>
  <si>
    <t>Soudeček (prázdný)</t>
  </si>
  <si>
    <t>Karafa (0,5 čtv)</t>
  </si>
  <si>
    <t>Flakonek (0,1 čtv)</t>
  </si>
  <si>
    <t>Soudek (10 čtv)</t>
  </si>
  <si>
    <t>Sud malý (prázdný)</t>
  </si>
  <si>
    <t>Brož</t>
  </si>
  <si>
    <t>Čelenka</t>
  </si>
  <si>
    <t>Jablko</t>
  </si>
  <si>
    <t>Spona</t>
  </si>
  <si>
    <t>Klepadlo</t>
  </si>
  <si>
    <t>Knoflík</t>
  </si>
  <si>
    <t>Koruna</t>
  </si>
  <si>
    <t>Lžíce</t>
  </si>
  <si>
    <t>Miska</t>
  </si>
  <si>
    <t>Náhrdelník</t>
  </si>
  <si>
    <t>Náramek</t>
  </si>
  <si>
    <t>Náušnice (pár)</t>
  </si>
  <si>
    <t>Pás</t>
  </si>
  <si>
    <t>Pohár</t>
  </si>
  <si>
    <t>Prsten</t>
  </si>
  <si>
    <t>Prsten s víkem</t>
  </si>
  <si>
    <t>Přilba (B)</t>
  </si>
  <si>
    <t>Řetěz</t>
  </si>
  <si>
    <t>Řetízek</t>
  </si>
  <si>
    <t>Svícen</t>
  </si>
  <si>
    <t>Tác</t>
  </si>
  <si>
    <t>Talíř</t>
  </si>
  <si>
    <t>Vidlička</t>
  </si>
  <si>
    <t>Zub</t>
  </si>
  <si>
    <t>Žezlo</t>
  </si>
  <si>
    <t>Soška</t>
  </si>
  <si>
    <t>Drahokam</t>
  </si>
  <si>
    <t>Jehlice</t>
  </si>
  <si>
    <t>Mince</t>
  </si>
  <si>
    <t>Obraz</t>
  </si>
  <si>
    <t>Perla</t>
  </si>
  <si>
    <t>Soudek (prázdný)</t>
  </si>
  <si>
    <t>Léčitelský váček</t>
  </si>
  <si>
    <r>
      <rPr>
        <b/>
        <sz val="11"/>
        <color theme="1"/>
        <rFont val="Calibri"/>
        <family val="2"/>
        <charset val="238"/>
        <scheme val="minor"/>
      </rPr>
      <t>Verze 2021_05 Změny od minulé verze</t>
    </r>
    <r>
      <rPr>
        <sz val="11"/>
        <color theme="1"/>
        <rFont val="Calibri"/>
        <family val="2"/>
        <charset val="238"/>
        <scheme val="minor"/>
      </rPr>
      <t xml:space="preserve"> (2021_v04)</t>
    </r>
  </si>
  <si>
    <t>3) Přepracován list Majetek. Třídění tabulek ne podle umístění, ale dle typu vybavení. Upraveno ve Správci názvů pro potřeby kopírování.</t>
  </si>
  <si>
    <t xml:space="preserve">1) Opraven rozsah výběru znalosti dovedností Střelba, Potlačení bolesti, Kartografie, Mineralogie, Sociologie, Černá řeč, Drakomluva, Elfština, Obecná řeč, </t>
  </si>
  <si>
    <t xml:space="preserve">      Trpasličtina, Východní orientální, Západní imánský, Přetvářka, Signalizace, Svádění, Péče o zvířata, Plavání, Plížení se, Rozdělání ohně, Rybaření, </t>
  </si>
  <si>
    <t xml:space="preserve">      Hudba, Jezdectví a formanství, Nosičství, Péče o vzhled, Potlačení alkoholu, Zpěv</t>
  </si>
  <si>
    <t>2) Pátá tabulka zbraní předělána na 2 zbraně</t>
  </si>
  <si>
    <t>Alchymistické výrobky</t>
  </si>
  <si>
    <t>Lučavka královská</t>
  </si>
  <si>
    <t>Píšťalka (alch.)</t>
  </si>
  <si>
    <t>Pouzdro na výbušniny</t>
  </si>
  <si>
    <t>Zápalná šnůra</t>
  </si>
  <si>
    <t>Lektvar chladivý</t>
  </si>
  <si>
    <t>Lektvar ledový</t>
  </si>
  <si>
    <t>Lektvar metamorfózy</t>
  </si>
  <si>
    <t>Lektvar obří síly</t>
  </si>
  <si>
    <t>Lektvar patlák</t>
  </si>
  <si>
    <t>Megacloumák</t>
  </si>
  <si>
    <t>Lektvar pavoučí</t>
  </si>
  <si>
    <t>Jed Černá zhouba</t>
  </si>
  <si>
    <t>Jed Jablečná vůně</t>
  </si>
  <si>
    <t>Jed Kurare</t>
  </si>
  <si>
    <t>Jed Lovcův triumf</t>
  </si>
  <si>
    <t>Jed Melenova pomsta</t>
  </si>
  <si>
    <t>Jed Čuně</t>
  </si>
  <si>
    <t>Jed Skřetí zloba</t>
  </si>
  <si>
    <t>Svitek Ochr. před démony</t>
  </si>
  <si>
    <t>Svitek Ochr. před ďábly</t>
  </si>
  <si>
    <t>Svitek Ochr. před nemrtvými</t>
  </si>
  <si>
    <t>Svitek Ochr. před neviděnými</t>
  </si>
  <si>
    <t>Svitek Ochr. proti kouzlům (40)</t>
  </si>
  <si>
    <t>Svitek Ochr. proti kouzlům (10)</t>
  </si>
  <si>
    <t>Svitek Ochr. proti kouzlům (100)</t>
  </si>
  <si>
    <t>Svitek Ochr. před lykantropy</t>
  </si>
  <si>
    <t>Svitek Ochr. před vlky</t>
  </si>
  <si>
    <t>Svitek Ochr. před živými</t>
  </si>
  <si>
    <t>Bomba</t>
  </si>
  <si>
    <t>Ohnivá hlína</t>
  </si>
  <si>
    <t>Výbušný prach</t>
  </si>
  <si>
    <t>Oslepující kulička</t>
  </si>
  <si>
    <t>Ohlušující kulička</t>
  </si>
  <si>
    <t>Buchací kulička</t>
  </si>
  <si>
    <t>Samozápalná láhev</t>
  </si>
  <si>
    <t>Světlice</t>
  </si>
  <si>
    <t>Rachejtle osvětlující</t>
  </si>
  <si>
    <t>Rachejtle dýmotvorná</t>
  </si>
  <si>
    <t>Ohňostroj</t>
  </si>
  <si>
    <t>Rachejtle zápalná</t>
  </si>
  <si>
    <t>Rachejtle explozivní</t>
  </si>
  <si>
    <t>1) Cestovní prostředky</t>
  </si>
  <si>
    <t>2) Koňský handlíř - Jízdní zvířata</t>
  </si>
  <si>
    <t>3) Zavazadla</t>
  </si>
  <si>
    <t>4) Jídlo a pití</t>
  </si>
  <si>
    <t>5) Světlo</t>
  </si>
  <si>
    <t>6) Běžné vybavení na cesty</t>
  </si>
  <si>
    <t>7) Další vybavení</t>
  </si>
  <si>
    <r>
      <t xml:space="preserve">Alchymistický obchod </t>
    </r>
    <r>
      <rPr>
        <sz val="11"/>
        <color theme="1"/>
        <rFont val="Calibri"/>
        <family val="2"/>
        <charset val="238"/>
        <scheme val="minor"/>
      </rPr>
      <t>(Dostupnost: jen větší města)</t>
    </r>
  </si>
  <si>
    <t>3) SHOP doplněn o kompletní sortiment alchymistických výrobků vyráběných Erin (6. úr.). Alchymistické výrobky přesunuty do 4. sloupce vpravo</t>
  </si>
  <si>
    <t>4) Dle podnětů od Michala upraven a přeorganizován list Majetek. Upraveny odkazy pro kopírování ve Správci názvů</t>
  </si>
  <si>
    <r>
      <rPr>
        <b/>
        <sz val="11"/>
        <color theme="1"/>
        <rFont val="Calibri"/>
        <family val="2"/>
        <charset val="238"/>
        <scheme val="minor"/>
      </rPr>
      <t>Verze 2021_06 Změny od minulé verze</t>
    </r>
    <r>
      <rPr>
        <sz val="11"/>
        <color theme="1"/>
        <rFont val="Calibri"/>
        <family val="2"/>
        <charset val="238"/>
        <scheme val="minor"/>
      </rPr>
      <t xml:space="preserve"> (2021_v05)</t>
    </r>
  </si>
  <si>
    <t>Mong</t>
  </si>
  <si>
    <t>60+3k10</t>
  </si>
  <si>
    <t>Boj s meči a šavlemi</t>
  </si>
  <si>
    <t>Mongyně</t>
  </si>
  <si>
    <t xml:space="preserve">Schopnost Svatá zbroj: </t>
  </si>
  <si>
    <t>0 nebo I</t>
  </si>
  <si>
    <t>II nebo III</t>
  </si>
  <si>
    <t>IV nebo V</t>
  </si>
  <si>
    <t>1) Tabulka postihů za zbroj nově dokáže zohlednit znalost schopnosti Svatá zbroj (paladin / rytíř)</t>
  </si>
  <si>
    <t>2) Snížení hmotnosti jedů (na 0,12 kg) a lektvarů (0,2 kg) a sjednocení hmotnosti flakonků na 0,1 kg</t>
  </si>
  <si>
    <t>3) Ke KRS přičtena oprava +1 pro elfy a elfky</t>
  </si>
  <si>
    <t>Osobní deník - Kouzla / Lučba</t>
  </si>
  <si>
    <t>4) Doplněna řemeslná dovednost Vaření</t>
  </si>
  <si>
    <t>Alchymistické pomůcky</t>
  </si>
  <si>
    <t>Hodiny</t>
  </si>
  <si>
    <t>Váhy</t>
  </si>
  <si>
    <t>Kalcinátor</t>
  </si>
  <si>
    <t>Má a používá</t>
  </si>
  <si>
    <t>Alchymistický bonus za pomůcky</t>
  </si>
  <si>
    <t>Při výrobě</t>
  </si>
  <si>
    <t>Evok</t>
  </si>
  <si>
    <t>Expl.</t>
  </si>
  <si>
    <t>Lektv.</t>
  </si>
  <si>
    <t>Před.</t>
  </si>
  <si>
    <t>Svit.</t>
  </si>
  <si>
    <t>Tal.</t>
  </si>
  <si>
    <t>5) V listu Kouzla doplněna pro alchymisty možnost volby používaných pomůcek a doplněny výpočty zohledňující v profesníčku.</t>
  </si>
  <si>
    <t>6) V listu Vzhled a charakter v tabulce zbrojí opraveny postihy za zbroj dle znalosti schopnosti Svatá zbroj (paladin/rytíř)</t>
  </si>
  <si>
    <t>Telepatické pouto</t>
  </si>
  <si>
    <r>
      <rPr>
        <b/>
        <sz val="11"/>
        <color theme="1"/>
        <rFont val="Calibri"/>
        <family val="2"/>
        <charset val="238"/>
        <scheme val="minor"/>
      </rPr>
      <t>Verze 2021_07 Změny od minulé verze</t>
    </r>
    <r>
      <rPr>
        <sz val="11"/>
        <color theme="1"/>
        <rFont val="Calibri"/>
        <family val="2"/>
        <charset val="238"/>
        <scheme val="minor"/>
      </rPr>
      <t xml:space="preserve"> (2021_v06)</t>
    </r>
  </si>
  <si>
    <r>
      <rPr>
        <b/>
        <sz val="11"/>
        <color theme="1"/>
        <rFont val="Calibri"/>
        <family val="2"/>
        <charset val="238"/>
        <scheme val="minor"/>
      </rPr>
      <t>Verze 2022_01 Změny od minulé verze</t>
    </r>
    <r>
      <rPr>
        <sz val="11"/>
        <color theme="1"/>
        <rFont val="Calibri"/>
        <family val="2"/>
        <charset val="238"/>
        <scheme val="minor"/>
      </rPr>
      <t xml:space="preserve"> (2021_v07)</t>
    </r>
  </si>
  <si>
    <t>1) Doplnění schopnosti Telepatické pouto pro kouzelníky a démonika, úprava jiných jejich schopností</t>
  </si>
  <si>
    <t>2) Změna 1 bloku kouzel kněze a druida</t>
  </si>
  <si>
    <t>Divy boží</t>
  </si>
  <si>
    <t>[Úr 16] Divy boží</t>
  </si>
  <si>
    <t>[Úr 11] Boží intervence</t>
  </si>
  <si>
    <t>[Úr 1] Láska boží</t>
  </si>
  <si>
    <t>[Úr 3] Boží požehnání</t>
  </si>
  <si>
    <t>[Úr 5] Hněv boží</t>
  </si>
  <si>
    <t>Přírodní divy</t>
  </si>
  <si>
    <t>[ÚR16] +Přírodní divy</t>
  </si>
  <si>
    <t>Najdi zvíře/rostlinu</t>
  </si>
  <si>
    <t>Květina</t>
  </si>
  <si>
    <t>Přání</t>
  </si>
  <si>
    <t>Ptačí posel</t>
  </si>
  <si>
    <t>Prosba</t>
  </si>
  <si>
    <t>Pouto života</t>
  </si>
  <si>
    <t>Stesk</t>
  </si>
  <si>
    <t>Pouto lásky</t>
  </si>
  <si>
    <t>Nářek</t>
  </si>
  <si>
    <t>Imitace</t>
  </si>
  <si>
    <t>Najdi bytost</t>
  </si>
  <si>
    <t>Temnota</t>
  </si>
  <si>
    <t>Hněv lesa</t>
  </si>
  <si>
    <t>Láska lesa</t>
  </si>
  <si>
    <t>Druidství</t>
  </si>
  <si>
    <t>Hadí uštknutí</t>
  </si>
  <si>
    <t>Drtivé úponky</t>
  </si>
  <si>
    <t>Hlas bouře</t>
  </si>
  <si>
    <t>Zloba přírody</t>
  </si>
  <si>
    <t>Kůrokůže</t>
  </si>
  <si>
    <t>Obří hmyz</t>
  </si>
  <si>
    <t>Reinkarnace</t>
  </si>
  <si>
    <t>Rychlý růst</t>
  </si>
  <si>
    <t>Rychlé vadnutí</t>
  </si>
  <si>
    <t>Proměna ve zvíře</t>
  </si>
  <si>
    <t>Odčaruj nemrtvé</t>
  </si>
  <si>
    <t>Odčaruj elementála</t>
  </si>
  <si>
    <t>Oko zření</t>
  </si>
  <si>
    <t>Odstínění</t>
  </si>
  <si>
    <t>Vyvolej strážce</t>
  </si>
  <si>
    <t>3) Změny v pořadí hraničářských a druidských kouzel</t>
  </si>
  <si>
    <t>Adrenalin</t>
  </si>
  <si>
    <t>Probuzení</t>
  </si>
  <si>
    <t>Navrať smysly</t>
  </si>
  <si>
    <t>Vyleč ochromení</t>
  </si>
  <si>
    <t>Čistá mysl</t>
  </si>
  <si>
    <t>Ošetři zlomeninu</t>
  </si>
  <si>
    <t>Odstraň zohavení</t>
  </si>
  <si>
    <t>Způsob lehká  zranění</t>
  </si>
  <si>
    <t>Způsob střední zranění</t>
  </si>
  <si>
    <t>Způsob vážná zranění</t>
  </si>
  <si>
    <t>Způsob těžká zranění</t>
  </si>
  <si>
    <t>Způsob zničující zranění</t>
  </si>
  <si>
    <t>Zlom kost</t>
  </si>
  <si>
    <t>Otevřená zlomenina</t>
  </si>
  <si>
    <t>Ochrom</t>
  </si>
  <si>
    <t>Zažeň únavu</t>
  </si>
  <si>
    <t>Uzdrav kriticky zraněného</t>
  </si>
  <si>
    <t>Leč tělo</t>
  </si>
  <si>
    <t>Leč duši</t>
  </si>
  <si>
    <t>Leč mysl</t>
  </si>
  <si>
    <t>Odčaruj zkamenění</t>
  </si>
  <si>
    <t>Zlom metamorfózu</t>
  </si>
  <si>
    <t>Oživ mrtvého</t>
  </si>
  <si>
    <t>4) Aktualizace tabulky zkušeností potřebných na postup</t>
  </si>
  <si>
    <t>5) Oprava odkazu na kopírování vzhledu očí v listu Vzhled a charakter</t>
  </si>
  <si>
    <t>6) Doplněn odkaz pro kopírování magického bonusu ke zbroji</t>
  </si>
  <si>
    <t>7) Doplněn odkaz na kopírování poznámek z listu Schopnosti</t>
  </si>
  <si>
    <t>8) Do běžného vybavení doplněna na výběr Tetovací souprava</t>
  </si>
  <si>
    <t>9) Z kopírování kouzel vyloučen sloupec s bonusem (vzorec)</t>
  </si>
  <si>
    <t>10) Oprava zarovnávání Zálib v listu Vzhled a charakter</t>
  </si>
  <si>
    <t>11) Opraven odkaz, v tabulce zbraní, aby v seznamu byla i Speciální zbraň</t>
  </si>
  <si>
    <t>12) V listu 1-Vlastnosti opraven odkaz na výjimečný smysl (nezahrnovalo Amazonku)</t>
  </si>
  <si>
    <t>13) Opraven odkaz v listu Rasy ohledně věkových rozpětí (dole) (rovněž nezahrnovalo Amazonku)</t>
  </si>
  <si>
    <t>14) Oprava duplicitního započtení bonusu k Odl za kladnou veverku "Tvrďák"</t>
  </si>
  <si>
    <t>15) Upravena kondice gigantů a kolosů (PJ)</t>
  </si>
  <si>
    <t>Bázlivý</t>
  </si>
  <si>
    <t>Odvaha -2</t>
  </si>
  <si>
    <t>Odvaha -1</t>
  </si>
  <si>
    <t>Odvaha +2</t>
  </si>
  <si>
    <t>Odvaha +1</t>
  </si>
  <si>
    <t>16) Doplněny modifikátory odvahy Veverkou</t>
  </si>
  <si>
    <t>Faunský elf</t>
  </si>
  <si>
    <t>Faunská elfka</t>
  </si>
  <si>
    <t>Trollice</t>
  </si>
  <si>
    <t>Víla</t>
  </si>
  <si>
    <t>150+2k10</t>
  </si>
  <si>
    <t>46+2k6</t>
  </si>
  <si>
    <t>17) Úpravy pro PJ</t>
  </si>
  <si>
    <r>
      <rPr>
        <b/>
        <sz val="11"/>
        <color theme="1"/>
        <rFont val="Calibri"/>
        <family val="2"/>
        <charset val="238"/>
        <scheme val="minor"/>
      </rPr>
      <t>Verze 2022_02 Změny od minulé verze</t>
    </r>
    <r>
      <rPr>
        <sz val="11"/>
        <color theme="1"/>
        <rFont val="Calibri"/>
        <family val="2"/>
        <charset val="238"/>
        <scheme val="minor"/>
      </rPr>
      <t xml:space="preserve"> (2022_v01)</t>
    </r>
  </si>
  <si>
    <t>1) V listu kouzla v pravé části doplněn do celé tabulky vzorec oprav, který byl jen v 1. řádku</t>
  </si>
  <si>
    <t>2) Změněn výpočet zkušenosti potřebné na postup - zapisuje se celková zkušenost, ne zkušenost od postupu</t>
  </si>
  <si>
    <t>Frogling hnědý</t>
  </si>
  <si>
    <t>Frogling červený</t>
  </si>
  <si>
    <t>Frogling modrý</t>
  </si>
  <si>
    <t>Frogling zelený</t>
  </si>
  <si>
    <t>Frogling šedý</t>
  </si>
  <si>
    <t>Frogling bílý</t>
  </si>
  <si>
    <t>Frogling černý</t>
  </si>
  <si>
    <t>Frogling zlatý</t>
  </si>
  <si>
    <t>78+2k10</t>
  </si>
  <si>
    <t>38+2k6</t>
  </si>
  <si>
    <t>88+2k20</t>
  </si>
  <si>
    <t>42+3k10</t>
  </si>
  <si>
    <t>100+2k10</t>
  </si>
  <si>
    <t>160+2k10</t>
  </si>
  <si>
    <t>60+1k10</t>
  </si>
  <si>
    <t>170+2k10</t>
  </si>
  <si>
    <t>70+1k10</t>
  </si>
  <si>
    <t>64+2k10</t>
  </si>
  <si>
    <t>175+1k10</t>
  </si>
  <si>
    <t>180+1k10</t>
  </si>
  <si>
    <t>70+2k10</t>
  </si>
  <si>
    <t>3) V listu dovednosti u řemeslných dovedností opravena charisma z CHR na CHAR (neodečítalo profibody)</t>
  </si>
  <si>
    <t>Obr bouřný</t>
  </si>
  <si>
    <t>600+2k100</t>
  </si>
  <si>
    <t>500+2k100</t>
  </si>
  <si>
    <t>4) Opraveno - Knězova schopnost Čerpání ze vzduchu je volná schopnost</t>
  </si>
  <si>
    <t>Čerpání z modliteb</t>
  </si>
  <si>
    <t>Poloobr</t>
  </si>
  <si>
    <t>Poloobryně</t>
  </si>
  <si>
    <t>200+3k20</t>
  </si>
  <si>
    <t>115+4k20</t>
  </si>
  <si>
    <t>5) PJ: přidána rasa Poloobr</t>
  </si>
  <si>
    <r>
      <rPr>
        <b/>
        <sz val="11"/>
        <color theme="1"/>
        <rFont val="Calibri"/>
        <family val="2"/>
        <charset val="238"/>
        <scheme val="minor"/>
      </rPr>
      <t>Verze 2022_03 Změny od minulé verze</t>
    </r>
    <r>
      <rPr>
        <sz val="11"/>
        <color theme="1"/>
        <rFont val="Calibri"/>
        <family val="2"/>
        <charset val="238"/>
        <scheme val="minor"/>
      </rPr>
      <t xml:space="preserve"> (2022_v02)</t>
    </r>
  </si>
  <si>
    <t>1) V listu Tvorba postavy opraven rozsah číselníku pro výběr ras (nezahrnoval všechny rasy)</t>
  </si>
  <si>
    <t>2) Množství potřebných xp na postup sníženo na verzi 2023</t>
  </si>
  <si>
    <t>3) Hmotnost mincí snížena na 1/2</t>
  </si>
  <si>
    <t>4) U lidí nová schopnost Sociální interakce -&gt; započteny bonusy na vyjednávací dovednosti</t>
  </si>
  <si>
    <t>Okultistka</t>
  </si>
  <si>
    <t>Okultista</t>
  </si>
  <si>
    <t>3) Aktualizace schopností povolání na 2021 - Šinobi, Theurg, Temný mág, Okultista</t>
  </si>
  <si>
    <t>[Úr 21] Boží stvoření</t>
  </si>
  <si>
    <t>5) Změny u kněze - nový blok kouzel</t>
  </si>
  <si>
    <t>Boží stvoření</t>
  </si>
  <si>
    <t>7) Změna výpočtu zatvrzelosti (ZTZ) na str. 1-Vlastnosti</t>
  </si>
  <si>
    <r>
      <rPr>
        <b/>
        <sz val="11"/>
        <color theme="1"/>
        <rFont val="Calibri"/>
        <family val="2"/>
        <charset val="238"/>
        <scheme val="minor"/>
      </rPr>
      <t>Verze 2022_04 Změny od minulé verze</t>
    </r>
    <r>
      <rPr>
        <sz val="11"/>
        <color theme="1"/>
        <rFont val="Calibri"/>
        <family val="2"/>
        <charset val="238"/>
        <scheme val="minor"/>
      </rPr>
      <t xml:space="preserve"> (2022_v03)</t>
    </r>
  </si>
  <si>
    <t>1) Úpravy v rozložení kouzel Démonika</t>
  </si>
  <si>
    <t>Temná síla přírody</t>
  </si>
  <si>
    <t>[ÚR 4] K. temných sil</t>
  </si>
  <si>
    <t>[ÚR 6] Kouzla hněvu</t>
  </si>
  <si>
    <t>[ÚR 11] Kouzelné plody</t>
  </si>
  <si>
    <t>[ÚR 13] + Kletby I</t>
  </si>
  <si>
    <t>[ÚR 16] + Temných sil 2</t>
  </si>
  <si>
    <t>[ÚR 21] + Kletby II</t>
  </si>
  <si>
    <t>[ÚR 13] +Mag. střeh</t>
  </si>
  <si>
    <t>[ÚR 16] +K.souznění s přír.</t>
  </si>
  <si>
    <t>[ÚR 21] +K.víl</t>
  </si>
  <si>
    <t>Kouzla víl</t>
  </si>
  <si>
    <t>Kouzla souznění s přírodou</t>
  </si>
  <si>
    <t>2) Úpravy u vědmy (2 nové bloky kouzel)</t>
  </si>
  <si>
    <t>3) Úpravy u druida (2 nové bloky kouzel)</t>
  </si>
  <si>
    <t>[ÚR19] +K.souznění s přír.</t>
  </si>
  <si>
    <t>[ÚR21] +Přírodní divy2</t>
  </si>
  <si>
    <t>[ÚR 21] K. hraničářská II</t>
  </si>
  <si>
    <t>Kouzla hraničářská 2</t>
  </si>
  <si>
    <t>Lovcova zn.</t>
  </si>
  <si>
    <t>Číhající šípy</t>
  </si>
  <si>
    <t>Nástraha</t>
  </si>
  <si>
    <t>Dobrůvky</t>
  </si>
  <si>
    <t>Vyvol. zvířat</t>
  </si>
  <si>
    <t>Mluv s rostl.</t>
  </si>
  <si>
    <t>Vyvol. bestie</t>
  </si>
  <si>
    <t>4) Úpravy u stopaře (1 nový blok kouzel)</t>
  </si>
  <si>
    <t>Zázraky víry</t>
  </si>
  <si>
    <t>5) Úpravy u paladina  a kněze (nový blok kouzel svatého symbolu)</t>
  </si>
  <si>
    <r>
      <rPr>
        <b/>
        <sz val="11"/>
        <color theme="1"/>
        <rFont val="Calibri"/>
        <family val="2"/>
        <charset val="238"/>
        <scheme val="minor"/>
      </rPr>
      <t>Verze 2022_05 Změny od minulé verze</t>
    </r>
    <r>
      <rPr>
        <sz val="11"/>
        <color theme="1"/>
        <rFont val="Calibri"/>
        <family val="2"/>
        <charset val="238"/>
        <scheme val="minor"/>
      </rPr>
      <t xml:space="preserve"> (2022_v04)</t>
    </r>
  </si>
  <si>
    <t>6) Přejmenování temného kněze na okultistu a nové bloky kouzel</t>
  </si>
  <si>
    <t>1) Nový blok kouzel symbolu u paladina, zrušení některých jiných schopností</t>
  </si>
  <si>
    <t>[Vol 17] SMO+VOL,Iluze+1,psych.k.+2</t>
  </si>
  <si>
    <t>Pěst víry</t>
  </si>
  <si>
    <t>2) Změny u barda (nové písně, 8 stupňů učení se písním)</t>
  </si>
  <si>
    <t>[ÚR 19] st. VII</t>
  </si>
  <si>
    <t>[ÚR 22] st. VIII</t>
  </si>
  <si>
    <t>Píseň: Barevné tóny</t>
  </si>
  <si>
    <t>[UP II] 1x/boj</t>
  </si>
  <si>
    <t>[UP III,1x/boj] +2 ÚČ nebo ZZ</t>
  </si>
  <si>
    <t>[UP V,1x/boj] +3 ÚČ nebo ZZ</t>
  </si>
  <si>
    <t>[UP VII,1xboj] +4 ÚČ nebo ZZ</t>
  </si>
  <si>
    <t>[UP VI]  1x/3 dny</t>
  </si>
  <si>
    <t>[UP I] 5x Úr m</t>
  </si>
  <si>
    <t>Píseň: Disharmonický šepot</t>
  </si>
  <si>
    <t>[UP II] VOL~14~1/3</t>
  </si>
  <si>
    <t>Píseň: Houževnatost</t>
  </si>
  <si>
    <t>[UP II] Úr žt</t>
  </si>
  <si>
    <t>Píseň: Láska</t>
  </si>
  <si>
    <t>[UP VI,1x/den]  +2</t>
  </si>
  <si>
    <t>[UP VII,1x/den] +4</t>
  </si>
  <si>
    <t>Píseň: Léčivé tóny</t>
  </si>
  <si>
    <t>[UP VI] 1k6</t>
  </si>
  <si>
    <t>[UP VIII] 2k6</t>
  </si>
  <si>
    <t>[UP IV] až 1 SM</t>
  </si>
  <si>
    <t>Píseň: Masová sugesce</t>
  </si>
  <si>
    <t>[UP VI] INT+bÚr~9+bÚr barda~0</t>
  </si>
  <si>
    <t>[UP VI,1x/den] bÚr ~ 8+bÚr barda ~ 0</t>
  </si>
  <si>
    <t>Píseň: Mentální pevnost</t>
  </si>
  <si>
    <t xml:space="preserve">[UP VIII] </t>
  </si>
  <si>
    <t>Píseň: Mistr boje</t>
  </si>
  <si>
    <t>[UP IV,3x/den] +1 k ÚČ,ZZ a OČ</t>
  </si>
  <si>
    <t>[UP V,3x/den] +2 k ÚČ,ZZ a OČ</t>
  </si>
  <si>
    <t>[UP VI,3x/den] +3 k ÚČ,ZZ a OČ</t>
  </si>
  <si>
    <t>[UP VII,3x/den] +4 k ÚČ,ZZ a OČ</t>
  </si>
  <si>
    <t>Píseň: Motivace</t>
  </si>
  <si>
    <t xml:space="preserve">[UP II] </t>
  </si>
  <si>
    <t>[UP IV] -3 b, 2x/den</t>
  </si>
  <si>
    <t>[UP II] bÚr~ 10+bÚr barda ~ 0</t>
  </si>
  <si>
    <t>Píseň: Nedetekovatelnost</t>
  </si>
  <si>
    <t>[UP V]</t>
  </si>
  <si>
    <t>Píseň: Nutkání</t>
  </si>
  <si>
    <t>[UP II]</t>
  </si>
  <si>
    <t>Píseň: Obdiv</t>
  </si>
  <si>
    <t>[UP III]</t>
  </si>
  <si>
    <t>Píseň: Obranné reflexy</t>
  </si>
  <si>
    <t>[UP I] +1 k OČ</t>
  </si>
  <si>
    <t>[UP III] +2 k OČ</t>
  </si>
  <si>
    <t>[UP V] +3 k OČ</t>
  </si>
  <si>
    <t>Píseň: Ovládnutí osoby</t>
  </si>
  <si>
    <t>[UP VII]</t>
  </si>
  <si>
    <t>Píseň: Ovlivnění paměti</t>
  </si>
  <si>
    <t>Píseň: Smrt</t>
  </si>
  <si>
    <t>[UP I] RCH +2</t>
  </si>
  <si>
    <t>Píseň: Posílení vlastnosti</t>
  </si>
  <si>
    <t xml:space="preserve">[UP V] </t>
  </si>
  <si>
    <t>[UP I]</t>
  </si>
  <si>
    <t xml:space="preserve">[UP I] </t>
  </si>
  <si>
    <t>Píseň: Rozesmání</t>
  </si>
  <si>
    <t xml:space="preserve">[UP III] </t>
  </si>
  <si>
    <t>Píseň: Roztříštění</t>
  </si>
  <si>
    <t>[UP IV]</t>
  </si>
  <si>
    <t>[UP III] ÚČ +2 střelba</t>
  </si>
  <si>
    <t>[UP V] ÚČ +3 střelba</t>
  </si>
  <si>
    <t>[UP VII] ÚČ +4 střelba</t>
  </si>
  <si>
    <t>Píseň: Spoutání monstra</t>
  </si>
  <si>
    <t xml:space="preserve">[UP VI] </t>
  </si>
  <si>
    <t>Píseň: Spoutání osby</t>
  </si>
  <si>
    <t xml:space="preserve">[UP IV] </t>
  </si>
  <si>
    <t>[UP III]  1k6</t>
  </si>
  <si>
    <t>[UP IV] 2k6</t>
  </si>
  <si>
    <t>[UP V] 4k6</t>
  </si>
  <si>
    <t>[UP VI] 6k6</t>
  </si>
  <si>
    <t>[UP VII] 9k6</t>
  </si>
  <si>
    <t>[UP VIII] 12k6</t>
  </si>
  <si>
    <t>[UP VI]</t>
  </si>
  <si>
    <t>[UP VII] vítr</t>
  </si>
  <si>
    <t>[UP VIII] vichřice</t>
  </si>
  <si>
    <t>Píseň: Všichni tancují se mnou</t>
  </si>
  <si>
    <t>Píseň: Vzkaz</t>
  </si>
  <si>
    <t>Ne</t>
  </si>
  <si>
    <t>[UP V] 1 cíl</t>
  </si>
  <si>
    <t>[UP VI] až 3 cíle</t>
  </si>
  <si>
    <t>[UP VII] až bÚr cílů</t>
  </si>
  <si>
    <t>[UP VIII] všichni</t>
  </si>
  <si>
    <t xml:space="preserve">[UP VII] </t>
  </si>
  <si>
    <t>[UP VI] -4 INI a RCH</t>
  </si>
  <si>
    <t>Píseň: Znejistění</t>
  </si>
  <si>
    <t>3) Str. 3-Schopnosti, přetřízení číselníku povolání abecedně (problém s načítáním schopností povolání)</t>
  </si>
  <si>
    <t>4) Doplněna Improvizovaná zbraň</t>
  </si>
  <si>
    <t>Improvizovaná zbraň</t>
  </si>
  <si>
    <t>DB</t>
  </si>
  <si>
    <t>Za VEL</t>
  </si>
  <si>
    <t>5) Zrušeny opravy za chybějící sílu (nahrazeno úpravou s Improvizovanou zbraní)</t>
  </si>
  <si>
    <t>6) Opraveny odkazy v tabulce bojových čísel na tabulku zbraní</t>
  </si>
  <si>
    <t>u nichž je to výslovně uvedeno. Kdokoliv může použít na st. Vůbec.</t>
  </si>
  <si>
    <t>Jazyk - Infernal</t>
  </si>
  <si>
    <t>7) V dovednostech přidána část na Speciální dovednosti (dostupné jen vybraným povoláním)</t>
  </si>
  <si>
    <t>Jazyk - Celestial</t>
  </si>
  <si>
    <t>Zlodějský žargon</t>
  </si>
  <si>
    <t>8) Do Speciálních dovedností doplněny Jazyk-Celestial, Jazyk-Infernal a Zlodějský žargon. (Aby nedošlo k narušení odkazů, Jazyk-Drakomluva se nepřesunul, zůstává vlevo)</t>
  </si>
  <si>
    <t>Velmi špatně</t>
  </si>
  <si>
    <r>
      <rPr>
        <b/>
        <sz val="11"/>
        <color theme="1"/>
        <rFont val="Calibri"/>
        <family val="2"/>
        <charset val="238"/>
        <scheme val="minor"/>
      </rPr>
      <t>Verze 2023_01 Změny od minulé verze</t>
    </r>
    <r>
      <rPr>
        <sz val="11"/>
        <color theme="1"/>
        <rFont val="Calibri"/>
        <family val="2"/>
        <charset val="238"/>
        <scheme val="minor"/>
      </rPr>
      <t xml:space="preserve"> (2022_v05)</t>
    </r>
  </si>
  <si>
    <t>1) V dovednostech přidán nový stupeň "Velmi špatně". Změněny opravy za znalost dle pravidel 2023.</t>
  </si>
  <si>
    <t>2) V tabulce Dovedností opraven poslední sloupec - dle pravidel 2023 jen poloviční oprava za vlastnost</t>
  </si>
  <si>
    <t>3) Do pomocné tabulky doplně sloupec pro znalost Velmi špatně (aby se nabízelo v rozbalovacím menu)</t>
  </si>
  <si>
    <t>4) Nahrazení Temného společníka za Magického společníka u Nekromanta, Temného mága a Démonika</t>
  </si>
  <si>
    <r>
      <t xml:space="preserve">(1 st = </t>
    </r>
    <r>
      <rPr>
        <sz val="11"/>
        <color rgb="FFFF0000"/>
        <rFont val="Calibri"/>
        <family val="2"/>
        <charset val="238"/>
        <scheme val="minor"/>
      </rPr>
      <t>10</t>
    </r>
    <r>
      <rPr>
        <sz val="11"/>
        <color theme="1"/>
        <rFont val="Calibri"/>
        <family val="2"/>
        <charset val="238"/>
        <scheme val="minor"/>
      </rPr>
      <t xml:space="preserve"> md, 10 st = 1 zl)</t>
    </r>
  </si>
  <si>
    <t>5) Měnová reforma (list SHOP) 1 st = 10 md. Opraven popisek u váhy mincí v listu Majetek.</t>
  </si>
  <si>
    <t>6) Zapracování změn ve startovních vlastnostech ras (zpravidla hody 2k6, namísto 1k6)</t>
  </si>
  <si>
    <t>Lucerna směrová</t>
  </si>
  <si>
    <t>Kotva (lezecká)</t>
  </si>
  <si>
    <t>Bavičova truhlička</t>
  </si>
  <si>
    <t>Ježci železní</t>
  </si>
  <si>
    <t>Kuličky železné</t>
  </si>
  <si>
    <t>Maskovací souprava</t>
  </si>
  <si>
    <t>Okovy</t>
  </si>
  <si>
    <t>Stan</t>
  </si>
  <si>
    <t>7) Do SHOPu (a seznamu věcí) doplněno nové vybavení</t>
  </si>
  <si>
    <t xml:space="preserve">Hřeben - </t>
  </si>
  <si>
    <t>Provazový žebřík (5 m)</t>
  </si>
  <si>
    <t>Hřebíky / skoby (0,5 kg)</t>
  </si>
  <si>
    <t>V.Š.</t>
  </si>
  <si>
    <t>8) Do tabulek oprav bojových čísel doplněn stupeň znalosti Velmi špatně</t>
  </si>
  <si>
    <t>Role v družině</t>
  </si>
  <si>
    <t>Bijec</t>
  </si>
  <si>
    <t>Černá ovce</t>
  </si>
  <si>
    <t>Filozof</t>
  </si>
  <si>
    <t>Hospodář</t>
  </si>
  <si>
    <t>Horlivec</t>
  </si>
  <si>
    <t>Mluvčí</t>
  </si>
  <si>
    <t>Nováček</t>
  </si>
  <si>
    <t>Organizátor</t>
  </si>
  <si>
    <t>Ošetřovatel</t>
  </si>
  <si>
    <t>Písař</t>
  </si>
  <si>
    <t>Přítel</t>
  </si>
  <si>
    <t>Rádce</t>
  </si>
  <si>
    <t>Rebel</t>
  </si>
  <si>
    <t>Smírce</t>
  </si>
  <si>
    <t>Specialista</t>
  </si>
  <si>
    <t>Strážce</t>
  </si>
  <si>
    <t>Vtipálek</t>
  </si>
  <si>
    <t>Vůdce</t>
  </si>
  <si>
    <t>9) V listu 2 doplněna kolenka pro roli postavy v družině</t>
  </si>
  <si>
    <t>10) Ze základního výběru ras vyřazen goblin, doplněni hobgoblin a poloobr</t>
  </si>
  <si>
    <t>Inox</t>
  </si>
  <si>
    <t>Inoxa</t>
  </si>
  <si>
    <t>198+2k20</t>
  </si>
  <si>
    <t>198+3k20</t>
  </si>
  <si>
    <t>98+4k20</t>
  </si>
  <si>
    <t>Valrath</t>
  </si>
  <si>
    <t>Valratha</t>
  </si>
  <si>
    <t>Savvas</t>
  </si>
  <si>
    <t>195+5k10</t>
  </si>
  <si>
    <t>Dabel</t>
  </si>
  <si>
    <t>Tiefling</t>
  </si>
  <si>
    <t>Dabla</t>
  </si>
  <si>
    <t>Drow</t>
  </si>
  <si>
    <t>Drowka</t>
  </si>
  <si>
    <t>Inoxka</t>
  </si>
  <si>
    <t>Seveřan</t>
  </si>
  <si>
    <t>Seveřanka</t>
  </si>
  <si>
    <t>11) Doplněny rasy pro Gloomhaven Inox, Valrath a Savvas</t>
  </si>
  <si>
    <r>
      <rPr>
        <b/>
        <sz val="11"/>
        <color theme="1"/>
        <rFont val="Calibri"/>
        <family val="2"/>
        <charset val="238"/>
        <scheme val="minor"/>
      </rPr>
      <t>Verze 2023_02 Změny od minulé verze</t>
    </r>
    <r>
      <rPr>
        <sz val="11"/>
        <color theme="1"/>
        <rFont val="Calibri"/>
        <family val="2"/>
        <charset val="238"/>
        <scheme val="minor"/>
      </rPr>
      <t xml:space="preserve"> (2023_v01)</t>
    </r>
  </si>
  <si>
    <t>1) Doplněny nákupy pro znalost Handlířství Velmi špatně</t>
  </si>
  <si>
    <t>Průměr 46</t>
  </si>
  <si>
    <t>2) Rozšířena kopírovaná oblast startovních hodů (list Tvorba postavy) o druhou kostku</t>
  </si>
  <si>
    <t>JED</t>
  </si>
  <si>
    <t>3) V tabulce Započtených bonusů (list 1-Vlastnosti) zafixovány 4 řádky pro nejčastější a tyto provázány na příslušná pole</t>
  </si>
  <si>
    <t>Znalostní bonus</t>
  </si>
  <si>
    <t xml:space="preserve">4) Doplněn znalostní bonus v listu 4-Dovednosti (sloupec AL) pro doplnění bonusů za znalost Schopností aj. Pojmenováno pro kopírování do vyšších verzí, propojeno do bonusů, aby se automaticky započetlo. </t>
  </si>
  <si>
    <t>Zvl.bonus na Kondici</t>
  </si>
  <si>
    <t>5) V listu Tvorba postavy doplněn řádek pro zvláštní bonus ke kondici (např. u Zaklínače), který se bude kopírovat do vyšších verzí a je započten do Kondice postavy</t>
  </si>
  <si>
    <t>6) V listu Úsporný tisk doplněn u dovedností stupeň Velmi špatně. Opraveno načítání (makro a pojmenovaná oblast)</t>
  </si>
  <si>
    <t>7) Upravena tisková oblast listu Úsporný tisk (na 1 stránku)</t>
  </si>
  <si>
    <r>
      <rPr>
        <b/>
        <sz val="11"/>
        <color theme="1"/>
        <rFont val="Calibri"/>
        <family val="2"/>
        <charset val="238"/>
        <scheme val="minor"/>
      </rPr>
      <t>Verze 2023_03 Změny od minulé verze</t>
    </r>
    <r>
      <rPr>
        <sz val="11"/>
        <color theme="1"/>
        <rFont val="Calibri"/>
        <family val="2"/>
        <charset val="238"/>
        <scheme val="minor"/>
      </rPr>
      <t xml:space="preserve"> (2023_v02)</t>
    </r>
  </si>
  <si>
    <t>1) V listu majetek upravena oblast tisku a přidány 3 řádky</t>
  </si>
  <si>
    <t>2) Doplněny tabulky oprav za Atletiku a Nosičství při stupni Velmi špatně v listu Vlastnosti</t>
  </si>
  <si>
    <t>3) U šinobiho odmazána už neexistující schopnost Akrobacie</t>
  </si>
  <si>
    <t>4) Opraveno Bylinkaření, kde chyběla znalost botaniky Velmi špatně</t>
  </si>
  <si>
    <t xml:space="preserve">5) Rožšířena oblast výběru zavazadel v listu Majetek (chyběla volba velkého a malého vaku) </t>
  </si>
  <si>
    <t>6) V listu Úsporný tisk přehozeno pořadí KZ nohou a rukou (stejné pořadí jako v listu Vlastnosti)</t>
  </si>
  <si>
    <t>7) Opravena tabulka odečtu profibodů (neodečítaly se Speciální dovednosti)</t>
  </si>
  <si>
    <t>8) Opraven SHOP (neodečítal se nákup některých šatů)</t>
  </si>
  <si>
    <r>
      <rPr>
        <b/>
        <sz val="11"/>
        <color theme="1"/>
        <rFont val="Calibri"/>
        <family val="2"/>
        <charset val="238"/>
        <scheme val="minor"/>
      </rPr>
      <t>Verze 2023_04 Změny od minulé verze</t>
    </r>
    <r>
      <rPr>
        <sz val="11"/>
        <color theme="1"/>
        <rFont val="Calibri"/>
        <family val="2"/>
        <charset val="238"/>
        <scheme val="minor"/>
      </rPr>
      <t xml:space="preserve"> (2023_v03)</t>
    </r>
  </si>
  <si>
    <t>1) Životné krédo přejmenováno na Životní cíl a změněno zarovnávání (doleva)</t>
  </si>
  <si>
    <t>2) U schopnosti Přežití v přírodě odstraněny podmínky na znalost dovedností</t>
  </si>
  <si>
    <t>1x / den</t>
  </si>
  <si>
    <t>plody,rostliny OK?</t>
  </si>
  <si>
    <t>ukrytí se</t>
  </si>
  <si>
    <t>pramen OK?</t>
  </si>
  <si>
    <t>únava chůze 1/2</t>
  </si>
  <si>
    <t>3x / den</t>
  </si>
  <si>
    <t>Oprava</t>
  </si>
  <si>
    <t>Kondice</t>
  </si>
  <si>
    <t>Ukazatel</t>
  </si>
  <si>
    <t>Základní vl.</t>
  </si>
  <si>
    <t>Odvozené vl.</t>
  </si>
  <si>
    <t>Zbraně (TOP 3)</t>
  </si>
  <si>
    <t>INI zákl.</t>
  </si>
  <si>
    <t>INIkouzla</t>
  </si>
  <si>
    <t>Odvaha (Bojovnost)</t>
  </si>
  <si>
    <t>Odl. JED</t>
  </si>
  <si>
    <t>Odl. NEMOC</t>
  </si>
  <si>
    <t>Přír.magie</t>
  </si>
  <si>
    <t>Prostor pro obrázek postavy</t>
  </si>
  <si>
    <t>3) Změněn vzhled listu Úsporný tisk</t>
  </si>
  <si>
    <r>
      <rPr>
        <b/>
        <sz val="11"/>
        <color theme="1"/>
        <rFont val="Calibri"/>
        <family val="2"/>
        <charset val="238"/>
        <scheme val="minor"/>
      </rPr>
      <t>Verze 2023_05 Změny od minulé verze</t>
    </r>
    <r>
      <rPr>
        <sz val="11"/>
        <color theme="1"/>
        <rFont val="Calibri"/>
        <family val="2"/>
        <charset val="238"/>
        <scheme val="minor"/>
      </rPr>
      <t xml:space="preserve"> (2023_v04)</t>
    </r>
  </si>
  <si>
    <t>Pakt</t>
  </si>
  <si>
    <t xml:space="preserve">Zvrácenosti </t>
  </si>
  <si>
    <t xml:space="preserve">[Úr.3] Svazující příkazy </t>
  </si>
  <si>
    <t>[Úr. 5] Okultní kletby</t>
  </si>
  <si>
    <t>[Úr. 11] Zvrácené rituály</t>
  </si>
  <si>
    <t>[Úr. 16] Kouzla paktu</t>
  </si>
  <si>
    <t>[Úr. 21] Moc paktu</t>
  </si>
  <si>
    <t>1) Doplněno kopírování nastavení alchymistických pomůcek v listu 6-Kouzla do nových verzí deníku</t>
  </si>
  <si>
    <t>2) Úprava postihů za (ne)znalost Boje ve zbroji u zbrojí a úprava vlivu na nebezpečnost</t>
  </si>
  <si>
    <t>Vyloučený</t>
  </si>
  <si>
    <t>Svobodný</t>
  </si>
  <si>
    <t>Bohatý</t>
  </si>
  <si>
    <t>Vládnoucí</t>
  </si>
  <si>
    <t>Chudý</t>
  </si>
  <si>
    <t>Max M</t>
  </si>
  <si>
    <t>Max Dov</t>
  </si>
  <si>
    <t>Původ (spol. třída)</t>
  </si>
  <si>
    <t>3) Oprava Původu a spojených ukazatelů</t>
  </si>
  <si>
    <t>TOP 10 Kouzel / Písní / Lektvarů / Bojových manévrů</t>
  </si>
  <si>
    <t>Žralokomuž</t>
  </si>
  <si>
    <t>Žralokožena</t>
  </si>
  <si>
    <t>207+3k20</t>
  </si>
  <si>
    <t>140+5k20</t>
  </si>
  <si>
    <t>Harpuna</t>
  </si>
  <si>
    <t>4) Mezi zbraně doplněna harpuna</t>
  </si>
  <si>
    <r>
      <rPr>
        <b/>
        <sz val="11"/>
        <color theme="1"/>
        <rFont val="Calibri"/>
        <family val="2"/>
        <charset val="238"/>
        <scheme val="minor"/>
      </rPr>
      <t>Verze 2024_01 Změny od minulé verze</t>
    </r>
    <r>
      <rPr>
        <sz val="11"/>
        <color theme="1"/>
        <rFont val="Calibri"/>
        <family val="2"/>
        <charset val="238"/>
        <scheme val="minor"/>
      </rPr>
      <t xml:space="preserve"> (2023_v05)</t>
    </r>
  </si>
  <si>
    <t xml:space="preserve">1) U válečníků změna počtu schopností / úroveň. </t>
  </si>
  <si>
    <t>INT+bÚr~11~0</t>
  </si>
  <si>
    <t>střeh</t>
  </si>
  <si>
    <t>-1/+1</t>
  </si>
  <si>
    <t>-2/+2</t>
  </si>
  <si>
    <t>-3/+3</t>
  </si>
  <si>
    <t>-4/+SIL</t>
  </si>
  <si>
    <t>-5/+3+SIL</t>
  </si>
  <si>
    <t>2 zbraně</t>
  </si>
  <si>
    <t>hlava</t>
  </si>
  <si>
    <t>1x / 3 kola</t>
  </si>
  <si>
    <t>+k6+</t>
  </si>
  <si>
    <t>+2k6+</t>
  </si>
  <si>
    <t>4 akce</t>
  </si>
  <si>
    <t>1x / boj</t>
  </si>
  <si>
    <t>3 akce</t>
  </si>
  <si>
    <t>SIL~11+SIL~0</t>
  </si>
  <si>
    <t>Akrobacie~11+SIL~0</t>
  </si>
  <si>
    <t>viz tab</t>
  </si>
  <si>
    <t>jen Ležící</t>
  </si>
  <si>
    <t>+1k20</t>
  </si>
  <si>
    <t>Zranění x2</t>
  </si>
  <si>
    <t>SIL~9+SIL~0</t>
  </si>
  <si>
    <t>i zbraň na blízko</t>
  </si>
  <si>
    <t>až 3 cíle</t>
  </si>
  <si>
    <t>zvýší ZZ</t>
  </si>
  <si>
    <t>2 cíle</t>
  </si>
  <si>
    <t>okolostojící</t>
  </si>
  <si>
    <t>2k6+</t>
  </si>
  <si>
    <t>Cílený výpad (BM)</t>
  </si>
  <si>
    <t>Kryt (BM)</t>
  </si>
  <si>
    <t>Obranná hradba (BM)</t>
  </si>
  <si>
    <t>Střeh (BM)</t>
  </si>
  <si>
    <t>Výpad (BM)</t>
  </si>
  <si>
    <t>Zuřivý úder (BM)</t>
  </si>
  <si>
    <t>Dvojité krytí (BM)</t>
  </si>
  <si>
    <t>Dvojsek (BM)</t>
  </si>
  <si>
    <t>Hlavička (BM)</t>
  </si>
  <si>
    <t>Klamný výpad (BM)</t>
  </si>
  <si>
    <t>Kruhový sek (BM)</t>
  </si>
  <si>
    <t>Odskok (BM)</t>
  </si>
  <si>
    <t>Odkopnutí (BM)</t>
  </si>
  <si>
    <t>Odzbrojení (BM)</t>
  </si>
  <si>
    <t>Podkopnutí (BM)</t>
  </si>
  <si>
    <t>Poškození štítu (BM)</t>
  </si>
  <si>
    <t>Přidržení u země (BM)</t>
  </si>
  <si>
    <t>Setnutí hlavy (BM)</t>
  </si>
  <si>
    <t>Sražení a odhození (BM)</t>
  </si>
  <si>
    <t>Úder hromu (BM)</t>
  </si>
  <si>
    <t>Vrh zbraní (BM)</t>
  </si>
  <si>
    <t>Mocný rozmach (BM)</t>
  </si>
  <si>
    <t>Oko za oko (BM)</t>
  </si>
  <si>
    <t>Otřesení zemí (BM)</t>
  </si>
  <si>
    <t>Surová síla (BM)</t>
  </si>
  <si>
    <t>Vířivý útok (BM)</t>
  </si>
  <si>
    <t>Zničující výpad (BM)</t>
  </si>
  <si>
    <t>Hozená rukavice</t>
  </si>
  <si>
    <t>vs. rytíř</t>
  </si>
  <si>
    <t xml:space="preserve">18 </t>
  </si>
  <si>
    <t>Galantnost a dvorské  způsoby</t>
  </si>
  <si>
    <t>až o 3</t>
  </si>
  <si>
    <t xml:space="preserve">Naplnění </t>
  </si>
  <si>
    <t>Ochranná moc</t>
  </si>
  <si>
    <t>Přízeň</t>
  </si>
  <si>
    <t>Rozeznání klamu</t>
  </si>
  <si>
    <t>Velitelská vůle</t>
  </si>
  <si>
    <t>Odolání magii</t>
  </si>
  <si>
    <t>Vliv ideálu</t>
  </si>
  <si>
    <t>Rytířův kůň</t>
  </si>
  <si>
    <t>Společník</t>
  </si>
  <si>
    <t>Péče</t>
  </si>
  <si>
    <t>Ovládání</t>
  </si>
  <si>
    <t>Povel</t>
  </si>
  <si>
    <t>Posílené sch.</t>
  </si>
  <si>
    <t>krvácení 1k6+1 k</t>
  </si>
  <si>
    <t>Odstrčení (BM)</t>
  </si>
  <si>
    <t>ÚČ -3</t>
  </si>
  <si>
    <t>Lámání kopí (BM)</t>
  </si>
  <si>
    <t>ÚČ i ZZ -2</t>
  </si>
  <si>
    <t>Nájezd (BM)</t>
  </si>
  <si>
    <t>Odsek (BM)</t>
  </si>
  <si>
    <t>na koni</t>
  </si>
  <si>
    <t>OZ -1</t>
  </si>
  <si>
    <t>1x /boj</t>
  </si>
  <si>
    <t>SIL~10+SIL~0</t>
  </si>
  <si>
    <t>Omráčení štítem (BM)</t>
  </si>
  <si>
    <t>Smrtící úder (BM)</t>
  </si>
  <si>
    <t>-5/1k6</t>
  </si>
  <si>
    <t>-4/2k8</t>
  </si>
  <si>
    <t>-3/3k10</t>
  </si>
  <si>
    <t>Ideál: Naplnění ideálem</t>
  </si>
  <si>
    <t>ZTZ +3</t>
  </si>
  <si>
    <t>1x/den 2 hody</t>
  </si>
  <si>
    <t>viz</t>
  </si>
  <si>
    <t>ZTZ~13+CHAR~0</t>
  </si>
  <si>
    <t>Vícenásobný útok z obrany</t>
  </si>
  <si>
    <t>Neomez.</t>
  </si>
  <si>
    <t>[30 st. BM] 1</t>
  </si>
  <si>
    <t>Krvavý řez (BM)</t>
  </si>
  <si>
    <t>Útok z boku (BM)</t>
  </si>
  <si>
    <t>Bod vzad (BM)</t>
  </si>
  <si>
    <t>Zranění = 2 žt</t>
  </si>
  <si>
    <t>Monogram (BM)</t>
  </si>
  <si>
    <t>Obtočení štítu (BM)</t>
  </si>
  <si>
    <t>Reverz (BM)</t>
  </si>
  <si>
    <t>Rychlé tasení (BM)</t>
  </si>
  <si>
    <t>Rychlý přesun (BM)</t>
  </si>
  <si>
    <t>Skluz (BM)</t>
  </si>
  <si>
    <t>Sražení projektilu (BM)</t>
  </si>
  <si>
    <t>OZ -1, ÚČ +2</t>
  </si>
  <si>
    <t>1x za boj</t>
  </si>
  <si>
    <t>OZ -1, ÚČ +1</t>
  </si>
  <si>
    <t>vč. útoku 2A</t>
  </si>
  <si>
    <t>1 bÚ, +1 hex</t>
  </si>
  <si>
    <t>ÚČ +4, Akrobacie</t>
  </si>
  <si>
    <t>bez postihu</t>
  </si>
  <si>
    <t>Útok z obrany (BM)</t>
  </si>
  <si>
    <t>ÚČ +2, ZZ +3</t>
  </si>
  <si>
    <t>ÚČ +2, ZZ +5</t>
  </si>
  <si>
    <t>ÚČ +3, ZZ +6</t>
  </si>
  <si>
    <t>Vícenásobná obrana (BM)</t>
  </si>
  <si>
    <t>Hluboké zabodnutí (BM)</t>
  </si>
  <si>
    <t>Podběhnutí (BM)</t>
  </si>
  <si>
    <t>2 třídy vel.</t>
  </si>
  <si>
    <t>Proběhnutí a poražení (BM)</t>
  </si>
  <si>
    <t>Řetězová smršť (BM)</t>
  </si>
  <si>
    <t>Stržení ze sedla (BM)</t>
  </si>
  <si>
    <t>2x útok</t>
  </si>
  <si>
    <t>2k6+, Riziko</t>
  </si>
  <si>
    <t>+12</t>
  </si>
  <si>
    <t>Falanga (BM)</t>
  </si>
  <si>
    <t>Masakrující úder (BM)</t>
  </si>
  <si>
    <t>2) U válečníků přepracování a doplnění Bojových manévrů</t>
  </si>
  <si>
    <t>Lučba: Jedy 2</t>
  </si>
  <si>
    <t>Lučba: Amulety</t>
  </si>
  <si>
    <t>[Kouz.předměty II]</t>
  </si>
  <si>
    <t>Lučba: Evokace duchů</t>
  </si>
  <si>
    <t>Lučba: Kouzelné boty a pláště</t>
  </si>
  <si>
    <t>Lučba: Kouzelné oděvy</t>
  </si>
  <si>
    <t>[Kouz.boty a pláště]</t>
  </si>
  <si>
    <t>Lučba 2: Kouzelné zbroje</t>
  </si>
  <si>
    <t>[Kouz.oděvy]</t>
  </si>
  <si>
    <t>Lučba: Protijedy</t>
  </si>
  <si>
    <t>Lučba: Protijedy 2</t>
  </si>
  <si>
    <t>[Protijedy I]</t>
  </si>
  <si>
    <t>[Amulety]</t>
  </si>
  <si>
    <t>Lučba 2: Zaklínačské elixíry</t>
  </si>
  <si>
    <t>[Ochr.svitky]</t>
  </si>
  <si>
    <t>Lučba 2: Hůlky 2</t>
  </si>
  <si>
    <t>[Hůlky I]</t>
  </si>
  <si>
    <t>Lučba 2: Jedy</t>
  </si>
  <si>
    <t>Lučba: Kouzelné zbraně I</t>
  </si>
  <si>
    <t>Lučba: Kouzelné zbraně II</t>
  </si>
  <si>
    <t>[Kouz. zbraně I]</t>
  </si>
  <si>
    <t>[Kouz. oděvy]</t>
  </si>
  <si>
    <t>[Kouz.předměty III, Kouz. prsteny]</t>
  </si>
  <si>
    <t>[Kouz. předměty I]</t>
  </si>
  <si>
    <t>[Kouzelné oděvy]</t>
  </si>
  <si>
    <t>Lučba 2: Lektvary 7</t>
  </si>
  <si>
    <t>[Lektvary VI]</t>
  </si>
  <si>
    <t>[Rachejtle III, Matematiky V]</t>
  </si>
  <si>
    <t>3) U alchymistů aktualizace rozšířené Lučby</t>
  </si>
  <si>
    <t>UČ +1, ZZ -1</t>
  </si>
  <si>
    <t>ÚČ +2, ZZ -2</t>
  </si>
  <si>
    <t>ÚČ +3, ZZ -3</t>
  </si>
  <si>
    <t>ÚČ +4, ZZ -4</t>
  </si>
  <si>
    <t>OZ +5</t>
  </si>
  <si>
    <t>ÚČ +3</t>
  </si>
  <si>
    <t>ÚČ +4</t>
  </si>
  <si>
    <t>ÚČ +5</t>
  </si>
  <si>
    <t>ÚČ -1, ZZ +1</t>
  </si>
  <si>
    <t>ÚČ -2, ZZ +2</t>
  </si>
  <si>
    <t>ÚČ -3, ZZ +3</t>
  </si>
  <si>
    <t>ÚČ -4, ZZ +SIL</t>
  </si>
  <si>
    <t>ÚČ -5, ZZ +SIL+3</t>
  </si>
  <si>
    <t>ÚČ -5, ZZ 1k6</t>
  </si>
  <si>
    <t>ÚČ -4, ZZ 2k8</t>
  </si>
  <si>
    <t>ÚČ -3, ZZ 3k10</t>
  </si>
  <si>
    <t>Zákeřný útok (BM)</t>
  </si>
  <si>
    <t>Zákeřný útok 2 (BM)</t>
  </si>
  <si>
    <t>ÚČ +1, ZZ -1</t>
  </si>
  <si>
    <t>Otočka o 180° (BM)</t>
  </si>
  <si>
    <t>Otočka o 360° (BM)</t>
  </si>
  <si>
    <t>Výskok (BM)</t>
  </si>
  <si>
    <t>Dračí úder (BM)</t>
  </si>
  <si>
    <t>Hadí výpad (BM)</t>
  </si>
  <si>
    <t>Opičí kryt (BM)</t>
  </si>
  <si>
    <t>ÚČ -2, ZZ +4</t>
  </si>
  <si>
    <t>ÚČ -1, ZZ +5</t>
  </si>
  <si>
    <t>ZZ +4+1k6+</t>
  </si>
  <si>
    <t>Sokolí výpad (BM)</t>
  </si>
  <si>
    <t>Tygří výpad (BM)</t>
  </si>
  <si>
    <t>[Zákeřný útok V] +12</t>
  </si>
  <si>
    <t>Klamání pláštěm (BM)</t>
  </si>
  <si>
    <t>Odvedení pozornosti (BM)</t>
  </si>
  <si>
    <t>Útok ze zákrytu (BM)</t>
  </si>
  <si>
    <t>Zacílení (BM)</t>
  </si>
  <si>
    <t>ÚČ +3, ZZ -4</t>
  </si>
  <si>
    <t>4) Bojové manévry doplněny a schopnosti upraveny u paladina, šinobiho, assassina a lupiče</t>
  </si>
  <si>
    <t>5) Výměna schopnosti Neškodný vzhled za Odhad nepřítele u šinobiho</t>
  </si>
  <si>
    <t>Dvojitý výstřel (BM)</t>
  </si>
  <si>
    <t>Dvojitý vrh (BM)</t>
  </si>
  <si>
    <t>Vrh od pasu (BM)</t>
  </si>
  <si>
    <t>Podezíravý</t>
  </si>
  <si>
    <t>Bezohledný</t>
  </si>
  <si>
    <t>Bezcitný</t>
  </si>
  <si>
    <t>Egoistický</t>
  </si>
  <si>
    <t>6) Doplněna schopnost vědmy Léčitelská příručka</t>
  </si>
  <si>
    <t>Léčitelská příručka</t>
  </si>
  <si>
    <t>7) U krolla opravena startovní oprava za sílu v souladu s pravidly</t>
  </si>
  <si>
    <r>
      <rPr>
        <b/>
        <sz val="11"/>
        <color theme="1"/>
        <rFont val="Calibri"/>
        <family val="2"/>
        <charset val="238"/>
        <scheme val="minor"/>
      </rPr>
      <t>Verze 2024_02 Změny od minulé verze</t>
    </r>
    <r>
      <rPr>
        <sz val="11"/>
        <color theme="1"/>
        <rFont val="Calibri"/>
        <family val="2"/>
        <charset val="238"/>
        <scheme val="minor"/>
      </rPr>
      <t xml:space="preserve"> (2024_v01)</t>
    </r>
  </si>
  <si>
    <t>Záporná (sudá) vlastnost</t>
  </si>
  <si>
    <t>Kladná (lichá) vlastnost</t>
  </si>
  <si>
    <t>00</t>
  </si>
  <si>
    <t>Ošklivka</t>
  </si>
  <si>
    <t>Génius</t>
  </si>
  <si>
    <t>Vrozený šarm</t>
  </si>
  <si>
    <t>Neohrožený</t>
  </si>
  <si>
    <t>Ostrý zrak</t>
  </si>
  <si>
    <t>Citlivý sluch</t>
  </si>
  <si>
    <t>Bystré smysly</t>
  </si>
  <si>
    <t>Zásadovost</t>
  </si>
  <si>
    <t>Třetí oko</t>
  </si>
  <si>
    <t>Fóbie</t>
  </si>
  <si>
    <t>Chladná hlava</t>
  </si>
  <si>
    <t>Mánie</t>
  </si>
  <si>
    <t>Pacifista</t>
  </si>
  <si>
    <t>Kutil</t>
  </si>
  <si>
    <t>102</t>
  </si>
  <si>
    <t>104</t>
  </si>
  <si>
    <t>106</t>
  </si>
  <si>
    <t>108</t>
  </si>
  <si>
    <t>110</t>
  </si>
  <si>
    <t>112</t>
  </si>
  <si>
    <t>114</t>
  </si>
  <si>
    <t>116</t>
  </si>
  <si>
    <t>118</t>
  </si>
  <si>
    <t>120</t>
  </si>
  <si>
    <t>122</t>
  </si>
  <si>
    <t>124</t>
  </si>
  <si>
    <t>126</t>
  </si>
  <si>
    <t>128</t>
  </si>
  <si>
    <t>130</t>
  </si>
  <si>
    <t>132</t>
  </si>
  <si>
    <t>134</t>
  </si>
  <si>
    <t>136</t>
  </si>
  <si>
    <t>138</t>
  </si>
  <si>
    <t>140</t>
  </si>
  <si>
    <t>142</t>
  </si>
  <si>
    <t>144</t>
  </si>
  <si>
    <t>146</t>
  </si>
  <si>
    <t>148</t>
  </si>
  <si>
    <t>150</t>
  </si>
  <si>
    <t>152</t>
  </si>
  <si>
    <t>154</t>
  </si>
  <si>
    <t>156</t>
  </si>
  <si>
    <t>158</t>
  </si>
  <si>
    <t>160</t>
  </si>
  <si>
    <t>162</t>
  </si>
  <si>
    <t>164</t>
  </si>
  <si>
    <t>166</t>
  </si>
  <si>
    <t>168</t>
  </si>
  <si>
    <t>170</t>
  </si>
  <si>
    <t>172</t>
  </si>
  <si>
    <t>174</t>
  </si>
  <si>
    <t>176</t>
  </si>
  <si>
    <t>178</t>
  </si>
  <si>
    <t>180</t>
  </si>
  <si>
    <t>182</t>
  </si>
  <si>
    <t>184</t>
  </si>
  <si>
    <t>186</t>
  </si>
  <si>
    <t>188</t>
  </si>
  <si>
    <t>190</t>
  </si>
  <si>
    <t>192</t>
  </si>
  <si>
    <t>194</t>
  </si>
  <si>
    <t>196</t>
  </si>
  <si>
    <t>198</t>
  </si>
  <si>
    <t>201</t>
  </si>
  <si>
    <t>101</t>
  </si>
  <si>
    <t>103</t>
  </si>
  <si>
    <t>105</t>
  </si>
  <si>
    <t>107</t>
  </si>
  <si>
    <t>109</t>
  </si>
  <si>
    <t>111</t>
  </si>
  <si>
    <t>113</t>
  </si>
  <si>
    <t>115</t>
  </si>
  <si>
    <t>117</t>
  </si>
  <si>
    <t>119</t>
  </si>
  <si>
    <t>121</t>
  </si>
  <si>
    <t>123</t>
  </si>
  <si>
    <t>125</t>
  </si>
  <si>
    <t>127</t>
  </si>
  <si>
    <t>129</t>
  </si>
  <si>
    <t>131</t>
  </si>
  <si>
    <t>133</t>
  </si>
  <si>
    <t>135</t>
  </si>
  <si>
    <t>137</t>
  </si>
  <si>
    <t>139</t>
  </si>
  <si>
    <t>141</t>
  </si>
  <si>
    <t>143</t>
  </si>
  <si>
    <t>145</t>
  </si>
  <si>
    <t>147</t>
  </si>
  <si>
    <t>149</t>
  </si>
  <si>
    <t>151</t>
  </si>
  <si>
    <t>153</t>
  </si>
  <si>
    <t>155</t>
  </si>
  <si>
    <t>157</t>
  </si>
  <si>
    <t>159</t>
  </si>
  <si>
    <t>161</t>
  </si>
  <si>
    <t>163</t>
  </si>
  <si>
    <t>165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</si>
  <si>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</si>
  <si>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</si>
  <si>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</si>
  <si>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</si>
  <si>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</si>
  <si>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</si>
  <si>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</si>
  <si>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</si>
  <si>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</si>
  <si>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</si>
  <si>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187</t>
  </si>
  <si>
    <t>189</t>
  </si>
  <si>
    <t>191</t>
  </si>
  <si>
    <t>193</t>
  </si>
  <si>
    <t>195</t>
  </si>
  <si>
    <t>197</t>
  </si>
  <si>
    <t>199</t>
  </si>
  <si>
    <t>bez oprav</t>
  </si>
  <si>
    <t>Drsný vhled</t>
  </si>
  <si>
    <t>Slepota</t>
  </si>
  <si>
    <t>Neovladatelný</t>
  </si>
  <si>
    <t>Pavdomluvný</t>
  </si>
  <si>
    <t>Dobré trávení</t>
  </si>
  <si>
    <t>Šerovidění</t>
  </si>
  <si>
    <t>Náboženský fanatik</t>
  </si>
  <si>
    <t>Odolný proti jedům</t>
  </si>
  <si>
    <t>Sexuální indispozice</t>
  </si>
  <si>
    <t>Odolný proti teplotám</t>
  </si>
  <si>
    <t>Odolný proti alkoholu</t>
  </si>
  <si>
    <t>Odolný proti přeměnám</t>
  </si>
  <si>
    <t>Behnohý</t>
  </si>
  <si>
    <t>Trpaslicí cit</t>
  </si>
  <si>
    <t>Jiný humor</t>
  </si>
  <si>
    <t>Odolný proti magii</t>
  </si>
  <si>
    <t>Důvěřivec/Nedůvěřivec</t>
  </si>
  <si>
    <t>Totální flegmatik</t>
  </si>
  <si>
    <t>Deprse</t>
  </si>
  <si>
    <t>postih na zrak</t>
  </si>
  <si>
    <t>Chronická ospalost</t>
  </si>
  <si>
    <t>Panický strach z něčeho</t>
  </si>
  <si>
    <t>Posedlost něčím</t>
  </si>
  <si>
    <t>Excentrické sexuální potřeby</t>
  </si>
  <si>
    <t>má postih ke kráse</t>
  </si>
  <si>
    <t>Drsný vzhled</t>
  </si>
  <si>
    <t>Imunní na změnu přesvědčení. ZTZ +2</t>
  </si>
  <si>
    <t>Vypadá nevinně. +1 na Přetvářku</t>
  </si>
  <si>
    <t>2) Upravena tabulka vzdělání (navýšeny profibody za vzdělání)</t>
  </si>
  <si>
    <t>Diplomacie jen střední náročnost</t>
  </si>
  <si>
    <t>Rozený obchodník</t>
  </si>
  <si>
    <t>Handlířství jen střední náročnost</t>
  </si>
  <si>
    <t>1) Nová "veverka", ver. 2024 (dobrovolný hod na jeden smíšený číselník) včetně přečíslování a opravy odkazů</t>
  </si>
  <si>
    <t>Chladná hlava/Asketik</t>
  </si>
  <si>
    <t>Kontrola mysli a Kontrola těla střední dovednosti</t>
  </si>
  <si>
    <t>Dobré trávení/Asketik</t>
  </si>
  <si>
    <t>Zvýhodnění dle Veverky</t>
  </si>
  <si>
    <t>Síla +2</t>
  </si>
  <si>
    <t>Obratnost +2</t>
  </si>
  <si>
    <t>Zručnost +2</t>
  </si>
  <si>
    <t>Inteligence +2</t>
  </si>
  <si>
    <t>Vůle +2</t>
  </si>
  <si>
    <t>Vůle -2. Nesáhne za práci i kdyby mu za to platili</t>
  </si>
  <si>
    <t>Char +2</t>
  </si>
  <si>
    <t>Vdr</t>
  </si>
  <si>
    <t>3) Opraveny odkazy na "Veverku" v listu 2-Vzhled a charakter</t>
  </si>
  <si>
    <t>4) Opraven vzorec pro výpočet rychlosti běhu při boji (chybný odkaz na tabulku)</t>
  </si>
  <si>
    <t>5) Opraven odkaz o 2. kladné veverky v tabulce startovních vlastností</t>
  </si>
  <si>
    <t>6) Změna modifikátorů Důstojnosti za věk (-1)</t>
  </si>
  <si>
    <t>Intuice</t>
  </si>
  <si>
    <t>7) Smysly doplněny o "šestý smysl" - Intuici</t>
  </si>
  <si>
    <t>8) U odolnosti na nemoci opraven odkaz na Otužilost (počítá se jen 1/2 odolnosti)</t>
  </si>
  <si>
    <t>9) Šotek +1 na Magii</t>
  </si>
  <si>
    <t>10) Změna výpočtu profibodů (nově Úroveň x Stupeň + Startovní rozhodnutí)</t>
  </si>
  <si>
    <t>Bonusy k profibodům</t>
  </si>
  <si>
    <t>Zvl.</t>
  </si>
  <si>
    <t>Navíc 1/2 PB</t>
  </si>
  <si>
    <t>leg.č.</t>
  </si>
  <si>
    <t>Den</t>
  </si>
  <si>
    <t>Měsíc</t>
  </si>
  <si>
    <t>Rok</t>
  </si>
  <si>
    <t>11) Datum narození přesunut z Tvorby postavy do listu 2-Vzhled a charakter a doplněn o místo narození</t>
  </si>
  <si>
    <t>12) Snížení majetku při volbě bohté postavy ve startovním rozhodnutí</t>
  </si>
  <si>
    <r>
      <rPr>
        <b/>
        <sz val="11"/>
        <color theme="1"/>
        <rFont val="Calibri"/>
        <family val="2"/>
        <charset val="238"/>
        <scheme val="minor"/>
      </rPr>
      <t>Verze 2024_03 Změny od minulé verze</t>
    </r>
    <r>
      <rPr>
        <sz val="11"/>
        <color theme="1"/>
        <rFont val="Calibri"/>
        <family val="2"/>
        <charset val="238"/>
        <scheme val="minor"/>
      </rPr>
      <t xml:space="preserve"> (2024_v02)</t>
    </r>
  </si>
  <si>
    <t>1) Oprava kopírovacích odkazů (pojmenování buněk) na datum narození</t>
  </si>
  <si>
    <t>2) Opraveny odkazy u kouzel na nové bonusy na profesníček za "veverku"</t>
  </si>
  <si>
    <t>3) Pojmenování polí v Dovednostech v rámci přípravy na přechod na verzi 2025</t>
  </si>
  <si>
    <t>4) V listu Tvorba postavy opraveny odkazy na kladnou veverku</t>
  </si>
  <si>
    <t>Kouzlení</t>
  </si>
  <si>
    <t>Historie</t>
  </si>
  <si>
    <t>Zápas</t>
  </si>
  <si>
    <t>Boj noži</t>
  </si>
  <si>
    <t>Boj s holí</t>
  </si>
  <si>
    <t>Gramotnost</t>
  </si>
  <si>
    <t>Hudba a zpěv</t>
  </si>
  <si>
    <t>Jazyk - Tianština</t>
  </si>
  <si>
    <t>Jazyk - Beduínština</t>
  </si>
  <si>
    <t>Jezdectví</t>
  </si>
  <si>
    <t>Sebeovládání</t>
  </si>
  <si>
    <t>Teologie</t>
  </si>
  <si>
    <t>Nenápadnost</t>
  </si>
  <si>
    <t>Zálesáctví</t>
  </si>
  <si>
    <t>Rybolov</t>
  </si>
  <si>
    <t>Řeznictví</t>
  </si>
  <si>
    <t>Řemeslný fortel</t>
  </si>
  <si>
    <t>Lékařství</t>
  </si>
  <si>
    <t>Rozšiřující (kombinovaná) povolání</t>
  </si>
  <si>
    <t>Snížená</t>
  </si>
  <si>
    <t>Běžná</t>
  </si>
  <si>
    <t>-7</t>
  </si>
  <si>
    <t>Náročnost</t>
  </si>
  <si>
    <t>(za Velmi dobře)</t>
  </si>
  <si>
    <t>(za Dokonale)</t>
  </si>
  <si>
    <t>(za Mistrně)</t>
  </si>
  <si>
    <t>(za Dobře)</t>
  </si>
  <si>
    <t xml:space="preserve">Některé jazyky mohou lepšovat ze stupně Vůbec jen  povolání, </t>
  </si>
  <si>
    <t>Bojové dovednosti (9)</t>
  </si>
  <si>
    <t>Vědomosti (9)</t>
  </si>
  <si>
    <t>Komunikační dovednosti (12+4)</t>
  </si>
  <si>
    <t>Přežití (v divočině) (8)</t>
  </si>
  <si>
    <t>Osobnostní rozvoj a ostatní (10)</t>
  </si>
  <si>
    <t>Mazlíček</t>
  </si>
  <si>
    <t>Hudební nástroj</t>
  </si>
  <si>
    <t>Průběžná evidence</t>
  </si>
  <si>
    <t>Stínové zranění (žt)</t>
  </si>
  <si>
    <t>Magenergie (mg)</t>
  </si>
  <si>
    <t>Únava (bodů)</t>
  </si>
  <si>
    <t>Jídlo (čenů)</t>
  </si>
  <si>
    <t>Voda (čtvrtek)</t>
  </si>
  <si>
    <t>1) Úprava listu MAX_DOV na nové dovednosti (2025)</t>
  </si>
  <si>
    <t>2) Úprava listu 4-Dovedenosti na nové dovednosti (2025)</t>
  </si>
  <si>
    <t>3) Doplnění tabulky na průběžnou evidenci do volného prostoru v listu 4-Dovednosti</t>
  </si>
  <si>
    <t>4) Odmazány duplicitní odkazy na kopírování dovedností</t>
  </si>
  <si>
    <t>5) Opraven odkaz na dovednost Otužilost (odolnost na Nemoci), odstraněn odkaz na zrušenou dovednost Potlačení bolesti</t>
  </si>
  <si>
    <t xml:space="preserve">Mistr zbraní </t>
  </si>
  <si>
    <t>6) Revize zvýhodnění dovedností</t>
  </si>
  <si>
    <t>7) Kopírovací odkaz na Mazlíčka a zvolená Řemesla</t>
  </si>
  <si>
    <t>2x více jídla /den, Záchranný hod proti hladu -2</t>
  </si>
  <si>
    <t>Spotřebuje 1/2 jídla, záchranný hod proti hladu -1</t>
  </si>
  <si>
    <t>Sebeovládání má sniženou obtížnost. Bonus +2 na psychiku.</t>
  </si>
  <si>
    <t>Bonus +2 proti vlivu alkoholu</t>
  </si>
  <si>
    <t>Tichý pohyb +1</t>
  </si>
  <si>
    <t>Malířské nadání</t>
  </si>
  <si>
    <t>Na kreslení a malování má +3 k hodu</t>
  </si>
  <si>
    <t>Básnické nadání</t>
  </si>
  <si>
    <t>Na tvorbu a recitaci básní bonus +3</t>
  </si>
  <si>
    <t>Taneční nadání</t>
  </si>
  <si>
    <t>Na tanec má bonus +3 k hodu</t>
  </si>
  <si>
    <t>Je příjemné ho poslouchat. KRS, DST, Hudba a zpěv +1</t>
  </si>
  <si>
    <t>8) Revize Veverky (zrušené dovednosti)</t>
  </si>
  <si>
    <t>Převleky a nenápadnost</t>
  </si>
  <si>
    <t>Pokročilý vrh</t>
  </si>
  <si>
    <t>Box</t>
  </si>
  <si>
    <t>[Zápas. II];R:ZZ+1</t>
  </si>
  <si>
    <t>[Zápas. II];R:Út+1/1</t>
  </si>
  <si>
    <t>[Zápas. III];R:Út+1/1,OZ+1</t>
  </si>
  <si>
    <t>[Zápas III];R:Út+1/1,OZ+2</t>
  </si>
  <si>
    <t>[Zápas IV];R:Út+2/2,OZ+2</t>
  </si>
  <si>
    <t>[Zápas II];R:ZZ+1</t>
  </si>
  <si>
    <t>[Zápas II];R:Út+1/1</t>
  </si>
  <si>
    <t>[Zápas III];R:Út+1/1,OZ+1</t>
  </si>
  <si>
    <t>[Drcení V, PB se sek. a kyji V] Út+2/4,OZ+1</t>
  </si>
  <si>
    <t>[Drcení II] ZZ+1</t>
  </si>
  <si>
    <t>[Drcení II] Út+1/1</t>
  </si>
  <si>
    <t>[Drcení III] Út+1/1,OZ+1</t>
  </si>
  <si>
    <t>[Drcení III] Út+1/2,OZ+1</t>
  </si>
  <si>
    <t>[Drcení IV] Út+2/3,OZ+1</t>
  </si>
  <si>
    <t>Pokročilé drcení</t>
  </si>
  <si>
    <t>Pokročilý boj sekerou</t>
  </si>
  <si>
    <t>[ÚR 6] +1</t>
  </si>
  <si>
    <t>[Úr. 26] +2</t>
  </si>
  <si>
    <t>Pokročilá lukostřelba</t>
  </si>
  <si>
    <t>Kouzla Temné rituály</t>
  </si>
  <si>
    <t>[ÚR 9] Temné rituály</t>
  </si>
  <si>
    <t>Přírodní divy 2</t>
  </si>
  <si>
    <t>Hlad</t>
  </si>
  <si>
    <t>Šok</t>
  </si>
  <si>
    <t>Bolest</t>
  </si>
  <si>
    <t>Čerpání z anomálií  [Červená]</t>
  </si>
  <si>
    <t>K: Zvrácenosti</t>
  </si>
  <si>
    <t xml:space="preserve">K: Zvrácené rituály </t>
  </si>
  <si>
    <t>K: Svazující příkazy</t>
  </si>
  <si>
    <t>K: Kouzla paktu</t>
  </si>
  <si>
    <t>K: Okultní kletby</t>
  </si>
  <si>
    <t>K: Moc paktu</t>
  </si>
  <si>
    <t>10 kol</t>
  </si>
  <si>
    <t>[Gramotnost III]</t>
  </si>
  <si>
    <t>[Gramotnost II]</t>
  </si>
  <si>
    <t>[Jedy I, Gramotnost III]</t>
  </si>
  <si>
    <t>[Gramotnost I, Handlířství II] 0</t>
  </si>
  <si>
    <t>[Výbušniny, Gramotnost IV]</t>
  </si>
  <si>
    <t>[Pasti III, Gramotnost IV]</t>
  </si>
  <si>
    <t>[Výbušniny,Gramotnost IV]</t>
  </si>
  <si>
    <t>[Jedy I,Ochr.svitky,Gramotnost III]</t>
  </si>
  <si>
    <t>Pokročilá palba</t>
  </si>
  <si>
    <t>[Střelba V] ZZ+1</t>
  </si>
  <si>
    <t>Út+1 / +1</t>
  </si>
  <si>
    <t>Út+1/2</t>
  </si>
  <si>
    <t>Út+1/3</t>
  </si>
  <si>
    <t>[Gramotnost IV] +1</t>
  </si>
  <si>
    <t>[Gramotnost V]  +2</t>
  </si>
  <si>
    <t>[Gramotnost VI]  +3</t>
  </si>
  <si>
    <t>Mistr.boj s řemdihy</t>
  </si>
  <si>
    <t>Mistrovská lukostřelba</t>
  </si>
  <si>
    <t>Vábnička</t>
  </si>
  <si>
    <t>Nalezení vody</t>
  </si>
  <si>
    <t>Cit země</t>
  </si>
  <si>
    <t>Cit vody</t>
  </si>
  <si>
    <t>Vytrvalý pochod</t>
  </si>
  <si>
    <t>Přežití v přírodě</t>
  </si>
  <si>
    <t xml:space="preserve">Maskování </t>
  </si>
  <si>
    <t>Zdraví</t>
  </si>
  <si>
    <t>Nemoc +1, KON +1</t>
  </si>
  <si>
    <t>Nemoc +2, KON +3</t>
  </si>
  <si>
    <t>Nemoc +3, KON +6</t>
  </si>
  <si>
    <t xml:space="preserve">INT+bÚr ~ 10+INT+bÚR ~ 0 </t>
  </si>
  <si>
    <t>Lučba: Kouzelné zbroje</t>
  </si>
  <si>
    <t>Výroba darkerů II</t>
  </si>
  <si>
    <t>[Gramotnost V] +2</t>
  </si>
  <si>
    <t>[Gramotnost VI] +3</t>
  </si>
  <si>
    <t>BM: Kryt</t>
  </si>
  <si>
    <t>BM: Střeh</t>
  </si>
  <si>
    <t>BM: Cílený výpad</t>
  </si>
  <si>
    <t>K: Magický střeh</t>
  </si>
  <si>
    <t>Zálesáctví +1</t>
  </si>
  <si>
    <t>Orientace +1</t>
  </si>
  <si>
    <t>9) Revize schopností u jednotlivých povolání</t>
  </si>
  <si>
    <t>lovec netvorů</t>
  </si>
  <si>
    <t>Mistrovský boj se sekerou</t>
  </si>
  <si>
    <t>Mistr.boj se sekerou</t>
  </si>
  <si>
    <t>[Drcení V, PB se sek. V] Út+2/4,OZ+1</t>
  </si>
  <si>
    <t xml:space="preserve">33% [Řeznictví IV] </t>
  </si>
  <si>
    <t xml:space="preserve">66% [Řeznictví V] </t>
  </si>
  <si>
    <t xml:space="preserve">100% [Řeznictví VI] </t>
  </si>
  <si>
    <t>pán zvířat</t>
  </si>
  <si>
    <t>Jako jeden (BM)</t>
  </si>
  <si>
    <t>lovec pokladů</t>
  </si>
  <si>
    <t>Pokr.boj s noži</t>
  </si>
  <si>
    <t>Pokr.boj  s noži</t>
  </si>
  <si>
    <t>Historie ~ 11 - Věhlas ~ 0</t>
  </si>
  <si>
    <t>11) Nové pojmenované pole sSms (pro stupeň smyslů)</t>
  </si>
  <si>
    <t>tulák</t>
  </si>
  <si>
    <t xml:space="preserve">Zastrašování </t>
  </si>
  <si>
    <t>[Lékařství I] 2 žt</t>
  </si>
  <si>
    <t>[Lékařství II] 4 žt</t>
  </si>
  <si>
    <t>[Lékařství II] 6 žt</t>
  </si>
  <si>
    <t>[Lékařství III] 10 žt</t>
  </si>
  <si>
    <t>[Akrobacie II] +1</t>
  </si>
  <si>
    <t>10) Doplněny schopnosti pro povolání Lovec netvorů, Pán zvířat, Lovec pokladů, Tuláka</t>
  </si>
  <si>
    <t>Tulačka</t>
  </si>
  <si>
    <t>Tulák</t>
  </si>
  <si>
    <t>Lovec netvorů</t>
  </si>
  <si>
    <t>Lovkyně netvorů</t>
  </si>
  <si>
    <t>Lovec pokladů</t>
  </si>
  <si>
    <t>Lovkyně pokladů</t>
  </si>
  <si>
    <t>Pán zvířat</t>
  </si>
  <si>
    <t>Paní zvířat</t>
  </si>
  <si>
    <t xml:space="preserve">12) Nová 4 kombinová povolání doplněna mezi Povolání, do převodníku v listu Schopnosti, do výběru v listu Tvorba postavy. Otestován výběr a načítání schopností. </t>
  </si>
  <si>
    <t>13) Pro nová 4 kombinovaná povolání doplněna maxima znalostí jejich dovedností a v listu 4-Dovednosti doplněna jejich zvýhodnění dovedností</t>
  </si>
  <si>
    <t>14) Opraven odkaz na otužilost</t>
  </si>
  <si>
    <t>15) U zbraní v listu 1-Vlastnosti opraveny názvy použitých dovedností</t>
  </si>
  <si>
    <t xml:space="preserve">16) Sníženo maximum vlastností u hlavních na startovní MAX +6, u vedlejších na startovní MAX +3.  </t>
  </si>
  <si>
    <t>17) Zlepšování vlastností jen na každé sudé úrovni</t>
  </si>
  <si>
    <t>18) Ze skrytého listu Povolání zrušeny hlavní vlastnosti od 16. úrovně a z listu 1-Vlastnosti odkazy na ně</t>
  </si>
  <si>
    <t>ZINI</t>
  </si>
  <si>
    <t>19) Kondice v listu 1-Vlastnosti přesunuta pod Úroveň</t>
  </si>
  <si>
    <t>Základní iniciativa</t>
  </si>
  <si>
    <t>Jedy</t>
  </si>
  <si>
    <t>20) Odolnosti na nemoc a jedy přesunuty pod Odolnost</t>
  </si>
  <si>
    <t>Elementalista</t>
  </si>
  <si>
    <t>Elementalistka</t>
  </si>
  <si>
    <t>elementalista</t>
  </si>
  <si>
    <t>Lučba elementalisty 1</t>
  </si>
  <si>
    <t>Lučba elementalisty 2</t>
  </si>
  <si>
    <t>Amulety</t>
  </si>
  <si>
    <t>Evokace duchů</t>
  </si>
  <si>
    <t>Jedy I</t>
  </si>
  <si>
    <t>Kouzelné boty a pláště</t>
  </si>
  <si>
    <t>Kouzelné prsteny</t>
  </si>
  <si>
    <t>Kouzelné předměty I</t>
  </si>
  <si>
    <t>Kouzelné předměty II</t>
  </si>
  <si>
    <t>Lektvary I</t>
  </si>
  <si>
    <t>Lektvary II</t>
  </si>
  <si>
    <t>Lektvary III</t>
  </si>
  <si>
    <t>Ochranné svitky</t>
  </si>
  <si>
    <t>Posilující svitky</t>
  </si>
  <si>
    <t>Talismany I</t>
  </si>
  <si>
    <t>Talismany II</t>
  </si>
  <si>
    <t>Talismany III</t>
  </si>
  <si>
    <t>Zaklínání duchů I</t>
  </si>
  <si>
    <t>Zaklínání duchů II</t>
  </si>
  <si>
    <t>Zaklínání duchů III</t>
  </si>
  <si>
    <t>21) Přidáno kombinované povolání Elementalista (do Max.Dov., listu Povolání, převodníku v listu 3-Schopnosti, do výběru v listu Tvorba postavy, do Schopností)</t>
  </si>
  <si>
    <t>22) V listu 6-Kouzla upraven odkaz na upravenou Arkanu</t>
  </si>
  <si>
    <t>ÚR + 2</t>
  </si>
  <si>
    <t>2x  ÚR + 1</t>
  </si>
  <si>
    <t>2x (ÚR + INT)</t>
  </si>
  <si>
    <t>3x (ÚR + INT)</t>
  </si>
  <si>
    <t>4x ÚR + 3x INT</t>
  </si>
  <si>
    <t>Vzorec</t>
  </si>
  <si>
    <t>23) Změněn výpočet maximálního počtu kouzel u kouzelníka</t>
  </si>
  <si>
    <t>24) Úprava bonusů schopnosti Provokování u žoldnéře</t>
  </si>
  <si>
    <t>Postarší</t>
  </si>
  <si>
    <t>25) Přejmenování věkové skupiny "starý" na "postarší". Oprava v listu Rasy a v tabulce v listu 1-Vlastnosti</t>
  </si>
  <si>
    <t>26) Opraven výpočet vhledových ukazatelů (chyba ve vzorci, nezohledňovalo věk)</t>
  </si>
  <si>
    <t>Drápy</t>
  </si>
  <si>
    <r>
      <rPr>
        <b/>
        <sz val="11"/>
        <color theme="1"/>
        <rFont val="Calibri"/>
        <family val="2"/>
        <charset val="238"/>
        <scheme val="minor"/>
      </rPr>
      <t>Verze 2025_01 Změny od minulé verze</t>
    </r>
    <r>
      <rPr>
        <sz val="11"/>
        <color theme="1"/>
        <rFont val="Calibri"/>
        <family val="2"/>
        <charset val="238"/>
        <scheme val="minor"/>
      </rPr>
      <t xml:space="preserve"> (2024_v04)</t>
    </r>
  </si>
  <si>
    <r>
      <rPr>
        <b/>
        <sz val="11"/>
        <color theme="1"/>
        <rFont val="Calibri"/>
        <family val="2"/>
        <charset val="238"/>
        <scheme val="minor"/>
      </rPr>
      <t>Verze 2024_04 Změny od minulé verze</t>
    </r>
    <r>
      <rPr>
        <sz val="11"/>
        <color theme="1"/>
        <rFont val="Calibri"/>
        <family val="2"/>
        <charset val="238"/>
        <scheme val="minor"/>
      </rPr>
      <t xml:space="preserve"> (2024_v03)</t>
    </r>
  </si>
  <si>
    <t xml:space="preserve">1) Oprava - v Dovednostech se nenačítaly startovní profibody dovedností. Doplněny odkazy u bodů k dispozici. </t>
  </si>
  <si>
    <t xml:space="preserve">2) Oprava - v listu Tvorba postavy se nepřítaly některé opravy zázemí. Opraven odkaz v buňkách R27 až R33. </t>
  </si>
  <si>
    <t>Templář</t>
  </si>
  <si>
    <t>Templářka</t>
  </si>
  <si>
    <t>27) Doplněno kombinované povolání Templář</t>
  </si>
  <si>
    <t>templář</t>
  </si>
  <si>
    <t>Členství v templářském řádu</t>
  </si>
  <si>
    <t>Členství v templářském řádu+</t>
  </si>
  <si>
    <t>28) Opravena OZ rukou (ze 2 na 1)</t>
  </si>
  <si>
    <r>
      <rPr>
        <b/>
        <sz val="11"/>
        <color theme="1"/>
        <rFont val="Calibri"/>
        <family val="2"/>
        <charset val="238"/>
        <scheme val="minor"/>
      </rPr>
      <t>Verze 2025_02 Změny od minulé verze</t>
    </r>
    <r>
      <rPr>
        <sz val="11"/>
        <color theme="1"/>
        <rFont val="Calibri"/>
        <family val="2"/>
        <charset val="238"/>
        <scheme val="minor"/>
      </rPr>
      <t xml:space="preserve"> (2025_01)</t>
    </r>
  </si>
  <si>
    <t>Zakázkové magické předměty</t>
  </si>
  <si>
    <t>Vylepšení zbraně: +1 k ÚČ</t>
  </si>
  <si>
    <t>Vylepšení zbraně: +1 ke ZZ</t>
  </si>
  <si>
    <t>Vylepšení zbroje: +1 ke KZ</t>
  </si>
  <si>
    <t>Kouzelný předmět: +2 mágy</t>
  </si>
  <si>
    <t>Vylepšení zbraně/štítu: +1 k OZ</t>
  </si>
  <si>
    <t>(Dostupnost jen obchodní centra)</t>
  </si>
  <si>
    <t>1) V listu SHOP je možné si vybrat i zakázkové magické vylepšení od theurga</t>
  </si>
  <si>
    <t>0 mg</t>
  </si>
  <si>
    <t>2) Oprava u zaklínače chybějících bojových manévrů</t>
  </si>
  <si>
    <t>Lučba: Vylepšená světla</t>
  </si>
  <si>
    <t>Lučba 2: Vylepšená světla</t>
  </si>
  <si>
    <t xml:space="preserve">3) U pyrofora a badatele přidána Lučba - Vylepšená světla. U pyrofora zrušena schopnost Vylepšování pochodní, přepracována schopnost Výroba kuší a doplněna schopnost Pokročilý vrh. </t>
  </si>
  <si>
    <t>4) Opraven výpočet profesníčků v listu 6-Kouzla (v souladu s novými pravidly a dovednostmi)</t>
  </si>
  <si>
    <t>5) Doplněno kombinované povolání Apatykář a jeho schopnosti</t>
  </si>
  <si>
    <t>Apatykář</t>
  </si>
  <si>
    <t>Apatykářka</t>
  </si>
  <si>
    <t>apatykář</t>
  </si>
  <si>
    <t>Apatykářova Lučba</t>
  </si>
  <si>
    <t>Apatykářova Lučba 2</t>
  </si>
  <si>
    <t>Badatelův společník</t>
  </si>
  <si>
    <t>Catavis</t>
  </si>
  <si>
    <t>Oculus</t>
  </si>
  <si>
    <t>Homunculus</t>
  </si>
  <si>
    <t>Vesperius</t>
  </si>
  <si>
    <t>Homoculus</t>
  </si>
  <si>
    <t>Frank</t>
  </si>
  <si>
    <t>Apatykářova magie</t>
  </si>
  <si>
    <t>[ÚR 21] +Mag. střeh</t>
  </si>
  <si>
    <t>[Úr 6] +K.hraničářská</t>
  </si>
  <si>
    <t>[Úr 3] +K.nápravná</t>
  </si>
  <si>
    <t>[Úr 11] +K.léčebná 2</t>
  </si>
  <si>
    <t>[Lékařství III] 8 žt</t>
  </si>
  <si>
    <t>[Lékařství IV] 12 žt</t>
  </si>
  <si>
    <t>6) Upraveny požadované stupně znalostí u schopnosti Léčba vlastních zranění</t>
  </si>
  <si>
    <t>7) U bojovníka nahrazení schopnosti Boj před publikem schopností Bojový pokřik</t>
  </si>
  <si>
    <t>Bojový pokřik</t>
  </si>
  <si>
    <t>Úderný</t>
  </si>
  <si>
    <t>Varovný</t>
  </si>
  <si>
    <t>[Zuřivost IV] Motivační</t>
  </si>
  <si>
    <t>8) U barda doplněn chybějící Pokročilý boj s kuší a odstraněn Mistrovský boj s luky</t>
  </si>
  <si>
    <t>9) U čarodějě, runového mága a elementalisty doplněno čerpání z větru</t>
  </si>
  <si>
    <t>Čerpání z větru [Modrá]</t>
  </si>
  <si>
    <r>
      <rPr>
        <b/>
        <sz val="11"/>
        <color theme="1"/>
        <rFont val="Calibri"/>
        <family val="2"/>
        <charset val="238"/>
        <scheme val="minor"/>
      </rPr>
      <t>Verze 2025_03 Změny od minulé verze</t>
    </r>
    <r>
      <rPr>
        <sz val="11"/>
        <color theme="1"/>
        <rFont val="Calibri"/>
        <family val="2"/>
        <charset val="238"/>
        <scheme val="minor"/>
      </rPr>
      <t xml:space="preserve"> (2025_02)</t>
    </r>
  </si>
  <si>
    <t>Sloty</t>
  </si>
  <si>
    <t>Soudeček (4 čtv)</t>
  </si>
  <si>
    <t>Soudek s vínem (4 čtv)</t>
  </si>
  <si>
    <t>Vak s medovinou (1 čtv)</t>
  </si>
  <si>
    <t>Vak s pálenkou (1 čtv)</t>
  </si>
  <si>
    <t>Vak s vínem (1 čtv)</t>
  </si>
  <si>
    <t>2) Pro Věci doplněny počty slotů</t>
  </si>
  <si>
    <t>Slot</t>
  </si>
  <si>
    <t>6 slotů pro Tělo, po 2 pro Hlavu, Ruce, Nohy</t>
  </si>
  <si>
    <t>Charakterová vada</t>
  </si>
  <si>
    <t>Vazba / Pouto</t>
  </si>
  <si>
    <t>3) Do charakteru přidány Vazba(/Pouto) a Charakterová vada</t>
  </si>
  <si>
    <t xml:space="preserve">1) V tabulce zbrojí lze kromě plášťů vybrat v řádku i šaty nebo zbroje. </t>
  </si>
  <si>
    <t>4) V tabulce zbrojí váha nahrazena počtem slotů</t>
  </si>
  <si>
    <t>Životní cíl / Poslání / Ideál</t>
  </si>
  <si>
    <t>Zvyky , Návyky, Cetka</t>
  </si>
  <si>
    <t>Strach  / Děsivá vzpomínka</t>
  </si>
  <si>
    <t>Charakterové vlastnosti, Osobnostní rysy</t>
  </si>
  <si>
    <t>5) Z listu Vzhled a charakter smazána Nosnost</t>
  </si>
  <si>
    <t>Předměty v ruce (MAX 4 sloty)</t>
  </si>
  <si>
    <t>Brašnička na opasek</t>
  </si>
  <si>
    <t>Přidá 2 sloty "Po ruce" každá (Max 2)</t>
  </si>
  <si>
    <t>Přidá 4 sloty "Po ruce" (Max 1)</t>
  </si>
  <si>
    <t>Rozšíření</t>
  </si>
  <si>
    <t>Celkem plus</t>
  </si>
  <si>
    <t>slotů</t>
  </si>
  <si>
    <t>Připravené k použití</t>
  </si>
  <si>
    <t>Slotů</t>
  </si>
  <si>
    <r>
      <t>Další vybavení</t>
    </r>
    <r>
      <rPr>
        <i/>
        <sz val="11"/>
        <color theme="1"/>
        <rFont val="Times New Roman"/>
        <family val="1"/>
        <charset val="238"/>
      </rPr>
      <t xml:space="preserve"> (v zavazadle a jinde)</t>
    </r>
  </si>
  <si>
    <r>
      <rPr>
        <b/>
        <sz val="11"/>
        <color theme="1"/>
        <rFont val="Calibri"/>
        <family val="2"/>
        <charset val="238"/>
        <scheme val="minor"/>
      </rPr>
      <t xml:space="preserve">CELKEM </t>
    </r>
    <r>
      <rPr>
        <sz val="11"/>
        <color theme="1"/>
        <rFont val="Calibri"/>
        <family val="2"/>
        <charset val="238"/>
        <scheme val="minor"/>
      </rPr>
      <t>(slotů)</t>
    </r>
  </si>
  <si>
    <r>
      <t xml:space="preserve">Předměty po ruce </t>
    </r>
    <r>
      <rPr>
        <i/>
        <sz val="11"/>
        <color theme="1"/>
        <rFont val="Times New Roman"/>
        <family val="1"/>
        <charset val="238"/>
      </rPr>
      <t>(dostupné za 1 akci)</t>
    </r>
  </si>
  <si>
    <t>(1 mn = 0,01 kg, tj.100 mincí libovolné hodnoty = 1 kg)</t>
  </si>
  <si>
    <t>Stríbrňáky</t>
  </si>
  <si>
    <t>Jiné (hodnota zl)</t>
  </si>
  <si>
    <t>Vybavení v ruce / po ruce</t>
  </si>
  <si>
    <r>
      <t xml:space="preserve">Drobnosti </t>
    </r>
    <r>
      <rPr>
        <sz val="11"/>
        <color theme="1"/>
        <rFont val="Times New Roman"/>
        <family val="1"/>
        <charset val="238"/>
      </rPr>
      <t>(nezabírající místo)</t>
    </r>
  </si>
  <si>
    <t>ruční zápis</t>
  </si>
  <si>
    <t xml:space="preserve">6) Přepracován list majetek - zrušena evidenci hmotnosti, nahrazena sledováním počtu slotů pro předměty V ruce a Po ruce. Doplněn seznam předmětů pro výběr (a automatický dopočet slotů). </t>
  </si>
  <si>
    <t>7) Upraveny opravy za velikost dle pravidel 2026</t>
  </si>
  <si>
    <t xml:space="preserve">8)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</si>
</sst>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&quot; kg&quot;"/>
    <numFmt numFmtId="165" formatCode="#,##0.0"/>
    <numFmt numFmtId="166" formatCode="0&quot; zl&quot;"/>
    <numFmt numFmtId="167" formatCode="0&quot; pb&quot;"/>
  </numFmts>
  <fonts count="88" x14ac:knownFonts="1">
    <font>
      <sz val="11"/>
      <color theme="1"/>
      <name val="Calibri"/>
      <family val="2"/>
      <charset val="238"/>
      <scheme val="minor"/>
    </font>
    <font>
      <sz val="10"/>
      <color indexed="8"/>
      <name val="Calibri"/>
      <family val="2"/>
      <charset val="238"/>
    </font>
    <font>
      <b/>
      <sz val="10"/>
      <color indexed="8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color indexed="81"/>
      <name val="Tahoma"/>
      <family val="2"/>
      <charset val="238"/>
    </font>
    <font>
      <sz val="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8"/>
      <color indexed="81"/>
      <name val="Tahoma"/>
      <family val="2"/>
      <charset val="238"/>
    </font>
    <font>
      <b/>
      <sz val="10.5"/>
      <color rgb="FF000000"/>
      <name val="Bookman Old Style"/>
      <family val="1"/>
      <charset val="238"/>
    </font>
    <font>
      <b/>
      <sz val="9.5"/>
      <color rgb="FF000000"/>
      <name val="Times New Roman"/>
      <family val="1"/>
      <charset val="238"/>
    </font>
    <font>
      <sz val="9.5"/>
      <color rgb="FF000000"/>
      <name val="Times New Roman"/>
      <family val="1"/>
      <charset val="238"/>
    </font>
    <font>
      <sz val="12"/>
      <color theme="1"/>
      <name val="Times New Roman"/>
      <family val="1"/>
      <charset val="238"/>
    </font>
    <font>
      <sz val="10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sz val="1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b/>
      <sz val="18"/>
      <color rgb="FFFF0000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sz val="10"/>
      <color theme="1"/>
      <name val="Times New Roman"/>
      <family val="1"/>
      <charset val="238"/>
    </font>
    <font>
      <sz val="8"/>
      <color theme="1"/>
      <name val="Times New Roman"/>
      <family val="1"/>
      <charset val="238"/>
    </font>
    <font>
      <b/>
      <sz val="11"/>
      <name val="Calibri"/>
      <family val="2"/>
      <charset val="238"/>
      <scheme val="minor"/>
    </font>
    <font>
      <b/>
      <u/>
      <sz val="18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9.5"/>
      <color rgb="FFFF0000"/>
      <name val="Times New Roman"/>
      <family val="1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name val="Arial CE"/>
      <charset val="238"/>
    </font>
    <font>
      <sz val="9"/>
      <color theme="1"/>
      <name val="Times New Roman"/>
      <family val="1"/>
      <charset val="238"/>
    </font>
    <font>
      <i/>
      <sz val="10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b/>
      <sz val="20"/>
      <color theme="1"/>
      <name val="Times New Roman"/>
      <family val="1"/>
      <charset val="238"/>
    </font>
    <font>
      <i/>
      <sz val="11"/>
      <color theme="1"/>
      <name val="Times New Roman"/>
      <family val="1"/>
      <charset val="238"/>
    </font>
    <font>
      <i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8"/>
      <color theme="1"/>
      <name val="Times New Roman"/>
      <family val="1"/>
      <charset val="238"/>
    </font>
    <font>
      <b/>
      <sz val="11"/>
      <color rgb="FF000000"/>
      <name val="Calibri"/>
      <family val="2"/>
      <charset val="238"/>
    </font>
    <font>
      <i/>
      <strike/>
      <sz val="11"/>
      <color theme="1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9"/>
      <color rgb="FF00B050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b/>
      <sz val="11"/>
      <color theme="1"/>
      <name val="Symbol"/>
      <family val="1"/>
      <charset val="2"/>
    </font>
    <font>
      <sz val="12"/>
      <color rgb="FFFF0000"/>
      <name val="Times New Roman"/>
      <family val="1"/>
      <charset val="238"/>
    </font>
    <font>
      <b/>
      <sz val="11"/>
      <color rgb="FFC00000"/>
      <name val="Calibri"/>
      <family val="2"/>
      <charset val="238"/>
      <scheme val="minor"/>
    </font>
    <font>
      <sz val="12"/>
      <name val="Times New Roman"/>
      <family val="1"/>
      <charset val="238"/>
    </font>
    <font>
      <b/>
      <sz val="10"/>
      <name val="Calibri"/>
      <family val="2"/>
      <charset val="238"/>
      <scheme val="minor"/>
    </font>
    <font>
      <sz val="9"/>
      <color rgb="FF00B050"/>
      <name val="Calibri"/>
      <family val="2"/>
      <charset val="238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name val="Calibri"/>
      <family val="2"/>
      <charset val="238"/>
      <scheme val="minor"/>
    </font>
    <font>
      <b/>
      <sz val="14"/>
      <color theme="1"/>
      <name val="Algerian"/>
      <family val="5"/>
    </font>
    <font>
      <i/>
      <sz val="11"/>
      <color rgb="FFFF0000"/>
      <name val="Calibri"/>
      <family val="2"/>
      <charset val="238"/>
      <scheme val="minor"/>
    </font>
    <font>
      <b/>
      <i/>
      <sz val="11"/>
      <name val="Calibri"/>
      <family val="2"/>
      <charset val="238"/>
      <scheme val="minor"/>
    </font>
    <font>
      <b/>
      <u/>
      <sz val="14"/>
      <color theme="1"/>
      <name val="Calibri"/>
      <family val="2"/>
      <charset val="238"/>
      <scheme val="minor"/>
    </font>
    <font>
      <sz val="11"/>
      <color rgb="FFFF0000"/>
      <name val="Times New Roman"/>
      <family val="1"/>
      <charset val="238"/>
    </font>
    <font>
      <sz val="10"/>
      <color rgb="FFFF000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rgb="FFC00000"/>
      <name val="Times New Roman"/>
      <family val="1"/>
      <charset val="238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rgb="FFFF0000"/>
      <name val="Times New Roman"/>
      <family val="1"/>
      <charset val="238"/>
    </font>
    <font>
      <i/>
      <sz val="11"/>
      <color rgb="FFFF0000"/>
      <name val="Times New Roman"/>
      <family val="1"/>
      <charset val="238"/>
    </font>
    <font>
      <sz val="10"/>
      <color rgb="FFFF0000"/>
      <name val="Times New Roman"/>
      <family val="1"/>
      <charset val="238"/>
    </font>
    <font>
      <b/>
      <sz val="10"/>
      <color rgb="FFFF0000"/>
      <name val="Calibri"/>
      <family val="2"/>
      <charset val="238"/>
      <scheme val="minor"/>
    </font>
    <font>
      <i/>
      <sz val="12"/>
      <color theme="1"/>
      <name val="Times New Roman"/>
      <family val="1"/>
      <charset val="238"/>
    </font>
    <font>
      <i/>
      <sz val="8"/>
      <name val="Times New Roman"/>
      <family val="1"/>
      <charset val="238"/>
    </font>
    <font>
      <i/>
      <sz val="11"/>
      <color rgb="FFC00000"/>
      <name val="Calibri"/>
      <family val="2"/>
      <charset val="23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FF99"/>
        <bgColor indexed="64"/>
      </patternFill>
    </fill>
  </fills>
  <borders count="1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auto="1"/>
      </left>
      <right style="dotted">
        <color indexed="64"/>
      </right>
      <top style="thin">
        <color indexed="64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auto="1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/>
      <right style="medium">
        <color auto="1"/>
      </right>
      <top/>
      <bottom style="dashed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rgb="FF0070C0"/>
      </top>
      <bottom/>
      <diagonal/>
    </border>
    <border>
      <left/>
      <right/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n">
        <color rgb="FF0070C0"/>
      </bottom>
      <diagonal/>
    </border>
    <border>
      <left/>
      <right/>
      <top style="thick">
        <color rgb="FF0070C0"/>
      </top>
      <bottom style="thin">
        <color rgb="FF0070C0"/>
      </bottom>
      <diagonal/>
    </border>
    <border>
      <left style="thin">
        <color indexed="64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ck">
        <color rgb="FF0070C0"/>
      </left>
      <right/>
      <top style="thin">
        <color rgb="FF0070C0"/>
      </top>
      <bottom style="thick">
        <color rgb="FF0070C0"/>
      </bottom>
      <diagonal/>
    </border>
    <border>
      <left/>
      <right/>
      <top style="thin">
        <color rgb="FF0070C0"/>
      </top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ck">
        <color rgb="FF0070C0"/>
      </bottom>
      <diagonal/>
    </border>
    <border>
      <left style="thin">
        <color indexed="64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/>
      <top style="thick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ck">
        <color rgb="FF0070C0"/>
      </bottom>
      <diagonal/>
    </border>
    <border>
      <left/>
      <right style="thin">
        <color rgb="FF0070C0"/>
      </right>
      <top style="thin">
        <color rgb="FF0070C0"/>
      </top>
      <bottom style="thick">
        <color rgb="FF0070C0"/>
      </bottom>
      <diagonal/>
    </border>
    <border>
      <left/>
      <right style="thin">
        <color rgb="FF0070C0"/>
      </right>
      <top style="thick">
        <color rgb="FF0070C0"/>
      </top>
      <bottom/>
      <diagonal/>
    </border>
    <border>
      <left style="thin">
        <color rgb="FF0070C0"/>
      </left>
      <right/>
      <top/>
      <bottom style="thick">
        <color rgb="FF0070C0"/>
      </bottom>
      <diagonal/>
    </border>
    <border>
      <left/>
      <right style="thin">
        <color rgb="FF0070C0"/>
      </right>
      <top/>
      <bottom style="thick">
        <color rgb="FF0070C0"/>
      </bottom>
      <diagonal/>
    </border>
    <border>
      <left/>
      <right style="medium">
        <color auto="1"/>
      </right>
      <top style="thin">
        <color indexed="64"/>
      </top>
      <bottom style="medium">
        <color auto="1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ck">
        <color auto="1"/>
      </bottom>
      <diagonal/>
    </border>
  </borders>
  <cellStyleXfs count="3">
    <xf numFmtId="0" fontId="0" fillId="0" borderId="0"/>
    <xf numFmtId="0" fontId="43" fillId="0" borderId="0"/>
    <xf numFmtId="0" fontId="50" fillId="0" borderId="0"/>
  </cellStyleXfs>
  <cellXfs count="1550">
    <xf numFmtId="0" fontId="0" fillId="0" borderId="0" xfId="0"/>
    <xf numFmtId="0" fontId="3" fillId="0" borderId="0" xfId="0" applyFont="1"/>
    <xf numFmtId="0" fontId="0" fillId="2" borderId="1" xfId="0" applyFill="1" applyBorder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5" xfId="0" applyBorder="1"/>
    <xf numFmtId="0" fontId="0" fillId="0" borderId="6" xfId="0" applyBorder="1"/>
    <xf numFmtId="0" fontId="5" fillId="0" borderId="0" xfId="0" applyFont="1"/>
    <xf numFmtId="0" fontId="0" fillId="0" borderId="0" xfId="0" applyFill="1"/>
    <xf numFmtId="49" fontId="0" fillId="0" borderId="0" xfId="0" applyNumberFormat="1"/>
    <xf numFmtId="49" fontId="0" fillId="0" borderId="6" xfId="0" applyNumberFormat="1" applyBorder="1"/>
    <xf numFmtId="49" fontId="0" fillId="0" borderId="16" xfId="0" applyNumberFormat="1" applyBorder="1"/>
    <xf numFmtId="0" fontId="0" fillId="3" borderId="17" xfId="0" applyFill="1" applyBorder="1"/>
    <xf numFmtId="49" fontId="0" fillId="3" borderId="18" xfId="0" applyNumberFormat="1" applyFill="1" applyBorder="1"/>
    <xf numFmtId="49" fontId="0" fillId="3" borderId="19" xfId="0" applyNumberFormat="1" applyFill="1" applyBorder="1"/>
    <xf numFmtId="49" fontId="0" fillId="0" borderId="15" xfId="0" applyNumberFormat="1" applyBorder="1" applyAlignment="1">
      <alignment horizontal="center"/>
    </xf>
    <xf numFmtId="49" fontId="0" fillId="0" borderId="20" xfId="0" applyNumberFormat="1" applyBorder="1"/>
    <xf numFmtId="49" fontId="0" fillId="0" borderId="21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49" fontId="0" fillId="2" borderId="23" xfId="0" applyNumberFormat="1" applyFill="1" applyBorder="1"/>
    <xf numFmtId="49" fontId="0" fillId="2" borderId="3" xfId="0" applyNumberFormat="1" applyFill="1" applyBorder="1"/>
    <xf numFmtId="49" fontId="0" fillId="2" borderId="24" xfId="0" applyNumberFormat="1" applyFill="1" applyBorder="1"/>
    <xf numFmtId="49" fontId="0" fillId="0" borderId="29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6" fillId="0" borderId="0" xfId="0" applyNumberFormat="1" applyFont="1"/>
    <xf numFmtId="49" fontId="0" fillId="0" borderId="3" xfId="0" applyNumberFormat="1" applyBorder="1" applyAlignment="1">
      <alignment horizontal="center"/>
    </xf>
    <xf numFmtId="49" fontId="0" fillId="0" borderId="44" xfId="0" applyNumberFormat="1" applyBorder="1" applyAlignment="1">
      <alignment horizontal="center"/>
    </xf>
    <xf numFmtId="49" fontId="0" fillId="0" borderId="6" xfId="0" applyNumberFormat="1" applyFill="1" applyBorder="1"/>
    <xf numFmtId="0" fontId="6" fillId="0" borderId="0" xfId="0" applyFont="1"/>
    <xf numFmtId="0" fontId="3" fillId="0" borderId="45" xfId="0" applyFont="1" applyBorder="1" applyAlignment="1"/>
    <xf numFmtId="49" fontId="0" fillId="0" borderId="1" xfId="0" applyNumberFormat="1" applyBorder="1"/>
    <xf numFmtId="0" fontId="0" fillId="0" borderId="14" xfId="0" applyBorder="1"/>
    <xf numFmtId="0" fontId="0" fillId="0" borderId="1" xfId="0" applyBorder="1"/>
    <xf numFmtId="0" fontId="10" fillId="0" borderId="0" xfId="0" applyFont="1"/>
    <xf numFmtId="1" fontId="0" fillId="0" borderId="26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12" fillId="0" borderId="0" xfId="0" applyFont="1"/>
    <xf numFmtId="0" fontId="0" fillId="0" borderId="1" xfId="0" applyFill="1" applyBorder="1"/>
    <xf numFmtId="0" fontId="0" fillId="4" borderId="0" xfId="0" applyFill="1"/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13" fillId="0" borderId="0" xfId="0" applyFont="1"/>
    <xf numFmtId="0" fontId="14" fillId="0" borderId="0" xfId="0" applyFont="1"/>
    <xf numFmtId="0" fontId="3" fillId="5" borderId="17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3" fillId="2" borderId="55" xfId="0" applyFont="1" applyFill="1" applyBorder="1"/>
    <xf numFmtId="0" fontId="3" fillId="0" borderId="4" xfId="0" applyFont="1" applyBorder="1"/>
    <xf numFmtId="49" fontId="3" fillId="0" borderId="4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49" fontId="3" fillId="0" borderId="6" xfId="0" applyNumberFormat="1" applyFont="1" applyBorder="1" applyAlignment="1">
      <alignment horizontal="center"/>
    </xf>
    <xf numFmtId="0" fontId="0" fillId="0" borderId="59" xfId="0" applyNumberFormat="1" applyBorder="1" applyAlignment="1">
      <alignment horizontal="center"/>
    </xf>
    <xf numFmtId="0" fontId="0" fillId="0" borderId="58" xfId="0" applyBorder="1"/>
    <xf numFmtId="0" fontId="3" fillId="0" borderId="0" xfId="0" applyFont="1" applyAlignment="1">
      <alignment horizontal="center"/>
    </xf>
    <xf numFmtId="0" fontId="0" fillId="2" borderId="60" xfId="0" applyFill="1" applyBorder="1"/>
    <xf numFmtId="0" fontId="0" fillId="0" borderId="0" xfId="0" applyFont="1"/>
    <xf numFmtId="0" fontId="3" fillId="9" borderId="0" xfId="0" applyFont="1" applyFill="1"/>
    <xf numFmtId="0" fontId="5" fillId="9" borderId="0" xfId="0" applyFont="1" applyFill="1"/>
    <xf numFmtId="0" fontId="5" fillId="9" borderId="0" xfId="0" applyFont="1" applyFill="1" applyAlignment="1">
      <alignment horizontal="center"/>
    </xf>
    <xf numFmtId="0" fontId="5" fillId="9" borderId="0" xfId="0" applyNumberFormat="1" applyFont="1" applyFill="1" applyAlignment="1">
      <alignment horizontal="center"/>
    </xf>
    <xf numFmtId="0" fontId="5" fillId="0" borderId="0" xfId="0" applyFont="1" applyFill="1"/>
    <xf numFmtId="0" fontId="0" fillId="9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15" fillId="0" borderId="0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4" xfId="0" applyFill="1" applyBorder="1" applyAlignment="1"/>
    <xf numFmtId="0" fontId="18" fillId="5" borderId="20" xfId="0" applyFont="1" applyFill="1" applyBorder="1" applyAlignment="1">
      <alignment horizontal="center" vertical="top" wrapText="1"/>
    </xf>
    <xf numFmtId="0" fontId="18" fillId="5" borderId="22" xfId="0" applyFont="1" applyFill="1" applyBorder="1" applyAlignment="1">
      <alignment horizontal="center" vertical="top" wrapText="1"/>
    </xf>
    <xf numFmtId="0" fontId="19" fillId="9" borderId="65" xfId="0" applyFont="1" applyFill="1" applyBorder="1" applyAlignment="1">
      <alignment horizontal="center" vertical="top" wrapText="1"/>
    </xf>
    <xf numFmtId="0" fontId="19" fillId="9" borderId="66" xfId="0" applyFont="1" applyFill="1" applyBorder="1" applyAlignment="1">
      <alignment horizontal="center" vertical="top" wrapText="1"/>
    </xf>
    <xf numFmtId="0" fontId="19" fillId="9" borderId="16" xfId="0" applyFont="1" applyFill="1" applyBorder="1" applyAlignment="1">
      <alignment horizontal="center" vertical="top" wrapText="1"/>
    </xf>
    <xf numFmtId="0" fontId="19" fillId="9" borderId="20" xfId="0" applyFont="1" applyFill="1" applyBorder="1" applyAlignment="1">
      <alignment horizontal="center" vertical="top" wrapText="1"/>
    </xf>
    <xf numFmtId="0" fontId="0" fillId="0" borderId="45" xfId="0" applyFill="1" applyBorder="1" applyAlignment="1"/>
    <xf numFmtId="0" fontId="0" fillId="0" borderId="29" xfId="0" applyNumberFormat="1" applyBorder="1" applyAlignment="1">
      <alignment horizontal="center"/>
    </xf>
    <xf numFmtId="0" fontId="0" fillId="0" borderId="30" xfId="0" applyNumberFormat="1" applyBorder="1" applyAlignment="1">
      <alignment horizontal="center"/>
    </xf>
    <xf numFmtId="0" fontId="0" fillId="0" borderId="14" xfId="0" applyFill="1" applyBorder="1" applyAlignment="1"/>
    <xf numFmtId="0" fontId="0" fillId="0" borderId="46" xfId="0" applyBorder="1"/>
    <xf numFmtId="0" fontId="0" fillId="0" borderId="49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2" xfId="0" applyBorder="1"/>
    <xf numFmtId="0" fontId="0" fillId="0" borderId="43" xfId="0" applyBorder="1"/>
    <xf numFmtId="0" fontId="3" fillId="5" borderId="23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vertical="top"/>
    </xf>
    <xf numFmtId="0" fontId="0" fillId="0" borderId="1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79" xfId="0" applyNumberFormat="1" applyBorder="1" applyAlignment="1">
      <alignment horizontal="center"/>
    </xf>
    <xf numFmtId="49" fontId="0" fillId="2" borderId="17" xfId="0" applyNumberFormat="1" applyFill="1" applyBorder="1" applyAlignment="1">
      <alignment horizontal="center"/>
    </xf>
    <xf numFmtId="49" fontId="0" fillId="2" borderId="78" xfId="0" applyNumberFormat="1" applyFill="1" applyBorder="1" applyAlignment="1">
      <alignment horizontal="center"/>
    </xf>
    <xf numFmtId="49" fontId="0" fillId="2" borderId="19" xfId="0" applyNumberFormat="1" applyFill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1" xfId="0" applyFont="1" applyBorder="1" applyAlignment="1"/>
    <xf numFmtId="0" fontId="20" fillId="0" borderId="1" xfId="0" applyFont="1" applyBorder="1" applyAlignment="1">
      <alignment horizontal="justify"/>
    </xf>
    <xf numFmtId="0" fontId="22" fillId="0" borderId="1" xfId="0" applyFont="1" applyBorder="1" applyAlignment="1">
      <alignment horizontal="justify"/>
    </xf>
    <xf numFmtId="0" fontId="22" fillId="0" borderId="1" xfId="0" applyFont="1" applyFill="1" applyBorder="1" applyAlignment="1">
      <alignment horizontal="justify"/>
    </xf>
    <xf numFmtId="0" fontId="20" fillId="0" borderId="45" xfId="0" applyFont="1" applyBorder="1" applyAlignment="1"/>
    <xf numFmtId="0" fontId="20" fillId="2" borderId="54" xfId="0" applyFont="1" applyFill="1" applyBorder="1" applyAlignment="1">
      <alignment vertical="center"/>
    </xf>
    <xf numFmtId="0" fontId="20" fillId="2" borderId="54" xfId="0" applyFont="1" applyFill="1" applyBorder="1" applyAlignment="1">
      <alignment vertical="center" wrapText="1"/>
    </xf>
    <xf numFmtId="0" fontId="20" fillId="2" borderId="1" xfId="0" applyFont="1" applyFill="1" applyBorder="1" applyAlignment="1">
      <alignment horizontal="center"/>
    </xf>
    <xf numFmtId="0" fontId="0" fillId="9" borderId="78" xfId="0" applyFont="1" applyFill="1" applyBorder="1" applyAlignment="1">
      <alignment horizontal="center"/>
    </xf>
    <xf numFmtId="0" fontId="0" fillId="9" borderId="79" xfId="0" applyFont="1" applyFill="1" applyBorder="1" applyAlignment="1">
      <alignment horizontal="center"/>
    </xf>
    <xf numFmtId="49" fontId="3" fillId="9" borderId="0" xfId="0" applyNumberFormat="1" applyFont="1" applyFill="1" applyBorder="1"/>
    <xf numFmtId="0" fontId="0" fillId="9" borderId="0" xfId="0" applyFill="1"/>
    <xf numFmtId="0" fontId="0" fillId="2" borderId="54" xfId="0" applyFill="1" applyBorder="1"/>
    <xf numFmtId="0" fontId="0" fillId="4" borderId="0" xfId="0" applyNumberFormat="1" applyFill="1"/>
    <xf numFmtId="49" fontId="0" fillId="4" borderId="0" xfId="0" applyNumberFormat="1" applyFill="1"/>
    <xf numFmtId="0" fontId="0" fillId="2" borderId="7" xfId="0" applyFill="1" applyBorder="1" applyAlignment="1"/>
    <xf numFmtId="0" fontId="0" fillId="2" borderId="54" xfId="0" applyFill="1" applyBorder="1" applyAlignment="1">
      <alignment horizontal="center"/>
    </xf>
    <xf numFmtId="0" fontId="0" fillId="4" borderId="0" xfId="0" applyNumberFormat="1" applyFill="1" applyAlignment="1">
      <alignment horizontal="center"/>
    </xf>
    <xf numFmtId="0" fontId="0" fillId="4" borderId="43" xfId="0" applyFill="1" applyBorder="1"/>
    <xf numFmtId="0" fontId="0" fillId="4" borderId="49" xfId="0" applyFill="1" applyBorder="1"/>
    <xf numFmtId="0" fontId="0" fillId="0" borderId="1" xfId="0" applyFill="1" applyBorder="1" applyAlignment="1"/>
    <xf numFmtId="0" fontId="3" fillId="0" borderId="10" xfId="0" applyFont="1" applyBorder="1" applyAlignment="1"/>
    <xf numFmtId="0" fontId="3" fillId="0" borderId="4" xfId="0" applyFont="1" applyBorder="1" applyAlignment="1"/>
    <xf numFmtId="0" fontId="3" fillId="0" borderId="1" xfId="0" applyFont="1" applyBorder="1" applyAlignment="1"/>
    <xf numFmtId="0" fontId="0" fillId="0" borderId="1" xfId="0" applyFon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right"/>
      <protection locked="0"/>
    </xf>
    <xf numFmtId="0" fontId="3" fillId="9" borderId="6" xfId="0" applyFont="1" applyFill="1" applyBorder="1"/>
    <xf numFmtId="0" fontId="0" fillId="9" borderId="6" xfId="0" applyFont="1" applyFill="1" applyBorder="1"/>
    <xf numFmtId="0" fontId="25" fillId="0" borderId="0" xfId="0" applyFont="1"/>
    <xf numFmtId="0" fontId="0" fillId="0" borderId="29" xfId="0" applyBorder="1"/>
    <xf numFmtId="0" fontId="0" fillId="0" borderId="83" xfId="0" applyBorder="1"/>
    <xf numFmtId="0" fontId="8" fillId="0" borderId="0" xfId="0" applyFont="1" applyAlignment="1">
      <alignment horizontal="right"/>
    </xf>
    <xf numFmtId="0" fontId="0" fillId="0" borderId="1" xfId="0" applyFill="1" applyBorder="1" applyProtection="1">
      <protection locked="0"/>
    </xf>
    <xf numFmtId="0" fontId="0" fillId="0" borderId="78" xfId="0" applyFill="1" applyBorder="1" applyProtection="1">
      <protection locked="0"/>
    </xf>
    <xf numFmtId="0" fontId="0" fillId="0" borderId="79" xfId="0" applyFill="1" applyBorder="1" applyProtection="1">
      <protection locked="0"/>
    </xf>
    <xf numFmtId="0" fontId="0" fillId="0" borderId="39" xfId="0" applyBorder="1" applyProtection="1">
      <protection locked="0"/>
    </xf>
    <xf numFmtId="0" fontId="0" fillId="0" borderId="40" xfId="0" applyBorder="1" applyProtection="1">
      <protection locked="0"/>
    </xf>
    <xf numFmtId="0" fontId="0" fillId="0" borderId="46" xfId="0" applyBorder="1" applyProtection="1">
      <protection locked="0"/>
    </xf>
    <xf numFmtId="0" fontId="0" fillId="0" borderId="28" xfId="0" applyBorder="1" applyProtection="1">
      <protection locked="0"/>
    </xf>
    <xf numFmtId="0" fontId="0" fillId="0" borderId="0" xfId="0" applyFill="1" applyBorder="1"/>
    <xf numFmtId="0" fontId="0" fillId="0" borderId="1" xfId="0" applyFill="1" applyBorder="1" applyAlignment="1" applyProtection="1">
      <alignment horizontal="center"/>
      <protection locked="0"/>
    </xf>
    <xf numFmtId="0" fontId="0" fillId="0" borderId="3" xfId="0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3" fillId="0" borderId="0" xfId="0" applyFont="1" applyFill="1"/>
    <xf numFmtId="0" fontId="0" fillId="9" borderId="0" xfId="0" applyNumberFormat="1" applyFill="1" applyAlignment="1">
      <alignment horizontal="center"/>
    </xf>
    <xf numFmtId="0" fontId="3" fillId="5" borderId="1" xfId="0" applyFont="1" applyFill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8" fillId="0" borderId="0" xfId="0" applyFont="1"/>
    <xf numFmtId="0" fontId="6" fillId="0" borderId="1" xfId="0" applyFont="1" applyBorder="1"/>
    <xf numFmtId="1" fontId="0" fillId="14" borderId="0" xfId="0" applyNumberFormat="1" applyFill="1"/>
    <xf numFmtId="0" fontId="3" fillId="0" borderId="0" xfId="0" applyFont="1" applyBorder="1" applyAlignment="1">
      <alignment horizontal="right"/>
    </xf>
    <xf numFmtId="0" fontId="0" fillId="16" borderId="1" xfId="0" applyFill="1" applyBorder="1"/>
    <xf numFmtId="0" fontId="3" fillId="0" borderId="1" xfId="0" applyFont="1" applyBorder="1"/>
    <xf numFmtId="1" fontId="10" fillId="0" borderId="26" xfId="0" applyNumberFormat="1" applyFont="1" applyBorder="1" applyAlignment="1">
      <alignment horizontal="center"/>
    </xf>
    <xf numFmtId="0" fontId="0" fillId="17" borderId="1" xfId="0" applyFill="1" applyBorder="1"/>
    <xf numFmtId="0" fontId="0" fillId="9" borderId="1" xfId="0" applyFill="1" applyBorder="1"/>
    <xf numFmtId="0" fontId="29" fillId="0" borderId="0" xfId="0" applyFont="1"/>
    <xf numFmtId="49" fontId="0" fillId="0" borderId="39" xfId="0" applyNumberFormat="1" applyBorder="1" applyAlignment="1">
      <alignment horizontal="center"/>
    </xf>
    <xf numFmtId="0" fontId="10" fillId="0" borderId="1" xfId="0" applyFont="1" applyBorder="1"/>
    <xf numFmtId="0" fontId="8" fillId="0" borderId="1" xfId="0" applyFont="1" applyBorder="1"/>
    <xf numFmtId="0" fontId="30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0" fontId="30" fillId="9" borderId="1" xfId="0" applyFont="1" applyFill="1" applyBorder="1" applyAlignment="1"/>
    <xf numFmtId="0" fontId="3" fillId="9" borderId="1" xfId="0" applyFont="1" applyFill="1" applyBorder="1" applyAlignment="1"/>
    <xf numFmtId="0" fontId="10" fillId="0" borderId="0" xfId="0" applyFont="1" applyFill="1" applyBorder="1"/>
    <xf numFmtId="0" fontId="10" fillId="0" borderId="0" xfId="0" applyFont="1" applyAlignment="1">
      <alignment horizontal="center"/>
    </xf>
    <xf numFmtId="0" fontId="30" fillId="9" borderId="4" xfId="0" applyFont="1" applyFill="1" applyBorder="1" applyAlignment="1"/>
    <xf numFmtId="0" fontId="3" fillId="9" borderId="45" xfId="0" applyFont="1" applyFill="1" applyBorder="1" applyAlignment="1"/>
    <xf numFmtId="0" fontId="3" fillId="9" borderId="14" xfId="0" applyFont="1" applyFill="1" applyBorder="1" applyAlignment="1"/>
    <xf numFmtId="0" fontId="10" fillId="0" borderId="1" xfId="0" applyFont="1" applyFill="1" applyBorder="1" applyAlignment="1">
      <alignment horizontal="left"/>
    </xf>
    <xf numFmtId="0" fontId="10" fillId="0" borderId="0" xfId="0" applyFont="1" applyAlignment="1"/>
    <xf numFmtId="0" fontId="0" fillId="0" borderId="0" xfId="0" applyAlignment="1"/>
    <xf numFmtId="0" fontId="10" fillId="0" borderId="0" xfId="0" applyFont="1" applyBorder="1" applyAlignment="1"/>
    <xf numFmtId="0" fontId="0" fillId="0" borderId="0" xfId="0" applyBorder="1" applyAlignment="1"/>
    <xf numFmtId="0" fontId="10" fillId="0" borderId="0" xfId="0" applyFont="1" applyFill="1" applyBorder="1" applyAlignment="1"/>
    <xf numFmtId="0" fontId="0" fillId="0" borderId="0" xfId="0" applyFill="1" applyAlignment="1"/>
    <xf numFmtId="0" fontId="10" fillId="0" borderId="0" xfId="0" applyFont="1" applyFill="1" applyAlignment="1"/>
    <xf numFmtId="0" fontId="10" fillId="0" borderId="0" xfId="0" applyFont="1" applyFill="1"/>
    <xf numFmtId="0" fontId="24" fillId="0" borderId="0" xfId="0" applyFont="1" applyAlignment="1"/>
    <xf numFmtId="0" fontId="3" fillId="5" borderId="1" xfId="0" applyFont="1" applyFill="1" applyBorder="1" applyAlignment="1">
      <alignment horizontal="center"/>
    </xf>
    <xf numFmtId="0" fontId="24" fillId="0" borderId="0" xfId="0" applyFont="1"/>
    <xf numFmtId="49" fontId="0" fillId="0" borderId="83" xfId="0" applyNumberFormat="1" applyBorder="1" applyAlignment="1">
      <alignment horizontal="center"/>
    </xf>
    <xf numFmtId="0" fontId="20" fillId="2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justify"/>
    </xf>
    <xf numFmtId="0" fontId="0" fillId="0" borderId="0" xfId="0" applyFont="1" applyFill="1" applyBorder="1"/>
    <xf numFmtId="0" fontId="0" fillId="0" borderId="0" xfId="0" applyFont="1" applyAlignment="1">
      <alignment horizontal="right"/>
    </xf>
    <xf numFmtId="0" fontId="0" fillId="0" borderId="0" xfId="0" applyBorder="1"/>
    <xf numFmtId="0" fontId="3" fillId="0" borderId="1" xfId="0" applyFont="1" applyBorder="1" applyProtection="1"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33" fillId="0" borderId="0" xfId="0" applyFont="1"/>
    <xf numFmtId="0" fontId="0" fillId="0" borderId="1" xfId="0" applyBorder="1" applyAlignment="1" applyProtection="1">
      <alignment horizontal="left" vertical="center" wrapText="1"/>
      <protection locked="0"/>
    </xf>
    <xf numFmtId="0" fontId="10" fillId="0" borderId="1" xfId="0" applyFont="1" applyBorder="1" applyAlignment="1" applyProtection="1">
      <alignment horizontal="left" vertical="top"/>
      <protection locked="0"/>
    </xf>
    <xf numFmtId="0" fontId="0" fillId="0" borderId="45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87" xfId="0" applyBorder="1" applyAlignment="1" applyProtection="1">
      <alignment horizontal="left" vertical="top"/>
      <protection locked="0"/>
    </xf>
    <xf numFmtId="0" fontId="0" fillId="0" borderId="88" xfId="0" applyBorder="1" applyAlignment="1" applyProtection="1">
      <alignment horizontal="left" vertical="top"/>
      <protection locked="0"/>
    </xf>
    <xf numFmtId="0" fontId="0" fillId="0" borderId="89" xfId="0" applyBorder="1" applyAlignment="1" applyProtection="1">
      <alignment horizontal="left" vertical="top"/>
      <protection locked="0"/>
    </xf>
    <xf numFmtId="0" fontId="0" fillId="0" borderId="90" xfId="0" applyBorder="1" applyAlignment="1" applyProtection="1">
      <alignment horizontal="left" vertical="top"/>
      <protection locked="0"/>
    </xf>
    <xf numFmtId="49" fontId="0" fillId="0" borderId="59" xfId="0" applyNumberFormat="1" applyFill="1" applyBorder="1"/>
    <xf numFmtId="0" fontId="0" fillId="0" borderId="59" xfId="0" applyBorder="1"/>
    <xf numFmtId="49" fontId="0" fillId="0" borderId="59" xfId="0" applyNumberFormat="1" applyBorder="1"/>
    <xf numFmtId="49" fontId="0" fillId="0" borderId="31" xfId="0" applyNumberFormat="1" applyBorder="1"/>
    <xf numFmtId="0" fontId="20" fillId="19" borderId="1" xfId="0" applyFont="1" applyFill="1" applyBorder="1" applyAlignment="1">
      <alignment horizontal="justify"/>
    </xf>
    <xf numFmtId="0" fontId="20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22" fillId="19" borderId="1" xfId="0" applyFont="1" applyFill="1" applyBorder="1" applyAlignment="1">
      <alignment horizontal="justify"/>
    </xf>
    <xf numFmtId="0" fontId="20" fillId="19" borderId="1" xfId="0" applyFont="1" applyFill="1" applyBorder="1" applyAlignment="1"/>
    <xf numFmtId="0" fontId="6" fillId="0" borderId="1" xfId="0" applyFont="1" applyBorder="1" applyAlignment="1">
      <alignment horizontal="center"/>
    </xf>
    <xf numFmtId="0" fontId="6" fillId="0" borderId="1" xfId="0" applyFont="1" applyBorder="1" applyProtection="1">
      <protection locked="0"/>
    </xf>
    <xf numFmtId="0" fontId="6" fillId="0" borderId="4" xfId="0" applyFont="1" applyBorder="1" applyAlignment="1"/>
    <xf numFmtId="0" fontId="3" fillId="9" borderId="1" xfId="0" applyFont="1" applyFill="1" applyBorder="1"/>
    <xf numFmtId="0" fontId="5" fillId="9" borderId="1" xfId="0" applyFont="1" applyFill="1" applyBorder="1"/>
    <xf numFmtId="0" fontId="0" fillId="0" borderId="59" xfId="0" applyNumberFormat="1" applyFill="1" applyBorder="1"/>
    <xf numFmtId="0" fontId="0" fillId="0" borderId="59" xfId="0" applyNumberFormat="1" applyBorder="1"/>
    <xf numFmtId="0" fontId="0" fillId="0" borderId="31" xfId="0" applyNumberFormat="1" applyBorder="1"/>
    <xf numFmtId="49" fontId="8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9" borderId="0" xfId="0" applyFont="1" applyFill="1" applyBorder="1"/>
    <xf numFmtId="0" fontId="3" fillId="9" borderId="9" xfId="0" applyFont="1" applyFill="1" applyBorder="1"/>
    <xf numFmtId="0" fontId="5" fillId="9" borderId="6" xfId="0" applyFont="1" applyFill="1" applyBorder="1"/>
    <xf numFmtId="0" fontId="5" fillId="9" borderId="0" xfId="0" applyFont="1" applyFill="1" applyBorder="1"/>
    <xf numFmtId="0" fontId="5" fillId="9" borderId="9" xfId="0" applyFont="1" applyFill="1" applyBorder="1"/>
    <xf numFmtId="0" fontId="0" fillId="0" borderId="0" xfId="0" applyAlignment="1">
      <alignment horizontal="center"/>
    </xf>
    <xf numFmtId="0" fontId="34" fillId="0" borderId="0" xfId="0" applyFont="1"/>
    <xf numFmtId="0" fontId="0" fillId="0" borderId="0" xfId="0" applyFont="1" applyFill="1"/>
    <xf numFmtId="0" fontId="21" fillId="9" borderId="0" xfId="0" applyFont="1" applyFill="1" applyAlignment="1">
      <alignment horizontal="left"/>
    </xf>
    <xf numFmtId="0" fontId="0" fillId="13" borderId="0" xfId="0" applyFill="1"/>
    <xf numFmtId="0" fontId="3" fillId="0" borderId="14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4" fillId="0" borderId="0" xfId="0" applyFont="1" applyFill="1"/>
    <xf numFmtId="0" fontId="0" fillId="0" borderId="4" xfId="0" applyBorder="1"/>
    <xf numFmtId="0" fontId="3" fillId="0" borderId="4" xfId="0" applyFont="1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20" fillId="0" borderId="1" xfId="0" applyFont="1" applyBorder="1" applyAlignment="1">
      <alignment horizontal="left"/>
    </xf>
    <xf numFmtId="165" fontId="22" fillId="0" borderId="1" xfId="0" applyNumberFormat="1" applyFont="1" applyBorder="1" applyAlignment="1">
      <alignment horizontal="center"/>
    </xf>
    <xf numFmtId="0" fontId="36" fillId="0" borderId="1" xfId="0" applyFont="1" applyBorder="1" applyAlignment="1"/>
    <xf numFmtId="0" fontId="21" fillId="19" borderId="1" xfId="0" applyFont="1" applyFill="1" applyBorder="1" applyAlignment="1"/>
    <xf numFmtId="0" fontId="23" fillId="4" borderId="0" xfId="0" applyNumberFormat="1" applyFont="1" applyFill="1"/>
    <xf numFmtId="49" fontId="23" fillId="2" borderId="76" xfId="0" applyNumberFormat="1" applyFont="1" applyFill="1" applyBorder="1" applyAlignment="1"/>
    <xf numFmtId="49" fontId="23" fillId="2" borderId="67" xfId="0" applyNumberFormat="1" applyFont="1" applyFill="1" applyBorder="1"/>
    <xf numFmtId="49" fontId="23" fillId="2" borderId="68" xfId="0" applyNumberFormat="1" applyFont="1" applyFill="1" applyBorder="1" applyAlignment="1">
      <alignment horizontal="left"/>
    </xf>
    <xf numFmtId="49" fontId="23" fillId="4" borderId="75" xfId="0" applyNumberFormat="1" applyFont="1" applyFill="1" applyBorder="1"/>
    <xf numFmtId="0" fontId="23" fillId="0" borderId="36" xfId="0" applyNumberFormat="1" applyFont="1" applyBorder="1" applyAlignment="1">
      <alignment horizontal="center"/>
    </xf>
    <xf numFmtId="0" fontId="23" fillId="0" borderId="69" xfId="0" applyNumberFormat="1" applyFont="1" applyBorder="1" applyAlignment="1">
      <alignment horizontal="center"/>
    </xf>
    <xf numFmtId="0" fontId="23" fillId="4" borderId="73" xfId="0" applyFont="1" applyFill="1" applyBorder="1"/>
    <xf numFmtId="0" fontId="23" fillId="0" borderId="39" xfId="0" applyNumberFormat="1" applyFont="1" applyBorder="1" applyAlignment="1">
      <alignment horizontal="center"/>
    </xf>
    <xf numFmtId="0" fontId="23" fillId="0" borderId="70" xfId="0" applyNumberFormat="1" applyFont="1" applyBorder="1" applyAlignment="1">
      <alignment horizontal="center"/>
    </xf>
    <xf numFmtId="49" fontId="23" fillId="4" borderId="73" xfId="0" applyNumberFormat="1" applyFont="1" applyFill="1" applyBorder="1"/>
    <xf numFmtId="49" fontId="23" fillId="4" borderId="74" xfId="0" applyNumberFormat="1" applyFont="1" applyFill="1" applyBorder="1"/>
    <xf numFmtId="0" fontId="23" fillId="0" borderId="71" xfId="0" applyNumberFormat="1" applyFont="1" applyBorder="1" applyAlignment="1">
      <alignment horizontal="center"/>
    </xf>
    <xf numFmtId="0" fontId="23" fillId="0" borderId="72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0" applyFont="1" applyAlignment="1">
      <alignment horizontal="right"/>
    </xf>
    <xf numFmtId="0" fontId="3" fillId="9" borderId="0" xfId="0" applyFont="1" applyFill="1" applyAlignment="1">
      <alignment horizontal="center"/>
    </xf>
    <xf numFmtId="0" fontId="3" fillId="21" borderId="1" xfId="0" applyFont="1" applyFill="1" applyBorder="1" applyAlignment="1">
      <alignment horizontal="center"/>
    </xf>
    <xf numFmtId="0" fontId="3" fillId="17" borderId="1" xfId="0" applyFont="1" applyFill="1" applyBorder="1" applyAlignment="1">
      <alignment horizontal="center"/>
    </xf>
    <xf numFmtId="0" fontId="38" fillId="0" borderId="0" xfId="0" applyFont="1"/>
    <xf numFmtId="0" fontId="0" fillId="6" borderId="0" xfId="0" applyFill="1" applyBorder="1"/>
    <xf numFmtId="0" fontId="0" fillId="5" borderId="0" xfId="0" applyFill="1" applyBorder="1"/>
    <xf numFmtId="0" fontId="0" fillId="5" borderId="9" xfId="0" applyFill="1" applyBorder="1"/>
    <xf numFmtId="0" fontId="0" fillId="0" borderId="1" xfId="0" applyFon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164" fontId="6" fillId="0" borderId="1" xfId="0" applyNumberFormat="1" applyFont="1" applyBorder="1"/>
    <xf numFmtId="164" fontId="10" fillId="0" borderId="1" xfId="0" applyNumberFormat="1" applyFont="1" applyBorder="1"/>
    <xf numFmtId="49" fontId="3" fillId="0" borderId="1" xfId="0" applyNumberFormat="1" applyFont="1" applyFill="1" applyBorder="1" applyAlignment="1">
      <alignment horizontal="center"/>
    </xf>
    <xf numFmtId="0" fontId="39" fillId="0" borderId="0" xfId="0" applyFont="1" applyFill="1" applyBorder="1" applyAlignment="1" applyProtection="1">
      <alignment horizontal="center"/>
      <protection locked="0"/>
    </xf>
    <xf numFmtId="0" fontId="39" fillId="0" borderId="0" xfId="0" applyFont="1"/>
    <xf numFmtId="0" fontId="3" fillId="22" borderId="3" xfId="0" applyFont="1" applyFill="1" applyBorder="1" applyAlignment="1">
      <alignment horizontal="center"/>
    </xf>
    <xf numFmtId="0" fontId="0" fillId="0" borderId="96" xfId="0" applyBorder="1"/>
    <xf numFmtId="0" fontId="0" fillId="0" borderId="97" xfId="0" applyBorder="1"/>
    <xf numFmtId="0" fontId="0" fillId="0" borderId="98" xfId="0" applyBorder="1"/>
    <xf numFmtId="0" fontId="23" fillId="19" borderId="0" xfId="0" applyFont="1" applyFill="1" applyAlignment="1">
      <alignment horizontal="right"/>
    </xf>
    <xf numFmtId="0" fontId="23" fillId="19" borderId="1" xfId="0" applyFont="1" applyFill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0" fontId="0" fillId="0" borderId="33" xfId="0" applyBorder="1" applyProtection="1">
      <protection locked="0"/>
    </xf>
    <xf numFmtId="0" fontId="0" fillId="0" borderId="49" xfId="0" applyBorder="1" applyProtection="1">
      <protection locked="0"/>
    </xf>
    <xf numFmtId="0" fontId="0" fillId="0" borderId="39" xfId="0" applyBorder="1" applyAlignment="1">
      <alignment horizontal="right"/>
    </xf>
    <xf numFmtId="0" fontId="0" fillId="4" borderId="40" xfId="0" applyFill="1" applyBorder="1" applyAlignment="1">
      <alignment horizontal="right"/>
    </xf>
    <xf numFmtId="0" fontId="0" fillId="0" borderId="40" xfId="0" applyBorder="1" applyAlignment="1">
      <alignment horizontal="right"/>
    </xf>
    <xf numFmtId="0" fontId="0" fillId="0" borderId="26" xfId="0" applyBorder="1" applyAlignment="1" applyProtection="1">
      <alignment horizontal="right"/>
      <protection locked="0"/>
    </xf>
    <xf numFmtId="0" fontId="0" fillId="0" borderId="32" xfId="0" applyBorder="1" applyAlignment="1" applyProtection="1">
      <alignment horizontal="right"/>
      <protection locked="0"/>
    </xf>
    <xf numFmtId="0" fontId="0" fillId="0" borderId="39" xfId="0" applyBorder="1" applyAlignment="1" applyProtection="1">
      <alignment horizontal="right"/>
      <protection locked="0"/>
    </xf>
    <xf numFmtId="0" fontId="0" fillId="0" borderId="40" xfId="0" applyBorder="1" applyAlignment="1" applyProtection="1">
      <alignment horizontal="right"/>
      <protection locked="0"/>
    </xf>
    <xf numFmtId="0" fontId="0" fillId="0" borderId="100" xfId="0" applyBorder="1"/>
    <xf numFmtId="0" fontId="0" fillId="0" borderId="99" xfId="0" applyBorder="1"/>
    <xf numFmtId="0" fontId="0" fillId="0" borderId="101" xfId="0" applyBorder="1"/>
    <xf numFmtId="0" fontId="0" fillId="9" borderId="0" xfId="0" applyFill="1" applyAlignment="1">
      <alignment horizontal="left"/>
    </xf>
    <xf numFmtId="0" fontId="0" fillId="23" borderId="58" xfId="0" applyFill="1" applyBorder="1"/>
    <xf numFmtId="0" fontId="0" fillId="23" borderId="60" xfId="0" applyFill="1" applyBorder="1"/>
    <xf numFmtId="0" fontId="0" fillId="0" borderId="0" xfId="0" applyAlignment="1">
      <alignment horizontal="left"/>
    </xf>
    <xf numFmtId="0" fontId="3" fillId="9" borderId="1" xfId="0" applyFont="1" applyFill="1" applyBorder="1" applyAlignment="1"/>
    <xf numFmtId="0" fontId="40" fillId="9" borderId="15" xfId="0" applyFont="1" applyFill="1" applyBorder="1" applyAlignment="1">
      <alignment horizontal="center" vertical="top" wrapText="1"/>
    </xf>
    <xf numFmtId="0" fontId="40" fillId="9" borderId="22" xfId="0" applyFont="1" applyFill="1" applyBorder="1" applyAlignment="1">
      <alignment horizontal="center" vertical="top" wrapText="1"/>
    </xf>
    <xf numFmtId="0" fontId="0" fillId="0" borderId="54" xfId="0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0" fillId="0" borderId="1" xfId="0" applyBorder="1" applyProtection="1"/>
    <xf numFmtId="0" fontId="3" fillId="10" borderId="1" xfId="0" applyFont="1" applyFill="1" applyBorder="1" applyAlignment="1">
      <alignment horizontal="center"/>
    </xf>
    <xf numFmtId="0" fontId="3" fillId="9" borderId="10" xfId="0" applyFont="1" applyFill="1" applyBorder="1" applyAlignment="1"/>
    <xf numFmtId="0" fontId="3" fillId="9" borderId="4" xfId="0" applyFont="1" applyFill="1" applyBorder="1" applyAlignment="1"/>
    <xf numFmtId="0" fontId="0" fillId="9" borderId="4" xfId="0" applyFill="1" applyBorder="1" applyAlignment="1"/>
    <xf numFmtId="0" fontId="0" fillId="9" borderId="1" xfId="0" applyFill="1" applyBorder="1" applyAlignment="1"/>
    <xf numFmtId="0" fontId="3" fillId="0" borderId="1" xfId="0" applyFont="1" applyFill="1" applyBorder="1" applyAlignment="1">
      <alignment horizontal="center"/>
    </xf>
    <xf numFmtId="0" fontId="0" fillId="0" borderId="1" xfId="0" applyFill="1" applyBorder="1" applyAlignment="1" applyProtection="1">
      <protection locked="0"/>
    </xf>
    <xf numFmtId="0" fontId="43" fillId="0" borderId="1" xfId="1" applyBorder="1"/>
    <xf numFmtId="0" fontId="43" fillId="0" borderId="1" xfId="1" applyBorder="1" applyAlignment="1">
      <alignment horizontal="center"/>
    </xf>
    <xf numFmtId="0" fontId="30" fillId="9" borderId="1" xfId="0" applyFont="1" applyFill="1" applyBorder="1" applyAlignment="1"/>
    <xf numFmtId="0" fontId="3" fillId="9" borderId="1" xfId="0" applyFont="1" applyFill="1" applyBorder="1" applyAlignment="1"/>
    <xf numFmtId="0" fontId="30" fillId="9" borderId="4" xfId="0" applyFont="1" applyFill="1" applyBorder="1" applyAlignment="1"/>
    <xf numFmtId="0" fontId="30" fillId="9" borderId="10" xfId="0" applyFont="1" applyFill="1" applyBorder="1" applyAlignment="1"/>
    <xf numFmtId="0" fontId="3" fillId="0" borderId="1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8" fillId="2" borderId="1" xfId="0" applyFont="1" applyFill="1" applyBorder="1"/>
    <xf numFmtId="1" fontId="0" fillId="0" borderId="1" xfId="0" applyNumberFormat="1" applyFont="1" applyFill="1" applyBorder="1" applyAlignment="1">
      <alignment horizontal="center"/>
    </xf>
    <xf numFmtId="0" fontId="0" fillId="0" borderId="31" xfId="0" applyFill="1" applyBorder="1" applyAlignment="1" applyProtection="1">
      <alignment horizontal="center"/>
      <protection locked="0"/>
    </xf>
    <xf numFmtId="0" fontId="0" fillId="0" borderId="31" xfId="0" applyFill="1" applyBorder="1" applyAlignment="1" applyProtection="1">
      <protection locked="0"/>
    </xf>
    <xf numFmtId="0" fontId="0" fillId="2" borderId="79" xfId="0" applyFill="1" applyBorder="1" applyAlignment="1">
      <alignment horizontal="center"/>
    </xf>
    <xf numFmtId="0" fontId="20" fillId="2" borderId="54" xfId="0" applyFont="1" applyFill="1" applyBorder="1" applyAlignment="1">
      <alignment horizontal="center" vertical="center"/>
    </xf>
    <xf numFmtId="0" fontId="0" fillId="0" borderId="79" xfId="0" applyFill="1" applyBorder="1" applyAlignment="1" applyProtection="1">
      <alignment horizontal="center"/>
      <protection locked="0"/>
    </xf>
    <xf numFmtId="0" fontId="0" fillId="0" borderId="54" xfId="0" applyFill="1" applyBorder="1" applyAlignment="1" applyProtection="1">
      <alignment horizontal="center"/>
      <protection locked="0"/>
    </xf>
    <xf numFmtId="0" fontId="0" fillId="9" borderId="54" xfId="0" applyFont="1" applyFill="1" applyBorder="1" applyAlignment="1">
      <alignment horizontal="center"/>
    </xf>
    <xf numFmtId="0" fontId="44" fillId="19" borderId="1" xfId="0" applyFont="1" applyFill="1" applyBorder="1" applyAlignment="1"/>
    <xf numFmtId="0" fontId="0" fillId="0" borderId="91" xfId="0" applyBorder="1" applyAlignment="1"/>
    <xf numFmtId="0" fontId="0" fillId="0" borderId="92" xfId="0" applyBorder="1" applyAlignment="1"/>
    <xf numFmtId="0" fontId="0" fillId="0" borderId="93" xfId="0" applyBorder="1" applyAlignment="1"/>
    <xf numFmtId="0" fontId="3" fillId="10" borderId="4" xfId="0" applyFont="1" applyFill="1" applyBorder="1" applyAlignment="1"/>
    <xf numFmtId="0" fontId="3" fillId="5" borderId="94" xfId="0" applyFont="1" applyFill="1" applyBorder="1" applyAlignment="1"/>
    <xf numFmtId="0" fontId="0" fillId="0" borderId="91" xfId="0" applyBorder="1" applyAlignment="1" applyProtection="1">
      <protection locked="0"/>
    </xf>
    <xf numFmtId="0" fontId="0" fillId="0" borderId="92" xfId="0" applyBorder="1" applyAlignment="1" applyProtection="1">
      <protection locked="0"/>
    </xf>
    <xf numFmtId="0" fontId="0" fillId="0" borderId="79" xfId="0" applyFill="1" applyBorder="1" applyAlignment="1" applyProtection="1">
      <protection locked="0"/>
    </xf>
    <xf numFmtId="0" fontId="9" fillId="5" borderId="1" xfId="0" applyFont="1" applyFill="1" applyBorder="1" applyAlignment="1">
      <alignment horizontal="center"/>
    </xf>
    <xf numFmtId="0" fontId="37" fillId="0" borderId="54" xfId="0" applyFont="1" applyFill="1" applyBorder="1" applyAlignment="1">
      <alignment horizontal="center"/>
    </xf>
    <xf numFmtId="4" fontId="3" fillId="8" borderId="1" xfId="0" applyNumberFormat="1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0" fontId="21" fillId="0" borderId="45" xfId="0" applyFont="1" applyBorder="1" applyAlignment="1" applyProtection="1">
      <alignment horizontal="left"/>
      <protection locked="0"/>
    </xf>
    <xf numFmtId="0" fontId="21" fillId="0" borderId="1" xfId="0" applyFont="1" applyBorder="1" applyAlignment="1">
      <alignment horizontal="center"/>
    </xf>
    <xf numFmtId="0" fontId="36" fillId="0" borderId="1" xfId="0" applyFont="1" applyBorder="1" applyAlignment="1" applyProtection="1">
      <alignment horizontal="left"/>
      <protection locked="0"/>
    </xf>
    <xf numFmtId="0" fontId="45" fillId="0" borderId="0" xfId="0" applyFont="1"/>
    <xf numFmtId="0" fontId="22" fillId="0" borderId="0" xfId="0" applyFont="1"/>
    <xf numFmtId="0" fontId="35" fillId="5" borderId="45" xfId="0" applyFont="1" applyFill="1" applyBorder="1" applyAlignment="1">
      <alignment horizontal="center"/>
    </xf>
    <xf numFmtId="0" fontId="35" fillId="5" borderId="1" xfId="0" applyFont="1" applyFill="1" applyBorder="1" applyAlignment="1">
      <alignment horizontal="center"/>
    </xf>
    <xf numFmtId="0" fontId="22" fillId="0" borderId="103" xfId="0" applyFont="1" applyBorder="1"/>
    <xf numFmtId="0" fontId="22" fillId="0" borderId="104" xfId="0" applyFont="1" applyBorder="1"/>
    <xf numFmtId="0" fontId="35" fillId="5" borderId="9" xfId="0" applyFont="1" applyFill="1" applyBorder="1" applyAlignment="1">
      <alignment horizontal="center"/>
    </xf>
    <xf numFmtId="0" fontId="35" fillId="20" borderId="0" xfId="0" applyFont="1" applyFill="1"/>
    <xf numFmtId="0" fontId="0" fillId="0" borderId="12" xfId="0" applyBorder="1"/>
    <xf numFmtId="0" fontId="0" fillId="0" borderId="10" xfId="0" applyBorder="1"/>
    <xf numFmtId="0" fontId="0" fillId="0" borderId="11" xfId="0" applyBorder="1"/>
    <xf numFmtId="0" fontId="46" fillId="0" borderId="1" xfId="0" applyFont="1" applyBorder="1"/>
    <xf numFmtId="49" fontId="22" fillId="0" borderId="0" xfId="0" applyNumberFormat="1" applyFont="1"/>
    <xf numFmtId="0" fontId="22" fillId="0" borderId="1" xfId="0" applyFont="1" applyBorder="1"/>
    <xf numFmtId="0" fontId="22" fillId="0" borderId="1" xfId="0" applyFont="1" applyFill="1" applyBorder="1"/>
    <xf numFmtId="0" fontId="21" fillId="0" borderId="0" xfId="0" applyFont="1"/>
    <xf numFmtId="0" fontId="46" fillId="9" borderId="1" xfId="0" applyFont="1" applyFill="1" applyBorder="1" applyAlignment="1">
      <alignment horizontal="left"/>
    </xf>
    <xf numFmtId="0" fontId="22" fillId="9" borderId="1" xfId="0" applyFont="1" applyFill="1" applyBorder="1"/>
    <xf numFmtId="164" fontId="22" fillId="0" borderId="0" xfId="0" applyNumberFormat="1" applyFont="1" applyAlignment="1">
      <alignment horizontal="left"/>
    </xf>
    <xf numFmtId="4" fontId="3" fillId="0" borderId="1" xfId="0" applyNumberFormat="1" applyFont="1" applyBorder="1" applyAlignment="1">
      <alignment horizontal="right"/>
    </xf>
    <xf numFmtId="0" fontId="25" fillId="0" borderId="0" xfId="0" applyFont="1" applyAlignment="1">
      <alignment horizontal="right"/>
    </xf>
    <xf numFmtId="0" fontId="3" fillId="12" borderId="1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4" fontId="3" fillId="17" borderId="1" xfId="0" applyNumberFormat="1" applyFont="1" applyFill="1" applyBorder="1" applyAlignment="1">
      <alignment horizontal="right"/>
    </xf>
    <xf numFmtId="4" fontId="8" fillId="9" borderId="1" xfId="0" applyNumberFormat="1" applyFont="1" applyFill="1" applyBorder="1"/>
    <xf numFmtId="4" fontId="3" fillId="0" borderId="1" xfId="0" applyNumberFormat="1" applyFont="1" applyFill="1" applyBorder="1" applyAlignment="1">
      <alignment horizontal="right"/>
    </xf>
    <xf numFmtId="0" fontId="0" fillId="7" borderId="1" xfId="0" applyFill="1" applyBorder="1"/>
    <xf numFmtId="0" fontId="3" fillId="7" borderId="1" xfId="0" applyFont="1" applyFill="1" applyBorder="1" applyAlignment="1">
      <alignment horizontal="center"/>
    </xf>
    <xf numFmtId="4" fontId="3" fillId="7" borderId="1" xfId="0" applyNumberFormat="1" applyFont="1" applyFill="1" applyBorder="1" applyAlignment="1">
      <alignment horizontal="right"/>
    </xf>
    <xf numFmtId="0" fontId="0" fillId="8" borderId="1" xfId="0" applyFill="1" applyBorder="1"/>
    <xf numFmtId="0" fontId="3" fillId="16" borderId="1" xfId="0" applyFont="1" applyFill="1" applyBorder="1" applyAlignment="1">
      <alignment horizontal="center"/>
    </xf>
    <xf numFmtId="4" fontId="3" fillId="16" borderId="1" xfId="0" applyNumberFormat="1" applyFont="1" applyFill="1" applyBorder="1" applyAlignment="1">
      <alignment horizontal="right"/>
    </xf>
    <xf numFmtId="0" fontId="0" fillId="24" borderId="1" xfId="0" applyFill="1" applyBorder="1"/>
    <xf numFmtId="0" fontId="3" fillId="24" borderId="1" xfId="0" applyFont="1" applyFill="1" applyBorder="1" applyAlignment="1">
      <alignment horizontal="center"/>
    </xf>
    <xf numFmtId="4" fontId="3" fillId="24" borderId="1" xfId="0" applyNumberFormat="1" applyFont="1" applyFill="1" applyBorder="1" applyAlignment="1">
      <alignment horizontal="right"/>
    </xf>
    <xf numFmtId="0" fontId="0" fillId="17" borderId="0" xfId="0" applyFill="1"/>
    <xf numFmtId="0" fontId="9" fillId="0" borderId="1" xfId="0" applyFont="1" applyBorder="1"/>
    <xf numFmtId="0" fontId="27" fillId="0" borderId="1" xfId="0" applyFont="1" applyBorder="1"/>
    <xf numFmtId="0" fontId="3" fillId="26" borderId="1" xfId="0" applyFont="1" applyFill="1" applyBorder="1"/>
    <xf numFmtId="0" fontId="0" fillId="26" borderId="1" xfId="0" applyFill="1" applyBorder="1"/>
    <xf numFmtId="0" fontId="3" fillId="26" borderId="1" xfId="0" applyFont="1" applyFill="1" applyBorder="1" applyAlignment="1">
      <alignment horizontal="center"/>
    </xf>
    <xf numFmtId="4" fontId="3" fillId="26" borderId="1" xfId="0" applyNumberFormat="1" applyFont="1" applyFill="1" applyBorder="1" applyAlignment="1">
      <alignment horizontal="right"/>
    </xf>
    <xf numFmtId="0" fontId="5" fillId="26" borderId="1" xfId="0" applyFont="1" applyFill="1" applyBorder="1"/>
    <xf numFmtId="0" fontId="49" fillId="26" borderId="1" xfId="0" applyFont="1" applyFill="1" applyBorder="1"/>
    <xf numFmtId="0" fontId="21" fillId="27" borderId="0" xfId="0" applyFont="1" applyFill="1" applyAlignment="1">
      <alignment horizontal="left"/>
    </xf>
    <xf numFmtId="49" fontId="0" fillId="0" borderId="0" xfId="0" applyNumberFormat="1" applyBorder="1"/>
    <xf numFmtId="0" fontId="10" fillId="0" borderId="1" xfId="0" applyFont="1" applyFill="1" applyBorder="1" applyAlignment="1"/>
    <xf numFmtId="0" fontId="30" fillId="0" borderId="1" xfId="0" applyNumberFormat="1" applyFont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35" fillId="2" borderId="1" xfId="0" applyFont="1" applyFill="1" applyBorder="1" applyAlignment="1">
      <alignment horizontal="center"/>
    </xf>
    <xf numFmtId="49" fontId="21" fillId="0" borderId="1" xfId="0" applyNumberFormat="1" applyFont="1" applyBorder="1"/>
    <xf numFmtId="49" fontId="21" fillId="0" borderId="1" xfId="0" applyNumberFormat="1" applyFont="1" applyBorder="1" applyAlignment="1">
      <alignment horizontal="center"/>
    </xf>
    <xf numFmtId="0" fontId="26" fillId="9" borderId="0" xfId="0" applyFont="1" applyFill="1" applyAlignment="1">
      <alignment horizontal="center"/>
    </xf>
    <xf numFmtId="0" fontId="26" fillId="0" borderId="0" xfId="0" applyFont="1"/>
    <xf numFmtId="0" fontId="0" fillId="19" borderId="1" xfId="0" applyFill="1" applyBorder="1"/>
    <xf numFmtId="0" fontId="0" fillId="28" borderId="1" xfId="0" applyFill="1" applyBorder="1"/>
    <xf numFmtId="0" fontId="6" fillId="9" borderId="1" xfId="0" applyFont="1" applyFill="1" applyBorder="1"/>
    <xf numFmtId="0" fontId="3" fillId="7" borderId="1" xfId="0" applyFont="1" applyFill="1" applyBorder="1"/>
    <xf numFmtId="49" fontId="8" fillId="0" borderId="0" xfId="0" applyNumberFormat="1" applyFont="1" applyFill="1"/>
    <xf numFmtId="49" fontId="3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9" borderId="59" xfId="0" applyNumberFormat="1" applyFill="1" applyBorder="1" applyAlignment="1">
      <alignment horizontal="center"/>
    </xf>
    <xf numFmtId="0" fontId="0" fillId="9" borderId="31" xfId="0" applyNumberFormat="1" applyFill="1" applyBorder="1" applyAlignment="1">
      <alignment horizontal="center"/>
    </xf>
    <xf numFmtId="0" fontId="0" fillId="12" borderId="1" xfId="0" applyFill="1" applyBorder="1"/>
    <xf numFmtId="0" fontId="26" fillId="0" borderId="1" xfId="0" applyFont="1" applyBorder="1"/>
    <xf numFmtId="0" fontId="23" fillId="0" borderId="1" xfId="0" applyFont="1" applyBorder="1"/>
    <xf numFmtId="0" fontId="0" fillId="4" borderId="29" xfId="0" applyFill="1" applyBorder="1"/>
    <xf numFmtId="0" fontId="0" fillId="4" borderId="83" xfId="0" applyFill="1" applyBorder="1"/>
    <xf numFmtId="0" fontId="0" fillId="6" borderId="29" xfId="0" applyFill="1" applyBorder="1"/>
    <xf numFmtId="0" fontId="3" fillId="6" borderId="29" xfId="0" applyFont="1" applyFill="1" applyBorder="1"/>
    <xf numFmtId="0" fontId="3" fillId="4" borderId="83" xfId="0" applyFont="1" applyFill="1" applyBorder="1"/>
    <xf numFmtId="0" fontId="3" fillId="17" borderId="29" xfId="0" applyFont="1" applyFill="1" applyBorder="1"/>
    <xf numFmtId="49" fontId="0" fillId="0" borderId="0" xfId="0" applyNumberFormat="1" applyFill="1"/>
    <xf numFmtId="49" fontId="3" fillId="0" borderId="0" xfId="0" applyNumberFormat="1" applyFont="1" applyFill="1"/>
    <xf numFmtId="166" fontId="43" fillId="0" borderId="1" xfId="1" applyNumberFormat="1" applyBorder="1"/>
    <xf numFmtId="167" fontId="43" fillId="0" borderId="1" xfId="1" applyNumberFormat="1" applyBorder="1"/>
    <xf numFmtId="0" fontId="3" fillId="9" borderId="1" xfId="0" applyFont="1" applyFill="1" applyBorder="1" applyAlignment="1">
      <alignment horizontal="center"/>
    </xf>
    <xf numFmtId="0" fontId="6" fillId="0" borderId="102" xfId="0" applyNumberFormat="1" applyFont="1" applyBorder="1" applyAlignment="1">
      <alignment horizontal="center"/>
    </xf>
    <xf numFmtId="0" fontId="22" fillId="0" borderId="0" xfId="0" applyFont="1" applyAlignment="1">
      <alignment vertical="center"/>
    </xf>
    <xf numFmtId="0" fontId="22" fillId="0" borderId="4" xfId="0" applyFont="1" applyFill="1" applyBorder="1" applyAlignment="1">
      <alignment vertical="center"/>
    </xf>
    <xf numFmtId="0" fontId="36" fillId="0" borderId="45" xfId="0" applyFont="1" applyFill="1" applyBorder="1" applyAlignment="1">
      <alignment vertical="center"/>
    </xf>
    <xf numFmtId="0" fontId="36" fillId="0" borderId="14" xfId="0" applyFont="1" applyFill="1" applyBorder="1" applyAlignment="1">
      <alignment vertical="center"/>
    </xf>
    <xf numFmtId="0" fontId="22" fillId="0" borderId="1" xfId="0" applyFont="1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2" fillId="0" borderId="45" xfId="0" applyFont="1" applyFill="1" applyBorder="1" applyAlignment="1">
      <alignment vertical="center"/>
    </xf>
    <xf numFmtId="0" fontId="22" fillId="0" borderId="0" xfId="0" applyFont="1" applyBorder="1"/>
    <xf numFmtId="0" fontId="0" fillId="0" borderId="1" xfId="0" applyBorder="1" applyAlignment="1" applyProtection="1">
      <alignment horizontal="center"/>
      <protection locked="0"/>
    </xf>
    <xf numFmtId="0" fontId="0" fillId="0" borderId="0" xfId="0" applyNumberFormat="1" applyFill="1"/>
    <xf numFmtId="0" fontId="8" fillId="0" borderId="0" xfId="0" applyNumberFormat="1" applyFont="1"/>
    <xf numFmtId="0" fontId="22" fillId="0" borderId="10" xfId="0" applyFont="1" applyBorder="1"/>
    <xf numFmtId="0" fontId="22" fillId="0" borderId="11" xfId="0" applyFont="1" applyBorder="1"/>
    <xf numFmtId="0" fontId="0" fillId="0" borderId="0" xfId="0" applyNumberFormat="1"/>
    <xf numFmtId="0" fontId="8" fillId="0" borderId="0" xfId="0" applyNumberFormat="1" applyFont="1" applyFill="1"/>
    <xf numFmtId="3" fontId="8" fillId="9" borderId="29" xfId="0" applyNumberFormat="1" applyFont="1" applyFill="1" applyBorder="1" applyAlignment="1">
      <alignment horizontal="center"/>
    </xf>
    <xf numFmtId="3" fontId="8" fillId="9" borderId="30" xfId="0" applyNumberFormat="1" applyFont="1" applyFill="1" applyBorder="1" applyAlignment="1">
      <alignment horizontal="center"/>
    </xf>
    <xf numFmtId="3" fontId="8" fillId="9" borderId="83" xfId="0" applyNumberFormat="1" applyFont="1" applyFill="1" applyBorder="1" applyAlignment="1">
      <alignment horizontal="center"/>
    </xf>
    <xf numFmtId="0" fontId="23" fillId="19" borderId="0" xfId="0" applyFont="1" applyFill="1" applyBorder="1" applyAlignment="1">
      <alignment horizontal="center"/>
    </xf>
    <xf numFmtId="0" fontId="3" fillId="11" borderId="4" xfId="0" applyFont="1" applyFill="1" applyBorder="1" applyAlignment="1"/>
    <xf numFmtId="0" fontId="0" fillId="11" borderId="4" xfId="0" applyFill="1" applyBorder="1" applyAlignment="1"/>
    <xf numFmtId="0" fontId="8" fillId="0" borderId="14" xfId="0" applyFont="1" applyBorder="1"/>
    <xf numFmtId="49" fontId="0" fillId="0" borderId="106" xfId="0" applyNumberFormat="1" applyBorder="1"/>
    <xf numFmtId="49" fontId="3" fillId="0" borderId="106" xfId="0" applyNumberFormat="1" applyFont="1" applyBorder="1" applyAlignment="1">
      <alignment horizontal="center"/>
    </xf>
    <xf numFmtId="0" fontId="0" fillId="0" borderId="107" xfId="0" applyNumberForma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Border="1" applyAlignment="1">
      <alignment horizontal="center"/>
    </xf>
    <xf numFmtId="0" fontId="53" fillId="0" borderId="0" xfId="0" applyFont="1"/>
    <xf numFmtId="0" fontId="7" fillId="0" borderId="0" xfId="0" applyFont="1"/>
    <xf numFmtId="49" fontId="23" fillId="2" borderId="68" xfId="0" applyNumberFormat="1" applyFont="1" applyFill="1" applyBorder="1"/>
    <xf numFmtId="1" fontId="23" fillId="0" borderId="108" xfId="0" applyNumberFormat="1" applyFont="1" applyBorder="1" applyAlignment="1">
      <alignment horizontal="center"/>
    </xf>
    <xf numFmtId="0" fontId="23" fillId="0" borderId="109" xfId="0" applyNumberFormat="1" applyFont="1" applyBorder="1" applyAlignment="1">
      <alignment horizontal="center"/>
    </xf>
    <xf numFmtId="0" fontId="23" fillId="0" borderId="110" xfId="0" applyNumberFormat="1" applyFont="1" applyBorder="1" applyAlignment="1">
      <alignment horizontal="center"/>
    </xf>
    <xf numFmtId="0" fontId="21" fillId="0" borderId="0" xfId="0" applyFont="1" applyBorder="1" applyAlignment="1">
      <alignment horizontal="left"/>
    </xf>
    <xf numFmtId="0" fontId="46" fillId="0" borderId="0" xfId="0" applyFont="1" applyAlignment="1"/>
    <xf numFmtId="0" fontId="0" fillId="18" borderId="0" xfId="0" applyFill="1"/>
    <xf numFmtId="0" fontId="35" fillId="5" borderId="15" xfId="0" applyFont="1" applyFill="1" applyBorder="1" applyAlignment="1">
      <alignment horizontal="center"/>
    </xf>
    <xf numFmtId="0" fontId="3" fillId="5" borderId="78" xfId="0" applyFont="1" applyFill="1" applyBorder="1" applyAlignment="1">
      <alignment horizontal="center"/>
    </xf>
    <xf numFmtId="0" fontId="0" fillId="0" borderId="16" xfId="0" applyBorder="1"/>
    <xf numFmtId="0" fontId="3" fillId="5" borderId="15" xfId="0" applyFont="1" applyFill="1" applyBorder="1"/>
    <xf numFmtId="0" fontId="3" fillId="0" borderId="1" xfId="0" applyFont="1" applyFill="1" applyBorder="1" applyAlignment="1" applyProtection="1">
      <alignment horizontal="center"/>
      <protection locked="0"/>
    </xf>
    <xf numFmtId="0" fontId="0" fillId="0" borderId="15" xfId="0" applyBorder="1"/>
    <xf numFmtId="0" fontId="0" fillId="0" borderId="20" xfId="0" applyBorder="1"/>
    <xf numFmtId="0" fontId="3" fillId="5" borderId="22" xfId="0" applyFont="1" applyFill="1" applyBorder="1"/>
    <xf numFmtId="0" fontId="0" fillId="23" borderId="111" xfId="0" applyFill="1" applyBorder="1"/>
    <xf numFmtId="0" fontId="6" fillId="0" borderId="16" xfId="0" applyFont="1" applyFill="1" applyBorder="1" applyAlignment="1" applyProtection="1">
      <alignment horizontal="left"/>
      <protection locked="0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7" borderId="58" xfId="0" applyFill="1" applyBorder="1"/>
    <xf numFmtId="0" fontId="0" fillId="0" borderId="54" xfId="0" applyFill="1" applyBorder="1" applyProtection="1">
      <protection locked="0"/>
    </xf>
    <xf numFmtId="0" fontId="0" fillId="0" borderId="46" xfId="0" applyBorder="1" applyAlignment="1">
      <alignment horizontal="center"/>
    </xf>
    <xf numFmtId="0" fontId="0" fillId="0" borderId="40" xfId="0" applyBorder="1" applyAlignment="1" applyProtection="1">
      <protection locked="0"/>
    </xf>
    <xf numFmtId="0" fontId="0" fillId="0" borderId="40" xfId="0" applyBorder="1" applyAlignment="1"/>
    <xf numFmtId="0" fontId="0" fillId="7" borderId="111" xfId="0" applyFill="1" applyBorder="1"/>
    <xf numFmtId="0" fontId="0" fillId="0" borderId="0" xfId="0" applyAlignment="1">
      <alignment horizontal="center"/>
    </xf>
    <xf numFmtId="0" fontId="3" fillId="5" borderId="0" xfId="0" applyFont="1" applyFill="1" applyAlignment="1">
      <alignment horizontal="center" vertical="center"/>
    </xf>
    <xf numFmtId="49" fontId="0" fillId="0" borderId="0" xfId="0" applyNumberFormat="1" applyAlignment="1">
      <alignment wrapText="1"/>
    </xf>
    <xf numFmtId="0" fontId="10" fillId="0" borderId="0" xfId="0" applyFont="1" applyAlignment="1">
      <alignment wrapText="1"/>
    </xf>
    <xf numFmtId="0" fontId="0" fillId="0" borderId="54" xfId="0" applyFont="1" applyFill="1" applyBorder="1" applyAlignment="1">
      <alignment horizontal="center"/>
    </xf>
    <xf numFmtId="0" fontId="3" fillId="10" borderId="0" xfId="0" applyFont="1" applyFill="1" applyAlignment="1">
      <alignment horizontal="center" wrapText="1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3" fillId="10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0" applyFont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5" borderId="0" xfId="0" applyFont="1" applyFill="1" applyAlignment="1">
      <alignment horizontal="left" vertical="center"/>
    </xf>
    <xf numFmtId="0" fontId="0" fillId="0" borderId="8" xfId="0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 applyProtection="1">
      <alignment horizontal="center"/>
      <protection locked="0"/>
    </xf>
    <xf numFmtId="0" fontId="3" fillId="9" borderId="0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49" fontId="0" fillId="6" borderId="0" xfId="0" applyNumberFormat="1" applyFill="1" applyAlignment="1">
      <alignment wrapText="1"/>
    </xf>
    <xf numFmtId="0" fontId="0" fillId="6" borderId="0" xfId="0" applyFill="1" applyAlignment="1">
      <alignment wrapText="1"/>
    </xf>
    <xf numFmtId="0" fontId="10" fillId="6" borderId="0" xfId="0" applyFont="1" applyFill="1" applyAlignment="1">
      <alignment wrapText="1"/>
    </xf>
    <xf numFmtId="0" fontId="3" fillId="5" borderId="0" xfId="0" applyFont="1" applyFill="1" applyAlignment="1">
      <alignment vertical="center" wrapText="1"/>
    </xf>
    <xf numFmtId="0" fontId="5" fillId="5" borderId="0" xfId="0" applyFont="1" applyFill="1"/>
    <xf numFmtId="0" fontId="0" fillId="5" borderId="0" xfId="0" applyFill="1"/>
    <xf numFmtId="0" fontId="34" fillId="9" borderId="1" xfId="0" applyFont="1" applyFill="1" applyBorder="1" applyAlignment="1">
      <alignment horizontal="center" vertical="center"/>
    </xf>
    <xf numFmtId="0" fontId="0" fillId="0" borderId="54" xfId="0" applyFon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30" borderId="1" xfId="0" applyFill="1" applyBorder="1"/>
    <xf numFmtId="0" fontId="5" fillId="28" borderId="0" xfId="0" applyFont="1" applyFill="1"/>
    <xf numFmtId="0" fontId="10" fillId="0" borderId="1" xfId="0" applyFont="1" applyFill="1" applyBorder="1" applyAlignment="1"/>
    <xf numFmtId="0" fontId="6" fillId="9" borderId="0" xfId="0" applyFont="1" applyFill="1"/>
    <xf numFmtId="0" fontId="10" fillId="0" borderId="1" xfId="0" applyFont="1" applyFill="1" applyBorder="1" applyAlignment="1"/>
    <xf numFmtId="0" fontId="10" fillId="0" borderId="1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6" fillId="0" borderId="16" xfId="0" applyFont="1" applyFill="1" applyBorder="1" applyAlignment="1">
      <alignment horizontal="left"/>
    </xf>
    <xf numFmtId="0" fontId="10" fillId="0" borderId="78" xfId="0" applyFont="1" applyFill="1" applyBorder="1" applyAlignment="1">
      <alignment horizontal="center"/>
    </xf>
    <xf numFmtId="0" fontId="10" fillId="0" borderId="78" xfId="0" applyFont="1" applyFill="1" applyBorder="1" applyAlignment="1"/>
    <xf numFmtId="3" fontId="3" fillId="0" borderId="29" xfId="0" applyNumberFormat="1" applyFont="1" applyBorder="1" applyAlignment="1">
      <alignment horizontal="center"/>
    </xf>
    <xf numFmtId="3" fontId="3" fillId="0" borderId="30" xfId="0" applyNumberFormat="1" applyFont="1" applyBorder="1" applyAlignment="1">
      <alignment horizontal="center"/>
    </xf>
    <xf numFmtId="3" fontId="3" fillId="0" borderId="83" xfId="0" applyNumberFormat="1" applyFont="1" applyBorder="1" applyAlignment="1">
      <alignment horizontal="center"/>
    </xf>
    <xf numFmtId="0" fontId="0" fillId="0" borderId="83" xfId="0" applyNumberFormat="1" applyBorder="1" applyAlignment="1">
      <alignment horizontal="center"/>
    </xf>
    <xf numFmtId="3" fontId="3" fillId="0" borderId="107" xfId="0" applyNumberFormat="1" applyFont="1" applyBorder="1" applyAlignment="1">
      <alignment horizontal="center"/>
    </xf>
    <xf numFmtId="3" fontId="8" fillId="9" borderId="107" xfId="0" applyNumberFormat="1" applyFont="1" applyFill="1" applyBorder="1" applyAlignment="1">
      <alignment horizontal="center"/>
    </xf>
    <xf numFmtId="0" fontId="0" fillId="0" borderId="113" xfId="0" applyNumberFormat="1" applyBorder="1" applyAlignment="1">
      <alignment horizontal="center"/>
    </xf>
    <xf numFmtId="3" fontId="3" fillId="0" borderId="113" xfId="0" applyNumberFormat="1" applyFont="1" applyBorder="1" applyAlignment="1">
      <alignment horizontal="center"/>
    </xf>
    <xf numFmtId="3" fontId="8" fillId="9" borderId="113" xfId="0" applyNumberFormat="1" applyFont="1" applyFill="1" applyBorder="1" applyAlignment="1">
      <alignment horizontal="center"/>
    </xf>
    <xf numFmtId="0" fontId="21" fillId="0" borderId="31" xfId="0" applyFont="1" applyBorder="1" applyAlignment="1">
      <alignment horizontal="center"/>
    </xf>
    <xf numFmtId="0" fontId="36" fillId="0" borderId="31" xfId="0" applyFont="1" applyBorder="1" applyAlignment="1" applyProtection="1">
      <alignment horizontal="left"/>
      <protection locked="0"/>
    </xf>
    <xf numFmtId="0" fontId="21" fillId="0" borderId="79" xfId="0" applyFont="1" applyBorder="1" applyAlignment="1">
      <alignment horizontal="center"/>
    </xf>
    <xf numFmtId="0" fontId="36" fillId="0" borderId="79" xfId="0" applyFont="1" applyBorder="1" applyAlignment="1" applyProtection="1">
      <alignment horizontal="left"/>
      <protection locked="0"/>
    </xf>
    <xf numFmtId="0" fontId="10" fillId="0" borderId="29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83" xfId="0" applyFont="1" applyBorder="1" applyAlignment="1">
      <alignment horizontal="center"/>
    </xf>
    <xf numFmtId="0" fontId="10" fillId="0" borderId="105" xfId="0" applyFont="1" applyBorder="1" applyAlignment="1">
      <alignment horizontal="center"/>
    </xf>
    <xf numFmtId="0" fontId="3" fillId="0" borderId="0" xfId="0" applyFont="1" applyAlignment="1"/>
    <xf numFmtId="0" fontId="13" fillId="0" borderId="0" xfId="0" applyFont="1" applyAlignment="1"/>
    <xf numFmtId="0" fontId="10" fillId="0" borderId="107" xfId="0" applyFont="1" applyBorder="1" applyAlignment="1">
      <alignment horizontal="center"/>
    </xf>
    <xf numFmtId="0" fontId="10" fillId="0" borderId="48" xfId="0" applyFont="1" applyBorder="1"/>
    <xf numFmtId="0" fontId="10" fillId="0" borderId="33" xfId="0" applyFont="1" applyBorder="1"/>
    <xf numFmtId="0" fontId="10" fillId="0" borderId="51" xfId="0" applyFont="1" applyBorder="1"/>
    <xf numFmtId="0" fontId="10" fillId="0" borderId="32" xfId="0" applyFont="1" applyBorder="1"/>
    <xf numFmtId="0" fontId="10" fillId="0" borderId="53" xfId="0" applyFont="1" applyBorder="1"/>
    <xf numFmtId="0" fontId="10" fillId="0" borderId="34" xfId="0" applyFont="1" applyBorder="1"/>
    <xf numFmtId="0" fontId="10" fillId="0" borderId="1" xfId="0" applyFont="1" applyFill="1" applyBorder="1" applyAlignment="1"/>
    <xf numFmtId="0" fontId="10" fillId="0" borderId="1" xfId="0" applyFont="1" applyFill="1" applyBorder="1" applyAlignment="1">
      <alignment horizontal="center"/>
    </xf>
    <xf numFmtId="49" fontId="0" fillId="2" borderId="0" xfId="0" applyNumberFormat="1" applyFill="1" applyBorder="1" applyAlignment="1">
      <alignment horizontal="center"/>
    </xf>
    <xf numFmtId="0" fontId="26" fillId="4" borderId="0" xfId="0" applyFont="1" applyFill="1"/>
    <xf numFmtId="49" fontId="26" fillId="4" borderId="0" xfId="0" applyNumberFormat="1" applyFont="1" applyFill="1"/>
    <xf numFmtId="0" fontId="49" fillId="20" borderId="0" xfId="0" applyFont="1" applyFill="1" applyAlignment="1">
      <alignment horizontal="center"/>
    </xf>
    <xf numFmtId="0" fontId="5" fillId="20" borderId="0" xfId="0" applyFont="1" applyFill="1"/>
    <xf numFmtId="0" fontId="5" fillId="20" borderId="0" xfId="0" applyFont="1" applyFill="1" applyAlignment="1">
      <alignment horizontal="center"/>
    </xf>
    <xf numFmtId="0" fontId="54" fillId="4" borderId="0" xfId="0" applyFont="1" applyFill="1"/>
    <xf numFmtId="0" fontId="54" fillId="4" borderId="0" xfId="0" applyFont="1" applyFill="1" applyAlignment="1">
      <alignment horizontal="center"/>
    </xf>
    <xf numFmtId="0" fontId="0" fillId="0" borderId="51" xfId="0" applyBorder="1"/>
    <xf numFmtId="0" fontId="0" fillId="0" borderId="32" xfId="0" applyBorder="1"/>
    <xf numFmtId="0" fontId="0" fillId="0" borderId="50" xfId="0" applyBorder="1"/>
    <xf numFmtId="0" fontId="0" fillId="0" borderId="0" xfId="0" applyBorder="1" applyAlignment="1">
      <alignment horizontal="center"/>
    </xf>
    <xf numFmtId="0" fontId="55" fillId="0" borderId="6" xfId="0" applyFont="1" applyFill="1" applyBorder="1"/>
    <xf numFmtId="0" fontId="56" fillId="0" borderId="0" xfId="0" applyFont="1" applyBorder="1"/>
    <xf numFmtId="0" fontId="3" fillId="6" borderId="59" xfId="0" applyFont="1" applyFill="1" applyBorder="1" applyAlignment="1">
      <alignment horizontal="center"/>
    </xf>
    <xf numFmtId="0" fontId="56" fillId="0" borderId="0" xfId="0" applyFont="1"/>
    <xf numFmtId="0" fontId="3" fillId="0" borderId="6" xfId="0" applyNumberFormat="1" applyFont="1" applyBorder="1" applyAlignment="1">
      <alignment horizontal="center"/>
    </xf>
    <xf numFmtId="0" fontId="36" fillId="0" borderId="15" xfId="0" applyFont="1" applyBorder="1" applyAlignment="1">
      <alignment horizontal="center"/>
    </xf>
    <xf numFmtId="0" fontId="36" fillId="0" borderId="22" xfId="0" applyFont="1" applyBorder="1" applyAlignment="1">
      <alignment horizontal="center"/>
    </xf>
    <xf numFmtId="0" fontId="36" fillId="0" borderId="66" xfId="0" applyFont="1" applyBorder="1" applyAlignment="1">
      <alignment horizontal="center"/>
    </xf>
    <xf numFmtId="0" fontId="56" fillId="0" borderId="0" xfId="0" applyFont="1" applyFill="1"/>
    <xf numFmtId="49" fontId="56" fillId="0" borderId="0" xfId="0" applyNumberFormat="1" applyFont="1" applyFill="1"/>
    <xf numFmtId="49" fontId="57" fillId="0" borderId="0" xfId="0" applyNumberFormat="1" applyFont="1" applyFill="1"/>
    <xf numFmtId="0" fontId="56" fillId="0" borderId="0" xfId="0" applyFont="1" applyAlignment="1">
      <alignment horizontal="center"/>
    </xf>
    <xf numFmtId="49" fontId="56" fillId="0" borderId="0" xfId="0" applyNumberFormat="1" applyFont="1"/>
    <xf numFmtId="49" fontId="57" fillId="0" borderId="0" xfId="0" applyNumberFormat="1" applyFont="1"/>
    <xf numFmtId="0" fontId="57" fillId="0" borderId="0" xfId="0" applyNumberFormat="1" applyFont="1"/>
    <xf numFmtId="0" fontId="56" fillId="0" borderId="0" xfId="0" applyNumberFormat="1" applyFont="1" applyFill="1"/>
    <xf numFmtId="0" fontId="21" fillId="0" borderId="54" xfId="0" applyFont="1" applyBorder="1" applyAlignment="1">
      <alignment horizontal="center"/>
    </xf>
    <xf numFmtId="0" fontId="36" fillId="0" borderId="54" xfId="0" applyFont="1" applyBorder="1" applyAlignment="1" applyProtection="1">
      <alignment horizontal="left"/>
      <protection locked="0"/>
    </xf>
    <xf numFmtId="0" fontId="36" fillId="0" borderId="114" xfId="0" applyFont="1" applyBorder="1" applyAlignment="1">
      <alignment horizontal="center"/>
    </xf>
    <xf numFmtId="0" fontId="21" fillId="0" borderId="7" xfId="0" applyFont="1" applyBorder="1" applyAlignment="1" applyProtection="1">
      <alignment horizontal="left"/>
      <protection locked="0"/>
    </xf>
    <xf numFmtId="0" fontId="21" fillId="0" borderId="10" xfId="0" applyFont="1" applyBorder="1" applyAlignment="1" applyProtection="1">
      <alignment horizontal="left"/>
      <protection locked="0"/>
    </xf>
    <xf numFmtId="0" fontId="21" fillId="0" borderId="77" xfId="0" applyFont="1" applyBorder="1" applyAlignment="1" applyProtection="1">
      <alignment horizontal="left"/>
      <protection locked="0"/>
    </xf>
    <xf numFmtId="0" fontId="58" fillId="4" borderId="0" xfId="0" applyNumberFormat="1" applyFont="1" applyFill="1"/>
    <xf numFmtId="0" fontId="23" fillId="4" borderId="0" xfId="0" applyFont="1" applyFill="1"/>
    <xf numFmtId="0" fontId="23" fillId="4" borderId="0" xfId="0" applyNumberFormat="1" applyFont="1" applyFill="1" applyAlignment="1">
      <alignment horizontal="center"/>
    </xf>
    <xf numFmtId="49" fontId="23" fillId="4" borderId="0" xfId="0" applyNumberFormat="1" applyFont="1" applyFill="1"/>
    <xf numFmtId="0" fontId="23" fillId="0" borderId="0" xfId="0" applyFont="1"/>
    <xf numFmtId="0" fontId="23" fillId="4" borderId="0" xfId="0" applyFont="1" applyFill="1" applyAlignment="1">
      <alignment horizontal="center"/>
    </xf>
    <xf numFmtId="0" fontId="58" fillId="4" borderId="0" xfId="0" applyNumberFormat="1" applyFont="1" applyFill="1" applyAlignment="1">
      <alignment horizontal="center"/>
    </xf>
    <xf numFmtId="49" fontId="58" fillId="4" borderId="0" xfId="0" applyNumberFormat="1" applyFont="1" applyFill="1"/>
    <xf numFmtId="0" fontId="0" fillId="7" borderId="0" xfId="0" applyFill="1" applyBorder="1" applyAlignment="1">
      <alignment horizontal="center"/>
    </xf>
    <xf numFmtId="0" fontId="0" fillId="7" borderId="0" xfId="0" applyFill="1" applyBorder="1"/>
    <xf numFmtId="0" fontId="0" fillId="7" borderId="0" xfId="0" applyFill="1" applyBorder="1" applyAlignment="1">
      <alignment horizontal="left"/>
    </xf>
    <xf numFmtId="0" fontId="55" fillId="0" borderId="0" xfId="0" applyFont="1" applyBorder="1"/>
    <xf numFmtId="0" fontId="56" fillId="0" borderId="0" xfId="0" applyNumberFormat="1" applyFont="1"/>
    <xf numFmtId="0" fontId="57" fillId="0" borderId="0" xfId="0" applyFont="1" applyFill="1"/>
    <xf numFmtId="0" fontId="57" fillId="0" borderId="0" xfId="0" applyNumberFormat="1" applyFont="1" applyFill="1"/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10" borderId="1" xfId="0" applyNumberFormat="1" applyFill="1" applyBorder="1" applyAlignment="1">
      <alignment horizontal="center"/>
    </xf>
    <xf numFmtId="0" fontId="0" fillId="7" borderId="1" xfId="0" applyNumberFormat="1" applyFill="1" applyBorder="1" applyAlignment="1">
      <alignment horizontal="center"/>
    </xf>
    <xf numFmtId="0" fontId="3" fillId="9" borderId="4" xfId="0" applyFont="1" applyFill="1" applyBorder="1" applyAlignment="1">
      <alignment horizontal="center"/>
    </xf>
    <xf numFmtId="0" fontId="30" fillId="9" borderId="4" xfId="0" applyFont="1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1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59" fillId="11" borderId="4" xfId="0" applyFont="1" applyFill="1" applyBorder="1" applyAlignment="1"/>
    <xf numFmtId="0" fontId="0" fillId="0" borderId="14" xfId="0" applyBorder="1"/>
    <xf numFmtId="0" fontId="3" fillId="0" borderId="106" xfId="0" applyNumberFormat="1" applyFont="1" applyBorder="1" applyAlignment="1">
      <alignment horizontal="center"/>
    </xf>
    <xf numFmtId="0" fontId="0" fillId="9" borderId="107" xfId="0" applyNumberFormat="1" applyFill="1" applyBorder="1" applyAlignment="1">
      <alignment horizontal="center"/>
    </xf>
    <xf numFmtId="49" fontId="0" fillId="0" borderId="12" xfId="0" applyNumberFormat="1" applyFill="1" applyBorder="1"/>
    <xf numFmtId="0" fontId="3" fillId="0" borderId="12" xfId="0" applyNumberFormat="1" applyFon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49" fontId="3" fillId="0" borderId="12" xfId="0" applyNumberFormat="1" applyFont="1" applyFill="1" applyBorder="1" applyAlignment="1">
      <alignment horizontal="center"/>
    </xf>
    <xf numFmtId="49" fontId="0" fillId="0" borderId="115" xfId="0" applyNumberFormat="1" applyBorder="1"/>
    <xf numFmtId="49" fontId="3" fillId="0" borderId="115" xfId="0" applyNumberFormat="1" applyFont="1" applyBorder="1" applyAlignment="1">
      <alignment horizontal="center"/>
    </xf>
    <xf numFmtId="0" fontId="0" fillId="0" borderId="105" xfId="0" applyNumberFormat="1" applyBorder="1" applyAlignment="1">
      <alignment horizontal="center"/>
    </xf>
    <xf numFmtId="0" fontId="0" fillId="12" borderId="14" xfId="0" applyFill="1" applyBorder="1"/>
    <xf numFmtId="0" fontId="26" fillId="0" borderId="14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5" fillId="0" borderId="1" xfId="0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0" fontId="0" fillId="29" borderId="1" xfId="0" applyFill="1" applyBorder="1"/>
    <xf numFmtId="0" fontId="3" fillId="29" borderId="1" xfId="0" applyFont="1" applyFill="1" applyBorder="1" applyAlignment="1">
      <alignment horizontal="center"/>
    </xf>
    <xf numFmtId="4" fontId="3" fillId="29" borderId="1" xfId="0" applyNumberFormat="1" applyFont="1" applyFill="1" applyBorder="1" applyAlignment="1">
      <alignment horizontal="right"/>
    </xf>
    <xf numFmtId="0" fontId="0" fillId="21" borderId="1" xfId="0" applyFill="1" applyBorder="1"/>
    <xf numFmtId="4" fontId="3" fillId="21" borderId="1" xfId="0" applyNumberFormat="1" applyFont="1" applyFill="1" applyBorder="1" applyAlignment="1">
      <alignment horizontal="right"/>
    </xf>
    <xf numFmtId="0" fontId="23" fillId="22" borderId="1" xfId="0" applyFont="1" applyFill="1" applyBorder="1"/>
    <xf numFmtId="0" fontId="37" fillId="22" borderId="1" xfId="0" applyFont="1" applyFill="1" applyBorder="1" applyAlignment="1">
      <alignment horizontal="center"/>
    </xf>
    <xf numFmtId="4" fontId="37" fillId="22" borderId="1" xfId="0" applyNumberFormat="1" applyFont="1" applyFill="1" applyBorder="1" applyAlignment="1">
      <alignment horizontal="right"/>
    </xf>
    <xf numFmtId="0" fontId="23" fillId="31" borderId="1" xfId="0" applyFont="1" applyFill="1" applyBorder="1"/>
    <xf numFmtId="0" fontId="37" fillId="31" borderId="1" xfId="0" applyFont="1" applyFill="1" applyBorder="1" applyAlignment="1">
      <alignment horizontal="center"/>
    </xf>
    <xf numFmtId="4" fontId="37" fillId="31" borderId="1" xfId="0" applyNumberFormat="1" applyFont="1" applyFill="1" applyBorder="1" applyAlignment="1">
      <alignment horizontal="right"/>
    </xf>
    <xf numFmtId="0" fontId="23" fillId="25" borderId="1" xfId="0" applyFont="1" applyFill="1" applyBorder="1"/>
    <xf numFmtId="0" fontId="37" fillId="25" borderId="1" xfId="0" applyFont="1" applyFill="1" applyBorder="1" applyAlignment="1">
      <alignment horizontal="center"/>
    </xf>
    <xf numFmtId="4" fontId="37" fillId="25" borderId="1" xfId="0" applyNumberFormat="1" applyFont="1" applyFill="1" applyBorder="1" applyAlignment="1">
      <alignment horizontal="right"/>
    </xf>
    <xf numFmtId="0" fontId="23" fillId="23" borderId="1" xfId="0" applyFont="1" applyFill="1" applyBorder="1"/>
    <xf numFmtId="0" fontId="37" fillId="23" borderId="1" xfId="0" applyFont="1" applyFill="1" applyBorder="1" applyAlignment="1">
      <alignment horizontal="center"/>
    </xf>
    <xf numFmtId="4" fontId="37" fillId="23" borderId="1" xfId="0" applyNumberFormat="1" applyFont="1" applyFill="1" applyBorder="1" applyAlignment="1">
      <alignment horizontal="right"/>
    </xf>
    <xf numFmtId="0" fontId="23" fillId="32" borderId="1" xfId="0" applyFont="1" applyFill="1" applyBorder="1"/>
    <xf numFmtId="0" fontId="37" fillId="32" borderId="1" xfId="0" applyFont="1" applyFill="1" applyBorder="1" applyAlignment="1">
      <alignment horizontal="center"/>
    </xf>
    <xf numFmtId="4" fontId="37" fillId="32" borderId="1" xfId="0" applyNumberFormat="1" applyFont="1" applyFill="1" applyBorder="1" applyAlignment="1">
      <alignment horizontal="right"/>
    </xf>
    <xf numFmtId="0" fontId="60" fillId="19" borderId="1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62" fillId="0" borderId="1" xfId="0" applyFont="1" applyBorder="1" applyAlignment="1">
      <alignment horizontal="justify"/>
    </xf>
    <xf numFmtId="0" fontId="62" fillId="19" borderId="1" xfId="0" applyFont="1" applyFill="1" applyBorder="1" applyAlignment="1">
      <alignment horizontal="justify"/>
    </xf>
    <xf numFmtId="0" fontId="6" fillId="0" borderId="0" xfId="0" applyFont="1" applyBorder="1"/>
    <xf numFmtId="0" fontId="23" fillId="33" borderId="1" xfId="0" applyFont="1" applyFill="1" applyBorder="1"/>
    <xf numFmtId="0" fontId="37" fillId="33" borderId="1" xfId="0" applyFont="1" applyFill="1" applyBorder="1" applyAlignment="1">
      <alignment horizontal="center"/>
    </xf>
    <xf numFmtId="4" fontId="37" fillId="33" borderId="1" xfId="0" applyNumberFormat="1" applyFont="1" applyFill="1" applyBorder="1" applyAlignment="1">
      <alignment horizontal="right"/>
    </xf>
    <xf numFmtId="0" fontId="0" fillId="29" borderId="4" xfId="0" applyFill="1" applyBorder="1"/>
    <xf numFmtId="0" fontId="0" fillId="21" borderId="4" xfId="0" applyFill="1" applyBorder="1"/>
    <xf numFmtId="0" fontId="23" fillId="22" borderId="4" xfId="0" applyFont="1" applyFill="1" applyBorder="1"/>
    <xf numFmtId="0" fontId="0" fillId="17" borderId="4" xfId="0" applyFill="1" applyBorder="1"/>
    <xf numFmtId="0" fontId="23" fillId="31" borderId="4" xfId="0" applyFont="1" applyFill="1" applyBorder="1"/>
    <xf numFmtId="0" fontId="0" fillId="7" borderId="4" xfId="0" applyFill="1" applyBorder="1"/>
    <xf numFmtId="0" fontId="23" fillId="25" borderId="4" xfId="0" applyFont="1" applyFill="1" applyBorder="1"/>
    <xf numFmtId="0" fontId="23" fillId="23" borderId="4" xfId="0" applyFont="1" applyFill="1" applyBorder="1"/>
    <xf numFmtId="0" fontId="23" fillId="32" borderId="4" xfId="0" applyFont="1" applyFill="1" applyBorder="1"/>
    <xf numFmtId="0" fontId="0" fillId="26" borderId="4" xfId="0" applyFill="1" applyBorder="1"/>
    <xf numFmtId="0" fontId="0" fillId="24" borderId="4" xfId="0" applyFill="1" applyBorder="1"/>
    <xf numFmtId="0" fontId="0" fillId="8" borderId="4" xfId="0" applyFill="1" applyBorder="1"/>
    <xf numFmtId="0" fontId="23" fillId="33" borderId="4" xfId="0" applyFont="1" applyFill="1" applyBorder="1"/>
    <xf numFmtId="0" fontId="0" fillId="16" borderId="4" xfId="0" applyFill="1" applyBorder="1"/>
    <xf numFmtId="0" fontId="0" fillId="0" borderId="4" xfId="0" applyFill="1" applyBorder="1"/>
    <xf numFmtId="0" fontId="0" fillId="29" borderId="1" xfId="0" applyFill="1" applyBorder="1" applyAlignment="1">
      <alignment horizontal="center"/>
    </xf>
    <xf numFmtId="0" fontId="0" fillId="21" borderId="1" xfId="0" applyFill="1" applyBorder="1" applyAlignment="1">
      <alignment horizontal="center"/>
    </xf>
    <xf numFmtId="0" fontId="23" fillId="22" borderId="1" xfId="0" applyFon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23" fillId="31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23" fillId="25" borderId="1" xfId="0" applyFont="1" applyFill="1" applyBorder="1" applyAlignment="1">
      <alignment horizontal="center"/>
    </xf>
    <xf numFmtId="0" fontId="23" fillId="23" borderId="1" xfId="0" applyFont="1" applyFill="1" applyBorder="1" applyAlignment="1">
      <alignment horizontal="center"/>
    </xf>
    <xf numFmtId="0" fontId="23" fillId="32" borderId="1" xfId="0" applyFont="1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3" fillId="33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49" fillId="0" borderId="1" xfId="0" applyFont="1" applyFill="1" applyBorder="1"/>
    <xf numFmtId="0" fontId="23" fillId="0" borderId="1" xfId="0" applyFont="1" applyFill="1" applyBorder="1"/>
    <xf numFmtId="0" fontId="37" fillId="0" borderId="1" xfId="0" applyFont="1" applyFill="1" applyBorder="1" applyAlignment="1">
      <alignment horizontal="center"/>
    </xf>
    <xf numFmtId="4" fontId="37" fillId="0" borderId="1" xfId="0" applyNumberFormat="1" applyFont="1" applyFill="1" applyBorder="1" applyAlignment="1">
      <alignment horizontal="right"/>
    </xf>
    <xf numFmtId="0" fontId="23" fillId="0" borderId="4" xfId="0" applyFont="1" applyFill="1" applyBorder="1"/>
    <xf numFmtId="0" fontId="23" fillId="0" borderId="1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1" borderId="0" xfId="0" applyFill="1"/>
    <xf numFmtId="0" fontId="37" fillId="18" borderId="0" xfId="0" applyFont="1" applyFill="1"/>
    <xf numFmtId="0" fontId="23" fillId="18" borderId="0" xfId="0" applyFont="1" applyFill="1"/>
    <xf numFmtId="0" fontId="0" fillId="7" borderId="0" xfId="0" applyFill="1"/>
    <xf numFmtId="0" fontId="0" fillId="6" borderId="0" xfId="0" applyFill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0" fillId="21" borderId="1" xfId="0" applyFont="1" applyFill="1" applyBorder="1" applyAlignment="1">
      <alignment horizontal="center"/>
    </xf>
    <xf numFmtId="0" fontId="0" fillId="25" borderId="0" xfId="0" applyFill="1"/>
    <xf numFmtId="0" fontId="0" fillId="21" borderId="45" xfId="0" applyFill="1" applyBorder="1"/>
    <xf numFmtId="0" fontId="0" fillId="21" borderId="14" xfId="0" applyFill="1" applyBorder="1"/>
    <xf numFmtId="0" fontId="37" fillId="0" borderId="1" xfId="0" applyFont="1" applyBorder="1" applyAlignment="1">
      <alignment horizontal="center"/>
    </xf>
    <xf numFmtId="0" fontId="0" fillId="21" borderId="0" xfId="0" applyFont="1" applyFill="1" applyAlignment="1">
      <alignment horizontal="center"/>
    </xf>
    <xf numFmtId="0" fontId="0" fillId="11" borderId="0" xfId="0" applyFill="1"/>
    <xf numFmtId="0" fontId="5" fillId="36" borderId="1" xfId="0" applyFont="1" applyFill="1" applyBorder="1"/>
    <xf numFmtId="0" fontId="0" fillId="35" borderId="1" xfId="0" applyFill="1" applyBorder="1" applyAlignment="1">
      <alignment horizontal="center"/>
    </xf>
    <xf numFmtId="49" fontId="23" fillId="7" borderId="1" xfId="0" applyNumberFormat="1" applyFon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0" fontId="3" fillId="25" borderId="1" xfId="0" applyFont="1" applyFill="1" applyBorder="1" applyAlignment="1">
      <alignment horizontal="center"/>
    </xf>
    <xf numFmtId="0" fontId="52" fillId="7" borderId="1" xfId="0" applyFont="1" applyFill="1" applyBorder="1" applyAlignment="1">
      <alignment horizontal="center"/>
    </xf>
    <xf numFmtId="1" fontId="3" fillId="21" borderId="0" xfId="0" applyNumberFormat="1" applyFont="1" applyFill="1"/>
    <xf numFmtId="0" fontId="3" fillId="21" borderId="0" xfId="0" applyFont="1" applyFill="1" applyAlignment="1">
      <alignment horizontal="center"/>
    </xf>
    <xf numFmtId="0" fontId="0" fillId="21" borderId="119" xfId="0" applyFill="1" applyBorder="1" applyAlignment="1">
      <alignment horizontal="center"/>
    </xf>
    <xf numFmtId="0" fontId="51" fillId="9" borderId="4" xfId="0" applyFont="1" applyFill="1" applyBorder="1" applyAlignment="1">
      <alignment horizontal="left"/>
    </xf>
    <xf numFmtId="0" fontId="0" fillId="9" borderId="45" xfId="0" applyFill="1" applyBorder="1"/>
    <xf numFmtId="0" fontId="36" fillId="9" borderId="45" xfId="0" applyFont="1" applyFill="1" applyBorder="1" applyAlignment="1">
      <alignment horizontal="left"/>
    </xf>
    <xf numFmtId="0" fontId="36" fillId="9" borderId="14" xfId="0" applyFont="1" applyFill="1" applyBorder="1" applyAlignment="1">
      <alignment horizontal="left"/>
    </xf>
    <xf numFmtId="0" fontId="36" fillId="9" borderId="31" xfId="0" applyFont="1" applyFill="1" applyBorder="1" applyAlignment="1">
      <alignment horizontal="center"/>
    </xf>
    <xf numFmtId="0" fontId="36" fillId="9" borderId="1" xfId="0" applyFont="1" applyFill="1" applyBorder="1" applyAlignment="1">
      <alignment horizontal="center"/>
    </xf>
    <xf numFmtId="3" fontId="0" fillId="21" borderId="0" xfId="0" applyNumberFormat="1" applyFont="1" applyFill="1" applyAlignment="1">
      <alignment horizontal="right"/>
    </xf>
    <xf numFmtId="0" fontId="3" fillId="21" borderId="4" xfId="0" applyFont="1" applyFill="1" applyBorder="1" applyAlignment="1">
      <alignment horizontal="center"/>
    </xf>
    <xf numFmtId="0" fontId="0" fillId="21" borderId="1" xfId="0" applyFont="1" applyFill="1" applyBorder="1"/>
    <xf numFmtId="0" fontId="3" fillId="21" borderId="1" xfId="0" applyFont="1" applyFill="1" applyBorder="1"/>
    <xf numFmtId="0" fontId="13" fillId="7" borderId="0" xfId="0" applyFont="1" applyFill="1" applyAlignment="1">
      <alignment horizontal="center"/>
    </xf>
    <xf numFmtId="0" fontId="3" fillId="21" borderId="0" xfId="0" applyFont="1" applyFill="1"/>
    <xf numFmtId="4" fontId="24" fillId="21" borderId="0" xfId="0" applyNumberFormat="1" applyFont="1" applyFill="1" applyAlignment="1">
      <alignment horizontal="right"/>
    </xf>
    <xf numFmtId="0" fontId="0" fillId="0" borderId="6" xfId="0" applyFont="1" applyBorder="1"/>
    <xf numFmtId="0" fontId="0" fillId="0" borderId="80" xfId="0" applyBorder="1"/>
    <xf numFmtId="0" fontId="0" fillId="0" borderId="81" xfId="0" applyBorder="1"/>
    <xf numFmtId="0" fontId="4" fillId="0" borderId="81" xfId="0" applyFont="1" applyBorder="1" applyAlignment="1">
      <alignment horizontal="center"/>
    </xf>
    <xf numFmtId="0" fontId="0" fillId="0" borderId="81" xfId="0" applyBorder="1" applyAlignment="1">
      <alignment horizontal="right"/>
    </xf>
    <xf numFmtId="0" fontId="0" fillId="0" borderId="82" xfId="0" applyBorder="1"/>
    <xf numFmtId="0" fontId="0" fillId="0" borderId="56" xfId="0" applyFont="1" applyBorder="1"/>
    <xf numFmtId="0" fontId="0" fillId="0" borderId="0" xfId="0" applyFont="1" applyBorder="1" applyAlignment="1">
      <alignment horizontal="right"/>
    </xf>
    <xf numFmtId="0" fontId="0" fillId="0" borderId="57" xfId="0" applyBorder="1"/>
    <xf numFmtId="0" fontId="0" fillId="0" borderId="56" xfId="0" applyBorder="1" applyAlignment="1">
      <alignment horizontal="left"/>
    </xf>
    <xf numFmtId="0" fontId="0" fillId="0" borderId="0" xfId="0" applyBorder="1" applyAlignment="1">
      <alignment horizontal="right"/>
    </xf>
    <xf numFmtId="0" fontId="3" fillId="0" borderId="120" xfId="0" applyFont="1" applyBorder="1" applyAlignment="1">
      <alignment horizontal="left"/>
    </xf>
    <xf numFmtId="0" fontId="3" fillId="0" borderId="0" xfId="0" applyFont="1" applyBorder="1"/>
    <xf numFmtId="0" fontId="3" fillId="0" borderId="56" xfId="0" applyFont="1" applyBorder="1"/>
    <xf numFmtId="0" fontId="0" fillId="0" borderId="0" xfId="0" applyFont="1" applyFill="1" applyBorder="1" applyAlignment="1">
      <alignment horizontal="right"/>
    </xf>
    <xf numFmtId="0" fontId="0" fillId="0" borderId="56" xfId="0" applyBorder="1"/>
    <xf numFmtId="0" fontId="0" fillId="0" borderId="127" xfId="0" applyBorder="1"/>
    <xf numFmtId="0" fontId="0" fillId="0" borderId="130" xfId="0" applyBorder="1"/>
    <xf numFmtId="0" fontId="4" fillId="0" borderId="80" xfId="0" applyFont="1" applyBorder="1"/>
    <xf numFmtId="0" fontId="3" fillId="0" borderId="122" xfId="0" applyFont="1" applyBorder="1"/>
    <xf numFmtId="0" fontId="0" fillId="0" borderId="56" xfId="0" applyFill="1" applyBorder="1" applyAlignment="1">
      <alignment vertical="top"/>
    </xf>
    <xf numFmtId="0" fontId="0" fillId="0" borderId="132" xfId="0" applyFill="1" applyBorder="1" applyAlignment="1">
      <alignment vertical="top"/>
    </xf>
    <xf numFmtId="0" fontId="3" fillId="0" borderId="132" xfId="0" applyFont="1" applyBorder="1" applyAlignment="1"/>
    <xf numFmtId="0" fontId="0" fillId="0" borderId="134" xfId="0" applyBorder="1"/>
    <xf numFmtId="0" fontId="32" fillId="0" borderId="0" xfId="0" applyFont="1" applyBorder="1" applyAlignment="1">
      <alignment horizontal="right"/>
    </xf>
    <xf numFmtId="0" fontId="27" fillId="0" borderId="0" xfId="0" applyFont="1" applyBorder="1"/>
    <xf numFmtId="0" fontId="0" fillId="2" borderId="131" xfId="0" applyFill="1" applyBorder="1" applyAlignment="1"/>
    <xf numFmtId="0" fontId="3" fillId="0" borderId="131" xfId="0" applyFont="1" applyFill="1" applyBorder="1" applyAlignment="1">
      <alignment vertical="top"/>
    </xf>
    <xf numFmtId="0" fontId="0" fillId="0" borderId="131" xfId="0" applyFont="1" applyFill="1" applyBorder="1" applyAlignment="1">
      <alignment vertical="top"/>
    </xf>
    <xf numFmtId="0" fontId="0" fillId="5" borderId="121" xfId="0" applyFill="1" applyBorder="1"/>
    <xf numFmtId="0" fontId="0" fillId="0" borderId="135" xfId="0" applyBorder="1"/>
    <xf numFmtId="0" fontId="0" fillId="0" borderId="73" xfId="0" applyBorder="1"/>
    <xf numFmtId="0" fontId="0" fillId="0" borderId="136" xfId="0" applyBorder="1"/>
    <xf numFmtId="0" fontId="3" fillId="10" borderId="121" xfId="0" applyFont="1" applyFill="1" applyBorder="1"/>
    <xf numFmtId="0" fontId="3" fillId="10" borderId="137" xfId="0" applyFont="1" applyFill="1" applyBorder="1"/>
    <xf numFmtId="0" fontId="3" fillId="10" borderId="138" xfId="0" applyFont="1" applyFill="1" applyBorder="1" applyAlignment="1">
      <alignment horizontal="center"/>
    </xf>
    <xf numFmtId="0" fontId="3" fillId="10" borderId="139" xfId="0" applyFont="1" applyFill="1" applyBorder="1" applyAlignment="1">
      <alignment horizontal="center"/>
    </xf>
    <xf numFmtId="0" fontId="3" fillId="10" borderId="21" xfId="0" applyFont="1" applyFill="1" applyBorder="1" applyAlignment="1"/>
    <xf numFmtId="0" fontId="3" fillId="10" borderId="79" xfId="0" applyFont="1" applyFill="1" applyBorder="1" applyAlignment="1">
      <alignment horizontal="center"/>
    </xf>
    <xf numFmtId="0" fontId="0" fillId="37" borderId="39" xfId="0" applyFill="1" applyBorder="1" applyProtection="1">
      <protection locked="0"/>
    </xf>
    <xf numFmtId="0" fontId="0" fillId="37" borderId="40" xfId="0" applyFill="1" applyBorder="1" applyProtection="1">
      <protection locked="0"/>
    </xf>
    <xf numFmtId="0" fontId="0" fillId="37" borderId="92" xfId="0" applyFill="1" applyBorder="1" applyAlignment="1" applyProtection="1">
      <protection locked="0"/>
    </xf>
    <xf numFmtId="0" fontId="35" fillId="5" borderId="122" xfId="0" applyFont="1" applyFill="1" applyBorder="1" applyAlignment="1">
      <alignment horizontal="center"/>
    </xf>
    <xf numFmtId="0" fontId="21" fillId="0" borderId="122" xfId="0" applyFont="1" applyBorder="1" applyAlignment="1" applyProtection="1">
      <alignment horizontal="left"/>
      <protection locked="0"/>
    </xf>
    <xf numFmtId="0" fontId="21" fillId="0" borderId="131" xfId="0" applyFont="1" applyBorder="1" applyAlignment="1" applyProtection="1">
      <alignment horizontal="left"/>
      <protection locked="0"/>
    </xf>
    <xf numFmtId="0" fontId="21" fillId="0" borderId="133" xfId="0" applyFont="1" applyBorder="1" applyAlignment="1" applyProtection="1">
      <alignment horizontal="left"/>
      <protection locked="0"/>
    </xf>
    <xf numFmtId="0" fontId="21" fillId="0" borderId="132" xfId="0" applyFont="1" applyBorder="1" applyAlignment="1" applyProtection="1">
      <alignment horizontal="left"/>
      <protection locked="0"/>
    </xf>
    <xf numFmtId="0" fontId="35" fillId="0" borderId="0" xfId="0" applyFont="1" applyBorder="1"/>
    <xf numFmtId="0" fontId="22" fillId="0" borderId="57" xfId="0" applyFont="1" applyBorder="1"/>
    <xf numFmtId="0" fontId="22" fillId="0" borderId="141" xfId="0" applyFont="1" applyBorder="1"/>
    <xf numFmtId="0" fontId="22" fillId="0" borderId="127" xfId="0" applyFont="1" applyBorder="1"/>
    <xf numFmtId="0" fontId="22" fillId="0" borderId="129" xfId="0" applyFont="1" applyBorder="1"/>
    <xf numFmtId="0" fontId="22" fillId="0" borderId="130" xfId="0" applyFont="1" applyBorder="1"/>
    <xf numFmtId="0" fontId="0" fillId="0" borderId="81" xfId="0" applyNumberFormat="1" applyBorder="1"/>
    <xf numFmtId="0" fontId="9" fillId="5" borderId="122" xfId="0" applyFont="1" applyFill="1" applyBorder="1" applyAlignment="1">
      <alignment horizontal="center"/>
    </xf>
    <xf numFmtId="0" fontId="9" fillId="5" borderId="15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35" fillId="0" borderId="57" xfId="0" applyFont="1" applyBorder="1" applyAlignment="1">
      <alignment horizontal="right"/>
    </xf>
    <xf numFmtId="0" fontId="21" fillId="0" borderId="15" xfId="0" applyFont="1" applyBorder="1" applyAlignment="1">
      <alignment horizontal="center"/>
    </xf>
    <xf numFmtId="0" fontId="0" fillId="0" borderId="123" xfId="0" applyBorder="1"/>
    <xf numFmtId="0" fontId="6" fillId="34" borderId="1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6" fillId="14" borderId="1" xfId="0" applyFont="1" applyFill="1" applyBorder="1" applyAlignment="1">
      <alignment horizontal="center"/>
    </xf>
    <xf numFmtId="0" fontId="6" fillId="30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center"/>
    </xf>
    <xf numFmtId="0" fontId="22" fillId="0" borderId="80" xfId="0" applyFont="1" applyBorder="1"/>
    <xf numFmtId="0" fontId="47" fillId="0" borderId="81" xfId="0" applyFont="1" applyBorder="1"/>
    <xf numFmtId="0" fontId="22" fillId="0" borderId="81" xfId="0" applyFont="1" applyBorder="1"/>
    <xf numFmtId="0" fontId="22" fillId="0" borderId="82" xfId="0" applyFont="1" applyBorder="1"/>
    <xf numFmtId="0" fontId="46" fillId="0" borderId="56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46" fillId="0" borderId="0" xfId="0" applyFont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0" fontId="22" fillId="0" borderId="56" xfId="0" applyFont="1" applyBorder="1"/>
    <xf numFmtId="0" fontId="9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3" fontId="0" fillId="0" borderId="1" xfId="0" applyNumberFormat="1" applyBorder="1"/>
    <xf numFmtId="3" fontId="3" fillId="6" borderId="1" xfId="0" applyNumberFormat="1" applyFont="1" applyFill="1" applyBorder="1" applyProtection="1">
      <protection locked="0"/>
    </xf>
    <xf numFmtId="3" fontId="3" fillId="6" borderId="79" xfId="0" applyNumberFormat="1" applyFont="1" applyFill="1" applyBorder="1" applyProtection="1">
      <protection locked="0"/>
    </xf>
    <xf numFmtId="0" fontId="4" fillId="0" borderId="81" xfId="0" applyFont="1" applyBorder="1"/>
    <xf numFmtId="49" fontId="3" fillId="0" borderId="0" xfId="0" applyNumberFormat="1" applyFont="1" applyBorder="1"/>
    <xf numFmtId="0" fontId="8" fillId="0" borderId="0" xfId="0" applyFont="1" applyBorder="1" applyAlignment="1">
      <alignment horizontal="left"/>
    </xf>
    <xf numFmtId="49" fontId="8" fillId="0" borderId="0" xfId="0" applyNumberFormat="1" applyFont="1" applyBorder="1"/>
    <xf numFmtId="49" fontId="3" fillId="0" borderId="56" xfId="0" applyNumberFormat="1" applyFont="1" applyBorder="1"/>
    <xf numFmtId="0" fontId="24" fillId="0" borderId="0" xfId="0" applyFont="1" applyBorder="1"/>
    <xf numFmtId="0" fontId="3" fillId="0" borderId="132" xfId="0" applyFont="1" applyFill="1" applyBorder="1" applyProtection="1">
      <protection locked="0"/>
    </xf>
    <xf numFmtId="0" fontId="0" fillId="0" borderId="57" xfId="0" applyBorder="1" applyAlignment="1"/>
    <xf numFmtId="0" fontId="3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47" xfId="0" applyFill="1" applyBorder="1"/>
    <xf numFmtId="0" fontId="0" fillId="0" borderId="48" xfId="0" applyBorder="1"/>
    <xf numFmtId="0" fontId="0" fillId="0" borderId="33" xfId="0" applyBorder="1"/>
    <xf numFmtId="0" fontId="0" fillId="0" borderId="52" xfId="0" applyBorder="1"/>
    <xf numFmtId="0" fontId="0" fillId="0" borderId="53" xfId="0" applyBorder="1"/>
    <xf numFmtId="0" fontId="0" fillId="0" borderId="34" xfId="0" applyBorder="1"/>
    <xf numFmtId="0" fontId="0" fillId="0" borderId="6" xfId="0" applyFill="1" applyBorder="1"/>
    <xf numFmtId="0" fontId="47" fillId="0" borderId="80" xfId="0" applyFont="1" applyBorder="1"/>
    <xf numFmtId="0" fontId="22" fillId="0" borderId="0" xfId="0" applyFont="1" applyFill="1" applyBorder="1"/>
    <xf numFmtId="0" fontId="22" fillId="0" borderId="79" xfId="0" applyFont="1" applyFill="1" applyBorder="1"/>
    <xf numFmtId="0" fontId="57" fillId="0" borderId="0" xfId="0" applyNumberFormat="1" applyFont="1" applyAlignment="1">
      <alignment horizontal="center"/>
    </xf>
    <xf numFmtId="49" fontId="23" fillId="0" borderId="0" xfId="0" applyNumberFormat="1" applyFont="1"/>
    <xf numFmtId="49" fontId="57" fillId="0" borderId="0" xfId="0" applyNumberFormat="1" applyFont="1" applyAlignment="1">
      <alignment horizontal="center"/>
    </xf>
    <xf numFmtId="0" fontId="5" fillId="0" borderId="48" xfId="0" applyFont="1" applyBorder="1"/>
    <xf numFmtId="0" fontId="0" fillId="0" borderId="1" xfId="0" applyNumberFormat="1" applyFill="1" applyBorder="1" applyProtection="1"/>
    <xf numFmtId="49" fontId="0" fillId="0" borderId="1" xfId="0" applyNumberFormat="1" applyFill="1" applyBorder="1" applyAlignment="1" applyProtection="1">
      <alignment horizontal="center"/>
    </xf>
    <xf numFmtId="0" fontId="0" fillId="0" borderId="45" xfId="0" applyBorder="1"/>
    <xf numFmtId="0" fontId="0" fillId="0" borderId="1" xfId="0" applyBorder="1" applyAlignment="1">
      <alignment horizontal="center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45" xfId="0" applyBorder="1" applyAlignment="1" applyProtection="1">
      <alignment horizontal="left" vertical="center"/>
      <protection locked="0"/>
    </xf>
    <xf numFmtId="0" fontId="0" fillId="0" borderId="45" xfId="0" applyBorder="1"/>
    <xf numFmtId="0" fontId="24" fillId="8" borderId="1" xfId="0" applyFont="1" applyFill="1" applyBorder="1"/>
    <xf numFmtId="0" fontId="24" fillId="8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0" fillId="0" borderId="45" xfId="0" applyFont="1" applyBorder="1"/>
    <xf numFmtId="0" fontId="6" fillId="0" borderId="45" xfId="0" applyFont="1" applyBorder="1"/>
    <xf numFmtId="0" fontId="0" fillId="0" borderId="13" xfId="0" applyBorder="1" applyAlignment="1">
      <alignment horizontal="left"/>
    </xf>
    <xf numFmtId="0" fontId="0" fillId="0" borderId="61" xfId="0" applyBorder="1" applyAlignment="1"/>
    <xf numFmtId="0" fontId="0" fillId="0" borderId="13" xfId="0" applyBorder="1" applyAlignment="1"/>
    <xf numFmtId="0" fontId="0" fillId="0" borderId="112" xfId="0" applyBorder="1" applyAlignment="1"/>
    <xf numFmtId="0" fontId="0" fillId="0" borderId="143" xfId="0" applyBorder="1" applyAlignment="1"/>
    <xf numFmtId="0" fontId="0" fillId="0" borderId="85" xfId="0" applyBorder="1" applyAlignment="1"/>
    <xf numFmtId="0" fontId="3" fillId="0" borderId="14" xfId="0" applyFont="1" applyBorder="1" applyAlignment="1"/>
    <xf numFmtId="0" fontId="10" fillId="0" borderId="45" xfId="0" applyFont="1" applyBorder="1" applyAlignment="1"/>
    <xf numFmtId="0" fontId="10" fillId="0" borderId="14" xfId="0" applyFont="1" applyBorder="1" applyAlignment="1"/>
    <xf numFmtId="49" fontId="8" fillId="0" borderId="29" xfId="0" applyNumberFormat="1" applyFont="1" applyBorder="1" applyAlignment="1">
      <alignment horizontal="left"/>
    </xf>
    <xf numFmtId="49" fontId="8" fillId="0" borderId="30" xfId="0" applyNumberFormat="1" applyFont="1" applyBorder="1" applyAlignment="1">
      <alignment horizontal="left"/>
    </xf>
    <xf numFmtId="49" fontId="8" fillId="0" borderId="113" xfId="0" applyNumberFormat="1" applyFont="1" applyBorder="1" applyAlignment="1">
      <alignment horizontal="left"/>
    </xf>
    <xf numFmtId="49" fontId="8" fillId="0" borderId="107" xfId="0" applyNumberFormat="1" applyFont="1" applyBorder="1" applyAlignment="1">
      <alignment horizontal="left"/>
    </xf>
    <xf numFmtId="49" fontId="8" fillId="0" borderId="83" xfId="0" applyNumberFormat="1" applyFont="1" applyBorder="1" applyAlignment="1">
      <alignment horizontal="left"/>
    </xf>
    <xf numFmtId="0" fontId="8" fillId="0" borderId="29" xfId="0" applyFont="1" applyBorder="1" applyAlignment="1">
      <alignment horizontal="left"/>
    </xf>
    <xf numFmtId="0" fontId="8" fillId="0" borderId="30" xfId="0" applyFont="1" applyBorder="1" applyAlignment="1">
      <alignment horizontal="left"/>
    </xf>
    <xf numFmtId="0" fontId="8" fillId="0" borderId="83" xfId="0" applyFont="1" applyBorder="1" applyAlignment="1">
      <alignment horizontal="left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8" fillId="0" borderId="107" xfId="0" applyFont="1" applyBorder="1" applyAlignment="1">
      <alignment horizontal="center"/>
    </xf>
    <xf numFmtId="0" fontId="8" fillId="0" borderId="83" xfId="0" applyFont="1" applyBorder="1" applyAlignment="1">
      <alignment horizontal="center"/>
    </xf>
    <xf numFmtId="0" fontId="5" fillId="0" borderId="1" xfId="0" applyFont="1" applyFill="1" applyBorder="1"/>
    <xf numFmtId="0" fontId="6" fillId="0" borderId="1" xfId="0" applyNumberFormat="1" applyFont="1" applyBorder="1" applyAlignment="1">
      <alignment horizontal="center"/>
    </xf>
    <xf numFmtId="0" fontId="3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65" fillId="2" borderId="1" xfId="0" applyNumberFormat="1" applyFont="1" applyFill="1" applyBorder="1" applyAlignment="1" applyProtection="1">
      <alignment vertical="center"/>
    </xf>
    <xf numFmtId="0" fontId="66" fillId="5" borderId="1" xfId="0" applyNumberFormat="1" applyFont="1" applyFill="1" applyBorder="1" applyAlignment="1" applyProtection="1">
      <alignment horizontal="center"/>
    </xf>
    <xf numFmtId="0" fontId="0" fillId="4" borderId="1" xfId="0" applyNumberFormat="1" applyFont="1" applyFill="1" applyBorder="1" applyProtection="1"/>
    <xf numFmtId="0" fontId="0" fillId="4" borderId="1" xfId="0" applyNumberFormat="1" applyFont="1" applyFill="1" applyBorder="1" applyAlignment="1" applyProtection="1">
      <alignment horizontal="center"/>
    </xf>
    <xf numFmtId="0" fontId="67" fillId="4" borderId="1" xfId="0" applyNumberFormat="1" applyFont="1" applyFill="1" applyBorder="1" applyProtection="1"/>
    <xf numFmtId="49" fontId="0" fillId="4" borderId="1" xfId="0" applyNumberFormat="1" applyFont="1" applyFill="1" applyBorder="1" applyProtection="1"/>
    <xf numFmtId="0" fontId="68" fillId="0" borderId="0" xfId="0" applyNumberFormat="1" applyFont="1" applyFill="1" applyBorder="1" applyProtection="1"/>
    <xf numFmtId="0" fontId="0" fillId="13" borderId="0" xfId="0" applyNumberFormat="1" applyFont="1" applyFill="1" applyBorder="1" applyProtection="1"/>
    <xf numFmtId="0" fontId="0" fillId="13" borderId="0" xfId="0" applyNumberFormat="1" applyFont="1" applyFill="1" applyBorder="1" applyAlignment="1" applyProtection="1">
      <alignment horizontal="center"/>
    </xf>
    <xf numFmtId="49" fontId="0" fillId="13" borderId="0" xfId="0" applyNumberFormat="1" applyFont="1" applyFill="1" applyBorder="1" applyProtection="1"/>
    <xf numFmtId="0" fontId="0" fillId="0" borderId="0" xfId="0" applyFill="1" applyBorder="1" applyAlignment="1">
      <alignment horizontal="right"/>
    </xf>
    <xf numFmtId="49" fontId="8" fillId="0" borderId="0" xfId="0" applyNumberFormat="1" applyFont="1" applyAlignment="1">
      <alignment horizontal="center"/>
    </xf>
    <xf numFmtId="0" fontId="0" fillId="33" borderId="1" xfId="0" applyFill="1" applyBorder="1"/>
    <xf numFmtId="0" fontId="3" fillId="0" borderId="0" xfId="0" applyFont="1" applyFill="1" applyBorder="1" applyAlignment="1">
      <alignment horizontal="right"/>
    </xf>
    <xf numFmtId="49" fontId="69" fillId="0" borderId="0" xfId="0" applyNumberFormat="1" applyFont="1"/>
    <xf numFmtId="0" fontId="37" fillId="0" borderId="1" xfId="0" applyFont="1" applyFill="1" applyBorder="1" applyAlignment="1" applyProtection="1">
      <alignment horizontal="center"/>
    </xf>
    <xf numFmtId="0" fontId="0" fillId="0" borderId="14" xfId="0" applyBorder="1"/>
    <xf numFmtId="0" fontId="0" fillId="0" borderId="14" xfId="0" applyBorder="1"/>
    <xf numFmtId="0" fontId="6" fillId="0" borderId="15" xfId="0" applyNumberFormat="1" applyFont="1" applyBorder="1" applyAlignment="1">
      <alignment horizontal="center"/>
    </xf>
    <xf numFmtId="0" fontId="9" fillId="5" borderId="45" xfId="0" applyFont="1" applyFill="1" applyBorder="1" applyAlignment="1">
      <alignment horizontal="center"/>
    </xf>
    <xf numFmtId="0" fontId="6" fillId="0" borderId="14" xfId="0" applyFont="1" applyFill="1" applyBorder="1" applyAlignment="1" applyProtection="1">
      <alignment horizontal="left"/>
      <protection locked="0"/>
    </xf>
    <xf numFmtId="0" fontId="6" fillId="0" borderId="45" xfId="0" applyFont="1" applyBorder="1" applyAlignment="1" applyProtection="1">
      <alignment horizontal="left"/>
      <protection locked="0"/>
    </xf>
    <xf numFmtId="0" fontId="0" fillId="0" borderId="0" xfId="0" applyNumberFormat="1" applyBorder="1"/>
    <xf numFmtId="0" fontId="6" fillId="38" borderId="1" xfId="0" applyFont="1" applyFill="1" applyBorder="1" applyAlignment="1">
      <alignment horizontal="center"/>
    </xf>
    <xf numFmtId="0" fontId="6" fillId="17" borderId="1" xfId="0" applyFont="1" applyFill="1" applyBorder="1" applyAlignment="1">
      <alignment horizontal="center"/>
    </xf>
    <xf numFmtId="0" fontId="0" fillId="0" borderId="26" xfId="0" applyBorder="1" applyAlignment="1">
      <alignment horizontal="left"/>
    </xf>
    <xf numFmtId="0" fontId="3" fillId="0" borderId="56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3" fillId="5" borderId="45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Font="1" applyBorder="1"/>
    <xf numFmtId="0" fontId="0" fillId="0" borderId="24" xfId="0" applyBorder="1"/>
    <xf numFmtId="0" fontId="0" fillId="0" borderId="24" xfId="0" applyFill="1" applyBorder="1"/>
    <xf numFmtId="0" fontId="0" fillId="0" borderId="0" xfId="0" applyBorder="1" applyAlignment="1">
      <alignment horizontal="left" vertical="top"/>
    </xf>
    <xf numFmtId="0" fontId="0" fillId="0" borderId="127" xfId="0" applyBorder="1" applyAlignment="1">
      <alignment horizontal="right" vertical="top"/>
    </xf>
    <xf numFmtId="0" fontId="0" fillId="0" borderId="0" xfId="0" applyFill="1" applyBorder="1" applyAlignment="1" applyProtection="1">
      <alignment horizontal="center"/>
      <protection locked="0"/>
    </xf>
    <xf numFmtId="0" fontId="3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70" fillId="0" borderId="0" xfId="0" applyFont="1" applyBorder="1"/>
    <xf numFmtId="0" fontId="3" fillId="0" borderId="4" xfId="0" applyFont="1" applyFill="1" applyBorder="1" applyAlignment="1"/>
    <xf numFmtId="0" fontId="24" fillId="0" borderId="10" xfId="0" applyFont="1" applyBorder="1"/>
    <xf numFmtId="0" fontId="0" fillId="0" borderId="10" xfId="0" applyFill="1" applyBorder="1" applyAlignment="1" applyProtection="1">
      <protection locked="0"/>
    </xf>
    <xf numFmtId="0" fontId="7" fillId="0" borderId="132" xfId="0" applyFont="1" applyFill="1" applyBorder="1" applyAlignment="1">
      <alignment vertical="top"/>
    </xf>
    <xf numFmtId="0" fontId="0" fillId="0" borderId="131" xfId="0" applyFill="1" applyBorder="1"/>
    <xf numFmtId="0" fontId="0" fillId="0" borderId="56" xfId="0" applyFill="1" applyBorder="1"/>
    <xf numFmtId="0" fontId="5" fillId="0" borderId="0" xfId="0" applyFont="1" applyBorder="1"/>
    <xf numFmtId="0" fontId="0" fillId="0" borderId="127" xfId="0" applyNumberFormat="1" applyFont="1" applyFill="1" applyBorder="1" applyProtection="1"/>
    <xf numFmtId="0" fontId="8" fillId="0" borderId="16" xfId="0" applyFont="1" applyBorder="1"/>
    <xf numFmtId="0" fontId="0" fillId="0" borderId="146" xfId="0" applyBorder="1"/>
    <xf numFmtId="0" fontId="0" fillId="0" borderId="147" xfId="0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 applyAlignment="1">
      <alignment horizontal="center"/>
    </xf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8" fillId="0" borderId="154" xfId="0" applyFont="1" applyBorder="1"/>
    <xf numFmtId="0" fontId="0" fillId="0" borderId="155" xfId="0" applyBorder="1" applyAlignment="1">
      <alignment horizontal="center"/>
    </xf>
    <xf numFmtId="0" fontId="0" fillId="0" borderId="156" xfId="0" applyBorder="1"/>
    <xf numFmtId="0" fontId="8" fillId="0" borderId="51" xfId="0" applyFont="1" applyBorder="1"/>
    <xf numFmtId="0" fontId="0" fillId="0" borderId="150" xfId="0" applyBorder="1"/>
    <xf numFmtId="0" fontId="8" fillId="0" borderId="157" xfId="0" applyFont="1" applyBorder="1"/>
    <xf numFmtId="0" fontId="6" fillId="0" borderId="151" xfId="0" applyFont="1" applyBorder="1"/>
    <xf numFmtId="0" fontId="0" fillId="0" borderId="152" xfId="0" applyBorder="1"/>
    <xf numFmtId="0" fontId="0" fillId="0" borderId="153" xfId="0" applyBorder="1"/>
    <xf numFmtId="0" fontId="3" fillId="12" borderId="79" xfId="0" applyFont="1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43" fillId="0" borderId="0" xfId="1" applyBorder="1" applyAlignment="1">
      <alignment horizontal="center"/>
    </xf>
    <xf numFmtId="0" fontId="0" fillId="0" borderId="1" xfId="0" applyBorder="1"/>
    <xf numFmtId="0" fontId="3" fillId="5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5" xfId="0" applyBorder="1" applyAlignment="1">
      <alignment horizontal="center"/>
    </xf>
    <xf numFmtId="0" fontId="23" fillId="0" borderId="0" xfId="0" applyFont="1" applyAlignment="1">
      <alignment horizontal="center"/>
    </xf>
    <xf numFmtId="0" fontId="37" fillId="0" borderId="0" xfId="0" applyFont="1"/>
    <xf numFmtId="0" fontId="37" fillId="0" borderId="0" xfId="0" applyFont="1" applyAlignment="1">
      <alignment horizontal="center"/>
    </xf>
    <xf numFmtId="0" fontId="23" fillId="0" borderId="0" xfId="0" applyFont="1" applyProtection="1"/>
    <xf numFmtId="0" fontId="23" fillId="0" borderId="0" xfId="0" applyFont="1" applyAlignment="1" applyProtection="1">
      <alignment horizontal="center"/>
    </xf>
    <xf numFmtId="0" fontId="0" fillId="4" borderId="1" xfId="0" applyFill="1" applyBorder="1"/>
    <xf numFmtId="0" fontId="3" fillId="4" borderId="1" xfId="0" applyFont="1" applyFill="1" applyBorder="1" applyAlignment="1">
      <alignment horizontal="center"/>
    </xf>
    <xf numFmtId="0" fontId="0" fillId="0" borderId="0" xfId="0" applyFont="1" applyFill="1" applyAlignment="1">
      <alignment horizontal="left"/>
    </xf>
    <xf numFmtId="0" fontId="3" fillId="5" borderId="1" xfId="0" applyFont="1" applyFill="1" applyBorder="1" applyAlignment="1"/>
    <xf numFmtId="0" fontId="0" fillId="0" borderId="55" xfId="0" applyBorder="1" applyAlignment="1"/>
    <xf numFmtId="0" fontId="0" fillId="0" borderId="58" xfId="0" applyBorder="1" applyAlignment="1"/>
    <xf numFmtId="0" fontId="0" fillId="0" borderId="58" xfId="0" applyBorder="1" applyAlignment="1">
      <alignment horizontal="left"/>
    </xf>
    <xf numFmtId="0" fontId="0" fillId="0" borderId="60" xfId="0" applyBorder="1" applyAlignment="1"/>
    <xf numFmtId="0" fontId="0" fillId="0" borderId="158" xfId="0" applyBorder="1" applyAlignment="1"/>
    <xf numFmtId="0" fontId="0" fillId="0" borderId="159" xfId="0" applyBorder="1" applyAlignment="1"/>
    <xf numFmtId="0" fontId="36" fillId="0" borderId="1" xfId="0" applyFont="1" applyBorder="1" applyAlignment="1">
      <alignment horizontal="center"/>
    </xf>
    <xf numFmtId="0" fontId="71" fillId="9" borderId="0" xfId="0" applyFont="1" applyFill="1"/>
    <xf numFmtId="0" fontId="26" fillId="0" borderId="0" xfId="0" applyFont="1" applyBorder="1"/>
    <xf numFmtId="0" fontId="26" fillId="0" borderId="6" xfId="0" applyFont="1" applyBorder="1"/>
    <xf numFmtId="0" fontId="26" fillId="0" borderId="0" xfId="0" applyFont="1" applyFill="1" applyBorder="1"/>
    <xf numFmtId="0" fontId="3" fillId="8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46" fillId="9" borderId="1" xfId="0" applyFont="1" applyFill="1" applyBorder="1"/>
    <xf numFmtId="0" fontId="46" fillId="2" borderId="54" xfId="0" applyFont="1" applyFill="1" applyBorder="1" applyAlignment="1">
      <alignment horizontal="center" vertical="center"/>
    </xf>
    <xf numFmtId="0" fontId="21" fillId="2" borderId="54" xfId="0" applyFont="1" applyFill="1" applyBorder="1" applyAlignment="1">
      <alignment horizontal="center" vertical="center"/>
    </xf>
    <xf numFmtId="0" fontId="3" fillId="24" borderId="59" xfId="0" applyFont="1" applyFill="1" applyBorder="1" applyAlignment="1">
      <alignment horizontal="center"/>
    </xf>
    <xf numFmtId="4" fontId="3" fillId="24" borderId="59" xfId="0" applyNumberFormat="1" applyFont="1" applyFill="1" applyBorder="1" applyAlignment="1">
      <alignment horizontal="right"/>
    </xf>
    <xf numFmtId="0" fontId="0" fillId="0" borderId="1" xfId="0" applyBorder="1"/>
    <xf numFmtId="0" fontId="46" fillId="0" borderId="10" xfId="0" applyFont="1" applyBorder="1" applyAlignment="1">
      <alignment vertical="center"/>
    </xf>
    <xf numFmtId="0" fontId="22" fillId="0" borderId="77" xfId="0" applyFont="1" applyFill="1" applyBorder="1" applyAlignment="1">
      <alignment vertical="center"/>
    </xf>
    <xf numFmtId="0" fontId="22" fillId="0" borderId="21" xfId="0" applyFont="1" applyFill="1" applyBorder="1" applyAlignment="1">
      <alignment vertical="center"/>
    </xf>
    <xf numFmtId="0" fontId="22" fillId="0" borderId="134" xfId="0" applyFont="1" applyBorder="1"/>
    <xf numFmtId="0" fontId="22" fillId="0" borderId="160" xfId="0" applyFont="1" applyBorder="1"/>
    <xf numFmtId="49" fontId="46" fillId="0" borderId="45" xfId="0" applyNumberFormat="1" applyFont="1" applyBorder="1" applyAlignment="1">
      <alignment horizontal="center" vertical="center"/>
    </xf>
    <xf numFmtId="0" fontId="22" fillId="0" borderId="6" xfId="0" applyFont="1" applyBorder="1" applyAlignment="1">
      <alignment horizontal="left" vertical="center"/>
    </xf>
    <xf numFmtId="0" fontId="23" fillId="0" borderId="1" xfId="0" applyNumberFormat="1" applyFont="1" applyBorder="1" applyAlignment="1">
      <alignment horizontal="center"/>
    </xf>
    <xf numFmtId="0" fontId="61" fillId="0" borderId="1" xfId="0" applyNumberFormat="1" applyFont="1" applyBorder="1" applyAlignment="1">
      <alignment horizontal="center"/>
    </xf>
    <xf numFmtId="0" fontId="0" fillId="0" borderId="1" xfId="0" applyBorder="1"/>
    <xf numFmtId="0" fontId="73" fillId="0" borderId="0" xfId="0" applyFont="1"/>
    <xf numFmtId="0" fontId="74" fillId="19" borderId="1" xfId="0" applyFont="1" applyFill="1" applyBorder="1" applyAlignment="1">
      <alignment horizontal="justify"/>
    </xf>
    <xf numFmtId="0" fontId="36" fillId="0" borderId="103" xfId="0" applyFont="1" applyBorder="1"/>
    <xf numFmtId="49" fontId="72" fillId="0" borderId="10" xfId="0" applyNumberFormat="1" applyFont="1" applyFill="1" applyBorder="1" applyAlignment="1"/>
    <xf numFmtId="0" fontId="0" fillId="0" borderId="0" xfId="0" applyFill="1" applyAlignment="1">
      <alignment horizontal="center"/>
    </xf>
    <xf numFmtId="0" fontId="0" fillId="0" borderId="1" xfId="0" applyBorder="1"/>
    <xf numFmtId="0" fontId="0" fillId="0" borderId="14" xfId="0" applyBorder="1"/>
    <xf numFmtId="0" fontId="76" fillId="0" borderId="1" xfId="0" applyFont="1" applyFill="1" applyBorder="1" applyAlignment="1">
      <alignment horizontal="center"/>
    </xf>
    <xf numFmtId="0" fontId="75" fillId="0" borderId="1" xfId="0" applyFont="1" applyFill="1" applyBorder="1" applyAlignment="1">
      <alignment horizontal="center"/>
    </xf>
    <xf numFmtId="0" fontId="0" fillId="17" borderId="0" xfId="0" applyFill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6" fillId="0" borderId="0" xfId="0" applyNumberFormat="1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66" fillId="9" borderId="1" xfId="0" applyFont="1" applyFill="1" applyBorder="1" applyAlignment="1">
      <alignment horizontal="left"/>
    </xf>
    <xf numFmtId="0" fontId="37" fillId="25" borderId="0" xfId="0" applyFont="1" applyFill="1" applyBorder="1" applyAlignment="1">
      <alignment horizontal="center"/>
    </xf>
    <xf numFmtId="0" fontId="0" fillId="0" borderId="59" xfId="0" applyFill="1" applyBorder="1"/>
    <xf numFmtId="0" fontId="0" fillId="11" borderId="0" xfId="0" applyFill="1" applyBorder="1"/>
    <xf numFmtId="0" fontId="6" fillId="0" borderId="14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0" fillId="0" borderId="4" xfId="0" applyFont="1" applyBorder="1" applyAlignment="1"/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0" fontId="10" fillId="0" borderId="161" xfId="0" applyFont="1" applyBorder="1"/>
    <xf numFmtId="0" fontId="24" fillId="0" borderId="163" xfId="0" applyFont="1" applyBorder="1" applyAlignment="1"/>
    <xf numFmtId="0" fontId="24" fillId="0" borderId="164" xfId="0" applyFont="1" applyBorder="1" applyAlignment="1"/>
    <xf numFmtId="0" fontId="10" fillId="0" borderId="164" xfId="0" applyFont="1" applyBorder="1"/>
    <xf numFmtId="0" fontId="3" fillId="0" borderId="165" xfId="0" applyFont="1" applyBorder="1" applyAlignment="1">
      <alignment horizontal="center"/>
    </xf>
    <xf numFmtId="0" fontId="24" fillId="0" borderId="166" xfId="0" applyFont="1" applyBorder="1" applyAlignment="1"/>
    <xf numFmtId="0" fontId="24" fillId="0" borderId="167" xfId="0" applyFont="1" applyBorder="1" applyAlignment="1"/>
    <xf numFmtId="0" fontId="0" fillId="0" borderId="168" xfId="0" applyBorder="1" applyAlignment="1"/>
    <xf numFmtId="0" fontId="6" fillId="0" borderId="169" xfId="0" applyFont="1" applyBorder="1" applyAlignment="1">
      <alignment horizontal="center"/>
    </xf>
    <xf numFmtId="0" fontId="24" fillId="0" borderId="170" xfId="0" applyFont="1" applyBorder="1" applyAlignment="1"/>
    <xf numFmtId="0" fontId="24" fillId="0" borderId="171" xfId="0" applyFont="1" applyBorder="1" applyAlignment="1"/>
    <xf numFmtId="0" fontId="30" fillId="10" borderId="1" xfId="0" applyFont="1" applyFill="1" applyBorder="1"/>
    <xf numFmtId="0" fontId="30" fillId="0" borderId="1" xfId="0" applyFont="1" applyBorder="1"/>
    <xf numFmtId="0" fontId="30" fillId="10" borderId="1" xfId="0" applyFont="1" applyFill="1" applyBorder="1" applyAlignment="1">
      <alignment horizontal="center"/>
    </xf>
    <xf numFmtId="0" fontId="10" fillId="0" borderId="83" xfId="0" applyFont="1" applyBorder="1" applyAlignment="1"/>
    <xf numFmtId="0" fontId="10" fillId="0" borderId="85" xfId="0" applyFont="1" applyBorder="1" applyAlignment="1"/>
    <xf numFmtId="0" fontId="10" fillId="0" borderId="60" xfId="0" applyFont="1" applyBorder="1" applyAlignment="1">
      <alignment horizontal="center"/>
    </xf>
    <xf numFmtId="0" fontId="30" fillId="0" borderId="29" xfId="0" applyFont="1" applyBorder="1" applyAlignment="1"/>
    <xf numFmtId="0" fontId="30" fillId="0" borderId="61" xfId="0" applyFont="1" applyBorder="1" applyAlignment="1"/>
    <xf numFmtId="0" fontId="77" fillId="0" borderId="55" xfId="0" applyFont="1" applyBorder="1" applyAlignment="1">
      <alignment horizontal="center"/>
    </xf>
    <xf numFmtId="0" fontId="77" fillId="0" borderId="29" xfId="0" applyFont="1" applyBorder="1" applyAlignment="1">
      <alignment horizontal="center"/>
    </xf>
    <xf numFmtId="0" fontId="77" fillId="0" borderId="1" xfId="0" applyFont="1" applyFill="1" applyBorder="1" applyAlignment="1">
      <alignment horizontal="center"/>
    </xf>
    <xf numFmtId="0" fontId="77" fillId="0" borderId="1" xfId="0" applyFont="1" applyBorder="1" applyAlignment="1">
      <alignment horizontal="center"/>
    </xf>
    <xf numFmtId="0" fontId="10" fillId="4" borderId="1" xfId="0" applyFont="1" applyFill="1" applyBorder="1"/>
    <xf numFmtId="0" fontId="31" fillId="0" borderId="0" xfId="0" applyFont="1"/>
    <xf numFmtId="0" fontId="30" fillId="34" borderId="1" xfId="0" applyFont="1" applyFill="1" applyBorder="1" applyAlignment="1">
      <alignment horizontal="center"/>
    </xf>
    <xf numFmtId="0" fontId="30" fillId="26" borderId="1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0" fontId="30" fillId="39" borderId="1" xfId="0" applyFont="1" applyFill="1" applyBorder="1" applyAlignment="1">
      <alignment horizontal="center"/>
    </xf>
    <xf numFmtId="0" fontId="30" fillId="8" borderId="1" xfId="0" applyFont="1" applyFill="1" applyBorder="1" applyAlignment="1">
      <alignment horizontal="center"/>
    </xf>
    <xf numFmtId="0" fontId="30" fillId="15" borderId="1" xfId="0" applyFont="1" applyFill="1" applyBorder="1" applyAlignment="1">
      <alignment horizontal="center"/>
    </xf>
    <xf numFmtId="0" fontId="77" fillId="0" borderId="173" xfId="0" applyFont="1" applyBorder="1" applyAlignment="1">
      <alignment horizontal="center"/>
    </xf>
    <xf numFmtId="0" fontId="24" fillId="0" borderId="174" xfId="0" applyFont="1" applyBorder="1" applyAlignment="1"/>
    <xf numFmtId="0" fontId="77" fillId="0" borderId="175" xfId="0" applyFont="1" applyBorder="1" applyAlignment="1">
      <alignment horizontal="center"/>
    </xf>
    <xf numFmtId="0" fontId="78" fillId="19" borderId="1" xfId="0" applyFont="1" applyFill="1" applyBorder="1" applyAlignment="1">
      <alignment horizontal="center"/>
    </xf>
    <xf numFmtId="49" fontId="23" fillId="0" borderId="0" xfId="0" applyNumberFormat="1" applyFont="1" applyFill="1"/>
    <xf numFmtId="0" fontId="57" fillId="0" borderId="0" xfId="0" applyNumberFormat="1" applyFont="1" applyAlignment="1">
      <alignment horizontal="left"/>
    </xf>
    <xf numFmtId="49" fontId="0" fillId="17" borderId="0" xfId="0" applyNumberFormat="1" applyFill="1"/>
    <xf numFmtId="49" fontId="0" fillId="0" borderId="0" xfId="0" applyNumberFormat="1" applyFill="1" applyAlignment="1">
      <alignment wrapText="1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wrapText="1"/>
    </xf>
    <xf numFmtId="0" fontId="0" fillId="9" borderId="0" xfId="0" applyFill="1" applyAlignment="1">
      <alignment horizontal="right"/>
    </xf>
    <xf numFmtId="0" fontId="7" fillId="9" borderId="56" xfId="0" applyFont="1" applyFill="1" applyBorder="1"/>
    <xf numFmtId="0" fontId="0" fillId="9" borderId="0" xfId="0" applyFill="1" applyBorder="1"/>
    <xf numFmtId="0" fontId="0" fillId="9" borderId="10" xfId="0" applyFill="1" applyBorder="1" applyAlignment="1"/>
    <xf numFmtId="0" fontId="22" fillId="9" borderId="10" xfId="0" applyFont="1" applyFill="1" applyBorder="1" applyAlignment="1"/>
    <xf numFmtId="49" fontId="0" fillId="9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45" xfId="0" applyBorder="1"/>
    <xf numFmtId="0" fontId="0" fillId="20" borderId="1" xfId="0" applyFill="1" applyBorder="1"/>
    <xf numFmtId="0" fontId="32" fillId="0" borderId="9" xfId="0" applyFont="1" applyFill="1" applyBorder="1" applyAlignment="1" applyProtection="1">
      <alignment horizontal="right"/>
      <protection locked="0"/>
    </xf>
    <xf numFmtId="0" fontId="6" fillId="0" borderId="15" xfId="0" applyFont="1" applyBorder="1" applyAlignment="1">
      <alignment horizontal="center"/>
    </xf>
    <xf numFmtId="49" fontId="6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32" fillId="0" borderId="0" xfId="0" applyFont="1"/>
    <xf numFmtId="0" fontId="32" fillId="0" borderId="0" xfId="0" applyFont="1" applyBorder="1"/>
    <xf numFmtId="0" fontId="7" fillId="0" borderId="56" xfId="0" applyFont="1" applyBorder="1"/>
    <xf numFmtId="0" fontId="0" fillId="0" borderId="45" xfId="0" applyNumberFormat="1" applyBorder="1"/>
    <xf numFmtId="0" fontId="0" fillId="0" borderId="86" xfId="0" applyBorder="1"/>
    <xf numFmtId="0" fontId="0" fillId="0" borderId="77" xfId="0" applyBorder="1"/>
    <xf numFmtId="0" fontId="0" fillId="0" borderId="77" xfId="0" applyNumberFormat="1" applyBorder="1"/>
    <xf numFmtId="0" fontId="0" fillId="0" borderId="176" xfId="0" applyBorder="1"/>
    <xf numFmtId="0" fontId="0" fillId="17" borderId="58" xfId="0" applyFill="1" applyBorder="1"/>
    <xf numFmtId="0" fontId="0" fillId="10" borderId="58" xfId="0" applyFill="1" applyBorder="1"/>
    <xf numFmtId="0" fontId="0" fillId="0" borderId="58" xfId="0" applyFill="1" applyBorder="1"/>
    <xf numFmtId="0" fontId="0" fillId="38" borderId="58" xfId="0" applyFill="1" applyBorder="1"/>
    <xf numFmtId="0" fontId="3" fillId="5" borderId="0" xfId="0" applyFont="1" applyFill="1" applyAlignment="1">
      <alignment horizontal="center" vertical="center" wrapText="1"/>
    </xf>
    <xf numFmtId="0" fontId="0" fillId="0" borderId="1" xfId="0" applyBorder="1"/>
    <xf numFmtId="0" fontId="0" fillId="0" borderId="1" xfId="0" applyBorder="1"/>
    <xf numFmtId="0" fontId="3" fillId="0" borderId="24" xfId="0" applyFont="1" applyFill="1" applyBorder="1" applyAlignment="1">
      <alignment horizontal="right"/>
    </xf>
    <xf numFmtId="0" fontId="0" fillId="0" borderId="1" xfId="0" applyBorder="1"/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19" borderId="0" xfId="0" applyFill="1"/>
    <xf numFmtId="0" fontId="0" fillId="19" borderId="0" xfId="0" applyFill="1" applyBorder="1" applyAlignment="1">
      <alignment horizontal="right"/>
    </xf>
    <xf numFmtId="0" fontId="0" fillId="0" borderId="1" xfId="0" applyBorder="1"/>
    <xf numFmtId="0" fontId="49" fillId="9" borderId="0" xfId="0" applyFont="1" applyFill="1"/>
    <xf numFmtId="0" fontId="37" fillId="4" borderId="0" xfId="0" applyNumberFormat="1" applyFont="1" applyFill="1"/>
    <xf numFmtId="0" fontId="0" fillId="0" borderId="177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 applyProtection="1">
      <alignment horizontal="center"/>
      <protection locked="0"/>
    </xf>
    <xf numFmtId="0" fontId="0" fillId="0" borderId="1" xfId="0" applyBorder="1"/>
    <xf numFmtId="0" fontId="3" fillId="8" borderId="1" xfId="0" applyFont="1" applyFill="1" applyBorder="1" applyAlignment="1">
      <alignment horizontal="center"/>
    </xf>
    <xf numFmtId="0" fontId="0" fillId="0" borderId="178" xfId="0" applyFill="1" applyBorder="1" applyAlignment="1" applyProtection="1">
      <alignment horizontal="center"/>
      <protection locked="0"/>
    </xf>
    <xf numFmtId="0" fontId="0" fillId="0" borderId="178" xfId="0" applyFont="1" applyFill="1" applyBorder="1" applyAlignment="1">
      <alignment horizontal="center"/>
    </xf>
    <xf numFmtId="0" fontId="0" fillId="9" borderId="178" xfId="0" applyFont="1" applyFill="1" applyBorder="1" applyAlignment="1">
      <alignment horizontal="center"/>
    </xf>
    <xf numFmtId="0" fontId="0" fillId="0" borderId="31" xfId="0" applyFont="1" applyFill="1" applyBorder="1" applyAlignment="1">
      <alignment horizontal="center"/>
    </xf>
    <xf numFmtId="0" fontId="0" fillId="9" borderId="31" xfId="0" applyFont="1" applyFill="1" applyBorder="1" applyAlignment="1">
      <alignment horizontal="center"/>
    </xf>
    <xf numFmtId="0" fontId="0" fillId="0" borderId="181" xfId="0" applyFill="1" applyBorder="1" applyAlignment="1" applyProtection="1">
      <alignment horizontal="center"/>
      <protection locked="0"/>
    </xf>
    <xf numFmtId="0" fontId="0" fillId="0" borderId="181" xfId="0" applyFont="1" applyFill="1" applyBorder="1" applyAlignment="1">
      <alignment horizontal="center"/>
    </xf>
    <xf numFmtId="0" fontId="0" fillId="9" borderId="181" xfId="0" applyFont="1" applyFill="1" applyBorder="1" applyAlignment="1">
      <alignment horizontal="center"/>
    </xf>
    <xf numFmtId="0" fontId="74" fillId="0" borderId="0" xfId="0" applyFont="1"/>
    <xf numFmtId="0" fontId="26" fillId="0" borderId="0" xfId="0" applyFont="1" applyFill="1" applyBorder="1" applyAlignment="1">
      <alignment horizontal="right"/>
    </xf>
    <xf numFmtId="164" fontId="75" fillId="0" borderId="1" xfId="0" applyNumberFormat="1" applyFont="1" applyFill="1" applyBorder="1" applyAlignment="1">
      <alignment horizontal="center"/>
    </xf>
    <xf numFmtId="0" fontId="81" fillId="0" borderId="56" xfId="0" applyFont="1" applyBorder="1" applyAlignment="1">
      <alignment vertical="center"/>
    </xf>
    <xf numFmtId="0" fontId="74" fillId="0" borderId="0" xfId="0" applyFont="1" applyBorder="1" applyAlignment="1">
      <alignment vertical="center"/>
    </xf>
    <xf numFmtId="0" fontId="74" fillId="0" borderId="0" xfId="0" applyFont="1" applyBorder="1"/>
    <xf numFmtId="0" fontId="74" fillId="0" borderId="122" xfId="0" applyFont="1" applyFill="1" applyBorder="1" applyAlignment="1">
      <alignment vertical="center"/>
    </xf>
    <xf numFmtId="0" fontId="74" fillId="0" borderId="45" xfId="0" applyFont="1" applyFill="1" applyBorder="1" applyAlignment="1">
      <alignment vertical="center"/>
    </xf>
    <xf numFmtId="0" fontId="74" fillId="0" borderId="14" xfId="0" applyFont="1" applyFill="1" applyBorder="1" applyAlignment="1">
      <alignment vertical="center"/>
    </xf>
    <xf numFmtId="0" fontId="74" fillId="0" borderId="1" xfId="0" applyFont="1" applyFill="1" applyBorder="1" applyAlignment="1">
      <alignment vertical="center"/>
    </xf>
    <xf numFmtId="0" fontId="26" fillId="0" borderId="56" xfId="0" applyFont="1" applyBorder="1"/>
    <xf numFmtId="0" fontId="81" fillId="0" borderId="0" xfId="0" applyFont="1" applyBorder="1" applyAlignment="1">
      <alignment horizontal="right" vertical="center"/>
    </xf>
    <xf numFmtId="0" fontId="74" fillId="0" borderId="0" xfId="0" applyFont="1" applyBorder="1" applyAlignment="1">
      <alignment horizontal="right" vertical="center"/>
    </xf>
    <xf numFmtId="0" fontId="74" fillId="0" borderId="56" xfId="0" applyFont="1" applyBorder="1"/>
    <xf numFmtId="3" fontId="74" fillId="0" borderId="1" xfId="0" applyNumberFormat="1" applyFont="1" applyBorder="1" applyAlignment="1">
      <alignment vertical="center"/>
    </xf>
    <xf numFmtId="0" fontId="83" fillId="0" borderId="0" xfId="0" applyFont="1" applyBorder="1" applyAlignment="1">
      <alignment vertical="center"/>
    </xf>
    <xf numFmtId="0" fontId="26" fillId="0" borderId="123" xfId="0" applyFont="1" applyBorder="1"/>
    <xf numFmtId="0" fontId="26" fillId="0" borderId="127" xfId="0" applyFont="1" applyBorder="1"/>
    <xf numFmtId="0" fontId="81" fillId="0" borderId="127" xfId="0" applyFont="1" applyBorder="1" applyAlignment="1">
      <alignment horizontal="right" vertical="center"/>
    </xf>
    <xf numFmtId="3" fontId="74" fillId="0" borderId="79" xfId="0" applyNumberFormat="1" applyFont="1" applyBorder="1" applyAlignment="1">
      <alignment vertical="center"/>
    </xf>
    <xf numFmtId="0" fontId="83" fillId="0" borderId="127" xfId="0" applyFont="1" applyBorder="1" applyAlignment="1">
      <alignment vertical="center"/>
    </xf>
    <xf numFmtId="0" fontId="84" fillId="0" borderId="1" xfId="0" applyFont="1" applyBorder="1" applyAlignment="1">
      <alignment horizontal="center"/>
    </xf>
    <xf numFmtId="49" fontId="75" fillId="0" borderId="1" xfId="0" applyNumberFormat="1" applyFont="1" applyBorder="1" applyAlignment="1">
      <alignment horizontal="center"/>
    </xf>
    <xf numFmtId="0" fontId="82" fillId="33" borderId="4" xfId="0" applyFont="1" applyFill="1" applyBorder="1" applyAlignment="1">
      <alignment vertical="center"/>
    </xf>
    <xf numFmtId="0" fontId="85" fillId="0" borderId="0" xfId="0" applyFont="1" applyBorder="1" applyAlignment="1">
      <alignment vertical="center"/>
    </xf>
    <xf numFmtId="0" fontId="46" fillId="0" borderId="0" xfId="0" applyFont="1" applyAlignment="1">
      <alignment horizontal="center"/>
    </xf>
    <xf numFmtId="0" fontId="46" fillId="0" borderId="0" xfId="0" applyFont="1"/>
    <xf numFmtId="0" fontId="35" fillId="4" borderId="1" xfId="0" applyFont="1" applyFill="1" applyBorder="1" applyAlignment="1">
      <alignment vertical="center"/>
    </xf>
    <xf numFmtId="0" fontId="22" fillId="0" borderId="4" xfId="0" applyFont="1" applyBorder="1" applyAlignment="1"/>
    <xf numFmtId="0" fontId="22" fillId="0" borderId="45" xfId="0" applyFont="1" applyBorder="1" applyAlignment="1"/>
    <xf numFmtId="0" fontId="22" fillId="0" borderId="14" xfId="0" applyFont="1" applyBorder="1" applyAlignment="1"/>
    <xf numFmtId="0" fontId="22" fillId="0" borderId="21" xfId="0" applyFont="1" applyBorder="1" applyAlignment="1"/>
    <xf numFmtId="0" fontId="22" fillId="0" borderId="77" xfId="0" applyFont="1" applyBorder="1" applyAlignment="1"/>
    <xf numFmtId="0" fontId="22" fillId="0" borderId="84" xfId="0" applyFont="1" applyBorder="1" applyAlignment="1"/>
    <xf numFmtId="0" fontId="22" fillId="0" borderId="79" xfId="0" applyFont="1" applyFill="1" applyBorder="1" applyAlignment="1">
      <alignment vertical="center"/>
    </xf>
    <xf numFmtId="49" fontId="86" fillId="0" borderId="0" xfId="0" applyNumberFormat="1" applyFont="1" applyBorder="1" applyAlignment="1">
      <alignment vertical="center"/>
    </xf>
    <xf numFmtId="0" fontId="22" fillId="0" borderId="128" xfId="0" applyFont="1" applyBorder="1" applyAlignment="1">
      <alignment horizontal="left" vertical="center"/>
    </xf>
    <xf numFmtId="0" fontId="87" fillId="0" borderId="0" xfId="0" applyFont="1"/>
    <xf numFmtId="0" fontId="3" fillId="9" borderId="4" xfId="0" applyFont="1" applyFill="1" applyBorder="1" applyAlignment="1">
      <alignment horizontal="center"/>
    </xf>
    <xf numFmtId="0" fontId="3" fillId="9" borderId="45" xfId="0" applyFont="1" applyFill="1" applyBorder="1" applyAlignment="1">
      <alignment horizontal="center"/>
    </xf>
    <xf numFmtId="0" fontId="3" fillId="9" borderId="1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25" borderId="4" xfId="0" applyFont="1" applyFill="1" applyBorder="1" applyAlignment="1">
      <alignment horizontal="center"/>
    </xf>
    <xf numFmtId="0" fontId="3" fillId="25" borderId="14" xfId="0" applyFont="1" applyFill="1" applyBorder="1" applyAlignment="1">
      <alignment horizontal="center"/>
    </xf>
    <xf numFmtId="0" fontId="0" fillId="15" borderId="4" xfId="0" applyFill="1" applyBorder="1" applyAlignment="1">
      <alignment horizontal="left"/>
    </xf>
    <xf numFmtId="0" fontId="0" fillId="15" borderId="45" xfId="0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45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3" fillId="21" borderId="4" xfId="0" applyFont="1" applyFill="1" applyBorder="1" applyAlignment="1">
      <alignment horizontal="center"/>
    </xf>
    <xf numFmtId="0" fontId="3" fillId="21" borderId="14" xfId="0" applyFont="1" applyFill="1" applyBorder="1" applyAlignment="1">
      <alignment horizontal="center"/>
    </xf>
    <xf numFmtId="0" fontId="36" fillId="9" borderId="4" xfId="0" applyFont="1" applyFill="1" applyBorder="1" applyAlignment="1">
      <alignment horizontal="left"/>
    </xf>
    <xf numFmtId="0" fontId="36" fillId="9" borderId="45" xfId="0" applyFont="1" applyFill="1" applyBorder="1" applyAlignment="1">
      <alignment horizontal="left"/>
    </xf>
    <xf numFmtId="0" fontId="36" fillId="9" borderId="14" xfId="0" applyFont="1" applyFill="1" applyBorder="1" applyAlignment="1">
      <alignment horizontal="left"/>
    </xf>
    <xf numFmtId="0" fontId="37" fillId="4" borderId="0" xfId="0" applyFont="1" applyFill="1" applyAlignment="1">
      <alignment horizontal="left"/>
    </xf>
    <xf numFmtId="0" fontId="63" fillId="4" borderId="6" xfId="0" applyFont="1" applyFill="1" applyBorder="1" applyAlignment="1">
      <alignment horizontal="left"/>
    </xf>
    <xf numFmtId="0" fontId="63" fillId="4" borderId="0" xfId="0" applyFont="1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14" xfId="0" applyBorder="1" applyAlignment="1">
      <alignment horizontal="left"/>
    </xf>
    <xf numFmtId="0" fontId="5" fillId="0" borderId="1" xfId="0" applyFont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14" xfId="0" applyFill="1" applyBorder="1" applyAlignment="1">
      <alignment horizontal="left"/>
    </xf>
    <xf numFmtId="0" fontId="10" fillId="0" borderId="4" xfId="0" applyFont="1" applyFill="1" applyBorder="1" applyAlignment="1" applyProtection="1">
      <alignment horizontal="left"/>
      <protection locked="0"/>
    </xf>
    <xf numFmtId="0" fontId="10" fillId="0" borderId="45" xfId="0" applyFont="1" applyFill="1" applyBorder="1" applyAlignment="1" applyProtection="1">
      <alignment horizontal="left"/>
      <protection locked="0"/>
    </xf>
    <xf numFmtId="0" fontId="10" fillId="0" borderId="14" xfId="0" applyFont="1" applyFill="1" applyBorder="1" applyAlignment="1" applyProtection="1">
      <alignment horizontal="left"/>
      <protection locked="0"/>
    </xf>
    <xf numFmtId="0" fontId="0" fillId="0" borderId="122" xfId="0" applyFill="1" applyBorder="1" applyAlignment="1" applyProtection="1">
      <alignment horizontal="left"/>
      <protection locked="0"/>
    </xf>
    <xf numFmtId="0" fontId="0" fillId="0" borderId="14" xfId="0" applyFill="1" applyBorder="1" applyAlignment="1" applyProtection="1">
      <alignment horizontal="left"/>
      <protection locked="0"/>
    </xf>
    <xf numFmtId="0" fontId="0" fillId="2" borderId="21" xfId="0" applyFill="1" applyBorder="1" applyAlignment="1">
      <alignment horizontal="center"/>
    </xf>
    <xf numFmtId="0" fontId="0" fillId="2" borderId="77" xfId="0" applyFill="1" applyBorder="1" applyAlignment="1">
      <alignment horizontal="center"/>
    </xf>
    <xf numFmtId="0" fontId="0" fillId="2" borderId="84" xfId="0" applyFill="1" applyBorder="1" applyAlignment="1">
      <alignment horizontal="center"/>
    </xf>
    <xf numFmtId="0" fontId="0" fillId="0" borderId="18" xfId="0" applyFill="1" applyBorder="1" applyAlignment="1" applyProtection="1">
      <alignment horizontal="left"/>
      <protection locked="0"/>
    </xf>
    <xf numFmtId="0" fontId="0" fillId="0" borderId="63" xfId="0" applyFill="1" applyBorder="1" applyAlignment="1" applyProtection="1">
      <alignment horizontal="left"/>
      <protection locked="0"/>
    </xf>
    <xf numFmtId="0" fontId="0" fillId="0" borderId="95" xfId="0" applyFill="1" applyBorder="1" applyAlignment="1" applyProtection="1">
      <alignment horizontal="left"/>
      <protection locked="0"/>
    </xf>
    <xf numFmtId="0" fontId="0" fillId="0" borderId="4" xfId="0" applyFill="1" applyBorder="1" applyAlignment="1" applyProtection="1">
      <alignment horizontal="left"/>
      <protection locked="0"/>
    </xf>
    <xf numFmtId="0" fontId="0" fillId="0" borderId="45" xfId="0" applyFill="1" applyBorder="1" applyAlignment="1" applyProtection="1">
      <alignment horizontal="left"/>
      <protection locked="0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0" borderId="18" xfId="0" applyFont="1" applyFill="1" applyBorder="1" applyAlignment="1" applyProtection="1">
      <alignment horizontal="left"/>
      <protection locked="0"/>
    </xf>
    <xf numFmtId="0" fontId="10" fillId="0" borderId="63" xfId="0" applyFont="1" applyFill="1" applyBorder="1" applyAlignment="1" applyProtection="1">
      <alignment horizontal="left"/>
      <protection locked="0"/>
    </xf>
    <xf numFmtId="0" fontId="10" fillId="0" borderId="95" xfId="0" applyFont="1" applyFill="1" applyBorder="1" applyAlignment="1" applyProtection="1">
      <alignment horizontal="left"/>
      <protection locked="0"/>
    </xf>
    <xf numFmtId="0" fontId="3" fillId="0" borderId="0" xfId="0" applyFont="1" applyBorder="1" applyAlignment="1">
      <alignment horizontal="center"/>
    </xf>
    <xf numFmtId="0" fontId="65" fillId="2" borderId="1" xfId="0" applyNumberFormat="1" applyFont="1" applyFill="1" applyBorder="1" applyAlignment="1" applyProtection="1">
      <alignment horizontal="center" vertical="center"/>
    </xf>
    <xf numFmtId="0" fontId="0" fillId="4" borderId="4" xfId="0" applyNumberFormat="1" applyFont="1" applyFill="1" applyBorder="1" applyAlignment="1" applyProtection="1">
      <alignment horizontal="left"/>
    </xf>
    <xf numFmtId="0" fontId="0" fillId="4" borderId="45" xfId="0" applyNumberFormat="1" applyFont="1" applyFill="1" applyBorder="1" applyAlignment="1" applyProtection="1">
      <alignment horizontal="left"/>
    </xf>
    <xf numFmtId="0" fontId="0" fillId="4" borderId="14" xfId="0" applyNumberFormat="1" applyFont="1" applyFill="1" applyBorder="1" applyAlignment="1" applyProtection="1">
      <alignment horizontal="left"/>
    </xf>
    <xf numFmtId="0" fontId="0" fillId="0" borderId="4" xfId="0" applyNumberFormat="1" applyFont="1" applyFill="1" applyBorder="1" applyAlignment="1" applyProtection="1">
      <alignment horizontal="left"/>
    </xf>
    <xf numFmtId="0" fontId="0" fillId="0" borderId="45" xfId="0" applyNumberFormat="1" applyFont="1" applyFill="1" applyBorder="1" applyAlignment="1" applyProtection="1">
      <alignment horizontal="left"/>
    </xf>
    <xf numFmtId="0" fontId="0" fillId="0" borderId="14" xfId="0" applyNumberFormat="1" applyFont="1" applyFill="1" applyBorder="1" applyAlignment="1" applyProtection="1">
      <alignment horizontal="left"/>
    </xf>
    <xf numFmtId="0" fontId="3" fillId="2" borderId="4" xfId="0" applyFont="1" applyFill="1" applyBorder="1" applyAlignment="1">
      <alignment horizontal="center"/>
    </xf>
    <xf numFmtId="0" fontId="3" fillId="2" borderId="45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8" fillId="0" borderId="4" xfId="0" applyFont="1" applyFill="1" applyBorder="1" applyAlignment="1" applyProtection="1">
      <alignment horizontal="left"/>
      <protection locked="0"/>
    </xf>
    <xf numFmtId="0" fontId="8" fillId="0" borderId="45" xfId="0" applyFont="1" applyFill="1" applyBorder="1" applyAlignment="1" applyProtection="1">
      <alignment horizontal="left"/>
      <protection locked="0"/>
    </xf>
    <xf numFmtId="0" fontId="8" fillId="0" borderId="14" xfId="0" applyFont="1" applyFill="1" applyBorder="1" applyAlignment="1" applyProtection="1">
      <alignment horizontal="left"/>
      <protection locked="0"/>
    </xf>
    <xf numFmtId="0" fontId="3" fillId="0" borderId="10" xfId="0" applyFont="1" applyBorder="1" applyAlignment="1">
      <alignment horizontal="left"/>
    </xf>
    <xf numFmtId="0" fontId="0" fillId="0" borderId="62" xfId="0" applyFill="1" applyBorder="1" applyAlignment="1" applyProtection="1">
      <alignment horizontal="left"/>
      <protection locked="0"/>
    </xf>
    <xf numFmtId="0" fontId="0" fillId="0" borderId="133" xfId="0" applyFill="1" applyBorder="1" applyAlignment="1" applyProtection="1">
      <alignment horizontal="left"/>
      <protection locked="0"/>
    </xf>
    <xf numFmtId="0" fontId="0" fillId="0" borderId="84" xfId="0" applyFill="1" applyBorder="1" applyAlignment="1" applyProtection="1">
      <alignment horizontal="left"/>
      <protection locked="0"/>
    </xf>
    <xf numFmtId="0" fontId="8" fillId="0" borderId="18" xfId="0" applyFont="1" applyFill="1" applyBorder="1" applyAlignment="1" applyProtection="1">
      <alignment horizontal="left"/>
      <protection locked="0"/>
    </xf>
    <xf numFmtId="0" fontId="8" fillId="0" borderId="63" xfId="0" applyFont="1" applyFill="1" applyBorder="1" applyAlignment="1" applyProtection="1">
      <alignment horizontal="left"/>
      <protection locked="0"/>
    </xf>
    <xf numFmtId="0" fontId="8" fillId="0" borderId="95" xfId="0" applyFont="1" applyFill="1" applyBorder="1" applyAlignment="1" applyProtection="1">
      <alignment horizontal="left"/>
      <protection locked="0"/>
    </xf>
    <xf numFmtId="0" fontId="27" fillId="0" borderId="45" xfId="0" applyFont="1" applyFill="1" applyBorder="1" applyAlignment="1" applyProtection="1">
      <alignment horizontal="left"/>
      <protection locked="0"/>
    </xf>
    <xf numFmtId="0" fontId="27" fillId="0" borderId="14" xfId="0" applyFont="1" applyFill="1" applyBorder="1" applyAlignment="1" applyProtection="1">
      <alignment horizontal="left"/>
      <protection locked="0"/>
    </xf>
    <xf numFmtId="0" fontId="0" fillId="0" borderId="4" xfId="0" applyFont="1" applyFill="1" applyBorder="1" applyAlignment="1">
      <alignment horizontal="left" vertical="top"/>
    </xf>
    <xf numFmtId="0" fontId="0" fillId="0" borderId="45" xfId="0" applyFont="1" applyFill="1" applyBorder="1" applyAlignment="1">
      <alignment horizontal="left" vertical="top"/>
    </xf>
    <xf numFmtId="0" fontId="10" fillId="0" borderId="21" xfId="0" applyFont="1" applyFill="1" applyBorder="1" applyAlignment="1" applyProtection="1">
      <alignment horizontal="left"/>
      <protection locked="0"/>
    </xf>
    <xf numFmtId="0" fontId="10" fillId="0" borderId="77" xfId="0" applyFont="1" applyFill="1" applyBorder="1" applyAlignment="1" applyProtection="1">
      <alignment horizontal="left"/>
      <protection locked="0"/>
    </xf>
    <xf numFmtId="0" fontId="10" fillId="0" borderId="84" xfId="0" applyFont="1" applyFill="1" applyBorder="1" applyAlignment="1" applyProtection="1">
      <alignment horizontal="left"/>
      <protection locked="0"/>
    </xf>
    <xf numFmtId="0" fontId="3" fillId="8" borderId="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0" fontId="0" fillId="0" borderId="50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4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0" borderId="4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27" xfId="0" applyBorder="1" applyAlignment="1">
      <alignment horizontal="left"/>
    </xf>
    <xf numFmtId="0" fontId="3" fillId="10" borderId="128" xfId="0" applyFont="1" applyFill="1" applyBorder="1" applyAlignment="1">
      <alignment horizontal="left"/>
    </xf>
    <xf numFmtId="0" fontId="3" fillId="10" borderId="129" xfId="0" applyFont="1" applyFill="1" applyBorder="1" applyAlignment="1">
      <alignment horizontal="left"/>
    </xf>
    <xf numFmtId="0" fontId="3" fillId="10" borderId="12" xfId="0" applyFont="1" applyFill="1" applyBorder="1" applyAlignment="1">
      <alignment horizontal="left"/>
    </xf>
    <xf numFmtId="0" fontId="3" fillId="10" borderId="11" xfId="0" applyFont="1" applyFill="1" applyBorder="1" applyAlignment="1">
      <alignment horizontal="left"/>
    </xf>
    <xf numFmtId="0" fontId="0" fillId="0" borderId="45" xfId="0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14" xfId="0" applyFont="1" applyFill="1" applyBorder="1" applyAlignment="1">
      <alignment horizontal="left"/>
    </xf>
    <xf numFmtId="0" fontId="0" fillId="0" borderId="16" xfId="0" applyBorder="1" applyAlignment="1">
      <alignment horizontal="center" vertical="center" textRotation="9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3" fillId="9" borderId="4" xfId="0" applyFont="1" applyFill="1" applyBorder="1" applyAlignment="1">
      <alignment horizontal="left"/>
    </xf>
    <xf numFmtId="0" fontId="3" fillId="9" borderId="14" xfId="0" applyFont="1" applyFill="1" applyBorder="1" applyAlignment="1">
      <alignment horizontal="left"/>
    </xf>
    <xf numFmtId="0" fontId="3" fillId="0" borderId="4" xfId="0" applyFont="1" applyFill="1" applyBorder="1" applyAlignment="1">
      <alignment horizontal="left"/>
    </xf>
    <xf numFmtId="0" fontId="3" fillId="0" borderId="45" xfId="0" applyFont="1" applyFill="1" applyBorder="1" applyAlignment="1">
      <alignment horizontal="left"/>
    </xf>
    <xf numFmtId="0" fontId="3" fillId="0" borderId="14" xfId="0" applyFont="1" applyFill="1" applyBorder="1" applyAlignment="1">
      <alignment horizontal="left"/>
    </xf>
    <xf numFmtId="0" fontId="0" fillId="0" borderId="142" xfId="0" applyBorder="1" applyAlignment="1">
      <alignment horizontal="center" vertical="center" textRotation="90"/>
    </xf>
    <xf numFmtId="0" fontId="0" fillId="0" borderId="120" xfId="0" applyBorder="1" applyAlignment="1">
      <alignment horizontal="center" vertical="center" textRotation="90"/>
    </xf>
    <xf numFmtId="0" fontId="0" fillId="0" borderId="65" xfId="0" applyBorder="1" applyAlignment="1">
      <alignment horizontal="center" vertical="center" textRotation="90"/>
    </xf>
    <xf numFmtId="0" fontId="0" fillId="0" borderId="54" xfId="0" applyBorder="1" applyAlignment="1">
      <alignment horizontal="center" vertical="center" textRotation="90"/>
    </xf>
    <xf numFmtId="0" fontId="0" fillId="0" borderId="59" xfId="0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0" fillId="17" borderId="10" xfId="0" applyFill="1" applyBorder="1" applyAlignment="1">
      <alignment horizontal="left"/>
    </xf>
    <xf numFmtId="49" fontId="72" fillId="0" borderId="10" xfId="0" applyNumberFormat="1" applyFont="1" applyFill="1" applyBorder="1" applyAlignment="1">
      <alignment horizontal="left"/>
    </xf>
    <xf numFmtId="0" fontId="17" fillId="5" borderId="62" xfId="0" applyFont="1" applyFill="1" applyBorder="1" applyAlignment="1">
      <alignment horizontal="center" vertical="top" wrapText="1"/>
    </xf>
    <xf numFmtId="0" fontId="17" fillId="5" borderId="63" xfId="0" applyFont="1" applyFill="1" applyBorder="1" applyAlignment="1">
      <alignment horizontal="center" vertical="top" wrapText="1"/>
    </xf>
    <xf numFmtId="0" fontId="17" fillId="5" borderId="64" xfId="0" applyFont="1" applyFill="1" applyBorder="1" applyAlignment="1">
      <alignment horizontal="center" vertical="top" wrapText="1"/>
    </xf>
    <xf numFmtId="0" fontId="3" fillId="0" borderId="4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0" borderId="4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2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5" fillId="0" borderId="4" xfId="0" applyFont="1" applyFill="1" applyBorder="1" applyAlignment="1" applyProtection="1">
      <alignment horizontal="left"/>
      <protection locked="0"/>
    </xf>
    <xf numFmtId="0" fontId="5" fillId="0" borderId="45" xfId="0" applyFont="1" applyFill="1" applyBorder="1" applyAlignment="1" applyProtection="1">
      <alignment horizontal="left"/>
      <protection locked="0"/>
    </xf>
    <xf numFmtId="0" fontId="5" fillId="0" borderId="14" xfId="0" applyFont="1" applyFill="1" applyBorder="1" applyAlignment="1" applyProtection="1">
      <alignment horizontal="left"/>
      <protection locked="0"/>
    </xf>
    <xf numFmtId="0" fontId="5" fillId="0" borderId="122" xfId="0" applyFont="1" applyFill="1" applyBorder="1" applyAlignment="1" applyProtection="1">
      <alignment horizontal="center"/>
      <protection locked="0"/>
    </xf>
    <xf numFmtId="0" fontId="5" fillId="0" borderId="45" xfId="0" applyFont="1" applyFill="1" applyBorder="1" applyAlignment="1" applyProtection="1">
      <alignment horizontal="center"/>
      <protection locked="0"/>
    </xf>
    <xf numFmtId="0" fontId="5" fillId="0" borderId="86" xfId="0" applyFont="1" applyFill="1" applyBorder="1" applyAlignment="1" applyProtection="1">
      <alignment horizontal="center"/>
      <protection locked="0"/>
    </xf>
    <xf numFmtId="0" fontId="3" fillId="0" borderId="31" xfId="0" applyFont="1" applyFill="1" applyBorder="1" applyAlignment="1" applyProtection="1">
      <alignment horizontal="left"/>
      <protection locked="0"/>
    </xf>
    <xf numFmtId="0" fontId="3" fillId="0" borderId="178" xfId="0" applyFont="1" applyFill="1" applyBorder="1" applyAlignment="1" applyProtection="1">
      <alignment horizontal="left"/>
      <protection locked="0"/>
    </xf>
    <xf numFmtId="0" fontId="0" fillId="2" borderId="54" xfId="0" applyFill="1" applyBorder="1" applyAlignment="1">
      <alignment horizontal="left"/>
    </xf>
    <xf numFmtId="0" fontId="3" fillId="0" borderId="181" xfId="0" applyFont="1" applyFill="1" applyBorder="1" applyAlignment="1" applyProtection="1">
      <alignment horizontal="left"/>
      <protection locked="0"/>
    </xf>
    <xf numFmtId="0" fontId="0" fillId="0" borderId="1" xfId="0" applyBorder="1" applyAlignment="1">
      <alignment horizontal="center"/>
    </xf>
    <xf numFmtId="0" fontId="32" fillId="0" borderId="122" xfId="0" applyFont="1" applyBorder="1" applyAlignment="1" applyProtection="1">
      <alignment horizontal="left"/>
      <protection locked="0"/>
    </xf>
    <xf numFmtId="0" fontId="32" fillId="0" borderId="45" xfId="0" applyFont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left"/>
    </xf>
    <xf numFmtId="0" fontId="27" fillId="0" borderId="0" xfId="0" applyFont="1" applyFill="1" applyBorder="1" applyAlignment="1" applyProtection="1">
      <alignment horizontal="left" vertical="top"/>
      <protection locked="0"/>
    </xf>
    <xf numFmtId="0" fontId="27" fillId="0" borderId="9" xfId="0" applyFont="1" applyFill="1" applyBorder="1" applyAlignment="1" applyProtection="1">
      <alignment horizontal="left" vertical="top"/>
      <protection locked="0"/>
    </xf>
    <xf numFmtId="0" fontId="5" fillId="0" borderId="122" xfId="0" applyFont="1" applyFill="1" applyBorder="1" applyAlignment="1" applyProtection="1">
      <alignment horizontal="left"/>
      <protection locked="0"/>
    </xf>
    <xf numFmtId="0" fontId="0" fillId="0" borderId="5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4" xfId="0" applyFill="1" applyBorder="1" applyAlignment="1" applyProtection="1">
      <alignment horizontal="center"/>
      <protection locked="0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96" xfId="0" applyBorder="1" applyAlignment="1" applyProtection="1">
      <alignment horizontal="left" vertical="top"/>
      <protection locked="0"/>
    </xf>
    <xf numFmtId="0" fontId="0" fillId="0" borderId="97" xfId="0" applyBorder="1" applyAlignment="1" applyProtection="1">
      <alignment horizontal="left" vertical="top"/>
      <protection locked="0"/>
    </xf>
    <xf numFmtId="0" fontId="0" fillId="0" borderId="98" xfId="0" applyBorder="1" applyAlignment="1" applyProtection="1">
      <alignment horizontal="left" vertical="top"/>
      <protection locked="0"/>
    </xf>
    <xf numFmtId="0" fontId="0" fillId="0" borderId="31" xfId="0" applyFill="1" applyBorder="1" applyAlignment="1" applyProtection="1">
      <alignment horizontal="left"/>
      <protection locked="0"/>
    </xf>
    <xf numFmtId="0" fontId="6" fillId="0" borderId="122" xfId="0" applyFont="1" applyFill="1" applyBorder="1" applyAlignment="1" applyProtection="1">
      <alignment horizontal="left"/>
      <protection locked="0"/>
    </xf>
    <xf numFmtId="0" fontId="6" fillId="0" borderId="45" xfId="0" applyFont="1" applyFill="1" applyBorder="1" applyAlignment="1" applyProtection="1">
      <alignment horizontal="left"/>
      <protection locked="0"/>
    </xf>
    <xf numFmtId="0" fontId="6" fillId="0" borderId="131" xfId="0" applyFont="1" applyFill="1" applyBorder="1" applyAlignment="1" applyProtection="1">
      <alignment horizontal="left"/>
      <protection locked="0"/>
    </xf>
    <xf numFmtId="0" fontId="6" fillId="0" borderId="7" xfId="0" applyFont="1" applyFill="1" applyBorder="1" applyAlignment="1" applyProtection="1">
      <alignment horizontal="left"/>
      <protection locked="0"/>
    </xf>
    <xf numFmtId="0" fontId="0" fillId="0" borderId="54" xfId="0" applyFill="1" applyBorder="1" applyAlignment="1" applyProtection="1">
      <alignment horizontal="left"/>
      <protection locked="0"/>
    </xf>
    <xf numFmtId="0" fontId="6" fillId="0" borderId="133" xfId="0" applyFont="1" applyFill="1" applyBorder="1" applyAlignment="1" applyProtection="1">
      <alignment horizontal="left"/>
      <protection locked="0"/>
    </xf>
    <xf numFmtId="0" fontId="6" fillId="0" borderId="77" xfId="0" applyFont="1" applyFill="1" applyBorder="1" applyAlignment="1" applyProtection="1">
      <alignment horizontal="left"/>
      <protection locked="0"/>
    </xf>
    <xf numFmtId="0" fontId="0" fillId="0" borderId="79" xfId="0" applyFill="1" applyBorder="1" applyAlignment="1" applyProtection="1">
      <alignment horizontal="left"/>
      <protection locked="0"/>
    </xf>
    <xf numFmtId="0" fontId="6" fillId="0" borderId="132" xfId="0" applyFont="1" applyFill="1" applyBorder="1" applyAlignment="1" applyProtection="1">
      <alignment horizontal="left"/>
      <protection locked="0"/>
    </xf>
    <xf numFmtId="0" fontId="6" fillId="0" borderId="10" xfId="0" applyFont="1" applyFill="1" applyBorder="1" applyAlignment="1" applyProtection="1">
      <alignment horizontal="left"/>
      <protection locked="0"/>
    </xf>
    <xf numFmtId="0" fontId="0" fillId="0" borderId="124" xfId="0" applyBorder="1" applyAlignment="1" applyProtection="1">
      <alignment horizontal="left" wrapText="1"/>
      <protection locked="0"/>
    </xf>
    <xf numFmtId="0" fontId="0" fillId="0" borderId="125" xfId="0" applyBorder="1" applyAlignment="1" applyProtection="1">
      <alignment horizontal="left" wrapText="1"/>
      <protection locked="0"/>
    </xf>
    <xf numFmtId="0" fontId="0" fillId="0" borderId="126" xfId="0" applyBorder="1" applyAlignment="1" applyProtection="1">
      <alignment horizontal="left" wrapText="1"/>
      <protection locked="0"/>
    </xf>
    <xf numFmtId="0" fontId="1" fillId="0" borderId="0" xfId="0" applyFont="1" applyBorder="1" applyAlignment="1">
      <alignment horizontal="center"/>
    </xf>
    <xf numFmtId="0" fontId="1" fillId="0" borderId="145" xfId="0" applyFont="1" applyBorder="1" applyAlignment="1">
      <alignment horizontal="center"/>
    </xf>
    <xf numFmtId="0" fontId="27" fillId="0" borderId="7" xfId="0" applyFont="1" applyFill="1" applyBorder="1" applyAlignment="1" applyProtection="1">
      <alignment horizontal="left" vertical="top"/>
      <protection locked="0"/>
    </xf>
    <xf numFmtId="0" fontId="27" fillId="0" borderId="8" xfId="0" applyFont="1" applyFill="1" applyBorder="1" applyAlignment="1" applyProtection="1">
      <alignment horizontal="left" vertical="top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6" fillId="0" borderId="179" xfId="0" applyFont="1" applyFill="1" applyBorder="1" applyAlignment="1" applyProtection="1">
      <alignment horizontal="left"/>
      <protection locked="0"/>
    </xf>
    <xf numFmtId="0" fontId="6" fillId="0" borderId="180" xfId="0" applyFont="1" applyFill="1" applyBorder="1" applyAlignment="1" applyProtection="1">
      <alignment horizontal="left"/>
      <protection locked="0"/>
    </xf>
    <xf numFmtId="0" fontId="3" fillId="0" borderId="1" xfId="0" applyFont="1" applyFill="1" applyBorder="1" applyAlignment="1" applyProtection="1">
      <alignment horizontal="left"/>
      <protection locked="0"/>
    </xf>
    <xf numFmtId="0" fontId="20" fillId="0" borderId="4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96" xfId="0" applyBorder="1" applyAlignment="1">
      <alignment horizontal="center"/>
    </xf>
    <xf numFmtId="0" fontId="0" fillId="0" borderId="97" xfId="0" applyBorder="1" applyAlignment="1">
      <alignment horizontal="center"/>
    </xf>
    <xf numFmtId="0" fontId="0" fillId="0" borderId="98" xfId="0" applyBorder="1" applyAlignment="1">
      <alignment horizontal="center"/>
    </xf>
    <xf numFmtId="0" fontId="31" fillId="0" borderId="10" xfId="0" applyFont="1" applyFill="1" applyBorder="1" applyAlignment="1" applyProtection="1">
      <alignment horizontal="left" vertical="top" wrapText="1"/>
      <protection locked="0"/>
    </xf>
    <xf numFmtId="0" fontId="31" fillId="0" borderId="11" xfId="0" applyFont="1" applyFill="1" applyBorder="1" applyAlignment="1" applyProtection="1">
      <alignment horizontal="left" vertical="top" wrapText="1"/>
      <protection locked="0"/>
    </xf>
    <xf numFmtId="0" fontId="32" fillId="0" borderId="0" xfId="0" applyFont="1" applyFill="1" applyBorder="1" applyAlignment="1" applyProtection="1">
      <alignment horizontal="left" vertical="top" wrapText="1"/>
      <protection locked="0"/>
    </xf>
    <xf numFmtId="0" fontId="32" fillId="0" borderId="9" xfId="0" applyFont="1" applyFill="1" applyBorder="1" applyAlignment="1" applyProtection="1">
      <alignment horizontal="left" vertical="top" wrapText="1"/>
      <protection locked="0"/>
    </xf>
    <xf numFmtId="0" fontId="0" fillId="2" borderId="133" xfId="0" applyFill="1" applyBorder="1" applyAlignment="1">
      <alignment horizontal="center"/>
    </xf>
    <xf numFmtId="0" fontId="0" fillId="0" borderId="45" xfId="0" applyFill="1" applyBorder="1" applyAlignment="1" applyProtection="1">
      <alignment horizontal="center"/>
      <protection locked="0"/>
    </xf>
    <xf numFmtId="0" fontId="6" fillId="0" borderId="4" xfId="0" applyFont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0" fillId="0" borderId="45" xfId="0" applyBorder="1"/>
    <xf numFmtId="0" fontId="0" fillId="0" borderId="14" xfId="0" applyBorder="1"/>
    <xf numFmtId="0" fontId="6" fillId="0" borderId="80" xfId="0" applyFont="1" applyFill="1" applyBorder="1" applyAlignment="1" applyProtection="1">
      <alignment horizontal="left"/>
      <protection locked="0"/>
    </xf>
    <xf numFmtId="0" fontId="6" fillId="0" borderId="81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9" xfId="0" applyFill="1" applyBorder="1" applyAlignment="1" applyProtection="1">
      <alignment horizontal="left"/>
      <protection locked="0"/>
    </xf>
    <xf numFmtId="0" fontId="46" fillId="0" borderId="10" xfId="0" applyFont="1" applyBorder="1" applyAlignment="1">
      <alignment horizontal="center"/>
    </xf>
    <xf numFmtId="0" fontId="46" fillId="0" borderId="140" xfId="0" applyFont="1" applyBorder="1" applyAlignment="1">
      <alignment horizontal="center"/>
    </xf>
    <xf numFmtId="0" fontId="3" fillId="20" borderId="45" xfId="0" applyFont="1" applyFill="1" applyBorder="1" applyAlignment="1">
      <alignment horizontal="left"/>
    </xf>
    <xf numFmtId="0" fontId="3" fillId="20" borderId="86" xfId="0" applyFont="1" applyFill="1" applyBorder="1" applyAlignment="1">
      <alignment horizontal="left"/>
    </xf>
    <xf numFmtId="0" fontId="3" fillId="9" borderId="1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20" borderId="45" xfId="0" applyFont="1" applyFill="1" applyBorder="1" applyAlignment="1">
      <alignment horizontal="center"/>
    </xf>
    <xf numFmtId="0" fontId="3" fillId="20" borderId="144" xfId="0" applyFont="1" applyFill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86" xfId="0" applyBorder="1" applyAlignment="1">
      <alignment horizontal="left" vertical="center"/>
    </xf>
    <xf numFmtId="0" fontId="3" fillId="20" borderId="86" xfId="0" applyFont="1" applyFill="1" applyBorder="1" applyAlignment="1">
      <alignment horizontal="center"/>
    </xf>
    <xf numFmtId="0" fontId="22" fillId="0" borderId="122" xfId="0" applyFont="1" applyBorder="1" applyAlignment="1">
      <alignment horizontal="left" vertical="center"/>
    </xf>
    <xf numFmtId="0" fontId="22" fillId="0" borderId="14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36" fillId="0" borderId="4" xfId="0" applyFont="1" applyFill="1" applyBorder="1" applyAlignment="1">
      <alignment horizontal="left" vertical="center"/>
    </xf>
    <xf numFmtId="0" fontId="36" fillId="0" borderId="14" xfId="0" applyFont="1" applyFill="1" applyBorder="1" applyAlignment="1">
      <alignment horizontal="left" vertical="center"/>
    </xf>
    <xf numFmtId="0" fontId="22" fillId="2" borderId="45" xfId="0" applyFont="1" applyFill="1" applyBorder="1" applyAlignment="1">
      <alignment horizontal="center" vertical="center"/>
    </xf>
    <xf numFmtId="0" fontId="22" fillId="2" borderId="14" xfId="0" applyFont="1" applyFill="1" applyBorder="1" applyAlignment="1">
      <alignment horizontal="center" vertical="center"/>
    </xf>
    <xf numFmtId="0" fontId="22" fillId="2" borderId="122" xfId="0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center" vertical="center"/>
    </xf>
    <xf numFmtId="0" fontId="22" fillId="0" borderId="133" xfId="0" applyFont="1" applyBorder="1" applyAlignment="1">
      <alignment horizontal="left" vertical="center"/>
    </xf>
    <xf numFmtId="0" fontId="22" fillId="0" borderId="84" xfId="0" applyFont="1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0" fillId="21" borderId="5" xfId="0" applyFill="1" applyBorder="1" applyAlignment="1">
      <alignment horizontal="center" textRotation="180"/>
    </xf>
    <xf numFmtId="0" fontId="0" fillId="21" borderId="6" xfId="0" applyFill="1" applyBorder="1" applyAlignment="1">
      <alignment horizontal="center" textRotation="180"/>
    </xf>
    <xf numFmtId="0" fontId="0" fillId="21" borderId="12" xfId="0" applyFill="1" applyBorder="1" applyAlignment="1">
      <alignment horizontal="center" textRotation="180"/>
    </xf>
    <xf numFmtId="0" fontId="75" fillId="0" borderId="4" xfId="0" applyFont="1" applyBorder="1" applyAlignment="1">
      <alignment horizontal="left"/>
    </xf>
    <xf numFmtId="0" fontId="75" fillId="0" borderId="14" xfId="0" applyFont="1" applyBorder="1" applyAlignment="1">
      <alignment horizontal="left"/>
    </xf>
    <xf numFmtId="49" fontId="0" fillId="2" borderId="2" xfId="0" applyNumberFormat="1" applyFill="1" applyBorder="1" applyAlignment="1">
      <alignment horizontal="left"/>
    </xf>
    <xf numFmtId="49" fontId="0" fillId="2" borderId="23" xfId="0" applyNumberFormat="1" applyFill="1" applyBorder="1" applyAlignment="1">
      <alignment horizontal="left"/>
    </xf>
    <xf numFmtId="49" fontId="0" fillId="2" borderId="3" xfId="0" applyNumberFormat="1" applyFill="1" applyBorder="1" applyAlignment="1">
      <alignment horizontal="left"/>
    </xf>
    <xf numFmtId="49" fontId="0" fillId="0" borderId="38" xfId="0" applyNumberFormat="1" applyBorder="1" applyAlignment="1">
      <alignment horizontal="left"/>
    </xf>
    <xf numFmtId="49" fontId="0" fillId="0" borderId="39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6" xfId="0" applyNumberFormat="1" applyBorder="1" applyAlignment="1">
      <alignment horizontal="left"/>
    </xf>
    <xf numFmtId="49" fontId="0" fillId="0" borderId="37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42" xfId="0" applyNumberFormat="1" applyBorder="1" applyAlignment="1">
      <alignment horizontal="left"/>
    </xf>
    <xf numFmtId="49" fontId="0" fillId="0" borderId="43" xfId="0" applyNumberFormat="1" applyBorder="1" applyAlignment="1">
      <alignment horizontal="left"/>
    </xf>
    <xf numFmtId="0" fontId="0" fillId="0" borderId="142" xfId="0" applyBorder="1" applyAlignment="1">
      <alignment horizontal="left" vertical="center"/>
    </xf>
    <xf numFmtId="0" fontId="0" fillId="0" borderId="65" xfId="0" applyBorder="1" applyAlignment="1">
      <alignment horizontal="left" vertic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4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4" fontId="74" fillId="0" borderId="1" xfId="0" applyNumberFormat="1" applyFont="1" applyFill="1" applyBorder="1" applyAlignment="1">
      <alignment horizontal="right" vertical="center"/>
    </xf>
    <xf numFmtId="4" fontId="81" fillId="8" borderId="4" xfId="0" applyNumberFormat="1" applyFont="1" applyFill="1" applyBorder="1" applyAlignment="1">
      <alignment horizontal="right" vertical="center"/>
    </xf>
    <xf numFmtId="4" fontId="81" fillId="8" borderId="14" xfId="0" applyNumberFormat="1" applyFont="1" applyFill="1" applyBorder="1" applyAlignment="1">
      <alignment horizontal="right" vertical="center"/>
    </xf>
    <xf numFmtId="49" fontId="0" fillId="0" borderId="1" xfId="0" applyNumberFormat="1" applyFill="1" applyBorder="1" applyAlignment="1">
      <alignment horizontal="left"/>
    </xf>
    <xf numFmtId="0" fontId="0" fillId="0" borderId="45" xfId="0" applyBorder="1" applyAlignment="1">
      <alignment horizontal="center"/>
    </xf>
    <xf numFmtId="49" fontId="3" fillId="0" borderId="1" xfId="0" applyNumberFormat="1" applyFont="1" applyFill="1" applyBorder="1" applyAlignment="1">
      <alignment horizontal="left"/>
    </xf>
    <xf numFmtId="0" fontId="5" fillId="5" borderId="5" xfId="0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30" fillId="9" borderId="4" xfId="0" applyFont="1" applyFill="1" applyBorder="1" applyAlignment="1">
      <alignment horizontal="center"/>
    </xf>
    <xf numFmtId="0" fontId="30" fillId="9" borderId="45" xfId="0" applyFont="1" applyFill="1" applyBorder="1" applyAlignment="1">
      <alignment horizontal="center"/>
    </xf>
    <xf numFmtId="0" fontId="30" fillId="9" borderId="14" xfId="0" applyFont="1" applyFill="1" applyBorder="1" applyAlignment="1">
      <alignment horizontal="center"/>
    </xf>
    <xf numFmtId="0" fontId="10" fillId="0" borderId="30" xfId="0" applyFont="1" applyBorder="1" applyAlignment="1">
      <alignment horizontal="left"/>
    </xf>
    <xf numFmtId="0" fontId="10" fillId="0" borderId="83" xfId="0" applyFont="1" applyBorder="1" applyAlignment="1">
      <alignment horizontal="left"/>
    </xf>
    <xf numFmtId="0" fontId="30" fillId="0" borderId="5" xfId="0" applyFont="1" applyBorder="1" applyAlignment="1">
      <alignment horizontal="left" vertical="top"/>
    </xf>
    <xf numFmtId="0" fontId="30" fillId="0" borderId="7" xfId="0" applyFont="1" applyBorder="1" applyAlignment="1">
      <alignment horizontal="left" vertical="top"/>
    </xf>
    <xf numFmtId="0" fontId="30" fillId="0" borderId="8" xfId="0" applyFont="1" applyBorder="1" applyAlignment="1">
      <alignment horizontal="left" vertical="top"/>
    </xf>
    <xf numFmtId="0" fontId="30" fillId="0" borderId="6" xfId="0" applyFont="1" applyBorder="1" applyAlignment="1">
      <alignment horizontal="left" vertical="top"/>
    </xf>
    <xf numFmtId="0" fontId="30" fillId="0" borderId="0" xfId="0" applyFont="1" applyBorder="1" applyAlignment="1">
      <alignment horizontal="left" vertical="top"/>
    </xf>
    <xf numFmtId="0" fontId="30" fillId="0" borderId="9" xfId="0" applyFont="1" applyBorder="1" applyAlignment="1">
      <alignment horizontal="left" vertical="top"/>
    </xf>
    <xf numFmtId="0" fontId="30" fillId="0" borderId="12" xfId="0" applyFont="1" applyBorder="1" applyAlignment="1">
      <alignment horizontal="left" vertical="top"/>
    </xf>
    <xf numFmtId="0" fontId="30" fillId="0" borderId="10" xfId="0" applyFont="1" applyBorder="1" applyAlignment="1">
      <alignment horizontal="left" vertical="top"/>
    </xf>
    <xf numFmtId="0" fontId="30" fillId="0" borderId="11" xfId="0" applyFont="1" applyBorder="1" applyAlignment="1">
      <alignment horizontal="left" vertical="top"/>
    </xf>
    <xf numFmtId="0" fontId="10" fillId="0" borderId="47" xfId="0" applyFont="1" applyBorder="1" applyAlignment="1"/>
    <xf numFmtId="0" fontId="0" fillId="0" borderId="48" xfId="0" applyBorder="1" applyAlignment="1"/>
    <xf numFmtId="0" fontId="10" fillId="0" borderId="50" xfId="0" applyFont="1" applyBorder="1" applyAlignment="1"/>
    <xf numFmtId="0" fontId="0" fillId="0" borderId="51" xfId="0" applyBorder="1" applyAlignment="1"/>
    <xf numFmtId="0" fontId="10" fillId="0" borderId="52" xfId="0" applyFont="1" applyBorder="1" applyAlignment="1"/>
    <xf numFmtId="0" fontId="0" fillId="0" borderId="53" xfId="0" applyBorder="1" applyAlignment="1"/>
    <xf numFmtId="0" fontId="10" fillId="0" borderId="107" xfId="0" applyFont="1" applyBorder="1" applyAlignment="1">
      <alignment horizontal="left"/>
    </xf>
    <xf numFmtId="0" fontId="10" fillId="0" borderId="105" xfId="0" applyFont="1" applyBorder="1" applyAlignment="1">
      <alignment horizontal="left"/>
    </xf>
    <xf numFmtId="0" fontId="10" fillId="0" borderId="4" xfId="0" applyFont="1" applyBorder="1" applyAlignment="1">
      <alignment horizontal="left"/>
    </xf>
    <xf numFmtId="0" fontId="10" fillId="0" borderId="45" xfId="0" applyFont="1" applyBorder="1" applyAlignment="1">
      <alignment horizontal="left"/>
    </xf>
    <xf numFmtId="0" fontId="10" fillId="0" borderId="14" xfId="0" applyFont="1" applyBorder="1" applyAlignment="1">
      <alignment horizontal="left"/>
    </xf>
    <xf numFmtId="0" fontId="10" fillId="0" borderId="29" xfId="0" applyFont="1" applyBorder="1" applyAlignment="1">
      <alignment horizontal="left"/>
    </xf>
    <xf numFmtId="0" fontId="10" fillId="0" borderId="4" xfId="0" applyFont="1" applyFill="1" applyBorder="1" applyAlignment="1"/>
    <xf numFmtId="0" fontId="10" fillId="0" borderId="45" xfId="0" applyFont="1" applyFill="1" applyBorder="1" applyAlignment="1"/>
    <xf numFmtId="0" fontId="10" fillId="0" borderId="14" xfId="0" applyFont="1" applyFill="1" applyBorder="1" applyAlignment="1"/>
    <xf numFmtId="0" fontId="10" fillId="0" borderId="4" xfId="0" applyFont="1" applyFill="1" applyBorder="1" applyAlignment="1">
      <alignment horizontal="left"/>
    </xf>
    <xf numFmtId="0" fontId="10" fillId="0" borderId="45" xfId="0" applyFont="1" applyFill="1" applyBorder="1" applyAlignment="1">
      <alignment horizontal="left"/>
    </xf>
    <xf numFmtId="0" fontId="10" fillId="0" borderId="14" xfId="0" applyFont="1" applyFill="1" applyBorder="1" applyAlignment="1">
      <alignment horizontal="left"/>
    </xf>
    <xf numFmtId="0" fontId="30" fillId="0" borderId="1" xfId="0" applyFont="1" applyBorder="1" applyAlignment="1">
      <alignment vertical="top"/>
    </xf>
    <xf numFmtId="0" fontId="30" fillId="9" borderId="1" xfId="0" applyFont="1" applyFill="1" applyBorder="1" applyAlignment="1"/>
    <xf numFmtId="0" fontId="3" fillId="9" borderId="1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30" fillId="9" borderId="4" xfId="0" applyFont="1" applyFill="1" applyBorder="1" applyAlignment="1"/>
    <xf numFmtId="0" fontId="3" fillId="9" borderId="45" xfId="0" applyFont="1" applyFill="1" applyBorder="1" applyAlignment="1"/>
    <xf numFmtId="0" fontId="3" fillId="9" borderId="14" xfId="0" applyFont="1" applyFill="1" applyBorder="1" applyAlignment="1"/>
    <xf numFmtId="0" fontId="30" fillId="0" borderId="4" xfId="0" applyFont="1" applyBorder="1" applyAlignment="1">
      <alignment vertical="top"/>
    </xf>
    <xf numFmtId="0" fontId="30" fillId="0" borderId="45" xfId="0" applyFont="1" applyBorder="1" applyAlignment="1">
      <alignment vertical="top"/>
    </xf>
    <xf numFmtId="0" fontId="30" fillId="0" borderId="14" xfId="0" applyFont="1" applyBorder="1" applyAlignment="1">
      <alignment vertical="top"/>
    </xf>
    <xf numFmtId="0" fontId="10" fillId="0" borderId="18" xfId="0" applyFont="1" applyFill="1" applyBorder="1" applyAlignment="1"/>
    <xf numFmtId="0" fontId="10" fillId="0" borderId="63" xfId="0" applyFont="1" applyFill="1" applyBorder="1" applyAlignment="1"/>
    <xf numFmtId="0" fontId="10" fillId="0" borderId="95" xfId="0" applyFont="1" applyFill="1" applyBorder="1" applyAlignment="1"/>
    <xf numFmtId="0" fontId="30" fillId="0" borderId="5" xfId="0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12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11" xfId="0" applyBorder="1" applyAlignment="1">
      <alignment vertical="top"/>
    </xf>
    <xf numFmtId="0" fontId="3" fillId="0" borderId="0" xfId="0" applyFont="1" applyAlignment="1">
      <alignment horizontal="center"/>
    </xf>
    <xf numFmtId="0" fontId="10" fillId="0" borderId="1" xfId="0" applyFont="1" applyBorder="1" applyAlignment="1"/>
    <xf numFmtId="0" fontId="30" fillId="10" borderId="1" xfId="0" applyFont="1" applyFill="1" applyBorder="1" applyAlignment="1"/>
    <xf numFmtId="0" fontId="3" fillId="10" borderId="1" xfId="0" applyFont="1" applyFill="1" applyBorder="1" applyAlignment="1"/>
    <xf numFmtId="0" fontId="5" fillId="0" borderId="167" xfId="0" applyFont="1" applyBorder="1" applyAlignment="1">
      <alignment horizontal="left" wrapText="1"/>
    </xf>
    <xf numFmtId="0" fontId="5" fillId="0" borderId="164" xfId="0" applyFont="1" applyBorder="1" applyAlignment="1">
      <alignment horizontal="left"/>
    </xf>
    <xf numFmtId="0" fontId="5" fillId="0" borderId="161" xfId="0" applyFont="1" applyBorder="1" applyAlignment="1">
      <alignment horizontal="left"/>
    </xf>
    <xf numFmtId="0" fontId="5" fillId="0" borderId="162" xfId="0" applyFont="1" applyBorder="1" applyAlignment="1">
      <alignment horizontal="left"/>
    </xf>
    <xf numFmtId="0" fontId="5" fillId="0" borderId="172" xfId="0" applyFont="1" applyBorder="1" applyAlignment="1">
      <alignment horizontal="left" wrapText="1"/>
    </xf>
    <xf numFmtId="0" fontId="30" fillId="10" borderId="4" xfId="0" applyFont="1" applyFill="1" applyBorder="1" applyAlignment="1">
      <alignment horizontal="center"/>
    </xf>
    <xf numFmtId="0" fontId="30" fillId="10" borderId="45" xfId="0" applyFont="1" applyFill="1" applyBorder="1" applyAlignment="1">
      <alignment horizontal="center"/>
    </xf>
    <xf numFmtId="0" fontId="30" fillId="10" borderId="1" xfId="0" applyFont="1" applyFill="1" applyBorder="1" applyAlignment="1">
      <alignment horizontal="center"/>
    </xf>
    <xf numFmtId="0" fontId="22" fillId="0" borderId="16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46" fillId="0" borderId="56" xfId="0" applyFont="1" applyBorder="1" applyAlignment="1">
      <alignment horizontal="left"/>
    </xf>
    <xf numFmtId="0" fontId="46" fillId="0" borderId="0" xfId="0" applyFont="1" applyBorder="1" applyAlignment="1">
      <alignment horizontal="left"/>
    </xf>
    <xf numFmtId="0" fontId="46" fillId="0" borderId="16" xfId="0" applyFont="1" applyBorder="1" applyAlignment="1">
      <alignment horizontal="left"/>
    </xf>
    <xf numFmtId="0" fontId="46" fillId="0" borderId="1" xfId="0" applyFont="1" applyBorder="1" applyAlignment="1">
      <alignment horizontal="left"/>
    </xf>
    <xf numFmtId="0" fontId="22" fillId="0" borderId="20" xfId="0" applyFont="1" applyFill="1" applyBorder="1" applyAlignment="1">
      <alignment horizontal="left"/>
    </xf>
    <xf numFmtId="0" fontId="22" fillId="0" borderId="79" xfId="0" applyFont="1" applyFill="1" applyBorder="1" applyAlignment="1">
      <alignment horizontal="left"/>
    </xf>
    <xf numFmtId="0" fontId="0" fillId="0" borderId="131" xfId="0" applyFill="1" applyBorder="1" applyAlignment="1">
      <alignment horizontal="center" vertical="center" textRotation="90"/>
    </xf>
    <xf numFmtId="0" fontId="0" fillId="0" borderId="56" xfId="0" applyFill="1" applyBorder="1" applyAlignment="1">
      <alignment horizontal="center" vertical="center" textRotation="90"/>
    </xf>
    <xf numFmtId="0" fontId="0" fillId="0" borderId="132" xfId="0" applyFill="1" applyBorder="1" applyAlignment="1">
      <alignment horizontal="center" vertical="center" textRotation="90"/>
    </xf>
    <xf numFmtId="0" fontId="22" fillId="0" borderId="0" xfId="0" applyFont="1" applyBorder="1" applyAlignment="1">
      <alignment horizontal="left"/>
    </xf>
    <xf numFmtId="0" fontId="46" fillId="0" borderId="4" xfId="0" applyFont="1" applyBorder="1" applyAlignment="1">
      <alignment horizontal="center"/>
    </xf>
    <xf numFmtId="0" fontId="46" fillId="0" borderId="14" xfId="0" applyFont="1" applyBorder="1" applyAlignment="1">
      <alignment horizontal="center"/>
    </xf>
    <xf numFmtId="0" fontId="22" fillId="0" borderId="4" xfId="0" applyFont="1" applyFill="1" applyBorder="1" applyAlignment="1">
      <alignment horizontal="left"/>
    </xf>
    <xf numFmtId="0" fontId="22" fillId="0" borderId="14" xfId="0" applyFont="1" applyFill="1" applyBorder="1" applyAlignment="1">
      <alignment horizontal="left"/>
    </xf>
    <xf numFmtId="0" fontId="22" fillId="0" borderId="21" xfId="0" applyFont="1" applyFill="1" applyBorder="1" applyAlignment="1">
      <alignment horizontal="left"/>
    </xf>
    <xf numFmtId="0" fontId="22" fillId="0" borderId="84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3" fillId="0" borderId="0" xfId="0" applyFont="1" applyAlignment="1">
      <alignment horizontal="left"/>
    </xf>
    <xf numFmtId="0" fontId="0" fillId="0" borderId="1" xfId="0" applyFill="1" applyBorder="1" applyAlignment="1">
      <alignment horizontal="left" wrapText="1"/>
    </xf>
    <xf numFmtId="49" fontId="8" fillId="0" borderId="50" xfId="0" applyNumberFormat="1" applyFont="1" applyFill="1" applyBorder="1" applyAlignment="1"/>
    <xf numFmtId="0" fontId="8" fillId="0" borderId="51" xfId="0" applyFont="1" applyFill="1" applyBorder="1" applyAlignment="1"/>
    <xf numFmtId="0" fontId="8" fillId="0" borderId="32" xfId="0" applyFont="1" applyFill="1" applyBorder="1" applyAlignment="1"/>
    <xf numFmtId="49" fontId="8" fillId="0" borderId="52" xfId="0" applyNumberFormat="1" applyFont="1" applyFill="1" applyBorder="1" applyAlignment="1"/>
    <xf numFmtId="0" fontId="8" fillId="0" borderId="53" xfId="0" applyFont="1" applyFill="1" applyBorder="1" applyAlignment="1"/>
    <xf numFmtId="0" fontId="8" fillId="0" borderId="34" xfId="0" applyFont="1" applyFill="1" applyBorder="1" applyAlignment="1"/>
    <xf numFmtId="49" fontId="8" fillId="0" borderId="47" xfId="0" applyNumberFormat="1" applyFont="1" applyFill="1" applyBorder="1" applyAlignment="1"/>
    <xf numFmtId="0" fontId="8" fillId="0" borderId="48" xfId="0" applyFont="1" applyFill="1" applyBorder="1" applyAlignment="1"/>
    <xf numFmtId="0" fontId="8" fillId="0" borderId="33" xfId="0" applyFont="1" applyFill="1" applyBorder="1" applyAlignment="1"/>
    <xf numFmtId="0" fontId="0" fillId="0" borderId="52" xfId="0" applyBorder="1" applyAlignment="1">
      <alignment horizontal="left" vertical="center"/>
    </xf>
    <xf numFmtId="0" fontId="0" fillId="0" borderId="53" xfId="0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0" fillId="0" borderId="52" xfId="0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45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left" vertical="top"/>
      <protection locked="0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3" fillId="0" borderId="45" xfId="0" applyFont="1" applyBorder="1" applyAlignment="1">
      <alignment horizontal="center"/>
    </xf>
    <xf numFmtId="0" fontId="0" fillId="0" borderId="54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54" xfId="0" applyBorder="1" applyAlignment="1" applyProtection="1">
      <alignment horizontal="left" vertical="center" wrapText="1"/>
      <protection locked="0"/>
    </xf>
    <xf numFmtId="0" fontId="0" fillId="0" borderId="31" xfId="0" applyBorder="1" applyAlignment="1" applyProtection="1">
      <alignment horizontal="left" vertical="center" wrapText="1"/>
      <protection locked="0"/>
    </xf>
    <xf numFmtId="0" fontId="8" fillId="0" borderId="54" xfId="0" applyFont="1" applyBorder="1" applyAlignment="1" applyProtection="1">
      <alignment horizontal="left" vertical="top" wrapText="1"/>
      <protection locked="0"/>
    </xf>
    <xf numFmtId="0" fontId="8" fillId="0" borderId="31" xfId="0" applyFont="1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54" xfId="0" applyBorder="1" applyAlignment="1" applyProtection="1">
      <alignment horizontal="left" vertical="top" wrapText="1"/>
      <protection locked="0"/>
    </xf>
    <xf numFmtId="0" fontId="0" fillId="0" borderId="31" xfId="0" applyBorder="1" applyAlignment="1" applyProtection="1">
      <alignment horizontal="left" vertical="top" wrapText="1"/>
      <protection locked="0"/>
    </xf>
    <xf numFmtId="0" fontId="3" fillId="12" borderId="7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left"/>
    </xf>
    <xf numFmtId="0" fontId="0" fillId="0" borderId="9" xfId="0" applyBorder="1" applyAlignment="1">
      <alignment horizontal="left"/>
    </xf>
  </cellXfs>
  <cellStyles count="3">
    <cellStyle name="Normální" xfId="0" builtinId="0"/>
    <cellStyle name="normální 2" xfId="1"/>
    <cellStyle name="normální 3" xfId="2"/>
  </cellStyles>
  <dxfs count="484"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ill>
        <patternFill>
          <bgColor theme="0" tint="-0.24994659260841701"/>
        </patternFill>
      </fill>
    </dxf>
    <dxf>
      <font>
        <b val="0"/>
        <i/>
        <strike/>
        <color rgb="FFFF0000"/>
      </font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FFFF99"/>
        </patternFill>
      </fill>
    </dxf>
    <dxf>
      <font>
        <b/>
        <i val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99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 patternType="solid"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  <dxf>
      <fill>
        <patternFill>
          <bgColor rgb="FF00B0F0"/>
        </patternFill>
      </fill>
    </dxf>
    <dxf>
      <fill>
        <patternFill>
          <bgColor rgb="FFFFFF99"/>
        </patternFill>
      </fill>
    </dxf>
    <dxf>
      <fill>
        <patternFill>
          <bgColor theme="0" tint="-0.34998626667073579"/>
        </patternFill>
      </fill>
    </dxf>
    <dxf>
      <font>
        <b/>
        <i val="0"/>
      </font>
    </dxf>
    <dxf>
      <fill>
        <patternFill>
          <bgColor rgb="FFFFFF99"/>
        </patternFill>
      </fill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FF6699"/>
      <color rgb="FF99FF99"/>
      <color rgb="FFFFFF99"/>
      <color rgb="FFFFFF66"/>
      <color rgb="FFFF99FF"/>
      <color rgb="FFFFFFCC"/>
      <color rgb="FFCC6600"/>
      <color rgb="FFFF66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10</xdr:row>
          <xdr:rowOff>45720</xdr:rowOff>
        </xdr:from>
        <xdr:to>
          <xdr:col>14</xdr:col>
          <xdr:colOff>243840</xdr:colOff>
          <xdr:row>11</xdr:row>
          <xdr:rowOff>175260</xdr:rowOff>
        </xdr:to>
        <xdr:sp macro="" textlink="">
          <xdr:nvSpPr>
            <xdr:cNvPr id="8210" name="CommandButton1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14</xdr:row>
      <xdr:rowOff>0</xdr:rowOff>
    </xdr:from>
    <xdr:to>
      <xdr:col>20</xdr:col>
      <xdr:colOff>523875</xdr:colOff>
      <xdr:row>57</xdr:row>
      <xdr:rowOff>38100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020800" y="2524125"/>
          <a:ext cx="2543175" cy="308610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373380</xdr:colOff>
          <xdr:row>2</xdr:row>
          <xdr:rowOff>30480</xdr:rowOff>
        </xdr:from>
        <xdr:to>
          <xdr:col>25</xdr:col>
          <xdr:colOff>556260</xdr:colOff>
          <xdr:row>4</xdr:row>
          <xdr:rowOff>83820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381000</xdr:colOff>
          <xdr:row>7</xdr:row>
          <xdr:rowOff>68580</xdr:rowOff>
        </xdr:from>
        <xdr:to>
          <xdr:col>26</xdr:col>
          <xdr:colOff>144780</xdr:colOff>
          <xdr:row>9</xdr:row>
          <xdr:rowOff>137160</xdr:rowOff>
        </xdr:to>
        <xdr:sp macro="" textlink="">
          <xdr:nvSpPr>
            <xdr:cNvPr id="28674" name="CommandButton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388620</xdr:colOff>
          <xdr:row>11</xdr:row>
          <xdr:rowOff>45720</xdr:rowOff>
        </xdr:from>
        <xdr:to>
          <xdr:col>25</xdr:col>
          <xdr:colOff>579120</xdr:colOff>
          <xdr:row>13</xdr:row>
          <xdr:rowOff>99060</xdr:rowOff>
        </xdr:to>
        <xdr:sp macro="" textlink="">
          <xdr:nvSpPr>
            <xdr:cNvPr id="28675" name="CommandButton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16</xdr:col>
      <xdr:colOff>190500</xdr:colOff>
      <xdr:row>0</xdr:row>
      <xdr:rowOff>381000</xdr:rowOff>
    </xdr:to>
    <xdr:sp macro="" textlink="">
      <xdr:nvSpPr>
        <xdr:cNvPr id="2" name="Stužka nahoru 1"/>
        <xdr:cNvSpPr/>
      </xdr:nvSpPr>
      <xdr:spPr>
        <a:xfrm>
          <a:off x="0" y="0"/>
          <a:ext cx="6629400" cy="381000"/>
        </a:xfrm>
        <a:prstGeom prst="ribbon2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cs-CZ" sz="1600" b="1" i="0"/>
            <a:t>Osobní deník</a:t>
          </a:r>
        </a:p>
      </xdr:txBody>
    </xdr:sp>
    <xdr:clientData/>
  </xdr:twoCellAnchor>
  <xdr:twoCellAnchor editAs="oneCell">
    <xdr:from>
      <xdr:col>0</xdr:col>
      <xdr:colOff>552850</xdr:colOff>
      <xdr:row>5</xdr:row>
      <xdr:rowOff>11030</xdr:rowOff>
    </xdr:from>
    <xdr:to>
      <xdr:col>0</xdr:col>
      <xdr:colOff>690010</xdr:colOff>
      <xdr:row>5</xdr:row>
      <xdr:rowOff>147348</xdr:rowOff>
    </xdr:to>
    <xdr:pic>
      <xdr:nvPicPr>
        <xdr:cNvPr id="5" name="Obrázek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850" y="1038257"/>
          <a:ext cx="137160" cy="136318"/>
        </a:xfrm>
        <a:prstGeom prst="rect">
          <a:avLst/>
        </a:prstGeom>
      </xdr:spPr>
    </xdr:pic>
    <xdr:clientData/>
  </xdr:twoCellAnchor>
  <xdr:twoCellAnchor editAs="oneCell">
    <xdr:from>
      <xdr:col>0</xdr:col>
      <xdr:colOff>549398</xdr:colOff>
      <xdr:row>6</xdr:row>
      <xdr:rowOff>6315</xdr:rowOff>
    </xdr:from>
    <xdr:to>
      <xdr:col>0</xdr:col>
      <xdr:colOff>688326</xdr:colOff>
      <xdr:row>6</xdr:row>
      <xdr:rowOff>145243</xdr:rowOff>
    </xdr:to>
    <xdr:pic>
      <xdr:nvPicPr>
        <xdr:cNvPr id="6" name="Obrázek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398" y="1185100"/>
          <a:ext cx="138928" cy="138928"/>
        </a:xfrm>
        <a:prstGeom prst="rect">
          <a:avLst/>
        </a:prstGeom>
      </xdr:spPr>
    </xdr:pic>
    <xdr:clientData/>
  </xdr:twoCellAnchor>
  <xdr:twoCellAnchor editAs="oneCell">
    <xdr:from>
      <xdr:col>0</xdr:col>
      <xdr:colOff>549398</xdr:colOff>
      <xdr:row>7</xdr:row>
      <xdr:rowOff>10525</xdr:rowOff>
    </xdr:from>
    <xdr:to>
      <xdr:col>0</xdr:col>
      <xdr:colOff>682011</xdr:colOff>
      <xdr:row>7</xdr:row>
      <xdr:rowOff>143138</xdr:rowOff>
    </xdr:to>
    <xdr:pic>
      <xdr:nvPicPr>
        <xdr:cNvPr id="7" name="Obrázek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398" y="1340868"/>
          <a:ext cx="132613" cy="132613"/>
        </a:xfrm>
        <a:prstGeom prst="rect">
          <a:avLst/>
        </a:prstGeom>
      </xdr:spPr>
    </xdr:pic>
    <xdr:clientData/>
  </xdr:twoCellAnchor>
  <xdr:twoCellAnchor editAs="oneCell">
    <xdr:from>
      <xdr:col>0</xdr:col>
      <xdr:colOff>564133</xdr:colOff>
      <xdr:row>8</xdr:row>
      <xdr:rowOff>10525</xdr:rowOff>
    </xdr:from>
    <xdr:to>
      <xdr:col>0</xdr:col>
      <xdr:colOff>686221</xdr:colOff>
      <xdr:row>8</xdr:row>
      <xdr:rowOff>132613</xdr:rowOff>
    </xdr:to>
    <xdr:pic>
      <xdr:nvPicPr>
        <xdr:cNvPr id="8" name="Obrázek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33" y="1492426"/>
          <a:ext cx="122088" cy="122088"/>
        </a:xfrm>
        <a:prstGeom prst="rect">
          <a:avLst/>
        </a:prstGeom>
      </xdr:spPr>
    </xdr:pic>
    <xdr:clientData/>
  </xdr:twoCellAnchor>
  <xdr:twoCellAnchor editAs="oneCell">
    <xdr:from>
      <xdr:col>0</xdr:col>
      <xdr:colOff>559924</xdr:colOff>
      <xdr:row>9</xdr:row>
      <xdr:rowOff>6316</xdr:rowOff>
    </xdr:from>
    <xdr:to>
      <xdr:col>0</xdr:col>
      <xdr:colOff>686222</xdr:colOff>
      <xdr:row>9</xdr:row>
      <xdr:rowOff>132614</xdr:rowOff>
    </xdr:to>
    <xdr:pic>
      <xdr:nvPicPr>
        <xdr:cNvPr id="9" name="Obrázek 8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924" y="1639775"/>
          <a:ext cx="126298" cy="126298"/>
        </a:xfrm>
        <a:prstGeom prst="rect">
          <a:avLst/>
        </a:prstGeom>
      </xdr:spPr>
    </xdr:pic>
    <xdr:clientData/>
  </xdr:twoCellAnchor>
  <xdr:twoCellAnchor editAs="oneCell">
    <xdr:from>
      <xdr:col>0</xdr:col>
      <xdr:colOff>564133</xdr:colOff>
      <xdr:row>10</xdr:row>
      <xdr:rowOff>12630</xdr:rowOff>
    </xdr:from>
    <xdr:to>
      <xdr:col>0</xdr:col>
      <xdr:colOff>688326</xdr:colOff>
      <xdr:row>10</xdr:row>
      <xdr:rowOff>136823</xdr:rowOff>
    </xdr:to>
    <xdr:pic>
      <xdr:nvPicPr>
        <xdr:cNvPr id="10" name="Obrázek 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33" y="1797647"/>
          <a:ext cx="124193" cy="1241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10" Type="http://schemas.openxmlformats.org/officeDocument/2006/relationships/comments" Target="../comments9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">
    <tabColor theme="4" tint="-0.249977111117893"/>
  </sheetPr>
  <dimension ref="A1:BS130"/>
  <sheetViews>
    <sheetView workbookViewId="0">
      <selection activeCell="W10" sqref="W10"/>
    </sheetView>
  </sheetViews>
  <sheetFormatPr defaultRowHeight="14.4" outlineLevelCol="1" x14ac:dyDescent="0.3"/>
  <cols>
    <col min="1" max="1" width="3.88671875" customWidth="1"/>
    <col min="2" max="2" width="11.33203125" customWidth="1"/>
    <col min="3" max="3" width="18.88671875" customWidth="1"/>
    <col min="4" max="4" width="5.5546875" customWidth="1"/>
    <col min="5" max="5" width="5" customWidth="1"/>
    <col min="6" max="9" width="3.6640625" customWidth="1"/>
    <col min="10" max="10" width="5.33203125" customWidth="1"/>
    <col min="11" max="11" width="3.6640625" customWidth="1"/>
    <col min="12" max="12" width="5.21875" customWidth="1"/>
    <col min="13" max="35" width="3.6640625" customWidth="1"/>
    <col min="38" max="38" width="9" customWidth="1"/>
    <col min="39" max="39" width="7" customWidth="1"/>
    <col min="40" max="40" width="11.88671875" customWidth="1"/>
    <col min="41" max="42" width="11.88671875" hidden="1" customWidth="1"/>
    <col min="43" max="43" width="20.109375" hidden="1" customWidth="1"/>
    <col min="44" max="44" width="13.6640625" hidden="1" customWidth="1"/>
    <col min="45" max="45" width="12.33203125" hidden="1" customWidth="1"/>
    <col min="46" max="46" width="1.33203125" customWidth="1"/>
    <col min="47" max="47" width="16.33203125" customWidth="1"/>
    <col min="48" max="48" width="5.5546875" customWidth="1" outlineLevel="1"/>
    <col min="49" max="49" width="16.44140625" customWidth="1" outlineLevel="1"/>
    <col min="50" max="50" width="18.6640625" customWidth="1" outlineLevel="1"/>
    <col min="51" max="51" width="7.44140625" bestFit="1" customWidth="1"/>
    <col min="52" max="52" width="16.5546875" customWidth="1"/>
    <col min="53" max="53" width="5.33203125" customWidth="1"/>
    <col min="54" max="54" width="6.44140625" bestFit="1" customWidth="1"/>
    <col min="55" max="55" width="8" customWidth="1"/>
    <col min="56" max="58" width="4.109375" customWidth="1"/>
    <col min="60" max="60" width="3.88671875" customWidth="1"/>
    <col min="61" max="61" width="4.33203125" customWidth="1"/>
    <col min="62" max="62" width="11.44140625" bestFit="1" customWidth="1"/>
    <col min="63" max="63" width="2" bestFit="1" customWidth="1"/>
    <col min="66" max="66" width="5.88671875" customWidth="1"/>
    <col min="67" max="67" width="20.88671875" bestFit="1" customWidth="1"/>
    <col min="68" max="68" width="6.109375" customWidth="1"/>
    <col min="69" max="69" width="17.33203125" bestFit="1" customWidth="1"/>
  </cols>
  <sheetData>
    <row r="1" spans="1:71" ht="23.4" x14ac:dyDescent="0.45">
      <c r="E1" s="165" t="s">
        <v>562</v>
      </c>
      <c r="AL1" s="527" t="s">
        <v>2877</v>
      </c>
    </row>
    <row r="2" spans="1:71" ht="15.6" x14ac:dyDescent="0.3">
      <c r="A2" s="191" t="s">
        <v>718</v>
      </c>
      <c r="BG2" s="59" t="s">
        <v>2877</v>
      </c>
    </row>
    <row r="3" spans="1:71" ht="15.6" x14ac:dyDescent="0.3">
      <c r="A3" s="191"/>
      <c r="B3" t="s">
        <v>1167</v>
      </c>
      <c r="C3" s="394" t="s">
        <v>204</v>
      </c>
      <c r="H3" s="3" t="s">
        <v>1160</v>
      </c>
      <c r="I3" s="1181" t="s">
        <v>1161</v>
      </c>
      <c r="J3" s="1182"/>
      <c r="K3" s="1182"/>
      <c r="L3" s="1183"/>
      <c r="O3" s="3" t="s">
        <v>992</v>
      </c>
      <c r="P3" s="650" t="str">
        <f>IF(ISERROR(HLOOKUP(AR5,AR5:AS64,MATCH(C3,AR5:AR64,0),FALSE)),AL6,AL5)</f>
        <v>Muž</v>
      </c>
      <c r="Q3" s="727"/>
      <c r="BG3" s="59" t="s">
        <v>2878</v>
      </c>
    </row>
    <row r="4" spans="1:71" x14ac:dyDescent="0.3">
      <c r="E4" t="s">
        <v>232</v>
      </c>
      <c r="AL4" s="232" t="s">
        <v>992</v>
      </c>
      <c r="AN4" s="1172" t="s">
        <v>218</v>
      </c>
      <c r="AO4" s="1173"/>
      <c r="AP4" s="1173"/>
      <c r="AQ4" s="1173"/>
      <c r="AR4" s="1173"/>
      <c r="AS4" s="1174"/>
      <c r="AU4" s="1172" t="s">
        <v>254</v>
      </c>
      <c r="AV4" s="1173"/>
      <c r="AW4" s="1173"/>
      <c r="AX4" s="1174"/>
      <c r="BN4" s="1" t="s">
        <v>587</v>
      </c>
      <c r="BR4" t="s">
        <v>3098</v>
      </c>
    </row>
    <row r="5" spans="1:71" x14ac:dyDescent="0.3">
      <c r="B5" t="s">
        <v>25</v>
      </c>
      <c r="C5" s="394" t="s">
        <v>5584</v>
      </c>
      <c r="AL5" s="233" t="s">
        <v>993</v>
      </c>
      <c r="AN5" s="232" t="s">
        <v>1057</v>
      </c>
      <c r="AO5" s="232" t="s">
        <v>2875</v>
      </c>
      <c r="AP5" s="232" t="s">
        <v>2876</v>
      </c>
      <c r="AQ5" s="232" t="s">
        <v>1160</v>
      </c>
      <c r="AR5" s="65" t="s">
        <v>995</v>
      </c>
      <c r="AS5" s="65" t="s">
        <v>99</v>
      </c>
      <c r="AU5" s="65" t="s">
        <v>1057</v>
      </c>
      <c r="AW5" s="65" t="s">
        <v>995</v>
      </c>
      <c r="AX5" s="65" t="s">
        <v>99</v>
      </c>
      <c r="AY5" t="s">
        <v>234</v>
      </c>
      <c r="BN5" s="1" t="s">
        <v>2828</v>
      </c>
      <c r="BO5" s="1" t="s">
        <v>589</v>
      </c>
      <c r="BP5" s="1" t="s">
        <v>2827</v>
      </c>
      <c r="BQ5" s="1" t="s">
        <v>588</v>
      </c>
      <c r="BR5" t="s">
        <v>2</v>
      </c>
      <c r="BS5" t="s">
        <v>3</v>
      </c>
    </row>
    <row r="6" spans="1:71" x14ac:dyDescent="0.3">
      <c r="C6" t="s">
        <v>719</v>
      </c>
      <c r="D6" s="395">
        <v>4</v>
      </c>
      <c r="K6" s="3" t="s">
        <v>1064</v>
      </c>
      <c r="L6" s="724">
        <f>IFERROR(HLOOKUP(D6,Povolání!$B$3:$AU$66,MATCH(C5,Povolání!$B$3:$B$66,0),FALSE),0)</f>
        <v>20</v>
      </c>
      <c r="AL6" s="233" t="s">
        <v>994</v>
      </c>
      <c r="AN6" s="233"/>
      <c r="AO6" s="233"/>
      <c r="AP6" s="233"/>
      <c r="AQ6" s="233"/>
      <c r="AR6" s="233" t="s">
        <v>232</v>
      </c>
      <c r="AS6" s="233"/>
      <c r="AU6" s="233" t="s">
        <v>232</v>
      </c>
      <c r="AW6" s="233" t="s">
        <v>232</v>
      </c>
      <c r="AX6" s="233" t="s">
        <v>232</v>
      </c>
      <c r="AY6" s="61">
        <v>1</v>
      </c>
      <c r="BN6" s="10" t="s">
        <v>5238</v>
      </c>
      <c r="BO6" s="10" t="s">
        <v>592</v>
      </c>
      <c r="BP6" s="10" t="s">
        <v>5238</v>
      </c>
      <c r="BQ6" s="10" t="s">
        <v>592</v>
      </c>
      <c r="BR6" s="63">
        <v>1</v>
      </c>
      <c r="BS6" s="63">
        <v>-5</v>
      </c>
    </row>
    <row r="7" spans="1:71" x14ac:dyDescent="0.3">
      <c r="B7" s="3" t="s">
        <v>984</v>
      </c>
      <c r="C7" s="33"/>
      <c r="Q7" t="s">
        <v>232</v>
      </c>
      <c r="AN7" s="233" t="str">
        <f>IF($AL$1="PJ",AP7,AO7)</f>
        <v>Amazonka</v>
      </c>
      <c r="AO7" s="233" t="s">
        <v>1036</v>
      </c>
      <c r="AP7" s="233" t="s">
        <v>1036</v>
      </c>
      <c r="AQ7" s="233" t="s">
        <v>4288</v>
      </c>
      <c r="AR7" s="233" t="s">
        <v>4143</v>
      </c>
      <c r="AS7" s="233" t="s">
        <v>4144</v>
      </c>
      <c r="AU7" s="233" t="s">
        <v>5667</v>
      </c>
      <c r="AW7" s="233" t="s">
        <v>5667</v>
      </c>
      <c r="AX7" s="233" t="s">
        <v>5668</v>
      </c>
      <c r="AY7" s="61">
        <v>2</v>
      </c>
      <c r="BN7" s="10" t="s">
        <v>2668</v>
      </c>
      <c r="BO7" s="10" t="s">
        <v>590</v>
      </c>
      <c r="BP7" s="10" t="s">
        <v>2669</v>
      </c>
      <c r="BQ7" s="10" t="s">
        <v>2792</v>
      </c>
      <c r="BR7" s="63">
        <v>2</v>
      </c>
      <c r="BS7" s="63">
        <v>-4</v>
      </c>
    </row>
    <row r="8" spans="1:71" x14ac:dyDescent="0.3">
      <c r="C8" t="s">
        <v>719</v>
      </c>
      <c r="D8" s="155"/>
      <c r="K8" s="3" t="s">
        <v>1064</v>
      </c>
      <c r="L8" s="724">
        <f>IFERROR(HLOOKUP(D8,Povolání!$B$3:$AU$66,MATCH(C7,Povolání!$B$3:$B$66,0),FALSE),0)</f>
        <v>0</v>
      </c>
      <c r="AN8" s="233" t="str">
        <f t="shared" ref="AN8:AN33" si="0">IF($AL$1="PJ",AP8,AO8)</f>
        <v>Barbar</v>
      </c>
      <c r="AO8" s="233" t="s">
        <v>991</v>
      </c>
      <c r="AP8" s="233" t="s">
        <v>4143</v>
      </c>
      <c r="AQ8" s="233" t="s">
        <v>4289</v>
      </c>
      <c r="AR8" s="233" t="s">
        <v>2446</v>
      </c>
      <c r="AS8" s="233" t="s">
        <v>2447</v>
      </c>
      <c r="AU8" s="233" t="s">
        <v>5668</v>
      </c>
      <c r="AW8" s="233" t="s">
        <v>1127</v>
      </c>
      <c r="AX8" s="233" t="s">
        <v>1061</v>
      </c>
      <c r="AY8" s="61">
        <v>3</v>
      </c>
      <c r="BN8" s="10" t="s">
        <v>2524</v>
      </c>
      <c r="BO8" s="10" t="s">
        <v>1080</v>
      </c>
      <c r="BP8" s="10" t="s">
        <v>2521</v>
      </c>
      <c r="BQ8" s="10" t="s">
        <v>1087</v>
      </c>
      <c r="BR8" s="63">
        <v>3</v>
      </c>
      <c r="BS8" s="63">
        <v>-4</v>
      </c>
    </row>
    <row r="9" spans="1:71" x14ac:dyDescent="0.3">
      <c r="C9" t="s">
        <v>989</v>
      </c>
      <c r="D9" s="280">
        <f>D6+D8</f>
        <v>4</v>
      </c>
      <c r="AN9" s="233" t="str">
        <f t="shared" si="0"/>
        <v>Člověk (F)</v>
      </c>
      <c r="AO9" s="233" t="s">
        <v>1029</v>
      </c>
      <c r="AP9" s="233" t="s">
        <v>2446</v>
      </c>
      <c r="AQ9" s="233" t="s">
        <v>1161</v>
      </c>
      <c r="AR9" s="731" t="s">
        <v>991</v>
      </c>
      <c r="AS9" s="731" t="s">
        <v>1036</v>
      </c>
      <c r="AU9" s="233" t="s">
        <v>1127</v>
      </c>
      <c r="AW9" s="233" t="s">
        <v>3115</v>
      </c>
      <c r="AX9" s="233" t="s">
        <v>3116</v>
      </c>
      <c r="AY9" s="61">
        <v>4</v>
      </c>
      <c r="BN9" s="10" t="s">
        <v>2530</v>
      </c>
      <c r="BO9" s="10" t="s">
        <v>5239</v>
      </c>
      <c r="BP9" s="10" t="s">
        <v>2527</v>
      </c>
      <c r="BQ9" s="10" t="s">
        <v>625</v>
      </c>
      <c r="BR9" s="63">
        <v>4</v>
      </c>
      <c r="BS9" s="63">
        <v>-3</v>
      </c>
    </row>
    <row r="10" spans="1:71" x14ac:dyDescent="0.3">
      <c r="C10" t="s">
        <v>720</v>
      </c>
      <c r="D10" s="728"/>
      <c r="F10" s="717" t="s">
        <v>2004</v>
      </c>
      <c r="G10" s="717"/>
      <c r="H10" s="717"/>
      <c r="I10" s="718"/>
      <c r="J10" s="717"/>
      <c r="K10" s="718"/>
      <c r="L10" s="718"/>
      <c r="M10" s="718"/>
      <c r="N10" s="717" t="s">
        <v>2005</v>
      </c>
      <c r="O10" s="718"/>
      <c r="P10" s="718"/>
      <c r="Q10" s="718"/>
      <c r="R10" t="s">
        <v>3954</v>
      </c>
      <c r="AN10" s="233" t="str">
        <f t="shared" si="0"/>
        <v>Člověk (M)</v>
      </c>
      <c r="AO10" s="233" t="s">
        <v>1028</v>
      </c>
      <c r="AP10" s="233" t="s">
        <v>2447</v>
      </c>
      <c r="AQ10" s="233" t="s">
        <v>1162</v>
      </c>
      <c r="AR10" s="731" t="s">
        <v>1028</v>
      </c>
      <c r="AS10" s="731" t="s">
        <v>1029</v>
      </c>
      <c r="AU10" s="233" t="s">
        <v>1061</v>
      </c>
      <c r="AW10" s="233" t="s">
        <v>180</v>
      </c>
      <c r="AX10" s="233" t="s">
        <v>1010</v>
      </c>
      <c r="AY10" s="61">
        <v>5</v>
      </c>
      <c r="BN10" s="10" t="s">
        <v>2536</v>
      </c>
      <c r="BO10" s="10" t="s">
        <v>2540</v>
      </c>
      <c r="BP10" s="10" t="s">
        <v>2532</v>
      </c>
      <c r="BQ10" s="10" t="s">
        <v>1090</v>
      </c>
      <c r="BR10" s="63">
        <v>5</v>
      </c>
      <c r="BS10" s="63">
        <v>-3</v>
      </c>
    </row>
    <row r="11" spans="1:71" x14ac:dyDescent="0.3">
      <c r="AN11" s="233" t="str">
        <f t="shared" si="0"/>
        <v>Elf</v>
      </c>
      <c r="AO11" s="233" t="s">
        <v>219</v>
      </c>
      <c r="AP11" s="233" t="s">
        <v>991</v>
      </c>
      <c r="AQ11" s="233" t="s">
        <v>4945</v>
      </c>
      <c r="AR11" s="233" t="s">
        <v>4152</v>
      </c>
      <c r="AS11" s="233" t="s">
        <v>4153</v>
      </c>
      <c r="AU11" s="233" t="s">
        <v>1106</v>
      </c>
      <c r="AW11" s="233" t="s">
        <v>257</v>
      </c>
      <c r="AX11" s="233" t="s">
        <v>1011</v>
      </c>
      <c r="AY11" s="61">
        <v>6</v>
      </c>
      <c r="AZ11" s="525" t="s">
        <v>2829</v>
      </c>
      <c r="BA11" s="526" t="s">
        <v>3103</v>
      </c>
      <c r="BB11" s="526" t="s">
        <v>5013</v>
      </c>
      <c r="BC11" s="526" t="s">
        <v>5014</v>
      </c>
      <c r="BG11" s="525" t="s">
        <v>289</v>
      </c>
      <c r="BH11" s="526"/>
      <c r="BJ11" s="525" t="s">
        <v>290</v>
      </c>
      <c r="BK11" s="526"/>
      <c r="BN11" s="10" t="s">
        <v>107</v>
      </c>
      <c r="BO11" s="10" t="s">
        <v>2545</v>
      </c>
      <c r="BP11" s="10" t="s">
        <v>2539</v>
      </c>
      <c r="BQ11" s="10" t="s">
        <v>627</v>
      </c>
      <c r="BR11" s="63">
        <v>6</v>
      </c>
      <c r="BS11" s="63">
        <v>-2</v>
      </c>
    </row>
    <row r="12" spans="1:71" x14ac:dyDescent="0.3">
      <c r="C12" t="s">
        <v>723</v>
      </c>
      <c r="D12" s="394">
        <v>1272</v>
      </c>
      <c r="E12" t="s">
        <v>5411</v>
      </c>
      <c r="AN12" s="233" t="str">
        <f t="shared" si="0"/>
        <v>Elfka</v>
      </c>
      <c r="AO12" s="233" t="s">
        <v>997</v>
      </c>
      <c r="AP12" s="233" t="s">
        <v>996</v>
      </c>
      <c r="AQ12" s="233" t="s">
        <v>4947</v>
      </c>
      <c r="AR12" s="731" t="s">
        <v>219</v>
      </c>
      <c r="AS12" s="731" t="s">
        <v>997</v>
      </c>
      <c r="AU12" s="233" t="s">
        <v>3115</v>
      </c>
      <c r="AW12" s="233" t="s">
        <v>261</v>
      </c>
      <c r="AX12" s="233" t="s">
        <v>1012</v>
      </c>
      <c r="AY12" s="61">
        <v>7</v>
      </c>
      <c r="AZ12" s="332" t="s">
        <v>5008</v>
      </c>
      <c r="BA12" s="333">
        <v>0</v>
      </c>
      <c r="BB12" s="333">
        <v>1</v>
      </c>
      <c r="BC12" s="333">
        <v>2</v>
      </c>
      <c r="BG12" s="443">
        <v>1</v>
      </c>
      <c r="BH12" s="333">
        <v>0</v>
      </c>
      <c r="BJ12" s="444">
        <v>0</v>
      </c>
      <c r="BK12" s="333">
        <v>0</v>
      </c>
      <c r="BN12" s="10" t="s">
        <v>108</v>
      </c>
      <c r="BO12" s="10" t="s">
        <v>591</v>
      </c>
      <c r="BP12" s="10" t="s">
        <v>109</v>
      </c>
      <c r="BQ12" s="10" t="s">
        <v>628</v>
      </c>
      <c r="BR12" s="63">
        <v>7</v>
      </c>
      <c r="BS12" s="63">
        <v>-2</v>
      </c>
    </row>
    <row r="13" spans="1:71" x14ac:dyDescent="0.3">
      <c r="AN13" s="233" t="str">
        <f t="shared" si="0"/>
        <v>Hobgoblin</v>
      </c>
      <c r="AO13" s="233" t="s">
        <v>4235</v>
      </c>
      <c r="AP13" s="233" t="s">
        <v>1029</v>
      </c>
      <c r="AQ13" s="233" t="s">
        <v>4152</v>
      </c>
      <c r="AR13" s="233" t="s">
        <v>543</v>
      </c>
      <c r="AS13" s="233" t="s">
        <v>1038</v>
      </c>
      <c r="AU13" s="233" t="s">
        <v>3116</v>
      </c>
      <c r="AW13" s="233" t="s">
        <v>270</v>
      </c>
      <c r="AX13" s="233" t="s">
        <v>1106</v>
      </c>
      <c r="AY13" s="61">
        <v>8</v>
      </c>
      <c r="AZ13" s="332" t="s">
        <v>5012</v>
      </c>
      <c r="BA13" s="333">
        <v>1</v>
      </c>
      <c r="BB13" s="333">
        <v>2</v>
      </c>
      <c r="BC13" s="333">
        <v>3</v>
      </c>
      <c r="BG13" s="443">
        <v>3</v>
      </c>
      <c r="BH13" s="333">
        <v>1</v>
      </c>
      <c r="BJ13" s="444">
        <v>30</v>
      </c>
      <c r="BK13" s="333">
        <v>1</v>
      </c>
      <c r="BN13" s="10" t="s">
        <v>110</v>
      </c>
      <c r="BO13" s="10" t="s">
        <v>558</v>
      </c>
      <c r="BP13" s="10" t="s">
        <v>106</v>
      </c>
      <c r="BQ13" s="10" t="s">
        <v>2750</v>
      </c>
      <c r="BR13" s="63">
        <v>8</v>
      </c>
      <c r="BS13" s="63">
        <v>-1</v>
      </c>
    </row>
    <row r="14" spans="1:71" ht="18" x14ac:dyDescent="0.35">
      <c r="A14" s="191" t="s">
        <v>2880</v>
      </c>
      <c r="B14" s="1"/>
      <c r="D14" s="8" t="s">
        <v>2881</v>
      </c>
      <c r="P14" s="132" t="s">
        <v>3956</v>
      </c>
      <c r="AN14" s="233" t="str">
        <f t="shared" si="0"/>
        <v>Hobgoblinka</v>
      </c>
      <c r="AO14" s="233" t="s">
        <v>4236</v>
      </c>
      <c r="AP14" s="233" t="s">
        <v>1028</v>
      </c>
      <c r="AQ14" s="233" t="s">
        <v>4153</v>
      </c>
      <c r="AR14" s="892" t="s">
        <v>220</v>
      </c>
      <c r="AS14" s="892" t="s">
        <v>998</v>
      </c>
      <c r="AU14" s="233" t="s">
        <v>180</v>
      </c>
      <c r="AW14" s="233" t="s">
        <v>275</v>
      </c>
      <c r="AX14" s="233" t="s">
        <v>1013</v>
      </c>
      <c r="AY14" s="61">
        <v>9</v>
      </c>
      <c r="AZ14" s="332" t="s">
        <v>5009</v>
      </c>
      <c r="BA14" s="333">
        <v>3</v>
      </c>
      <c r="BB14" s="333">
        <v>3</v>
      </c>
      <c r="BC14" s="333">
        <v>4</v>
      </c>
      <c r="BG14" s="443">
        <v>10</v>
      </c>
      <c r="BH14" s="333">
        <v>2</v>
      </c>
      <c r="BJ14" s="444">
        <v>60</v>
      </c>
      <c r="BK14" s="333">
        <v>2</v>
      </c>
      <c r="BN14" s="10" t="s">
        <v>2558</v>
      </c>
      <c r="BO14" s="10" t="s">
        <v>604</v>
      </c>
      <c r="BP14" s="10" t="s">
        <v>2555</v>
      </c>
      <c r="BQ14" s="10" t="s">
        <v>5240</v>
      </c>
      <c r="BR14" s="63">
        <v>9</v>
      </c>
      <c r="BS14" s="63">
        <v>-1</v>
      </c>
    </row>
    <row r="15" spans="1:71" x14ac:dyDescent="0.3">
      <c r="B15" s="729" t="str">
        <f>'Tvorba postavy'!F81</f>
        <v>1k6</v>
      </c>
      <c r="C15" t="s">
        <v>0</v>
      </c>
      <c r="D15" s="286"/>
      <c r="E15" s="286"/>
      <c r="P15" s="403" t="s">
        <v>3955</v>
      </c>
      <c r="Q15" s="403"/>
      <c r="R15" s="403"/>
      <c r="S15" s="403"/>
      <c r="T15" s="403"/>
      <c r="U15" s="403"/>
      <c r="V15" s="403"/>
      <c r="W15" s="403"/>
      <c r="X15" s="403"/>
      <c r="Y15" s="403"/>
      <c r="Z15" s="403"/>
      <c r="AN15" s="233" t="str">
        <f t="shared" si="0"/>
        <v>Hobit</v>
      </c>
      <c r="AO15" s="233" t="s">
        <v>222</v>
      </c>
      <c r="AP15" s="233" t="s">
        <v>4152</v>
      </c>
      <c r="AQ15" s="233" t="s">
        <v>4948</v>
      </c>
      <c r="AR15" s="892" t="s">
        <v>221</v>
      </c>
      <c r="AS15" s="892" t="s">
        <v>410</v>
      </c>
      <c r="AU15" s="233" t="s">
        <v>1011</v>
      </c>
      <c r="AW15" s="233" t="s">
        <v>5603</v>
      </c>
      <c r="AX15" s="233" t="s">
        <v>5604</v>
      </c>
      <c r="AY15" s="61">
        <v>10</v>
      </c>
      <c r="AZ15" s="332" t="s">
        <v>5010</v>
      </c>
      <c r="BA15" s="333">
        <v>5</v>
      </c>
      <c r="BB15" s="333">
        <v>6</v>
      </c>
      <c r="BC15" s="333">
        <v>6</v>
      </c>
      <c r="BG15" s="443">
        <v>30</v>
      </c>
      <c r="BH15" s="333">
        <v>3</v>
      </c>
      <c r="BJ15" s="444">
        <v>90</v>
      </c>
      <c r="BK15" s="333">
        <v>3</v>
      </c>
      <c r="BN15" s="10" t="s">
        <v>2666</v>
      </c>
      <c r="BO15" s="10" t="s">
        <v>595</v>
      </c>
      <c r="BP15" s="10" t="s">
        <v>2560</v>
      </c>
      <c r="BQ15" s="10" t="s">
        <v>2751</v>
      </c>
      <c r="BR15" s="63">
        <v>10</v>
      </c>
      <c r="BS15" s="63">
        <v>0</v>
      </c>
    </row>
    <row r="16" spans="1:71" x14ac:dyDescent="0.3">
      <c r="B16" s="729" t="str">
        <f>'Tvorba postavy'!F82</f>
        <v>2k6</v>
      </c>
      <c r="C16" t="s">
        <v>4</v>
      </c>
      <c r="D16" s="286"/>
      <c r="E16" s="286"/>
      <c r="P16" s="720" t="s">
        <v>3957</v>
      </c>
      <c r="Q16" s="720"/>
      <c r="R16" s="720"/>
      <c r="S16" s="720"/>
      <c r="T16" s="720"/>
      <c r="U16" s="720"/>
      <c r="V16" s="720"/>
      <c r="W16" s="720"/>
      <c r="X16" s="720"/>
      <c r="Y16" s="720"/>
      <c r="Z16" s="720"/>
      <c r="AN16" s="233" t="str">
        <f t="shared" si="0"/>
        <v>Hobitka</v>
      </c>
      <c r="AO16" s="233" t="s">
        <v>999</v>
      </c>
      <c r="AP16" s="233" t="s">
        <v>4153</v>
      </c>
      <c r="AQ16" s="233" t="s">
        <v>4949</v>
      </c>
      <c r="AR16" s="233" t="s">
        <v>1051</v>
      </c>
      <c r="AS16" s="233" t="s">
        <v>1052</v>
      </c>
      <c r="AU16" s="233" t="s">
        <v>257</v>
      </c>
      <c r="AW16" s="233" t="s">
        <v>272</v>
      </c>
      <c r="AX16" s="233" t="s">
        <v>1014</v>
      </c>
      <c r="AY16" s="61">
        <v>11</v>
      </c>
      <c r="AZ16" s="332" t="s">
        <v>5011</v>
      </c>
      <c r="BA16" s="333">
        <v>7</v>
      </c>
      <c r="BB16" s="333">
        <v>9</v>
      </c>
      <c r="BC16" s="333">
        <v>9</v>
      </c>
      <c r="BG16" s="443">
        <v>100</v>
      </c>
      <c r="BH16" s="333">
        <v>4</v>
      </c>
      <c r="BJ16" s="444">
        <v>120</v>
      </c>
      <c r="BK16" s="333">
        <v>4</v>
      </c>
      <c r="BN16" s="10" t="s">
        <v>2565</v>
      </c>
      <c r="BO16" s="10" t="s">
        <v>619</v>
      </c>
      <c r="BP16" s="10" t="s">
        <v>2562</v>
      </c>
      <c r="BQ16" s="10" t="s">
        <v>5241</v>
      </c>
      <c r="BR16" s="63">
        <v>11</v>
      </c>
      <c r="BS16" s="63">
        <v>0</v>
      </c>
    </row>
    <row r="17" spans="1:71" ht="15" thickBot="1" x14ac:dyDescent="0.35">
      <c r="B17" s="729" t="str">
        <f>'Tvorba postavy'!F83</f>
        <v>2k6</v>
      </c>
      <c r="C17" t="s">
        <v>5</v>
      </c>
      <c r="D17" s="286"/>
      <c r="E17" s="286"/>
      <c r="P17" s="716" t="s">
        <v>3958</v>
      </c>
      <c r="Q17" s="716"/>
      <c r="R17" s="716"/>
      <c r="S17" s="716"/>
      <c r="T17" s="716"/>
      <c r="U17" s="716"/>
      <c r="V17" s="716"/>
      <c r="W17" s="716"/>
      <c r="X17" s="716"/>
      <c r="Y17" s="716"/>
      <c r="Z17" s="716"/>
      <c r="AN17" s="233" t="str">
        <f t="shared" si="0"/>
        <v>Inox</v>
      </c>
      <c r="AO17" s="233" t="s">
        <v>4936</v>
      </c>
      <c r="AP17" s="233" t="s">
        <v>1033</v>
      </c>
      <c r="AQ17" s="233" t="s">
        <v>4707</v>
      </c>
      <c r="AR17" s="233" t="s">
        <v>1131</v>
      </c>
      <c r="AS17" s="233" t="s">
        <v>410</v>
      </c>
      <c r="AU17" s="233" t="s">
        <v>261</v>
      </c>
      <c r="AW17" s="233" t="s">
        <v>645</v>
      </c>
      <c r="AX17" s="233" t="s">
        <v>271</v>
      </c>
      <c r="AY17" s="61">
        <v>12</v>
      </c>
      <c r="BB17" s="969"/>
      <c r="BG17" s="443">
        <v>200</v>
      </c>
      <c r="BH17" s="333">
        <v>5</v>
      </c>
      <c r="BJ17" s="444">
        <v>150</v>
      </c>
      <c r="BK17" s="333">
        <v>5</v>
      </c>
      <c r="BN17" s="10" t="s">
        <v>2569</v>
      </c>
      <c r="BO17" s="10" t="s">
        <v>1076</v>
      </c>
      <c r="BP17" s="10" t="s">
        <v>2567</v>
      </c>
      <c r="BQ17" s="10" t="s">
        <v>629</v>
      </c>
      <c r="BR17" s="63">
        <v>12</v>
      </c>
      <c r="BS17" s="63">
        <v>0</v>
      </c>
    </row>
    <row r="18" spans="1:71" ht="15" thickBot="1" x14ac:dyDescent="0.35">
      <c r="B18" s="729" t="str">
        <f>'Tvorba postavy'!F84</f>
        <v>1k6</v>
      </c>
      <c r="C18" t="s">
        <v>6</v>
      </c>
      <c r="D18" s="286"/>
      <c r="E18" s="286"/>
      <c r="P18" s="721" t="s">
        <v>3959</v>
      </c>
      <c r="Q18" s="722"/>
      <c r="R18" s="722"/>
      <c r="S18" s="722"/>
      <c r="T18" s="722"/>
      <c r="U18" s="722"/>
      <c r="V18" s="722"/>
      <c r="W18" s="722"/>
      <c r="X18" s="722"/>
      <c r="Y18" s="722"/>
      <c r="Z18" s="723"/>
      <c r="AN18" s="233" t="str">
        <f t="shared" si="0"/>
        <v>Inoxa</v>
      </c>
      <c r="AO18" s="233" t="s">
        <v>4937</v>
      </c>
      <c r="AP18" s="233" t="s">
        <v>219</v>
      </c>
      <c r="AQ18" s="233" t="s">
        <v>4706</v>
      </c>
      <c r="AR18" s="233" t="s">
        <v>4235</v>
      </c>
      <c r="AS18" s="233" t="s">
        <v>4236</v>
      </c>
      <c r="AU18" s="233" t="s">
        <v>1012</v>
      </c>
      <c r="AW18" s="233" t="s">
        <v>5585</v>
      </c>
      <c r="AX18" s="233" t="s">
        <v>5586</v>
      </c>
      <c r="AY18" s="61">
        <v>13</v>
      </c>
      <c r="BB18" s="969"/>
      <c r="BG18" s="443">
        <v>300</v>
      </c>
      <c r="BH18" s="333">
        <v>6</v>
      </c>
      <c r="BJ18" s="444">
        <v>180</v>
      </c>
      <c r="BK18" s="333">
        <v>6</v>
      </c>
      <c r="BN18" s="10" t="s">
        <v>2574</v>
      </c>
      <c r="BO18" s="10" t="s">
        <v>602</v>
      </c>
      <c r="BP18" s="10" t="s">
        <v>2572</v>
      </c>
      <c r="BQ18" s="10" t="s">
        <v>630</v>
      </c>
      <c r="BR18" s="63">
        <v>13</v>
      </c>
      <c r="BS18" s="63">
        <v>1</v>
      </c>
    </row>
    <row r="19" spans="1:71" x14ac:dyDescent="0.3">
      <c r="B19" s="729" t="str">
        <f>'Tvorba postavy'!F85</f>
        <v>2k6</v>
      </c>
      <c r="C19" t="s">
        <v>7</v>
      </c>
      <c r="D19" s="286"/>
      <c r="E19" s="286"/>
      <c r="P19" s="725" t="s">
        <v>3973</v>
      </c>
      <c r="Q19" s="725"/>
      <c r="R19" s="725"/>
      <c r="S19" s="725"/>
      <c r="T19" s="725"/>
      <c r="U19" s="725"/>
      <c r="V19" s="725"/>
      <c r="W19" s="725"/>
      <c r="X19" s="725"/>
      <c r="Y19" s="725"/>
      <c r="Z19" s="725"/>
      <c r="AN19" s="233" t="str">
        <f t="shared" si="0"/>
        <v>Khajit</v>
      </c>
      <c r="AO19" s="233" t="s">
        <v>545</v>
      </c>
      <c r="AP19" s="233" t="s">
        <v>997</v>
      </c>
      <c r="AQ19" s="233" t="s">
        <v>1055</v>
      </c>
      <c r="AR19" s="731" t="s">
        <v>222</v>
      </c>
      <c r="AS19" s="731" t="s">
        <v>999</v>
      </c>
      <c r="AU19" s="233" t="s">
        <v>270</v>
      </c>
      <c r="AW19" s="233" t="s">
        <v>5587</v>
      </c>
      <c r="AX19" s="233" t="s">
        <v>5588</v>
      </c>
      <c r="AY19" s="61">
        <v>14</v>
      </c>
      <c r="BB19" s="969"/>
      <c r="BG19" s="443">
        <v>500</v>
      </c>
      <c r="BH19" s="333">
        <v>7</v>
      </c>
      <c r="BJ19" s="444">
        <v>210</v>
      </c>
      <c r="BK19" s="333">
        <v>7</v>
      </c>
      <c r="BN19" s="10" t="s">
        <v>2579</v>
      </c>
      <c r="BO19" s="10" t="s">
        <v>622</v>
      </c>
      <c r="BP19" s="10" t="s">
        <v>1923</v>
      </c>
      <c r="BQ19" s="10" t="s">
        <v>2755</v>
      </c>
      <c r="BR19" s="63">
        <v>14</v>
      </c>
      <c r="BS19" s="63">
        <v>1</v>
      </c>
    </row>
    <row r="20" spans="1:71" x14ac:dyDescent="0.3">
      <c r="B20" s="729" t="str">
        <f>'Tvorba postavy'!F86</f>
        <v>2k6</v>
      </c>
      <c r="C20" t="s">
        <v>8</v>
      </c>
      <c r="D20" s="286"/>
      <c r="E20" s="286"/>
      <c r="P20" s="719" t="s">
        <v>3974</v>
      </c>
      <c r="Q20" s="719"/>
      <c r="R20" s="719"/>
      <c r="S20" s="719"/>
      <c r="T20" s="719"/>
      <c r="U20" s="719"/>
      <c r="V20" s="719"/>
      <c r="W20" s="719"/>
      <c r="X20" s="719"/>
      <c r="Y20" s="719"/>
      <c r="Z20" s="719"/>
      <c r="AN20" s="233" t="str">
        <f t="shared" si="0"/>
        <v>Khajitka</v>
      </c>
      <c r="AO20" s="233" t="s">
        <v>1040</v>
      </c>
      <c r="AP20" s="233" t="s">
        <v>4721</v>
      </c>
      <c r="AQ20" s="233" t="s">
        <v>543</v>
      </c>
      <c r="AR20" s="233" t="s">
        <v>3767</v>
      </c>
      <c r="AS20" s="233" t="s">
        <v>410</v>
      </c>
      <c r="AU20" s="233" t="s">
        <v>275</v>
      </c>
      <c r="AW20" s="233" t="s">
        <v>265</v>
      </c>
      <c r="AX20" s="233" t="s">
        <v>1015</v>
      </c>
      <c r="AY20" s="61">
        <v>15</v>
      </c>
      <c r="BB20" s="969"/>
      <c r="BG20" s="443">
        <v>750</v>
      </c>
      <c r="BH20" s="333">
        <v>8</v>
      </c>
      <c r="BJ20" s="444">
        <v>240</v>
      </c>
      <c r="BK20" s="333">
        <v>8</v>
      </c>
      <c r="BN20" s="10" t="s">
        <v>2583</v>
      </c>
      <c r="BO20" s="10" t="s">
        <v>2570</v>
      </c>
      <c r="BP20" s="10" t="s">
        <v>2581</v>
      </c>
      <c r="BQ20" s="10" t="s">
        <v>633</v>
      </c>
      <c r="BR20" s="63">
        <v>15</v>
      </c>
      <c r="BS20" s="63">
        <v>2</v>
      </c>
    </row>
    <row r="21" spans="1:71" x14ac:dyDescent="0.3">
      <c r="B21" s="1"/>
      <c r="E21">
        <f>SUM(COPY_Startovni_hody)</f>
        <v>0</v>
      </c>
      <c r="F21" t="e">
        <f>AVERAGE(COPY_Startovni_hody)</f>
        <v>#DIV/0!</v>
      </c>
      <c r="H21" s="8" t="s">
        <v>4956</v>
      </c>
      <c r="P21" s="717" t="s">
        <v>3960</v>
      </c>
      <c r="Q21" s="717"/>
      <c r="R21" s="717"/>
      <c r="S21" s="717"/>
      <c r="T21" s="717"/>
      <c r="U21" s="717"/>
      <c r="V21" s="717"/>
      <c r="W21" s="717"/>
      <c r="X21" s="717"/>
      <c r="Y21" s="717"/>
      <c r="Z21" s="717"/>
      <c r="AN21" s="233" t="str">
        <f t="shared" si="0"/>
        <v>Kroll</v>
      </c>
      <c r="AO21" s="233" t="s">
        <v>224</v>
      </c>
      <c r="AP21" s="233" t="s">
        <v>4722</v>
      </c>
      <c r="AQ21" s="233" t="s">
        <v>1038</v>
      </c>
      <c r="AR21" s="233" t="s">
        <v>4936</v>
      </c>
      <c r="AS21" s="233" t="s">
        <v>4950</v>
      </c>
      <c r="AU21" s="233" t="s">
        <v>1013</v>
      </c>
      <c r="AW21" s="233" t="s">
        <v>262</v>
      </c>
      <c r="AX21" s="233" t="s">
        <v>1016</v>
      </c>
      <c r="AY21" s="61">
        <v>16</v>
      </c>
      <c r="BG21" s="443">
        <v>1000</v>
      </c>
      <c r="BH21" s="333">
        <v>9</v>
      </c>
      <c r="BJ21" s="444">
        <v>300</v>
      </c>
      <c r="BK21" s="333">
        <v>9</v>
      </c>
      <c r="BN21" s="10" t="s">
        <v>2586</v>
      </c>
      <c r="BO21" s="10" t="s">
        <v>2528</v>
      </c>
      <c r="BP21" s="10" t="s">
        <v>2585</v>
      </c>
      <c r="BQ21" s="10" t="s">
        <v>631</v>
      </c>
      <c r="BR21" s="63">
        <v>16</v>
      </c>
      <c r="BS21" s="63">
        <v>2</v>
      </c>
    </row>
    <row r="22" spans="1:71" ht="15.6" x14ac:dyDescent="0.3">
      <c r="A22" s="191" t="s">
        <v>2879</v>
      </c>
      <c r="P22" s="730" t="s">
        <v>3961</v>
      </c>
      <c r="Q22" s="730"/>
      <c r="R22" s="730"/>
      <c r="S22" s="730"/>
      <c r="T22" s="730"/>
      <c r="U22" s="730"/>
      <c r="V22" s="730"/>
      <c r="W22" s="730"/>
      <c r="X22" s="730"/>
      <c r="Y22" s="730"/>
      <c r="Z22" s="730"/>
      <c r="AN22" s="233" t="str">
        <f t="shared" si="0"/>
        <v>Krollka</v>
      </c>
      <c r="AO22" s="233" t="s">
        <v>1001</v>
      </c>
      <c r="AP22" s="233" t="s">
        <v>4717</v>
      </c>
      <c r="AQ22" s="233" t="s">
        <v>220</v>
      </c>
      <c r="AR22" s="233" t="s">
        <v>3020</v>
      </c>
      <c r="AS22" s="233" t="s">
        <v>3021</v>
      </c>
      <c r="AU22" s="233" t="s">
        <v>5603</v>
      </c>
      <c r="AW22" s="233" t="s">
        <v>4754</v>
      </c>
      <c r="AX22" s="233" t="s">
        <v>4753</v>
      </c>
      <c r="AY22" s="61">
        <v>17</v>
      </c>
      <c r="BN22" s="10" t="s">
        <v>2591</v>
      </c>
      <c r="BO22" s="10" t="s">
        <v>1078</v>
      </c>
      <c r="BP22" s="10" t="s">
        <v>2589</v>
      </c>
      <c r="BQ22" s="10" t="s">
        <v>2773</v>
      </c>
      <c r="BR22" s="63">
        <v>17</v>
      </c>
      <c r="BS22" s="63">
        <v>3</v>
      </c>
    </row>
    <row r="23" spans="1:71" x14ac:dyDescent="0.3">
      <c r="B23" s="1" t="s">
        <v>542</v>
      </c>
      <c r="P23" s="115" t="s">
        <v>3972</v>
      </c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N23" s="233" t="str">
        <f t="shared" si="0"/>
        <v>Krysodlačice</v>
      </c>
      <c r="AO23" s="233" t="s">
        <v>1002</v>
      </c>
      <c r="AP23" s="233" t="s">
        <v>4716</v>
      </c>
      <c r="AQ23" s="233" t="s">
        <v>998</v>
      </c>
      <c r="AR23" s="233" t="s">
        <v>544</v>
      </c>
      <c r="AS23" s="233" t="s">
        <v>1039</v>
      </c>
      <c r="AU23" s="233" t="s">
        <v>5604</v>
      </c>
      <c r="AW23" s="233" t="s">
        <v>274</v>
      </c>
      <c r="AX23" s="233" t="s">
        <v>1017</v>
      </c>
      <c r="AY23" s="61">
        <v>18</v>
      </c>
      <c r="BN23" s="10" t="s">
        <v>2598</v>
      </c>
      <c r="BO23" s="10" t="s">
        <v>4700</v>
      </c>
      <c r="BP23" s="10" t="s">
        <v>2593</v>
      </c>
      <c r="BQ23" s="10" t="s">
        <v>1330</v>
      </c>
      <c r="BR23" s="63">
        <v>18</v>
      </c>
      <c r="BS23" s="63">
        <v>3</v>
      </c>
    </row>
    <row r="24" spans="1:71" x14ac:dyDescent="0.3">
      <c r="B24" t="s">
        <v>2863</v>
      </c>
      <c r="F24" s="1181" t="s">
        <v>4290</v>
      </c>
      <c r="G24" s="1182"/>
      <c r="H24" s="1182"/>
      <c r="I24" s="1182"/>
      <c r="J24" s="1183"/>
      <c r="K24" s="3" t="s">
        <v>721</v>
      </c>
      <c r="L24" s="703">
        <f>LOOKUP(F24,J73:J75,N73:N75)</f>
        <v>8</v>
      </c>
      <c r="M24" t="s">
        <v>722</v>
      </c>
      <c r="AN24" s="233" t="str">
        <f t="shared" si="0"/>
        <v>Krysodlak</v>
      </c>
      <c r="AO24" s="233" t="s">
        <v>225</v>
      </c>
      <c r="AP24" s="233" t="s">
        <v>4718</v>
      </c>
      <c r="AQ24" s="233" t="s">
        <v>221</v>
      </c>
      <c r="AR24" s="233" t="s">
        <v>545</v>
      </c>
      <c r="AS24" s="233" t="s">
        <v>1040</v>
      </c>
      <c r="AU24" s="233" t="s">
        <v>272</v>
      </c>
      <c r="AW24" s="233" t="s">
        <v>5589</v>
      </c>
      <c r="AX24" s="233" t="s">
        <v>5590</v>
      </c>
      <c r="AY24" s="61">
        <v>19</v>
      </c>
      <c r="BN24" s="10" t="s">
        <v>2602</v>
      </c>
      <c r="BO24" s="10" t="s">
        <v>813</v>
      </c>
      <c r="BP24" s="10" t="s">
        <v>2600</v>
      </c>
      <c r="BQ24" s="10" t="s">
        <v>5242</v>
      </c>
      <c r="BR24" s="63">
        <v>19</v>
      </c>
      <c r="BS24" s="63">
        <v>4</v>
      </c>
    </row>
    <row r="25" spans="1:71" x14ac:dyDescent="0.3">
      <c r="D25" s="3"/>
      <c r="AN25" s="233" t="str">
        <f t="shared" si="0"/>
        <v>Kudůčice</v>
      </c>
      <c r="AO25" s="233" t="s">
        <v>1003</v>
      </c>
      <c r="AP25" s="233" t="s">
        <v>4720</v>
      </c>
      <c r="AQ25" s="233" t="s">
        <v>1051</v>
      </c>
      <c r="AR25" s="731" t="s">
        <v>223</v>
      </c>
      <c r="AS25" s="731" t="s">
        <v>1000</v>
      </c>
      <c r="AU25" s="233" t="s">
        <v>1014</v>
      </c>
      <c r="AW25" s="233" t="s">
        <v>268</v>
      </c>
      <c r="AX25" s="233" t="s">
        <v>1018</v>
      </c>
      <c r="AY25" s="61">
        <v>20</v>
      </c>
      <c r="BN25" s="10" t="s">
        <v>2606</v>
      </c>
      <c r="BO25" s="10" t="s">
        <v>2667</v>
      </c>
      <c r="BP25" s="10" t="s">
        <v>2604</v>
      </c>
      <c r="BQ25" s="10" t="s">
        <v>5243</v>
      </c>
      <c r="BR25" s="63">
        <v>20</v>
      </c>
      <c r="BS25" s="63">
        <v>4</v>
      </c>
    </row>
    <row r="26" spans="1:71" x14ac:dyDescent="0.3">
      <c r="B26" s="1" t="s">
        <v>724</v>
      </c>
      <c r="D26" s="246" t="s">
        <v>725</v>
      </c>
      <c r="R26" t="s">
        <v>2507</v>
      </c>
      <c r="AN26" s="233" t="str">
        <f t="shared" si="0"/>
        <v>Kudúk</v>
      </c>
      <c r="AO26" s="233" t="s">
        <v>226</v>
      </c>
      <c r="AP26" s="233" t="s">
        <v>4719</v>
      </c>
      <c r="AQ26" s="233" t="s">
        <v>1052</v>
      </c>
      <c r="AR26" s="233" t="s">
        <v>3677</v>
      </c>
      <c r="AS26" s="233" t="s">
        <v>410</v>
      </c>
      <c r="AU26" s="233" t="s">
        <v>645</v>
      </c>
      <c r="AW26" s="233" t="s">
        <v>263</v>
      </c>
      <c r="AX26" s="233" t="s">
        <v>1019</v>
      </c>
      <c r="AY26" s="61">
        <v>21</v>
      </c>
      <c r="BN26" s="10" t="s">
        <v>2610</v>
      </c>
      <c r="BO26" s="10" t="s">
        <v>1073</v>
      </c>
      <c r="BP26" s="10" t="s">
        <v>2608</v>
      </c>
      <c r="BQ26" s="10" t="s">
        <v>5244</v>
      </c>
      <c r="BR26" s="63">
        <v>21</v>
      </c>
      <c r="BS26" s="63">
        <v>5</v>
      </c>
    </row>
    <row r="27" spans="1:71" x14ac:dyDescent="0.3">
      <c r="B27" t="s">
        <v>5236</v>
      </c>
      <c r="D27" s="733" t="s">
        <v>5302</v>
      </c>
      <c r="E27" s="678" t="str">
        <f>HLOOKUP($BO$5,$BN$5:$BO$130,MATCH(D27,$BN$5:$BN$130,0),FALSE)</f>
        <v xml:space="preserve"> -</v>
      </c>
      <c r="F27" s="726"/>
      <c r="G27" s="726"/>
      <c r="H27" s="726"/>
      <c r="I27" s="726"/>
      <c r="J27" s="726"/>
      <c r="K27" s="726"/>
      <c r="L27" s="727"/>
      <c r="R27" s="732">
        <f>IFERROR(HLOOKUP(Veverka!$D$2,Veverka!$A$2:$D$204,MATCH(D27,Veverka!$A$2:$A$204,0),FALSE),0)</f>
        <v>0</v>
      </c>
      <c r="AN27" s="233" t="str">
        <f t="shared" si="0"/>
        <v>Poloobr</v>
      </c>
      <c r="AO27" s="233" t="s">
        <v>4743</v>
      </c>
      <c r="AP27" s="233" t="s">
        <v>4723</v>
      </c>
      <c r="AQ27" s="233" t="s">
        <v>222</v>
      </c>
      <c r="AR27" s="731" t="s">
        <v>224</v>
      </c>
      <c r="AS27" s="731" t="s">
        <v>1001</v>
      </c>
      <c r="AU27" s="233" t="s">
        <v>5585</v>
      </c>
      <c r="AW27" s="233" t="s">
        <v>256</v>
      </c>
      <c r="AX27" s="233" t="s">
        <v>1020</v>
      </c>
      <c r="AY27" s="61">
        <v>22</v>
      </c>
      <c r="BN27" s="10" t="s">
        <v>2615</v>
      </c>
      <c r="BO27" s="10" t="s">
        <v>598</v>
      </c>
      <c r="BP27" s="10" t="s">
        <v>2612</v>
      </c>
      <c r="BQ27" s="10" t="s">
        <v>642</v>
      </c>
      <c r="BR27" s="63">
        <v>22</v>
      </c>
      <c r="BS27" s="63">
        <v>5</v>
      </c>
    </row>
    <row r="28" spans="1:71" x14ac:dyDescent="0.3">
      <c r="C28" t="s">
        <v>2550</v>
      </c>
      <c r="D28" s="3"/>
      <c r="E28" s="693" t="str">
        <f>HLOOKUP($BN$5,$BN$5:$BO$130,MATCH(F28,$BO$5:$BO$130,0),FALSE)</f>
        <v>201</v>
      </c>
      <c r="F28" s="1192" t="s">
        <v>199</v>
      </c>
      <c r="G28" s="1193"/>
      <c r="H28" s="1193"/>
      <c r="I28" s="1193"/>
      <c r="J28" s="1193"/>
      <c r="K28" s="1193"/>
      <c r="L28" s="1194"/>
      <c r="R28" s="732">
        <f>IFERROR(HLOOKUP(Veverka!$D$2,Veverka!$A$2:$D$204,MATCH(E28,Veverka!$A$2:$A$204,0),FALSE),0)</f>
        <v>0</v>
      </c>
      <c r="AN28" s="233" t="str">
        <f t="shared" si="0"/>
        <v>Poloobryně</v>
      </c>
      <c r="AO28" s="233" t="s">
        <v>4744</v>
      </c>
      <c r="AP28" s="233" t="s">
        <v>1055</v>
      </c>
      <c r="AQ28" s="233" t="s">
        <v>999</v>
      </c>
      <c r="AR28" s="731" t="s">
        <v>225</v>
      </c>
      <c r="AS28" s="731" t="s">
        <v>1002</v>
      </c>
      <c r="AU28" s="233" t="s">
        <v>5587</v>
      </c>
      <c r="AW28" s="233" t="s">
        <v>269</v>
      </c>
      <c r="AX28" s="233" t="s">
        <v>1021</v>
      </c>
      <c r="AY28" s="61">
        <v>23</v>
      </c>
      <c r="BN28" s="10" t="s">
        <v>2617</v>
      </c>
      <c r="BO28" s="10" t="s">
        <v>2650</v>
      </c>
      <c r="BP28" s="10" t="s">
        <v>2616</v>
      </c>
      <c r="BQ28" s="10" t="s">
        <v>643</v>
      </c>
      <c r="BR28" s="63">
        <v>23</v>
      </c>
      <c r="BS28" s="63">
        <v>6</v>
      </c>
    </row>
    <row r="29" spans="1:71" x14ac:dyDescent="0.3">
      <c r="C29" t="s">
        <v>2551</v>
      </c>
      <c r="D29" s="3"/>
      <c r="E29" s="693" t="str">
        <f>HLOOKUP($BN$5,$BN$5:$BO$130,MATCH(F29,$BO$5:$BO$130,0),FALSE)</f>
        <v>201</v>
      </c>
      <c r="F29" s="1192" t="s">
        <v>199</v>
      </c>
      <c r="G29" s="1193"/>
      <c r="H29" s="1193"/>
      <c r="I29" s="1193"/>
      <c r="J29" s="1193"/>
      <c r="K29" s="1193"/>
      <c r="L29" s="1194"/>
      <c r="R29" s="732">
        <f>IFERROR(HLOOKUP(Veverka!$D$2,Veverka!$A$2:$D$204,MATCH(E29,Veverka!$A$2:$A$204,0),FALSE),0)</f>
        <v>0</v>
      </c>
      <c r="AN29" s="233" t="str">
        <f t="shared" si="0"/>
        <v>Půlelf</v>
      </c>
      <c r="AO29" s="233" t="s">
        <v>2068</v>
      </c>
      <c r="AP29" s="233" t="s">
        <v>4144</v>
      </c>
      <c r="AQ29" s="233" t="s">
        <v>4936</v>
      </c>
      <c r="AR29" s="731" t="s">
        <v>226</v>
      </c>
      <c r="AS29" s="731" t="s">
        <v>1003</v>
      </c>
      <c r="AU29" s="233" t="s">
        <v>5586</v>
      </c>
      <c r="AW29" s="233" t="s">
        <v>267</v>
      </c>
      <c r="AX29" s="233" t="s">
        <v>1022</v>
      </c>
      <c r="AY29" s="61">
        <v>24</v>
      </c>
      <c r="BN29" s="10" t="s">
        <v>2619</v>
      </c>
      <c r="BO29" s="10" t="s">
        <v>1077</v>
      </c>
      <c r="BP29" s="10" t="s">
        <v>2618</v>
      </c>
      <c r="BQ29" s="10" t="s">
        <v>2782</v>
      </c>
      <c r="BR29" s="63">
        <v>24</v>
      </c>
      <c r="BS29" s="63">
        <v>6</v>
      </c>
    </row>
    <row r="30" spans="1:71" x14ac:dyDescent="0.3">
      <c r="C30" s="197"/>
      <c r="D30" s="3"/>
      <c r="AN30" s="233" t="str">
        <f t="shared" si="0"/>
        <v>Půlelfka</v>
      </c>
      <c r="AO30" s="233" t="s">
        <v>2874</v>
      </c>
      <c r="AP30" s="233" t="s">
        <v>543</v>
      </c>
      <c r="AQ30" s="233" t="s">
        <v>4950</v>
      </c>
      <c r="AR30" s="233" t="s">
        <v>1056</v>
      </c>
      <c r="AS30" s="233" t="s">
        <v>1055</v>
      </c>
      <c r="AU30" s="233" t="s">
        <v>5588</v>
      </c>
      <c r="AW30" s="233" t="s">
        <v>258</v>
      </c>
      <c r="AX30" s="233" t="s">
        <v>1023</v>
      </c>
      <c r="AY30" s="61">
        <v>25</v>
      </c>
      <c r="BN30" s="10" t="s">
        <v>2621</v>
      </c>
      <c r="BO30" s="10" t="s">
        <v>1084</v>
      </c>
      <c r="BP30" s="10" t="s">
        <v>2620</v>
      </c>
      <c r="BQ30" s="10" t="s">
        <v>5245</v>
      </c>
      <c r="BR30" s="63">
        <v>25</v>
      </c>
      <c r="BS30" s="63">
        <v>7</v>
      </c>
    </row>
    <row r="31" spans="1:71" x14ac:dyDescent="0.3">
      <c r="B31" t="s">
        <v>5237</v>
      </c>
      <c r="D31" s="734" t="s">
        <v>5302</v>
      </c>
      <c r="E31" s="678" t="str">
        <f>HLOOKUP($BQ$5,$BP$5:$BQ$107,MATCH(D31,$BP$5:$BP$107,0),FALSE)</f>
        <v xml:space="preserve"> -</v>
      </c>
      <c r="F31" s="726"/>
      <c r="G31" s="726"/>
      <c r="H31" s="726"/>
      <c r="I31" s="726"/>
      <c r="J31" s="726"/>
      <c r="K31" s="726"/>
      <c r="L31" s="726"/>
      <c r="M31" s="726"/>
      <c r="N31" s="727"/>
      <c r="R31" s="732">
        <f>IFERROR(HLOOKUP(Veverka!$D$2,Veverka!$A$2:$D$204,MATCH(D31,Veverka!$A$2:$A$204,0),FALSE),0)</f>
        <v>0</v>
      </c>
      <c r="AN31" s="233" t="str">
        <f t="shared" si="0"/>
        <v>Savvas</v>
      </c>
      <c r="AO31" s="233" t="s">
        <v>4943</v>
      </c>
      <c r="AP31" s="233" t="s">
        <v>1038</v>
      </c>
      <c r="AQ31" s="233" t="s">
        <v>544</v>
      </c>
      <c r="AR31" s="233" t="s">
        <v>1031</v>
      </c>
      <c r="AS31" s="233" t="s">
        <v>1041</v>
      </c>
      <c r="AU31" s="233" t="s">
        <v>265</v>
      </c>
      <c r="AW31" s="233" t="s">
        <v>1058</v>
      </c>
      <c r="AX31" s="233" t="s">
        <v>1058</v>
      </c>
      <c r="AY31" s="61">
        <v>26</v>
      </c>
      <c r="BN31" s="10" t="s">
        <v>1924</v>
      </c>
      <c r="BO31" s="10" t="s">
        <v>2733</v>
      </c>
      <c r="BP31" s="10" t="s">
        <v>2622</v>
      </c>
      <c r="BQ31" s="10" t="s">
        <v>5246</v>
      </c>
      <c r="BR31" s="63">
        <v>26</v>
      </c>
      <c r="BS31" s="63">
        <v>7</v>
      </c>
    </row>
    <row r="32" spans="1:71" x14ac:dyDescent="0.3">
      <c r="C32" t="s">
        <v>2548</v>
      </c>
      <c r="E32" s="693" t="str">
        <f>HLOOKUP($BP$5,$BP$5:$BQ$107,MATCH(F32,$BQ$5:$BQ$107,0),FALSE)</f>
        <v>201</v>
      </c>
      <c r="F32" s="1192" t="s">
        <v>199</v>
      </c>
      <c r="G32" s="1193"/>
      <c r="H32" s="1193"/>
      <c r="I32" s="1193"/>
      <c r="J32" s="1193"/>
      <c r="K32" s="1193"/>
      <c r="L32" s="1193"/>
      <c r="M32" s="1193"/>
      <c r="N32" s="1194"/>
      <c r="R32" s="732">
        <f>IFERROR(HLOOKUP(Veverka!$D$2,Veverka!$A$2:$D$204,MATCH(E32,Veverka!$A$2:$A$204,0),FALSE),0)</f>
        <v>0</v>
      </c>
      <c r="AN32" s="233" t="str">
        <f t="shared" si="0"/>
        <v>Šotčice</v>
      </c>
      <c r="AO32" s="233" t="s">
        <v>1006</v>
      </c>
      <c r="AP32" s="233" t="s">
        <v>220</v>
      </c>
      <c r="AQ32" s="233" t="s">
        <v>1039</v>
      </c>
      <c r="AR32" s="233" t="s">
        <v>3704</v>
      </c>
      <c r="AS32" s="233" t="s">
        <v>3705</v>
      </c>
      <c r="AU32" s="233" t="s">
        <v>1015</v>
      </c>
      <c r="AW32" s="233" t="s">
        <v>264</v>
      </c>
      <c r="AX32" s="233" t="s">
        <v>1024</v>
      </c>
      <c r="AY32" s="61">
        <v>27</v>
      </c>
      <c r="BN32" s="10" t="s">
        <v>2626</v>
      </c>
      <c r="BO32" s="10" t="s">
        <v>1079</v>
      </c>
      <c r="BP32" s="10" t="s">
        <v>2623</v>
      </c>
      <c r="BQ32" s="10" t="s">
        <v>638</v>
      </c>
      <c r="BR32" s="63">
        <v>27</v>
      </c>
      <c r="BS32" s="63">
        <v>8</v>
      </c>
    </row>
    <row r="33" spans="1:71" x14ac:dyDescent="0.3">
      <c r="C33" t="s">
        <v>2549</v>
      </c>
      <c r="D33" s="3"/>
      <c r="E33" s="693" t="str">
        <f>HLOOKUP($BP$5,$BP$5:$BQ$107,MATCH(F33,$BQ$5:$BQ$107,0),FALSE)</f>
        <v>201</v>
      </c>
      <c r="F33" s="1192" t="s">
        <v>199</v>
      </c>
      <c r="G33" s="1193"/>
      <c r="H33" s="1193"/>
      <c r="I33" s="1193"/>
      <c r="J33" s="1193"/>
      <c r="K33" s="1193"/>
      <c r="L33" s="1193"/>
      <c r="M33" s="1193"/>
      <c r="N33" s="1194"/>
      <c r="R33" s="732">
        <f>IFERROR(HLOOKUP(Veverka!$D$2,Veverka!$A$2:$D$204,MATCH(E33,Veverka!$A$2:$A$204,0),FALSE),0)</f>
        <v>0</v>
      </c>
      <c r="AN33" s="233" t="str">
        <f t="shared" si="0"/>
        <v>Šotek</v>
      </c>
      <c r="AO33" s="233" t="s">
        <v>230</v>
      </c>
      <c r="AP33" s="233" t="s">
        <v>998</v>
      </c>
      <c r="AQ33" s="233" t="s">
        <v>3965</v>
      </c>
      <c r="AR33" s="233" t="s">
        <v>1060</v>
      </c>
      <c r="AS33" s="233" t="s">
        <v>1034</v>
      </c>
      <c r="AU33" s="233" t="s">
        <v>262</v>
      </c>
      <c r="AW33" s="233" t="s">
        <v>5644</v>
      </c>
      <c r="AX33" s="233" t="s">
        <v>5645</v>
      </c>
      <c r="AY33" s="61">
        <v>28</v>
      </c>
      <c r="BN33" s="10" t="s">
        <v>2664</v>
      </c>
      <c r="BO33" s="10" t="s">
        <v>5374</v>
      </c>
      <c r="BP33" s="10" t="s">
        <v>2629</v>
      </c>
      <c r="BQ33" s="10" t="s">
        <v>2790</v>
      </c>
      <c r="BR33" s="63">
        <v>28</v>
      </c>
      <c r="BS33" s="63">
        <v>8</v>
      </c>
    </row>
    <row r="34" spans="1:71" x14ac:dyDescent="0.3">
      <c r="AN34" s="233" t="str">
        <f t="shared" ref="AN34:AN65" si="1">IF($AL$1="PJ",AP34,AO34)</f>
        <v>Trpaslice</v>
      </c>
      <c r="AO34" s="233" t="s">
        <v>1008</v>
      </c>
      <c r="AP34" s="233" t="s">
        <v>221</v>
      </c>
      <c r="AQ34" s="233" t="s">
        <v>3966</v>
      </c>
      <c r="AR34" s="233" t="s">
        <v>3708</v>
      </c>
      <c r="AS34" s="233" t="s">
        <v>3712</v>
      </c>
      <c r="AU34" s="233" t="s">
        <v>1016</v>
      </c>
      <c r="AW34" s="233" t="s">
        <v>209</v>
      </c>
      <c r="AX34" s="233" t="s">
        <v>1128</v>
      </c>
      <c r="AY34" s="61">
        <v>29</v>
      </c>
      <c r="BN34" s="10" t="s">
        <v>2638</v>
      </c>
      <c r="BO34" s="10" t="s">
        <v>599</v>
      </c>
      <c r="BP34" s="10" t="s">
        <v>2663</v>
      </c>
      <c r="BQ34" s="10" t="s">
        <v>640</v>
      </c>
      <c r="BR34" s="63">
        <v>29</v>
      </c>
      <c r="BS34" s="63">
        <v>9</v>
      </c>
    </row>
    <row r="35" spans="1:71" x14ac:dyDescent="0.3">
      <c r="B35" s="1" t="s">
        <v>2830</v>
      </c>
      <c r="D35" s="734" t="s">
        <v>2832</v>
      </c>
      <c r="AN35" s="233" t="str">
        <f t="shared" si="1"/>
        <v>Trpaslík</v>
      </c>
      <c r="AO35" s="233" t="s">
        <v>204</v>
      </c>
      <c r="AP35" s="233" t="s">
        <v>1131</v>
      </c>
      <c r="AQ35" s="233" t="s">
        <v>3962</v>
      </c>
      <c r="AR35" s="233" t="s">
        <v>2449</v>
      </c>
      <c r="AS35" s="233" t="s">
        <v>2450</v>
      </c>
      <c r="AU35" s="233" t="s">
        <v>4754</v>
      </c>
      <c r="AW35" s="233" t="s">
        <v>5584</v>
      </c>
      <c r="AX35" s="233" t="s">
        <v>5583</v>
      </c>
      <c r="AY35" s="61">
        <v>30</v>
      </c>
      <c r="BN35" s="10" t="s">
        <v>2644</v>
      </c>
      <c r="BO35" s="10" t="s">
        <v>600</v>
      </c>
      <c r="BP35" s="10" t="s">
        <v>2641</v>
      </c>
      <c r="BQ35" s="10" t="s">
        <v>2777</v>
      </c>
      <c r="BR35" s="63">
        <v>30</v>
      </c>
      <c r="BS35" s="63">
        <v>9</v>
      </c>
    </row>
    <row r="36" spans="1:71" x14ac:dyDescent="0.3">
      <c r="A36" t="s">
        <v>2831</v>
      </c>
      <c r="B36" t="s">
        <v>2844</v>
      </c>
      <c r="R36" s="732">
        <f>IF($D$35=A36,1,0)</f>
        <v>0</v>
      </c>
      <c r="AN36" s="233" t="str">
        <f t="shared" si="1"/>
        <v>Valrath</v>
      </c>
      <c r="AO36" s="233" t="s">
        <v>4941</v>
      </c>
      <c r="AP36" s="233" t="s">
        <v>4235</v>
      </c>
      <c r="AQ36" s="233" t="s">
        <v>3964</v>
      </c>
      <c r="AR36" s="233" t="s">
        <v>3719</v>
      </c>
      <c r="AS36" s="233" t="s">
        <v>3716</v>
      </c>
      <c r="AU36" s="233" t="s">
        <v>4754</v>
      </c>
      <c r="AW36" s="233" t="s">
        <v>207</v>
      </c>
      <c r="AX36" s="233" t="s">
        <v>1027</v>
      </c>
      <c r="BN36" s="10" t="s">
        <v>2649</v>
      </c>
      <c r="BO36" s="10" t="s">
        <v>603</v>
      </c>
      <c r="BP36" s="10" t="s">
        <v>2646</v>
      </c>
      <c r="BQ36" s="10" t="s">
        <v>5247</v>
      </c>
      <c r="BR36" s="63">
        <v>31</v>
      </c>
      <c r="BS36" s="63">
        <v>10</v>
      </c>
    </row>
    <row r="37" spans="1:71" x14ac:dyDescent="0.3">
      <c r="A37" t="s">
        <v>2832</v>
      </c>
      <c r="B37" t="s">
        <v>2833</v>
      </c>
      <c r="R37" s="732">
        <f>IF($D$35=A37,0,0)</f>
        <v>0</v>
      </c>
      <c r="AN37" s="233" t="str">
        <f t="shared" si="1"/>
        <v>Valratha</v>
      </c>
      <c r="AO37" s="233" t="s">
        <v>4942</v>
      </c>
      <c r="AP37" s="233" t="s">
        <v>4236</v>
      </c>
      <c r="AQ37" s="233" t="s">
        <v>3963</v>
      </c>
      <c r="AR37" s="233" t="s">
        <v>4593</v>
      </c>
      <c r="AS37" s="233" t="s">
        <v>4596</v>
      </c>
      <c r="AU37" s="233" t="s">
        <v>4753</v>
      </c>
      <c r="AW37" s="233" t="s">
        <v>259</v>
      </c>
      <c r="AX37" s="233" t="s">
        <v>1025</v>
      </c>
      <c r="BN37" s="10" t="s">
        <v>2660</v>
      </c>
      <c r="BO37" s="10" t="s">
        <v>2624</v>
      </c>
      <c r="BP37" s="10" t="s">
        <v>2659</v>
      </c>
      <c r="BQ37" s="10" t="s">
        <v>1088</v>
      </c>
      <c r="BR37" s="63">
        <v>32</v>
      </c>
      <c r="BS37" s="63">
        <v>10</v>
      </c>
    </row>
    <row r="38" spans="1:71" x14ac:dyDescent="0.3">
      <c r="AN38" s="233">
        <f t="shared" si="1"/>
        <v>0</v>
      </c>
      <c r="AP38" s="233" t="s">
        <v>222</v>
      </c>
      <c r="AQ38" s="233" t="s">
        <v>3971</v>
      </c>
      <c r="AR38" s="233" t="s">
        <v>1044</v>
      </c>
      <c r="AS38" s="233" t="s">
        <v>1037</v>
      </c>
      <c r="AU38" s="233" t="s">
        <v>274</v>
      </c>
      <c r="BN38" s="10" t="s">
        <v>2662</v>
      </c>
      <c r="BO38" s="10" t="s">
        <v>2647</v>
      </c>
      <c r="BP38" s="10" t="s">
        <v>2661</v>
      </c>
      <c r="BQ38" s="10" t="s">
        <v>634</v>
      </c>
      <c r="BR38" s="63">
        <v>33</v>
      </c>
      <c r="BS38" s="63">
        <v>11</v>
      </c>
    </row>
    <row r="39" spans="1:71" x14ac:dyDescent="0.3">
      <c r="B39" s="1" t="s">
        <v>2834</v>
      </c>
      <c r="D39" s="734" t="s">
        <v>2838</v>
      </c>
      <c r="E39" s="256"/>
      <c r="F39" s="8" t="s">
        <v>2835</v>
      </c>
      <c r="AN39" s="233">
        <f t="shared" si="1"/>
        <v>0</v>
      </c>
      <c r="AP39" s="233" t="s">
        <v>999</v>
      </c>
      <c r="AQ39" s="233" t="s">
        <v>3967</v>
      </c>
      <c r="AR39" s="233" t="s">
        <v>1045</v>
      </c>
      <c r="AS39" s="233" t="s">
        <v>1046</v>
      </c>
      <c r="AU39" s="233" t="s">
        <v>1017</v>
      </c>
      <c r="BN39" s="10" t="s">
        <v>2652</v>
      </c>
      <c r="BO39" s="10" t="s">
        <v>2639</v>
      </c>
      <c r="BP39" s="10" t="s">
        <v>2653</v>
      </c>
      <c r="BQ39" s="10" t="s">
        <v>635</v>
      </c>
      <c r="BR39" s="63">
        <v>34</v>
      </c>
      <c r="BS39" s="63">
        <v>11</v>
      </c>
    </row>
    <row r="40" spans="1:71" x14ac:dyDescent="0.3">
      <c r="A40" t="s">
        <v>2831</v>
      </c>
      <c r="B40" t="s">
        <v>2846</v>
      </c>
      <c r="R40" s="732">
        <f>IF(OR($D$39=A40,$E$39=A40),3,0)</f>
        <v>0</v>
      </c>
      <c r="AN40" s="233">
        <f t="shared" si="1"/>
        <v>0</v>
      </c>
      <c r="AP40" s="233" t="s">
        <v>3767</v>
      </c>
      <c r="AQ40" s="233" t="s">
        <v>3970</v>
      </c>
      <c r="AR40" s="233" t="s">
        <v>1360</v>
      </c>
      <c r="AS40" s="233" t="s">
        <v>410</v>
      </c>
      <c r="AU40" s="233" t="s">
        <v>5589</v>
      </c>
      <c r="BN40" s="10" t="s">
        <v>2672</v>
      </c>
      <c r="BO40" s="10" t="s">
        <v>1081</v>
      </c>
      <c r="BP40" s="10" t="s">
        <v>2670</v>
      </c>
      <c r="BQ40" s="10" t="s">
        <v>636</v>
      </c>
      <c r="BR40" s="63">
        <v>35</v>
      </c>
      <c r="BS40" s="63">
        <v>12</v>
      </c>
    </row>
    <row r="41" spans="1:71" x14ac:dyDescent="0.3">
      <c r="A41" t="s">
        <v>2832</v>
      </c>
      <c r="B41" t="s">
        <v>2836</v>
      </c>
      <c r="R41" s="732">
        <f>IF(OR($D$39=A41,$E$39=A41),2,0)</f>
        <v>0</v>
      </c>
      <c r="AN41" s="233">
        <f t="shared" si="1"/>
        <v>0</v>
      </c>
      <c r="AP41" s="233" t="s">
        <v>4936</v>
      </c>
      <c r="AQ41" s="233" t="s">
        <v>3969</v>
      </c>
      <c r="AR41" s="731" t="s">
        <v>227</v>
      </c>
      <c r="AS41" s="731" t="s">
        <v>1004</v>
      </c>
      <c r="AU41" s="233" t="s">
        <v>5590</v>
      </c>
      <c r="BN41" s="10" t="s">
        <v>2680</v>
      </c>
      <c r="BO41" s="10" t="s">
        <v>5248</v>
      </c>
      <c r="BP41" s="10" t="s">
        <v>2678</v>
      </c>
      <c r="BQ41" s="10" t="s">
        <v>726</v>
      </c>
      <c r="BR41" s="63">
        <v>36</v>
      </c>
      <c r="BS41" s="63">
        <v>12</v>
      </c>
    </row>
    <row r="42" spans="1:71" x14ac:dyDescent="0.3">
      <c r="A42" t="s">
        <v>2837</v>
      </c>
      <c r="B42" t="s">
        <v>2848</v>
      </c>
      <c r="R42" s="732">
        <f>IF(OR($D$39=A42,$E$39=A42),1,0)</f>
        <v>0</v>
      </c>
      <c r="AN42" s="233">
        <f t="shared" si="1"/>
        <v>0</v>
      </c>
      <c r="AP42" s="233" t="s">
        <v>4937</v>
      </c>
      <c r="AQ42" s="233" t="s">
        <v>3968</v>
      </c>
      <c r="AR42" s="233" t="s">
        <v>4743</v>
      </c>
      <c r="AS42" s="233" t="s">
        <v>4744</v>
      </c>
      <c r="AU42" s="233" t="s">
        <v>268</v>
      </c>
      <c r="BN42" s="10" t="s">
        <v>2684</v>
      </c>
      <c r="BO42" s="10" t="s">
        <v>615</v>
      </c>
      <c r="BP42" s="10" t="s">
        <v>2682</v>
      </c>
      <c r="BQ42" s="10" t="s">
        <v>632</v>
      </c>
      <c r="BR42" s="63">
        <v>37</v>
      </c>
      <c r="BS42" s="63">
        <v>13</v>
      </c>
    </row>
    <row r="43" spans="1:71" x14ac:dyDescent="0.3">
      <c r="A43" t="s">
        <v>2838</v>
      </c>
      <c r="B43" t="s">
        <v>2845</v>
      </c>
      <c r="R43" s="732">
        <f>IF(OR($D$39=A43,$E$39=A43),0,0)</f>
        <v>0</v>
      </c>
      <c r="AN43" s="233">
        <f t="shared" si="1"/>
        <v>0</v>
      </c>
      <c r="AP43" s="233" t="s">
        <v>3021</v>
      </c>
      <c r="AQ43" s="233" t="s">
        <v>223</v>
      </c>
      <c r="AR43" s="731" t="s">
        <v>2068</v>
      </c>
      <c r="AS43" s="731" t="s">
        <v>2070</v>
      </c>
      <c r="AU43" s="233" t="s">
        <v>1018</v>
      </c>
      <c r="BN43" s="10" t="s">
        <v>2688</v>
      </c>
      <c r="BO43" s="10" t="s">
        <v>2587</v>
      </c>
      <c r="BP43" s="10" t="s">
        <v>2686</v>
      </c>
      <c r="BQ43" s="10" t="s">
        <v>557</v>
      </c>
      <c r="BR43" s="63">
        <v>38</v>
      </c>
      <c r="BS43" s="63">
        <v>13</v>
      </c>
    </row>
    <row r="44" spans="1:71" x14ac:dyDescent="0.3">
      <c r="A44" t="s">
        <v>2839</v>
      </c>
      <c r="B44" t="s">
        <v>2840</v>
      </c>
      <c r="R44" s="732">
        <f>IF(OR($D$39=A44,$E$39=A44),-1,0)</f>
        <v>0</v>
      </c>
      <c r="AN44" s="233">
        <f t="shared" si="1"/>
        <v>0</v>
      </c>
      <c r="AP44" s="233" t="s">
        <v>3020</v>
      </c>
      <c r="AQ44" s="233" t="s">
        <v>1000</v>
      </c>
      <c r="AR44" s="233" t="s">
        <v>3732</v>
      </c>
      <c r="AS44" s="233" t="s">
        <v>3733</v>
      </c>
      <c r="AU44" s="233" t="s">
        <v>1019</v>
      </c>
      <c r="BN44" s="10" t="s">
        <v>2693</v>
      </c>
      <c r="BO44" s="10" t="s">
        <v>618</v>
      </c>
      <c r="BP44" s="10" t="s">
        <v>2690</v>
      </c>
      <c r="BQ44" s="10" t="s">
        <v>5249</v>
      </c>
      <c r="BR44" s="63">
        <v>39</v>
      </c>
      <c r="BS44" s="63">
        <v>14</v>
      </c>
    </row>
    <row r="45" spans="1:71" x14ac:dyDescent="0.3">
      <c r="A45" t="s">
        <v>2841</v>
      </c>
      <c r="B45" t="s">
        <v>2842</v>
      </c>
      <c r="R45" s="732">
        <f>IF(OR($D$39=A45,$E$39=A45),-2,0)</f>
        <v>0</v>
      </c>
      <c r="AN45" s="233">
        <f t="shared" si="1"/>
        <v>0</v>
      </c>
      <c r="AP45" s="233" t="s">
        <v>544</v>
      </c>
      <c r="AQ45" s="233" t="s">
        <v>224</v>
      </c>
      <c r="AR45" s="233" t="s">
        <v>1047</v>
      </c>
      <c r="AS45" s="233" t="s">
        <v>1048</v>
      </c>
      <c r="AU45" s="233" t="s">
        <v>263</v>
      </c>
      <c r="BN45" s="10" t="s">
        <v>2696</v>
      </c>
      <c r="BO45" s="10" t="s">
        <v>608</v>
      </c>
      <c r="BP45" s="10" t="s">
        <v>2695</v>
      </c>
      <c r="BQ45" s="10" t="s">
        <v>637</v>
      </c>
      <c r="BR45" s="63">
        <v>40</v>
      </c>
      <c r="BS45" s="63">
        <v>14</v>
      </c>
    </row>
    <row r="46" spans="1:71" x14ac:dyDescent="0.3">
      <c r="A46" t="s">
        <v>2843</v>
      </c>
      <c r="B46" t="s">
        <v>2847</v>
      </c>
      <c r="R46" s="732">
        <f>IF(OR($D$39=A46,$E$39=A46),-3,0)</f>
        <v>0</v>
      </c>
      <c r="AN46" s="233">
        <f t="shared" si="1"/>
        <v>0</v>
      </c>
      <c r="AP46" s="233" t="s">
        <v>1039</v>
      </c>
      <c r="AQ46" s="233" t="s">
        <v>1001</v>
      </c>
      <c r="AR46" s="233" t="s">
        <v>1030</v>
      </c>
      <c r="AS46" s="233" t="s">
        <v>181</v>
      </c>
      <c r="AU46" s="233" t="s">
        <v>256</v>
      </c>
      <c r="BN46" s="10" t="s">
        <v>2702</v>
      </c>
      <c r="BO46" s="10" t="s">
        <v>5250</v>
      </c>
      <c r="BP46" s="10" t="s">
        <v>2700</v>
      </c>
      <c r="BQ46" s="10" t="s">
        <v>647</v>
      </c>
    </row>
    <row r="47" spans="1:71" x14ac:dyDescent="0.3">
      <c r="AN47" s="233">
        <f t="shared" si="1"/>
        <v>0</v>
      </c>
      <c r="AP47" s="233" t="s">
        <v>545</v>
      </c>
      <c r="AQ47" s="233" t="s">
        <v>1003</v>
      </c>
      <c r="AR47" s="233" t="s">
        <v>4943</v>
      </c>
      <c r="AS47" s="233" t="s">
        <v>181</v>
      </c>
      <c r="AU47" s="233" t="s">
        <v>1020</v>
      </c>
      <c r="BN47" s="10" t="s">
        <v>2705</v>
      </c>
      <c r="BO47" s="10" t="s">
        <v>2654</v>
      </c>
      <c r="BP47" s="10" t="s">
        <v>2703</v>
      </c>
      <c r="BQ47" s="10" t="s">
        <v>652</v>
      </c>
    </row>
    <row r="48" spans="1:71" x14ac:dyDescent="0.3">
      <c r="B48" s="1" t="s">
        <v>2849</v>
      </c>
      <c r="D48" s="734" t="s">
        <v>2850</v>
      </c>
      <c r="AN48" s="233">
        <f t="shared" si="1"/>
        <v>0</v>
      </c>
      <c r="AP48" s="233" t="s">
        <v>1040</v>
      </c>
      <c r="AQ48" s="233" t="s">
        <v>226</v>
      </c>
      <c r="AR48" s="731" t="s">
        <v>228</v>
      </c>
      <c r="AS48" s="731" t="s">
        <v>1005</v>
      </c>
      <c r="AU48" s="233" t="s">
        <v>269</v>
      </c>
      <c r="BN48" s="10" t="s">
        <v>2710</v>
      </c>
      <c r="BO48" s="10" t="s">
        <v>5251</v>
      </c>
      <c r="BP48" s="10" t="s">
        <v>2708</v>
      </c>
      <c r="BQ48" s="10" t="s">
        <v>653</v>
      </c>
    </row>
    <row r="49" spans="1:69" x14ac:dyDescent="0.3">
      <c r="A49" s="460" t="s">
        <v>2850</v>
      </c>
      <c r="B49" t="s">
        <v>2851</v>
      </c>
      <c r="C49" t="s">
        <v>2852</v>
      </c>
      <c r="R49" s="732">
        <f>IF($D$48=A49,0,0)</f>
        <v>0</v>
      </c>
      <c r="S49" t="s">
        <v>2853</v>
      </c>
      <c r="AN49" s="233">
        <f t="shared" si="1"/>
        <v>0</v>
      </c>
      <c r="AP49" s="233" t="s">
        <v>223</v>
      </c>
      <c r="AQ49" s="233" t="s">
        <v>1056</v>
      </c>
      <c r="AR49" s="233" t="s">
        <v>1053</v>
      </c>
      <c r="AS49" s="233" t="s">
        <v>1054</v>
      </c>
      <c r="AU49" s="233" t="s">
        <v>1021</v>
      </c>
      <c r="BN49" s="10" t="s">
        <v>2717</v>
      </c>
      <c r="BO49" s="10" t="s">
        <v>1082</v>
      </c>
      <c r="BP49" s="10" t="s">
        <v>2714</v>
      </c>
      <c r="BQ49" s="10" t="s">
        <v>5252</v>
      </c>
    </row>
    <row r="50" spans="1:69" x14ac:dyDescent="0.3">
      <c r="A50" s="460" t="s">
        <v>2832</v>
      </c>
      <c r="B50" t="s">
        <v>726</v>
      </c>
      <c r="C50" t="s">
        <v>2854</v>
      </c>
      <c r="R50" s="732">
        <f>IF($D$48=A50,-1,0)</f>
        <v>0</v>
      </c>
      <c r="S50" t="s">
        <v>2855</v>
      </c>
      <c r="AN50" s="233">
        <f t="shared" si="1"/>
        <v>0</v>
      </c>
      <c r="AP50" s="233" t="s">
        <v>1000</v>
      </c>
      <c r="AQ50" s="233" t="s">
        <v>1031</v>
      </c>
      <c r="AR50" s="731" t="s">
        <v>229</v>
      </c>
      <c r="AS50" s="731" t="s">
        <v>410</v>
      </c>
      <c r="AU50" s="233" t="s">
        <v>267</v>
      </c>
      <c r="BN50" s="10" t="s">
        <v>2720</v>
      </c>
      <c r="BO50" s="10" t="s">
        <v>1083</v>
      </c>
      <c r="BP50" s="10" t="s">
        <v>2719</v>
      </c>
      <c r="BQ50" s="10" t="s">
        <v>654</v>
      </c>
    </row>
    <row r="51" spans="1:69" x14ac:dyDescent="0.3">
      <c r="A51" s="460" t="s">
        <v>2837</v>
      </c>
      <c r="B51" t="s">
        <v>2856</v>
      </c>
      <c r="C51" t="s">
        <v>2857</v>
      </c>
      <c r="R51" s="732">
        <f>IF($D$48=A51,1,0)</f>
        <v>0</v>
      </c>
      <c r="S51" t="s">
        <v>2858</v>
      </c>
      <c r="AN51" s="233">
        <f t="shared" si="1"/>
        <v>0</v>
      </c>
      <c r="AP51" s="233" t="s">
        <v>3677</v>
      </c>
      <c r="AQ51" s="233" t="s">
        <v>1041</v>
      </c>
      <c r="AR51" s="233" t="s">
        <v>1032</v>
      </c>
      <c r="AS51" s="233" t="s">
        <v>1042</v>
      </c>
      <c r="AU51" s="233" t="s">
        <v>1022</v>
      </c>
      <c r="BN51" s="10" t="s">
        <v>2724</v>
      </c>
      <c r="BO51" s="10" t="s">
        <v>594</v>
      </c>
      <c r="BP51" s="10" t="s">
        <v>2722</v>
      </c>
      <c r="BQ51" s="10" t="s">
        <v>655</v>
      </c>
    </row>
    <row r="52" spans="1:69" x14ac:dyDescent="0.3">
      <c r="A52" s="460" t="s">
        <v>2859</v>
      </c>
      <c r="B52" t="s">
        <v>2860</v>
      </c>
      <c r="C52" t="s">
        <v>2862</v>
      </c>
      <c r="D52" s="3"/>
      <c r="R52" s="732">
        <f>IF($D$48=A52,2,0)</f>
        <v>0</v>
      </c>
      <c r="S52" t="s">
        <v>2861</v>
      </c>
      <c r="AN52" s="233">
        <f t="shared" si="1"/>
        <v>0</v>
      </c>
      <c r="AP52" s="233" t="s">
        <v>224</v>
      </c>
      <c r="AQ52" s="233" t="s">
        <v>1060</v>
      </c>
      <c r="AR52" s="731" t="s">
        <v>230</v>
      </c>
      <c r="AS52" s="731" t="s">
        <v>1006</v>
      </c>
      <c r="AU52" s="233" t="s">
        <v>258</v>
      </c>
      <c r="BN52" s="10" t="s">
        <v>2728</v>
      </c>
      <c r="BO52" s="10" t="s">
        <v>607</v>
      </c>
      <c r="BP52" s="10" t="s">
        <v>2725</v>
      </c>
      <c r="BQ52" s="10" t="s">
        <v>658</v>
      </c>
    </row>
    <row r="53" spans="1:69" x14ac:dyDescent="0.3">
      <c r="D53" s="3"/>
      <c r="AN53" s="233">
        <f t="shared" si="1"/>
        <v>0</v>
      </c>
      <c r="AP53" s="233" t="s">
        <v>1001</v>
      </c>
      <c r="AQ53" s="233" t="s">
        <v>4593</v>
      </c>
      <c r="AR53" s="233" t="s">
        <v>4295</v>
      </c>
      <c r="AS53" s="233" t="s">
        <v>4296</v>
      </c>
      <c r="AU53" s="233" t="s">
        <v>1023</v>
      </c>
      <c r="BN53" s="10" t="s">
        <v>2732</v>
      </c>
      <c r="BO53" s="10" t="s">
        <v>610</v>
      </c>
      <c r="BP53" s="10" t="s">
        <v>2730</v>
      </c>
      <c r="BQ53" s="10" t="s">
        <v>645</v>
      </c>
    </row>
    <row r="54" spans="1:69" x14ac:dyDescent="0.3">
      <c r="B54" s="1" t="s">
        <v>2864</v>
      </c>
      <c r="D54" s="256" t="s">
        <v>199</v>
      </c>
      <c r="E54" s="256"/>
      <c r="F54" s="8" t="s">
        <v>2865</v>
      </c>
      <c r="AN54" s="233">
        <f t="shared" si="1"/>
        <v>0</v>
      </c>
      <c r="AP54" s="233" t="s">
        <v>1002</v>
      </c>
      <c r="AQ54" s="233" t="s">
        <v>4596</v>
      </c>
      <c r="AR54" s="731" t="s">
        <v>1026</v>
      </c>
      <c r="AS54" s="731" t="s">
        <v>4708</v>
      </c>
      <c r="AU54" s="233" t="s">
        <v>1058</v>
      </c>
      <c r="BN54" s="10" t="s">
        <v>2737</v>
      </c>
      <c r="BO54" s="10" t="s">
        <v>1086</v>
      </c>
      <c r="BP54" s="10" t="s">
        <v>2735</v>
      </c>
      <c r="BQ54" s="10" t="s">
        <v>644</v>
      </c>
    </row>
    <row r="55" spans="1:69" x14ac:dyDescent="0.3">
      <c r="A55" t="s">
        <v>199</v>
      </c>
      <c r="B55" t="s">
        <v>2866</v>
      </c>
      <c r="D55" s="256"/>
      <c r="E55" s="256"/>
      <c r="R55" s="732">
        <f>IF(OR($D$54=A55,$D$55=A55,$E$54=A55,$E$55=A55),0,0)</f>
        <v>0</v>
      </c>
      <c r="AN55" s="233">
        <f t="shared" si="1"/>
        <v>0</v>
      </c>
      <c r="AP55" s="233" t="s">
        <v>225</v>
      </c>
      <c r="AQ55" s="233" t="s">
        <v>1037</v>
      </c>
      <c r="AR55" s="731" t="s">
        <v>204</v>
      </c>
      <c r="AS55" s="731" t="s">
        <v>1008</v>
      </c>
      <c r="AU55" s="233" t="s">
        <v>1024</v>
      </c>
      <c r="BN55" s="10" t="s">
        <v>2742</v>
      </c>
      <c r="BO55" s="10" t="s">
        <v>2715</v>
      </c>
      <c r="BP55" s="10" t="s">
        <v>2739</v>
      </c>
      <c r="BQ55" s="10" t="s">
        <v>1091</v>
      </c>
    </row>
    <row r="56" spans="1:69" x14ac:dyDescent="0.3">
      <c r="A56" t="s">
        <v>2831</v>
      </c>
      <c r="B56" t="s">
        <v>2867</v>
      </c>
      <c r="D56" s="3"/>
      <c r="R56" s="732">
        <f t="shared" ref="R56:R61" si="2">IF(OR($D$54=A56,$D$55=A56,$E$54=A56,$E$55=A56),1,0)</f>
        <v>0</v>
      </c>
      <c r="AN56" s="233">
        <f t="shared" si="1"/>
        <v>0</v>
      </c>
      <c r="AP56" s="233" t="s">
        <v>1003</v>
      </c>
      <c r="AQ56" s="233" t="s">
        <v>1044</v>
      </c>
      <c r="AR56" s="233" t="s">
        <v>1035</v>
      </c>
      <c r="AS56" s="233" t="s">
        <v>1043</v>
      </c>
      <c r="AU56" s="233" t="s">
        <v>264</v>
      </c>
      <c r="BN56" s="10" t="s">
        <v>4149</v>
      </c>
      <c r="BO56" s="10" t="s">
        <v>609</v>
      </c>
      <c r="BP56" s="10" t="s">
        <v>2744</v>
      </c>
      <c r="BQ56" s="10" t="s">
        <v>649</v>
      </c>
    </row>
    <row r="57" spans="1:69" x14ac:dyDescent="0.3">
      <c r="A57" t="s">
        <v>2832</v>
      </c>
      <c r="B57" t="s">
        <v>2869</v>
      </c>
      <c r="D57" s="3"/>
      <c r="R57" s="732">
        <f t="shared" si="2"/>
        <v>0</v>
      </c>
      <c r="S57" t="s">
        <v>2868</v>
      </c>
      <c r="AN57" s="233">
        <f t="shared" si="1"/>
        <v>0</v>
      </c>
      <c r="AP57" s="233" t="s">
        <v>226</v>
      </c>
      <c r="AQ57" s="233" t="s">
        <v>1045</v>
      </c>
      <c r="AR57" s="233" t="s">
        <v>4941</v>
      </c>
      <c r="AS57" s="233" t="s">
        <v>4942</v>
      </c>
      <c r="AU57" s="233" t="s">
        <v>5644</v>
      </c>
      <c r="BN57" s="10" t="s">
        <v>5253</v>
      </c>
      <c r="BO57" s="10" t="s">
        <v>5355</v>
      </c>
      <c r="BP57" s="10" t="s">
        <v>5303</v>
      </c>
      <c r="BQ57" s="10" t="s">
        <v>5354</v>
      </c>
    </row>
    <row r="58" spans="1:69" x14ac:dyDescent="0.3">
      <c r="A58" t="s">
        <v>2837</v>
      </c>
      <c r="B58" t="s">
        <v>2870</v>
      </c>
      <c r="D58" s="3"/>
      <c r="R58" s="732">
        <f t="shared" si="2"/>
        <v>0</v>
      </c>
      <c r="AN58" s="233">
        <f t="shared" si="1"/>
        <v>0</v>
      </c>
      <c r="AP58" s="233" t="s">
        <v>3688</v>
      </c>
      <c r="AQ58" s="233" t="s">
        <v>1046</v>
      </c>
      <c r="AR58" s="731" t="s">
        <v>231</v>
      </c>
      <c r="AS58" s="731" t="s">
        <v>1009</v>
      </c>
      <c r="AU58" s="233" t="s">
        <v>5645</v>
      </c>
      <c r="BN58" s="10" t="s">
        <v>5254</v>
      </c>
      <c r="BO58" s="10" t="s">
        <v>5357</v>
      </c>
      <c r="BP58" s="10" t="s">
        <v>5304</v>
      </c>
      <c r="BQ58" s="10" t="s">
        <v>5356</v>
      </c>
    </row>
    <row r="59" spans="1:69" x14ac:dyDescent="0.3">
      <c r="A59" t="s">
        <v>2838</v>
      </c>
      <c r="B59" t="s">
        <v>2871</v>
      </c>
      <c r="D59" s="3"/>
      <c r="R59" s="732">
        <f t="shared" si="2"/>
        <v>0</v>
      </c>
      <c r="AN59" s="233">
        <f t="shared" si="1"/>
        <v>0</v>
      </c>
      <c r="AP59" s="233" t="s">
        <v>3700</v>
      </c>
      <c r="AQ59" s="233" t="s">
        <v>1004</v>
      </c>
      <c r="AR59" s="233" t="s">
        <v>3751</v>
      </c>
      <c r="AS59" s="233" t="s">
        <v>2444</v>
      </c>
      <c r="AU59" s="233" t="s">
        <v>209</v>
      </c>
      <c r="BN59" s="10" t="s">
        <v>5255</v>
      </c>
      <c r="BO59" s="10" t="s">
        <v>1085</v>
      </c>
      <c r="BP59" s="10" t="s">
        <v>5305</v>
      </c>
      <c r="BQ59" s="10" t="s">
        <v>5358</v>
      </c>
    </row>
    <row r="60" spans="1:69" x14ac:dyDescent="0.3">
      <c r="A60" t="s">
        <v>2839</v>
      </c>
      <c r="B60" s="460" t="s">
        <v>2872</v>
      </c>
      <c r="D60" s="3"/>
      <c r="R60" s="732">
        <f t="shared" si="2"/>
        <v>0</v>
      </c>
      <c r="AN60" s="233">
        <f t="shared" si="1"/>
        <v>0</v>
      </c>
      <c r="AP60" s="233" t="s">
        <v>1056</v>
      </c>
      <c r="AQ60" s="233" t="s">
        <v>4284</v>
      </c>
      <c r="AR60" s="233" t="s">
        <v>410</v>
      </c>
      <c r="AS60" s="233" t="s">
        <v>4709</v>
      </c>
      <c r="AU60" s="233" t="s">
        <v>1128</v>
      </c>
      <c r="BN60" s="10" t="s">
        <v>5256</v>
      </c>
      <c r="BO60" s="10" t="s">
        <v>5360</v>
      </c>
      <c r="BP60" s="10" t="s">
        <v>5306</v>
      </c>
      <c r="BQ60" s="10" t="s">
        <v>5359</v>
      </c>
    </row>
    <row r="61" spans="1:69" x14ac:dyDescent="0.3">
      <c r="A61" t="s">
        <v>2841</v>
      </c>
      <c r="B61" s="460" t="s">
        <v>2873</v>
      </c>
      <c r="D61" s="3"/>
      <c r="R61" s="732">
        <f t="shared" si="2"/>
        <v>0</v>
      </c>
      <c r="AN61" s="233">
        <f t="shared" si="1"/>
        <v>0</v>
      </c>
      <c r="AP61" s="233" t="s">
        <v>1031</v>
      </c>
      <c r="AQ61" s="233" t="s">
        <v>4285</v>
      </c>
      <c r="AR61" s="233" t="s">
        <v>410</v>
      </c>
      <c r="AS61" s="233" t="s">
        <v>2445</v>
      </c>
      <c r="AU61" s="233" t="s">
        <v>1010</v>
      </c>
      <c r="BN61" s="10" t="s">
        <v>5257</v>
      </c>
      <c r="BO61" s="10" t="s">
        <v>597</v>
      </c>
      <c r="BP61" s="10" t="s">
        <v>5307</v>
      </c>
      <c r="BQ61" s="10" t="s">
        <v>641</v>
      </c>
    </row>
    <row r="62" spans="1:69" x14ac:dyDescent="0.3">
      <c r="D62" s="3"/>
      <c r="AN62" s="233">
        <f t="shared" si="1"/>
        <v>0</v>
      </c>
      <c r="AP62" s="233" t="s">
        <v>1041</v>
      </c>
      <c r="AQ62" s="233" t="s">
        <v>227</v>
      </c>
      <c r="AR62" s="233" t="s">
        <v>410</v>
      </c>
      <c r="AS62" s="233" t="s">
        <v>1033</v>
      </c>
      <c r="AU62" s="233" t="s">
        <v>5583</v>
      </c>
      <c r="BN62" s="10" t="s">
        <v>5258</v>
      </c>
      <c r="BO62" s="10" t="s">
        <v>2575</v>
      </c>
      <c r="BP62" s="10" t="s">
        <v>5308</v>
      </c>
      <c r="BQ62" s="10" t="s">
        <v>5361</v>
      </c>
    </row>
    <row r="63" spans="1:69" x14ac:dyDescent="0.3">
      <c r="D63" s="3"/>
      <c r="AN63" s="233">
        <f t="shared" si="1"/>
        <v>0</v>
      </c>
      <c r="AP63" s="233" t="s">
        <v>3704</v>
      </c>
      <c r="AQ63" s="233" t="s">
        <v>4286</v>
      </c>
      <c r="AR63" s="233" t="s">
        <v>1049</v>
      </c>
      <c r="AS63" s="233" t="s">
        <v>1050</v>
      </c>
      <c r="AU63" s="233" t="s">
        <v>5584</v>
      </c>
      <c r="BN63" s="10" t="s">
        <v>5259</v>
      </c>
      <c r="BO63" s="10" t="s">
        <v>2577</v>
      </c>
      <c r="BP63" s="10" t="s">
        <v>5309</v>
      </c>
      <c r="BQ63" s="10" t="s">
        <v>639</v>
      </c>
    </row>
    <row r="64" spans="1:69" x14ac:dyDescent="0.3">
      <c r="B64" s="8"/>
      <c r="C64" s="513" t="s">
        <v>2552</v>
      </c>
      <c r="D64" s="735">
        <f>L24+SUM(R27:R29,R31:R33)+SUM(R36:R37)+SUM(R40:R46)+SUM(R49:R52)+SUM(R55:R61)</f>
        <v>8</v>
      </c>
      <c r="E64" s="8" t="s">
        <v>722</v>
      </c>
      <c r="AN64" s="233">
        <f t="shared" si="1"/>
        <v>0</v>
      </c>
      <c r="AP64" s="233" t="s">
        <v>3705</v>
      </c>
      <c r="AQ64" s="233" t="s">
        <v>4287</v>
      </c>
      <c r="AR64" s="233" t="s">
        <v>5018</v>
      </c>
      <c r="AS64" s="233" t="s">
        <v>5019</v>
      </c>
      <c r="AU64" s="233" t="s">
        <v>271</v>
      </c>
      <c r="BN64" s="10" t="s">
        <v>5260</v>
      </c>
      <c r="BO64" s="10" t="s">
        <v>5362</v>
      </c>
      <c r="BP64" s="10" t="s">
        <v>5310</v>
      </c>
      <c r="BQ64" s="10" t="s">
        <v>2902</v>
      </c>
    </row>
    <row r="65" spans="2:69" x14ac:dyDescent="0.3">
      <c r="C65" s="9" t="s">
        <v>5015</v>
      </c>
      <c r="D65" s="736">
        <v>3</v>
      </c>
      <c r="J65" s="716" t="str">
        <f>LOOKUP(D65,BA12:BA16,AZ12:AZ16)</f>
        <v>Svobodný</v>
      </c>
      <c r="K65" s="716"/>
      <c r="L65" s="716"/>
      <c r="M65" s="716"/>
      <c r="P65" s="115" t="s">
        <v>1156</v>
      </c>
      <c r="AN65" s="233">
        <f t="shared" si="1"/>
        <v>0</v>
      </c>
      <c r="AP65" s="233" t="s">
        <v>1060</v>
      </c>
      <c r="AQ65" s="233" t="s">
        <v>4743</v>
      </c>
      <c r="AU65" s="233" t="s">
        <v>266</v>
      </c>
      <c r="BN65" s="10" t="s">
        <v>5261</v>
      </c>
      <c r="BO65" s="10" t="s">
        <v>1074</v>
      </c>
      <c r="BP65" s="10" t="s">
        <v>5311</v>
      </c>
      <c r="BQ65" s="10" t="s">
        <v>5363</v>
      </c>
    </row>
    <row r="66" spans="2:69" x14ac:dyDescent="0.3">
      <c r="C66" s="9" t="s">
        <v>289</v>
      </c>
      <c r="D66" s="736"/>
      <c r="E66" s="1190" t="str">
        <f>IF(D66&gt;P66,"Nelze &gt; umožňuje Původ"," ")</f>
        <v xml:space="preserve"> </v>
      </c>
      <c r="F66" s="1191"/>
      <c r="G66" s="1191"/>
      <c r="H66" s="1191"/>
      <c r="I66" s="1191"/>
      <c r="J66" s="737">
        <f>LOOKUP(D66,BH12:BH21,BG12:BG21)</f>
        <v>1</v>
      </c>
      <c r="K66" t="s">
        <v>3585</v>
      </c>
      <c r="P66" s="115">
        <f>LOOKUP($D$65,$BA$12:$BA$16,$BB$12:$BB$16)</f>
        <v>3</v>
      </c>
      <c r="AN66" s="233">
        <f t="shared" ref="AN66:AN97" si="3">IF($AL$1="PJ",AP66,AO66)</f>
        <v>0</v>
      </c>
      <c r="AP66" s="233" t="s">
        <v>3712</v>
      </c>
      <c r="AQ66" s="233" t="s">
        <v>4744</v>
      </c>
      <c r="AU66" s="233" t="s">
        <v>207</v>
      </c>
      <c r="BN66" s="10" t="s">
        <v>5262</v>
      </c>
      <c r="BO66" s="10" t="s">
        <v>1072</v>
      </c>
      <c r="BP66" s="10" t="s">
        <v>5312</v>
      </c>
      <c r="BQ66" s="10" t="s">
        <v>5364</v>
      </c>
    </row>
    <row r="67" spans="2:69" x14ac:dyDescent="0.3">
      <c r="C67" s="9" t="s">
        <v>2504</v>
      </c>
      <c r="D67" s="736"/>
      <c r="E67" s="1190" t="str">
        <f>IF(D67&gt;P67,"Nelze &gt; umožňuje Původ"," ")</f>
        <v xml:space="preserve"> </v>
      </c>
      <c r="F67" s="1191"/>
      <c r="G67" s="1191"/>
      <c r="H67" s="1191"/>
      <c r="I67" s="1191"/>
      <c r="J67" s="746">
        <f>LOOKUP(D67,BK12:BK21,BJ12:BJ21)</f>
        <v>0</v>
      </c>
      <c r="K67" t="s">
        <v>3099</v>
      </c>
      <c r="P67" s="115">
        <f>LOOKUP($D$65,$BA$12:$BA$16,$BC$12:$BC$16)</f>
        <v>4</v>
      </c>
      <c r="AN67" s="233">
        <f t="shared" si="3"/>
        <v>0</v>
      </c>
      <c r="AP67" s="233" t="s">
        <v>3708</v>
      </c>
      <c r="AQ67" s="233" t="s">
        <v>1047</v>
      </c>
      <c r="AU67" s="233" t="s">
        <v>1027</v>
      </c>
      <c r="BN67" s="10" t="s">
        <v>5263</v>
      </c>
      <c r="BO67" s="10" t="s">
        <v>2636</v>
      </c>
      <c r="BP67" s="10" t="s">
        <v>5313</v>
      </c>
      <c r="BQ67" s="10" t="s">
        <v>5365</v>
      </c>
    </row>
    <row r="68" spans="2:69" x14ac:dyDescent="0.3">
      <c r="C68" s="33" t="s">
        <v>321</v>
      </c>
      <c r="D68" s="280">
        <f>SUM(D65:D67)</f>
        <v>3</v>
      </c>
      <c r="E68" s="1189" t="str">
        <f>IF(D68&gt;D64,"Rozděleno příliš!!!",IF(D68&lt;D64,"Rozděleno málo","OK"))</f>
        <v>Rozděleno málo</v>
      </c>
      <c r="F68" s="1189"/>
      <c r="G68" s="1189"/>
      <c r="H68" s="1189"/>
      <c r="I68" s="1189"/>
      <c r="AN68" s="233">
        <f t="shared" si="3"/>
        <v>0</v>
      </c>
      <c r="AP68" s="233" t="s">
        <v>2450</v>
      </c>
      <c r="AQ68" s="233" t="s">
        <v>1048</v>
      </c>
      <c r="AU68" s="233" t="s">
        <v>4481</v>
      </c>
      <c r="BN68" s="10" t="s">
        <v>5264</v>
      </c>
      <c r="BO68" s="10" t="s">
        <v>2740</v>
      </c>
      <c r="BP68" s="10" t="s">
        <v>5314</v>
      </c>
      <c r="BQ68" s="10" t="s">
        <v>2778</v>
      </c>
    </row>
    <row r="69" spans="2:69" x14ac:dyDescent="0.3">
      <c r="AN69" s="233">
        <f t="shared" si="3"/>
        <v>0</v>
      </c>
      <c r="AP69" s="233" t="s">
        <v>2449</v>
      </c>
      <c r="AQ69" s="233" t="s">
        <v>1030</v>
      </c>
      <c r="AU69" s="233" t="s">
        <v>259</v>
      </c>
      <c r="BN69" s="10" t="s">
        <v>5265</v>
      </c>
      <c r="BO69" s="10" t="s">
        <v>2656</v>
      </c>
      <c r="BP69" s="10" t="s">
        <v>5315</v>
      </c>
      <c r="BQ69" s="10" t="s">
        <v>657</v>
      </c>
    </row>
    <row r="70" spans="2:69" x14ac:dyDescent="0.3">
      <c r="B70" s="1" t="s">
        <v>2882</v>
      </c>
      <c r="AN70" s="233">
        <f t="shared" si="3"/>
        <v>0</v>
      </c>
      <c r="AP70" s="233" t="s">
        <v>3715</v>
      </c>
      <c r="AQ70" s="233" t="s">
        <v>4943</v>
      </c>
      <c r="AU70" s="233" t="s">
        <v>1025</v>
      </c>
      <c r="BN70" s="10" t="s">
        <v>5266</v>
      </c>
      <c r="BO70" s="10" t="s">
        <v>606</v>
      </c>
      <c r="BP70" s="10" t="s">
        <v>5316</v>
      </c>
      <c r="BQ70" s="10" t="s">
        <v>646</v>
      </c>
    </row>
    <row r="71" spans="2:69" x14ac:dyDescent="0.3">
      <c r="C71" t="s">
        <v>0</v>
      </c>
      <c r="D71" s="286"/>
      <c r="E71" t="str">
        <f>IF('Tvorba postavy'!D112="H","HLavní","Vedlejší")</f>
        <v>Vedlejší</v>
      </c>
      <c r="J71" s="740" t="s">
        <v>2883</v>
      </c>
      <c r="K71" s="741"/>
      <c r="L71" s="742"/>
      <c r="M71" s="742"/>
      <c r="N71" s="743"/>
      <c r="AN71" s="233">
        <f t="shared" si="3"/>
        <v>0</v>
      </c>
      <c r="AP71" s="233" t="s">
        <v>3716</v>
      </c>
      <c r="AQ71" s="233" t="s">
        <v>4951</v>
      </c>
      <c r="BN71" s="10" t="s">
        <v>5267</v>
      </c>
      <c r="BO71" s="10" t="s">
        <v>5366</v>
      </c>
      <c r="BP71" s="10" t="s">
        <v>5317</v>
      </c>
      <c r="BQ71" s="10" t="s">
        <v>2903</v>
      </c>
    </row>
    <row r="72" spans="2:69" x14ac:dyDescent="0.3">
      <c r="C72" t="s">
        <v>4</v>
      </c>
      <c r="D72" s="286"/>
      <c r="E72" t="str">
        <f>IF('Tvorba postavy'!D113="H","HLavní","Vedlejší")</f>
        <v>Vedlejší</v>
      </c>
      <c r="J72" s="1186" t="s">
        <v>3975</v>
      </c>
      <c r="K72" s="1187"/>
      <c r="L72" s="1188"/>
      <c r="M72" s="744" t="s">
        <v>3103</v>
      </c>
      <c r="N72" s="744" t="s">
        <v>3976</v>
      </c>
      <c r="AN72" s="233">
        <f t="shared" si="3"/>
        <v>0</v>
      </c>
      <c r="AP72" s="233" t="s">
        <v>4593</v>
      </c>
      <c r="AQ72" s="233" t="s">
        <v>4952</v>
      </c>
      <c r="BN72" s="10" t="s">
        <v>5268</v>
      </c>
      <c r="BO72" s="10" t="s">
        <v>2599</v>
      </c>
      <c r="BP72" s="10" t="s">
        <v>5318</v>
      </c>
      <c r="BQ72" s="10" t="s">
        <v>5367</v>
      </c>
    </row>
    <row r="73" spans="2:69" x14ac:dyDescent="0.3">
      <c r="C73" t="s">
        <v>5</v>
      </c>
      <c r="D73" s="286"/>
      <c r="E73" t="str">
        <f>IF('Tvorba postavy'!D114="H","HLavní","Vedlejší")</f>
        <v>Vedlejší</v>
      </c>
      <c r="J73" s="1186" t="s">
        <v>281</v>
      </c>
      <c r="K73" s="1187"/>
      <c r="L73" s="1188"/>
      <c r="M73" s="745">
        <v>2</v>
      </c>
      <c r="N73" s="745">
        <v>11</v>
      </c>
      <c r="AN73" s="233">
        <f t="shared" si="3"/>
        <v>0</v>
      </c>
      <c r="AP73" s="233" t="s">
        <v>4596</v>
      </c>
      <c r="AQ73" s="233" t="s">
        <v>228</v>
      </c>
      <c r="BN73" s="10" t="s">
        <v>5269</v>
      </c>
      <c r="BO73" s="10" t="s">
        <v>1075</v>
      </c>
      <c r="BP73" s="10" t="s">
        <v>5319</v>
      </c>
      <c r="BQ73" s="10" t="s">
        <v>648</v>
      </c>
    </row>
    <row r="74" spans="2:69" x14ac:dyDescent="0.3">
      <c r="C74" t="s">
        <v>6</v>
      </c>
      <c r="D74" s="286"/>
      <c r="E74" t="str">
        <f>IF('Tvorba postavy'!D115="H","HLavní","Vedlejší")</f>
        <v>Vedlejší</v>
      </c>
      <c r="J74" s="1186" t="s">
        <v>4290</v>
      </c>
      <c r="K74" s="1187"/>
      <c r="L74" s="1188"/>
      <c r="M74" s="745">
        <v>4</v>
      </c>
      <c r="N74" s="745">
        <v>8</v>
      </c>
      <c r="AN74" s="233">
        <f t="shared" si="3"/>
        <v>0</v>
      </c>
      <c r="AP74" s="233" t="s">
        <v>1037</v>
      </c>
      <c r="AQ74" s="233" t="s">
        <v>1005</v>
      </c>
      <c r="BN74" s="10" t="s">
        <v>5270</v>
      </c>
      <c r="BO74" s="10" t="s">
        <v>614</v>
      </c>
      <c r="BP74" s="10" t="s">
        <v>5320</v>
      </c>
      <c r="BQ74" s="10" t="s">
        <v>650</v>
      </c>
    </row>
    <row r="75" spans="2:69" x14ac:dyDescent="0.3">
      <c r="C75" t="s">
        <v>7</v>
      </c>
      <c r="D75" s="286"/>
      <c r="E75" t="str">
        <f>IF('Tvorba postavy'!D116="H","HLavní","Vedlejší")</f>
        <v>Vedlejší</v>
      </c>
      <c r="J75" s="1186" t="s">
        <v>285</v>
      </c>
      <c r="K75" s="1187"/>
      <c r="L75" s="1188"/>
      <c r="M75" s="745">
        <v>6</v>
      </c>
      <c r="N75" s="745">
        <v>5</v>
      </c>
      <c r="AN75" s="233">
        <f t="shared" si="3"/>
        <v>0</v>
      </c>
      <c r="AP75" s="233" t="s">
        <v>1044</v>
      </c>
      <c r="AQ75" s="233" t="s">
        <v>1054</v>
      </c>
      <c r="BN75" s="10" t="s">
        <v>5271</v>
      </c>
      <c r="BO75" s="10" t="s">
        <v>613</v>
      </c>
      <c r="BP75" s="10" t="s">
        <v>5321</v>
      </c>
      <c r="BQ75" s="10" t="s">
        <v>651</v>
      </c>
    </row>
    <row r="76" spans="2:69" ht="15" thickBot="1" x14ac:dyDescent="0.35">
      <c r="C76" t="s">
        <v>8</v>
      </c>
      <c r="D76" s="528"/>
      <c r="E76" t="str">
        <f>IF('Tvorba postavy'!D117="H","HLavní","Vedlejší")</f>
        <v>Vedlejší</v>
      </c>
      <c r="AN76" s="233">
        <f t="shared" si="3"/>
        <v>0</v>
      </c>
      <c r="AP76" s="233" t="s">
        <v>2444</v>
      </c>
      <c r="AQ76" s="233" t="s">
        <v>1053</v>
      </c>
      <c r="BN76" s="10" t="s">
        <v>5272</v>
      </c>
      <c r="BO76" s="10" t="s">
        <v>2513</v>
      </c>
      <c r="BP76" s="10" t="s">
        <v>5322</v>
      </c>
      <c r="BQ76" s="10" t="s">
        <v>656</v>
      </c>
    </row>
    <row r="77" spans="2:69" ht="15" thickTop="1" x14ac:dyDescent="0.3">
      <c r="C77" s="3" t="s">
        <v>321</v>
      </c>
      <c r="D77" s="739">
        <f>SUM(D71:D76)</f>
        <v>0</v>
      </c>
      <c r="E77" s="39">
        <f>LOOKUP(F24,J73:J75,M73:M75)</f>
        <v>4</v>
      </c>
      <c r="F77" t="s">
        <v>554</v>
      </c>
      <c r="AN77" s="233">
        <f t="shared" si="3"/>
        <v>0</v>
      </c>
      <c r="AP77" s="233" t="s">
        <v>1045</v>
      </c>
      <c r="AQ77" s="233" t="s">
        <v>229</v>
      </c>
      <c r="BN77" s="10" t="s">
        <v>5273</v>
      </c>
      <c r="BO77" s="10" t="s">
        <v>2697</v>
      </c>
      <c r="BP77" s="10" t="s">
        <v>5323</v>
      </c>
      <c r="BQ77" s="10" t="s">
        <v>2824</v>
      </c>
    </row>
    <row r="78" spans="2:69" x14ac:dyDescent="0.3">
      <c r="AN78" s="233">
        <f t="shared" si="3"/>
        <v>0</v>
      </c>
      <c r="AP78" s="233" t="s">
        <v>1360</v>
      </c>
      <c r="AQ78" s="233" t="s">
        <v>1032</v>
      </c>
      <c r="BN78" s="10" t="s">
        <v>5274</v>
      </c>
      <c r="BO78" s="10" t="s">
        <v>2674</v>
      </c>
      <c r="BP78" s="10" t="s">
        <v>5324</v>
      </c>
      <c r="BQ78" s="10" t="s">
        <v>1089</v>
      </c>
    </row>
    <row r="79" spans="2:69" ht="23.4" x14ac:dyDescent="0.45">
      <c r="C79" s="132" t="s">
        <v>538</v>
      </c>
      <c r="K79" s="165" t="s">
        <v>562</v>
      </c>
      <c r="AN79" s="233">
        <f t="shared" si="3"/>
        <v>0</v>
      </c>
      <c r="AP79" s="233" t="s">
        <v>4738</v>
      </c>
      <c r="AQ79" s="233" t="s">
        <v>1042</v>
      </c>
      <c r="BN79" s="10" t="s">
        <v>5275</v>
      </c>
      <c r="BO79" s="10" t="s">
        <v>5368</v>
      </c>
      <c r="BP79" s="10" t="s">
        <v>5325</v>
      </c>
      <c r="BQ79" s="10" t="s">
        <v>2905</v>
      </c>
    </row>
    <row r="80" spans="2:69" x14ac:dyDescent="0.3">
      <c r="C80" s="155" t="s">
        <v>1</v>
      </c>
      <c r="E80" s="126" t="s">
        <v>2448</v>
      </c>
      <c r="F80" s="1175" t="s">
        <v>539</v>
      </c>
      <c r="G80" s="1176"/>
      <c r="H80" s="155" t="s">
        <v>540</v>
      </c>
      <c r="I80" s="155" t="s">
        <v>541</v>
      </c>
      <c r="J80" s="155" t="s">
        <v>988</v>
      </c>
      <c r="K80" s="155" t="s">
        <v>3259</v>
      </c>
      <c r="L80" s="514" t="s">
        <v>2884</v>
      </c>
      <c r="M80" s="514" t="s">
        <v>2885</v>
      </c>
      <c r="N80" s="514" t="s">
        <v>2886</v>
      </c>
      <c r="O80" s="514" t="s">
        <v>2887</v>
      </c>
      <c r="P80" s="514" t="s">
        <v>2888</v>
      </c>
      <c r="Q80" s="514" t="s">
        <v>2889</v>
      </c>
      <c r="R80" s="1175" t="s">
        <v>542</v>
      </c>
      <c r="S80" s="1176"/>
      <c r="W80" s="115">
        <f>+IFERROR(HLOOKUP(Rasy!$AI$3,Rasy!$B$3:$AN$125,MATCH($AF$82,Rasy!$B$3:$B$125,0),FALSE)+'1-Vlastnosti'!AP42,0)</f>
        <v>1</v>
      </c>
      <c r="X80" t="s">
        <v>3102</v>
      </c>
      <c r="AN80" s="233">
        <f t="shared" si="3"/>
        <v>0</v>
      </c>
      <c r="AP80" s="233" t="s">
        <v>2433</v>
      </c>
      <c r="AQ80" s="233" t="s">
        <v>1164</v>
      </c>
      <c r="BN80" s="10" t="s">
        <v>5276</v>
      </c>
      <c r="BO80" s="10" t="s">
        <v>601</v>
      </c>
      <c r="BP80" s="10" t="s">
        <v>5326</v>
      </c>
      <c r="BQ80" s="10" t="s">
        <v>2906</v>
      </c>
    </row>
    <row r="81" spans="3:70" x14ac:dyDescent="0.3">
      <c r="C81" s="33" t="s">
        <v>0</v>
      </c>
      <c r="D81" s="724" t="str">
        <f>'1-Vlastnosti'!G4</f>
        <v>V</v>
      </c>
      <c r="E81" s="747">
        <f>HLOOKUP(Rasy!$C$3,Rasy!$B$3:$S$125,MATCH($AF$82,Rasy!$B$3:$B$125,0),FALSE)</f>
        <v>7</v>
      </c>
      <c r="F81" s="1184" t="str">
        <f>HLOOKUP(Rasy!$D$3,Rasy!$B$3:$S$125,MATCH($AF$82,Rasy!$B$3:$B$125,0),FALSE)</f>
        <v>1k6</v>
      </c>
      <c r="G81" s="1185"/>
      <c r="H81" s="650">
        <f>'Tvorba postavy'!D15</f>
        <v>0</v>
      </c>
      <c r="I81" s="650">
        <f>'Tvorba postavy'!E15</f>
        <v>0</v>
      </c>
      <c r="J81" s="650">
        <f>HLOOKUP("BSIL",Povolání!$B$3:$Q$66,MATCH($C$5,Povolání!$B$3:$B$66,0),FALSE)</f>
        <v>0</v>
      </c>
      <c r="K81" s="748">
        <f>'Tvorba postavy'!D71</f>
        <v>0</v>
      </c>
      <c r="L81" s="650">
        <f>HLOOKUP($AL81,Veverka!$A$2:$AH$204,MATCH($D$27,Veverka!$A$2:$A$204,0),FALSE)</f>
        <v>0</v>
      </c>
      <c r="M81" s="650">
        <f>IFERROR(HLOOKUP($AL81,Veverka!$A$2:$AH$204,MATCH($E$28,Veverka!$A$2:$A$204,0),FALSE),0)</f>
        <v>0</v>
      </c>
      <c r="N81" s="650">
        <f>IFERROR(HLOOKUP($AL81,Veverka!$A$2:$AH$204,MATCH($E$29,Veverka!$A$2:$A$204,0),FALSE),0)</f>
        <v>0</v>
      </c>
      <c r="O81" s="650">
        <f>HLOOKUP($AL81,Veverka!$A$2:$AG$204,MATCH($D$31,Veverka!$A$2:$A$204,0),FALSE)</f>
        <v>0</v>
      </c>
      <c r="P81" s="650">
        <f>IFERROR(HLOOKUP($AL81,Veverka!$A$2:$AG$204,MATCH($E$32,Veverka!$A$2:$A$204,0),FALSE),0)</f>
        <v>0</v>
      </c>
      <c r="Q81" s="650">
        <f>IFERROR(HLOOKUP($AL81,Veverka!$A$2:$AG$204,MATCH($E$33,Veverka!$A$2:$A$204,0),FALSE),0)</f>
        <v>0</v>
      </c>
      <c r="R81" s="1177">
        <f>IF(SUM(H81:Q81)+E81&gt;2,SUM(H81:Q81)+E81,2)</f>
        <v>7</v>
      </c>
      <c r="S81" s="1178"/>
      <c r="T81" s="1175" t="s">
        <v>559</v>
      </c>
      <c r="U81" s="1176"/>
      <c r="V81" s="1177">
        <f>R81+W80</f>
        <v>8</v>
      </c>
      <c r="W81" s="1178"/>
      <c r="X81" t="s">
        <v>2890</v>
      </c>
      <c r="Y81" s="160">
        <f>LOOKUP(V81,BR6:BR45,BS6:BS45)</f>
        <v>-1</v>
      </c>
      <c r="AL81" s="115" t="s">
        <v>2630</v>
      </c>
      <c r="AN81" s="233">
        <f t="shared" si="3"/>
        <v>0</v>
      </c>
      <c r="AP81" s="233" t="s">
        <v>1046</v>
      </c>
      <c r="AQ81" s="233" t="s">
        <v>1163</v>
      </c>
      <c r="BN81" s="10" t="s">
        <v>5277</v>
      </c>
      <c r="BO81" s="10" t="s">
        <v>1071</v>
      </c>
      <c r="BP81" s="10" t="s">
        <v>5327</v>
      </c>
      <c r="BQ81" s="10" t="s">
        <v>2804</v>
      </c>
    </row>
    <row r="82" spans="3:70" x14ac:dyDescent="0.3">
      <c r="C82" s="33" t="s">
        <v>4</v>
      </c>
      <c r="D82" s="724" t="str">
        <f>'1-Vlastnosti'!G5</f>
        <v>H</v>
      </c>
      <c r="E82" s="747">
        <f>HLOOKUP(Rasy!$F$3,Rasy!$B$3:$S$125,MATCH($AF$82,Rasy!$B$3:$B$125,0),FALSE)</f>
        <v>2</v>
      </c>
      <c r="F82" s="1184" t="str">
        <f>HLOOKUP(Rasy!$G$3,Rasy!$B$3:$S$125,MATCH($AF$82,Rasy!$B$3:$B$125,0),FALSE)</f>
        <v>2k6</v>
      </c>
      <c r="G82" s="1185"/>
      <c r="H82" s="650">
        <f>'Tvorba postavy'!D16</f>
        <v>0</v>
      </c>
      <c r="I82" s="650">
        <f>'Tvorba postavy'!E16</f>
        <v>0</v>
      </c>
      <c r="J82" s="650">
        <f>HLOOKUP("BOBR",Povolání!$B$3:$Q$66,MATCH($C$5,Povolání!$B$3:$B$66,0),FALSE)</f>
        <v>1</v>
      </c>
      <c r="K82" s="748">
        <f>'Tvorba postavy'!D72</f>
        <v>0</v>
      </c>
      <c r="L82" s="650">
        <f>HLOOKUP($AL82,Veverka!$A$2:$AH$204,MATCH($D$27,Veverka!$A$2:$A$204,0),FALSE)</f>
        <v>0</v>
      </c>
      <c r="M82" s="650">
        <f>IFERROR(HLOOKUP($AL82,Veverka!$A$2:$AH$204,MATCH($E$28,Veverka!$A$2:$A$204,0),FALSE),0)</f>
        <v>0</v>
      </c>
      <c r="N82" s="650">
        <f>IFERROR(HLOOKUP($AL82,Veverka!$A$2:$AH$204,MATCH($E$29,Veverka!$A$2:$A$204,0),FALSE),0)</f>
        <v>0</v>
      </c>
      <c r="O82" s="650">
        <f>HLOOKUP($AL82,Veverka!$A$2:$AG$204,MATCH($D$31,Veverka!$A$2:$A$204,0),FALSE)</f>
        <v>0</v>
      </c>
      <c r="P82" s="650">
        <f>IFERROR(HLOOKUP($AL82,Veverka!$A$2:$AG$204,MATCH($E$32,Veverka!$A$2:$A$204,0),FALSE),0)</f>
        <v>0</v>
      </c>
      <c r="Q82" s="650">
        <f>IFERROR(HLOOKUP($AL82,Veverka!$A$2:$AG$204,MATCH($E$33,Veverka!$A$2:$A$204,0),FALSE),0)</f>
        <v>0</v>
      </c>
      <c r="R82" s="1177">
        <f>IF(SUM(H82:Q82)+E82&gt;1,SUM(H82:Q82)+E82,1)</f>
        <v>3</v>
      </c>
      <c r="S82" s="1178"/>
      <c r="U82" s="159"/>
      <c r="AE82" s="3" t="s">
        <v>24</v>
      </c>
      <c r="AF82" s="1179" t="str">
        <f>'2-Vzhled a charakter'!B2</f>
        <v>Trpaslík</v>
      </c>
      <c r="AG82" s="1180"/>
      <c r="AH82" s="1180"/>
      <c r="AI82" s="1180"/>
      <c r="AJ82" s="1180"/>
      <c r="AL82" s="115" t="s">
        <v>2631</v>
      </c>
      <c r="AN82" s="233">
        <f t="shared" si="3"/>
        <v>0</v>
      </c>
      <c r="AP82" s="233" t="s">
        <v>1004</v>
      </c>
      <c r="AQ82" s="233" t="s">
        <v>1006</v>
      </c>
      <c r="BN82" s="10" t="s">
        <v>5278</v>
      </c>
      <c r="BO82" s="10" t="s">
        <v>611</v>
      </c>
      <c r="BP82" s="10" t="s">
        <v>5328</v>
      </c>
      <c r="BQ82" s="10" t="s">
        <v>5369</v>
      </c>
    </row>
    <row r="83" spans="3:70" x14ac:dyDescent="0.3">
      <c r="C83" s="33" t="s">
        <v>5</v>
      </c>
      <c r="D83" s="724" t="str">
        <f>'1-Vlastnosti'!G6</f>
        <v>H</v>
      </c>
      <c r="E83" s="747">
        <f>HLOOKUP(Rasy!$I$3,Rasy!$B$3:$S$125,MATCH($AF$82,Rasy!$B$3:$B$125,0),FALSE)</f>
        <v>5</v>
      </c>
      <c r="F83" s="1184" t="str">
        <f>HLOOKUP(Rasy!$J$3,Rasy!$B$3:$S$125,MATCH($AF$82,Rasy!$B$3:$B$125,0),FALSE)</f>
        <v>2k6</v>
      </c>
      <c r="G83" s="1185"/>
      <c r="H83" s="650">
        <f>'Tvorba postavy'!D17</f>
        <v>0</v>
      </c>
      <c r="I83" s="650">
        <f>'Tvorba postavy'!E17</f>
        <v>0</v>
      </c>
      <c r="J83" s="650">
        <f>HLOOKUP("BZRČ",Povolání!$B$3:$Q$66,MATCH($C$5,Povolání!$B$3:$B$66,0),FALSE)</f>
        <v>1</v>
      </c>
      <c r="K83" s="748">
        <f>'Tvorba postavy'!D73</f>
        <v>0</v>
      </c>
      <c r="L83" s="650">
        <f>HLOOKUP($AL83,Veverka!$A$2:$AH$204,MATCH($D$27,Veverka!$A$2:$A$204,0),FALSE)</f>
        <v>0</v>
      </c>
      <c r="M83" s="650">
        <f>IFERROR(HLOOKUP($AL83,Veverka!$A$2:$AH$204,MATCH($E$28,Veverka!$A$2:$A$204,0),FALSE),0)</f>
        <v>0</v>
      </c>
      <c r="N83" s="650">
        <f>IFERROR(HLOOKUP($AL83,Veverka!$A$2:$AH$204,MATCH($E$29,Veverka!$A$2:$A$204,0),FALSE),0)</f>
        <v>0</v>
      </c>
      <c r="O83" s="650">
        <f>HLOOKUP($AL83,Veverka!$A$2:$AG$204,MATCH($D$31,Veverka!$A$2:$A$204,0),FALSE)</f>
        <v>0</v>
      </c>
      <c r="P83" s="650">
        <f>IFERROR(HLOOKUP($AL83,Veverka!$A$2:$AG$204,MATCH($E$32,Veverka!$A$2:$A$204,0),FALSE),0)</f>
        <v>0</v>
      </c>
      <c r="Q83" s="650">
        <f>IFERROR(HLOOKUP($AL83,Veverka!$A$2:$AG$204,MATCH($E$33,Veverka!$A$2:$A$204,0),FALSE),0)</f>
        <v>0</v>
      </c>
      <c r="R83" s="1177">
        <f>IF(SUM(H83:Q83)+E83&gt;1,SUM(H83:Q83)+E83,1)</f>
        <v>6</v>
      </c>
      <c r="S83" s="1178"/>
      <c r="AE83" s="278" t="s">
        <v>986</v>
      </c>
      <c r="AF83" s="1179" t="str">
        <f>'2-Vzhled a charakter'!H4</f>
        <v>Tulák</v>
      </c>
      <c r="AG83" s="1180"/>
      <c r="AH83" s="1180"/>
      <c r="AI83" s="1180"/>
      <c r="AJ83" s="1180"/>
      <c r="AK83" s="279" t="s">
        <v>988</v>
      </c>
      <c r="AL83" s="115" t="s">
        <v>2632</v>
      </c>
      <c r="AN83" s="233">
        <f t="shared" si="3"/>
        <v>0</v>
      </c>
      <c r="AP83" s="233" t="s">
        <v>227</v>
      </c>
      <c r="AQ83" s="233" t="s">
        <v>230</v>
      </c>
      <c r="BN83" s="10" t="s">
        <v>5279</v>
      </c>
      <c r="BO83" s="10" t="s">
        <v>624</v>
      </c>
      <c r="BP83" s="10" t="s">
        <v>5329</v>
      </c>
      <c r="BQ83" s="441" t="s">
        <v>626</v>
      </c>
    </row>
    <row r="84" spans="3:70" x14ac:dyDescent="0.3">
      <c r="C84" s="33" t="s">
        <v>6</v>
      </c>
      <c r="D84" s="724" t="str">
        <f>'1-Vlastnosti'!G7</f>
        <v>V</v>
      </c>
      <c r="E84" s="747">
        <f>HLOOKUP(Rasy!$O$3,Rasy!$B$3:$S$125,MATCH($AF$82,Rasy!$B$3:$B$125,0),FALSE)</f>
        <v>7</v>
      </c>
      <c r="F84" s="1184" t="str">
        <f>HLOOKUP(Rasy!$P$3,Rasy!$B$3:$S$125,MATCH($AF$82,Rasy!$B$3:$B$125,0),FALSE)</f>
        <v>1k6</v>
      </c>
      <c r="G84" s="1185"/>
      <c r="H84" s="650">
        <f>'Tvorba postavy'!D18</f>
        <v>0</v>
      </c>
      <c r="I84" s="650">
        <f>'Tvorba postavy'!E18</f>
        <v>0</v>
      </c>
      <c r="J84" s="650">
        <f>HLOOKUP("BVOL",Povolání!$B$3:$Q$66,MATCH($C$5,Povolání!$B$3:$B$66,0),FALSE)</f>
        <v>0</v>
      </c>
      <c r="K84" s="748">
        <f>'Tvorba postavy'!D74</f>
        <v>0</v>
      </c>
      <c r="L84" s="650">
        <f>HLOOKUP($AL84,Veverka!$A$2:$AH$204,MATCH($D$27,Veverka!$A$2:$A$204,0),FALSE)</f>
        <v>0</v>
      </c>
      <c r="M84" s="650">
        <f>IFERROR(HLOOKUP($AL84,Veverka!$A$2:$AH$204,MATCH($E$28,Veverka!$A$2:$A$204,0),FALSE),0)</f>
        <v>0</v>
      </c>
      <c r="N84" s="650">
        <f>IFERROR(HLOOKUP($AL84,Veverka!$A$2:$AH$204,MATCH($E$29,Veverka!$A$2:$A$204,0),FALSE),0)</f>
        <v>0</v>
      </c>
      <c r="O84" s="650">
        <f>HLOOKUP($AL84,Veverka!$A$2:$AG$204,MATCH($D$31,Veverka!$A$2:$A$204,0),FALSE)</f>
        <v>0</v>
      </c>
      <c r="P84" s="650">
        <f>IFERROR(HLOOKUP($AL84,Veverka!$A$2:$AG$204,MATCH($E$32,Veverka!$A$2:$A$204,0),FALSE),0)</f>
        <v>0</v>
      </c>
      <c r="Q84" s="650">
        <f>IFERROR(HLOOKUP($AL84,Veverka!$A$2:$AG$204,MATCH($E$33,Veverka!$A$2:$A$204,0),FALSE),0)</f>
        <v>0</v>
      </c>
      <c r="R84" s="1177">
        <f>IF(SUM(H84:Q84)+E84&gt;1,SUM(H84:Q84)+E84,1)</f>
        <v>7</v>
      </c>
      <c r="S84" s="1178"/>
      <c r="AE84" s="278" t="s">
        <v>985</v>
      </c>
      <c r="AF84" s="1179">
        <f>'Tvorba postavy'!C7</f>
        <v>0</v>
      </c>
      <c r="AG84" s="1180"/>
      <c r="AH84" s="1180"/>
      <c r="AI84" s="1180"/>
      <c r="AJ84" s="1180"/>
      <c r="AK84" s="279" t="s">
        <v>97</v>
      </c>
      <c r="AL84" s="115" t="s">
        <v>2633</v>
      </c>
      <c r="AN84" s="233">
        <f t="shared" si="3"/>
        <v>0</v>
      </c>
      <c r="AP84" s="233" t="s">
        <v>2445</v>
      </c>
      <c r="AQ84" s="233" t="s">
        <v>1166</v>
      </c>
      <c r="BN84" s="10" t="s">
        <v>5280</v>
      </c>
      <c r="BO84" s="10" t="s">
        <v>2537</v>
      </c>
      <c r="BP84" s="10" t="s">
        <v>5330</v>
      </c>
      <c r="BQ84" s="441" t="s">
        <v>5384</v>
      </c>
    </row>
    <row r="85" spans="3:70" x14ac:dyDescent="0.3">
      <c r="C85" s="33" t="s">
        <v>7</v>
      </c>
      <c r="D85" s="724" t="str">
        <f>'1-Vlastnosti'!G8</f>
        <v>V</v>
      </c>
      <c r="E85" s="747">
        <f>HLOOKUP(Rasy!$L$3,Rasy!$B$3:$S$125,MATCH($AF$82,Rasy!$B$3:$B$125,0),FALSE)</f>
        <v>1</v>
      </c>
      <c r="F85" s="1184" t="str">
        <f>HLOOKUP(Rasy!$M$3,Rasy!$B$3:$S$125,MATCH($AF$82,Rasy!$B$3:$B$125,0),FALSE)</f>
        <v>2k6</v>
      </c>
      <c r="G85" s="1185"/>
      <c r="H85" s="650">
        <f>'Tvorba postavy'!D19</f>
        <v>0</v>
      </c>
      <c r="I85" s="650">
        <f>'Tvorba postavy'!E19</f>
        <v>0</v>
      </c>
      <c r="J85" s="650">
        <f>HLOOKUP("BINT",Povolání!$B$3:$Q$66,MATCH($C$5,Povolání!$B$3:$B$66,0),FALSE)</f>
        <v>0</v>
      </c>
      <c r="K85" s="748">
        <f>'Tvorba postavy'!D75</f>
        <v>0</v>
      </c>
      <c r="L85" s="650">
        <f>HLOOKUP($AL85,Veverka!$A$2:$AH$204,MATCH($D$27,Veverka!$A$2:$A$204,0),FALSE)</f>
        <v>0</v>
      </c>
      <c r="M85" s="650">
        <f>IFERROR(HLOOKUP($AL85,Veverka!$A$2:$AH$204,MATCH($E$28,Veverka!$A$2:$A$204,0),FALSE),0)</f>
        <v>0</v>
      </c>
      <c r="N85" s="650">
        <f>IFERROR(HLOOKUP($AL85,Veverka!$A$2:$AH$204,MATCH($E$29,Veverka!$A$2:$A$204,0),FALSE),0)</f>
        <v>0</v>
      </c>
      <c r="O85" s="650">
        <f>HLOOKUP($AL85,Veverka!$A$2:$AG$204,MATCH($D$31,Veverka!$A$2:$A$204,0),FALSE)</f>
        <v>0</v>
      </c>
      <c r="P85" s="650">
        <f>IFERROR(HLOOKUP($AL85,Veverka!$A$2:$AG$204,MATCH($E$32,Veverka!$A$2:$A$204,0),FALSE),0)</f>
        <v>0</v>
      </c>
      <c r="Q85" s="650">
        <f>IFERROR(HLOOKUP($AL85,Veverka!$A$2:$AG$204,MATCH($E$33,Veverka!$A$2:$A$204,0),FALSE),0)</f>
        <v>0</v>
      </c>
      <c r="R85" s="1177">
        <f>IF(Z85="A",6,IF(AS100="A",4,IF(SUM(H85:Q85)+E85&gt;2,SUM(H85:Q85)+E85,2)))</f>
        <v>2</v>
      </c>
      <c r="S85" s="1178"/>
      <c r="Y85" s="1082" t="s">
        <v>604</v>
      </c>
      <c r="Z85" s="115" t="str">
        <f>IF(OR(ZV_1="16",ZV_2="16",ZV_3="16"),"A","N")</f>
        <v>N</v>
      </c>
      <c r="AL85" s="115" t="s">
        <v>2634</v>
      </c>
      <c r="AN85" s="233">
        <f t="shared" si="3"/>
        <v>0</v>
      </c>
      <c r="AP85" s="233" t="s">
        <v>4743</v>
      </c>
      <c r="AQ85" s="233" t="s">
        <v>1165</v>
      </c>
      <c r="BN85" s="10" t="s">
        <v>5281</v>
      </c>
      <c r="BO85" s="10" t="s">
        <v>2706</v>
      </c>
      <c r="BP85" s="10" t="s">
        <v>5331</v>
      </c>
      <c r="BQ85" s="1078" t="s">
        <v>592</v>
      </c>
    </row>
    <row r="86" spans="3:70" x14ac:dyDescent="0.3">
      <c r="C86" s="33" t="s">
        <v>8</v>
      </c>
      <c r="D86" s="724" t="str">
        <f>'1-Vlastnosti'!G9</f>
        <v>V</v>
      </c>
      <c r="E86" s="747">
        <f>HLOOKUP(Rasy!$R$3,Rasy!$B$3:$S$125,MATCH($AF$82,Rasy!$B$3:$B$125,0),FALSE)</f>
        <v>1</v>
      </c>
      <c r="F86" s="1184" t="str">
        <f>HLOOKUP(Rasy!$S$3,Rasy!$B$3:$S$125,MATCH($AF$82,Rasy!$B$3:$B$125,0),FALSE)</f>
        <v>2k6</v>
      </c>
      <c r="G86" s="1185"/>
      <c r="H86" s="650">
        <f>'Tvorba postavy'!D20</f>
        <v>0</v>
      </c>
      <c r="I86" s="650">
        <f>'Tvorba postavy'!E20</f>
        <v>0</v>
      </c>
      <c r="J86" s="650">
        <f>HLOOKUP("BCHR",Povolání!$B$3:$Q$66,MATCH($C$5,Povolání!$B$3:$B$66,0),FALSE)</f>
        <v>0</v>
      </c>
      <c r="K86" s="748">
        <f>'Tvorba postavy'!D76</f>
        <v>0</v>
      </c>
      <c r="L86" s="650">
        <f>HLOOKUP($AL86,Veverka!$A$2:$AH$204,MATCH($D$27,Veverka!$A$2:$A$204,0),FALSE)</f>
        <v>0</v>
      </c>
      <c r="M86" s="650">
        <f>IFERROR(HLOOKUP($AL86,Veverka!$A$2:$AH$204,MATCH($E$28,Veverka!$A$2:$A$204,0),FALSE),0)</f>
        <v>0</v>
      </c>
      <c r="N86" s="650">
        <f>IFERROR(HLOOKUP($AL86,Veverka!$A$2:$AH$204,MATCH($E$29,Veverka!$A$2:$A$204,0),FALSE),0)</f>
        <v>0</v>
      </c>
      <c r="O86" s="650">
        <f>HLOOKUP($AL86,Veverka!$A$2:$AG$204,MATCH($D$31,Veverka!$A$2:$A$204,0),FALSE)</f>
        <v>0</v>
      </c>
      <c r="P86" s="650">
        <f>IFERROR(HLOOKUP($AL86,Veverka!$A$2:$AG$204,MATCH($E$32,Veverka!$A$2:$A$204,0),FALSE),0)</f>
        <v>0</v>
      </c>
      <c r="Q86" s="650">
        <f>IFERROR(HLOOKUP($AL86,Veverka!$A$2:$AG$204,MATCH($E$33,Veverka!$A$2:$A$204,0),FALSE),0)</f>
        <v>0</v>
      </c>
      <c r="R86" s="1177">
        <f>IF(SUM(H86:Q86)+E86&gt;1,SUM(H86:Q86)+E86,1)</f>
        <v>1</v>
      </c>
      <c r="S86" s="1178"/>
      <c r="AL86" s="115" t="s">
        <v>2635</v>
      </c>
      <c r="AN86" s="233">
        <f t="shared" si="3"/>
        <v>0</v>
      </c>
      <c r="AP86" s="233" t="s">
        <v>4744</v>
      </c>
      <c r="AQ86" s="233" t="s">
        <v>4946</v>
      </c>
      <c r="BN86" s="10" t="s">
        <v>5282</v>
      </c>
      <c r="BO86" s="10" t="s">
        <v>710</v>
      </c>
      <c r="BP86" s="10" t="s">
        <v>5332</v>
      </c>
      <c r="BQ86" s="1078" t="s">
        <v>592</v>
      </c>
    </row>
    <row r="87" spans="3:70" x14ac:dyDescent="0.3">
      <c r="AN87" s="233">
        <f t="shared" si="3"/>
        <v>0</v>
      </c>
      <c r="AP87" s="233" t="s">
        <v>2068</v>
      </c>
      <c r="AQ87" s="233" t="s">
        <v>1026</v>
      </c>
      <c r="BN87" s="10" t="s">
        <v>5283</v>
      </c>
      <c r="BO87" s="10" t="s">
        <v>605</v>
      </c>
      <c r="BP87" s="10" t="s">
        <v>5333</v>
      </c>
      <c r="BQ87" s="1078" t="s">
        <v>592</v>
      </c>
    </row>
    <row r="88" spans="3:70" ht="18" x14ac:dyDescent="0.35">
      <c r="C88" s="132" t="s">
        <v>535</v>
      </c>
      <c r="J88" t="s">
        <v>534</v>
      </c>
      <c r="AN88" s="233">
        <f t="shared" si="3"/>
        <v>0</v>
      </c>
      <c r="AP88" s="233" t="s">
        <v>2874</v>
      </c>
      <c r="AQ88" s="233" t="s">
        <v>4708</v>
      </c>
      <c r="BN88" s="10" t="s">
        <v>5284</v>
      </c>
      <c r="BO88" s="10" t="s">
        <v>621</v>
      </c>
      <c r="BP88" s="10" t="s">
        <v>5334</v>
      </c>
      <c r="BQ88" s="1078" t="s">
        <v>592</v>
      </c>
      <c r="BR88" s="10"/>
    </row>
    <row r="89" spans="3:70" x14ac:dyDescent="0.3">
      <c r="C89" s="155" t="s">
        <v>987</v>
      </c>
      <c r="D89" s="155" t="s">
        <v>988</v>
      </c>
      <c r="E89" s="155" t="s">
        <v>988</v>
      </c>
      <c r="F89" s="395" t="s">
        <v>988</v>
      </c>
      <c r="G89" s="395" t="s">
        <v>988</v>
      </c>
      <c r="H89" s="395" t="s">
        <v>988</v>
      </c>
      <c r="I89" s="395" t="s">
        <v>988</v>
      </c>
      <c r="J89" s="395" t="s">
        <v>988</v>
      </c>
      <c r="K89" s="395" t="s">
        <v>988</v>
      </c>
      <c r="L89" s="395" t="s">
        <v>988</v>
      </c>
      <c r="M89" s="395" t="s">
        <v>988</v>
      </c>
      <c r="N89" s="395" t="s">
        <v>988</v>
      </c>
      <c r="O89" s="395" t="s">
        <v>988</v>
      </c>
      <c r="P89" s="395" t="s">
        <v>988</v>
      </c>
      <c r="Q89" s="395" t="s">
        <v>988</v>
      </c>
      <c r="R89" s="395" t="s">
        <v>988</v>
      </c>
      <c r="S89" s="395" t="s">
        <v>988</v>
      </c>
      <c r="T89" s="395" t="s">
        <v>988</v>
      </c>
      <c r="U89" s="395" t="s">
        <v>988</v>
      </c>
      <c r="V89" s="395" t="s">
        <v>988</v>
      </c>
      <c r="W89" s="395" t="s">
        <v>988</v>
      </c>
      <c r="X89" s="395" t="s">
        <v>988</v>
      </c>
      <c r="Y89" s="395" t="s">
        <v>988</v>
      </c>
      <c r="Z89" s="395" t="s">
        <v>988</v>
      </c>
      <c r="AA89" s="395" t="s">
        <v>988</v>
      </c>
      <c r="AB89" s="395" t="s">
        <v>988</v>
      </c>
      <c r="AC89" s="395" t="s">
        <v>988</v>
      </c>
      <c r="AD89" s="395" t="s">
        <v>988</v>
      </c>
      <c r="AE89" s="395" t="s">
        <v>988</v>
      </c>
      <c r="AF89" s="395" t="s">
        <v>988</v>
      </c>
      <c r="AG89" s="395" t="s">
        <v>988</v>
      </c>
      <c r="AN89" s="233">
        <f t="shared" si="3"/>
        <v>0</v>
      </c>
      <c r="AP89" s="233" t="s">
        <v>3732</v>
      </c>
      <c r="AQ89" s="233" t="s">
        <v>1008</v>
      </c>
      <c r="BN89" s="10" t="s">
        <v>5285</v>
      </c>
      <c r="BO89" s="10" t="s">
        <v>5370</v>
      </c>
      <c r="BP89" s="10" t="s">
        <v>5335</v>
      </c>
      <c r="BQ89" s="1078" t="s">
        <v>592</v>
      </c>
      <c r="BR89" s="10"/>
    </row>
    <row r="90" spans="3:70" x14ac:dyDescent="0.3">
      <c r="C90" s="155" t="s">
        <v>3977</v>
      </c>
      <c r="D90" s="155">
        <v>1</v>
      </c>
      <c r="E90" s="155">
        <v>2</v>
      </c>
      <c r="F90" s="155">
        <v>3</v>
      </c>
      <c r="G90" s="155">
        <v>4</v>
      </c>
      <c r="H90" s="155">
        <v>5</v>
      </c>
      <c r="I90" s="155">
        <v>6</v>
      </c>
      <c r="J90" s="155">
        <v>7</v>
      </c>
      <c r="K90" s="155">
        <v>8</v>
      </c>
      <c r="L90" s="155">
        <v>9</v>
      </c>
      <c r="M90" s="155">
        <v>10</v>
      </c>
      <c r="N90" s="155">
        <v>11</v>
      </c>
      <c r="O90" s="155">
        <v>12</v>
      </c>
      <c r="P90" s="155">
        <v>13</v>
      </c>
      <c r="Q90" s="155">
        <v>14</v>
      </c>
      <c r="R90" s="155">
        <v>15</v>
      </c>
      <c r="S90" s="155">
        <v>16</v>
      </c>
      <c r="T90" s="155">
        <v>17</v>
      </c>
      <c r="U90" s="155">
        <v>18</v>
      </c>
      <c r="V90" s="155">
        <v>19</v>
      </c>
      <c r="W90" s="155">
        <v>20</v>
      </c>
      <c r="X90" s="155">
        <v>21</v>
      </c>
      <c r="Y90" s="155">
        <v>22</v>
      </c>
      <c r="Z90" s="155">
        <v>23</v>
      </c>
      <c r="AA90" s="155">
        <v>24</v>
      </c>
      <c r="AB90" s="155">
        <v>25</v>
      </c>
      <c r="AC90" s="155">
        <v>26</v>
      </c>
      <c r="AD90" s="155">
        <v>27</v>
      </c>
      <c r="AE90" s="155">
        <v>28</v>
      </c>
      <c r="AF90" s="155">
        <v>29</v>
      </c>
      <c r="AG90" s="155">
        <v>30</v>
      </c>
      <c r="AJ90" s="155" t="s">
        <v>536</v>
      </c>
      <c r="AK90" s="158">
        <f>'1-Vlastnosti'!S2</f>
        <v>4</v>
      </c>
      <c r="AL90" s="8" t="s">
        <v>537</v>
      </c>
      <c r="AN90" s="233">
        <f t="shared" si="3"/>
        <v>0</v>
      </c>
      <c r="AP90" s="233" t="s">
        <v>3733</v>
      </c>
      <c r="AQ90" s="233" t="s">
        <v>204</v>
      </c>
      <c r="BN90" s="10" t="s">
        <v>5286</v>
      </c>
      <c r="BO90" s="10" t="s">
        <v>5371</v>
      </c>
      <c r="BP90" s="10" t="s">
        <v>5336</v>
      </c>
      <c r="BQ90" s="1078" t="s">
        <v>592</v>
      </c>
      <c r="BR90" s="10"/>
    </row>
    <row r="91" spans="3:70" x14ac:dyDescent="0.3">
      <c r="C91" s="33" t="s">
        <v>0</v>
      </c>
      <c r="D91" s="650">
        <f t="shared" ref="D91:D96" si="4">R81</f>
        <v>7</v>
      </c>
      <c r="E91" s="161"/>
      <c r="F91" s="161"/>
      <c r="G91" s="161"/>
      <c r="H91" s="161"/>
      <c r="I91" s="161"/>
      <c r="J91" s="161"/>
      <c r="K91" s="161"/>
      <c r="L91" s="161"/>
      <c r="M91" s="161"/>
      <c r="N91" s="232"/>
      <c r="O91" s="161"/>
      <c r="P91" s="232"/>
      <c r="Q91" s="161"/>
      <c r="R91" s="232"/>
      <c r="S91" s="161"/>
      <c r="T91" s="232"/>
      <c r="U91" s="161"/>
      <c r="V91" s="232"/>
      <c r="W91" s="161"/>
      <c r="X91" s="232"/>
      <c r="Y91" s="161"/>
      <c r="Z91" s="232"/>
      <c r="AA91" s="161"/>
      <c r="AB91" s="232"/>
      <c r="AC91" s="161"/>
      <c r="AD91" s="232"/>
      <c r="AE91" s="161"/>
      <c r="AF91" s="232"/>
      <c r="AG91" s="161"/>
      <c r="AJ91" s="659">
        <f>LOOKUP($AK$90,'Tvorba postavy'!$D$101:$AG$101,'Tvorba postavy'!D102:AG102)</f>
        <v>7</v>
      </c>
      <c r="AN91" s="233">
        <f t="shared" si="3"/>
        <v>0</v>
      </c>
      <c r="AP91" s="233" t="s">
        <v>1047</v>
      </c>
      <c r="AQ91" s="233" t="s">
        <v>1034</v>
      </c>
      <c r="BN91" s="10" t="s">
        <v>5287</v>
      </c>
      <c r="BO91" s="10" t="s">
        <v>2517</v>
      </c>
      <c r="BP91" s="10" t="s">
        <v>5337</v>
      </c>
      <c r="BQ91" s="1078" t="s">
        <v>592</v>
      </c>
      <c r="BR91" s="10"/>
    </row>
    <row r="92" spans="3:70" x14ac:dyDescent="0.3">
      <c r="C92" s="33" t="s">
        <v>4</v>
      </c>
      <c r="D92" s="650">
        <f t="shared" si="4"/>
        <v>3</v>
      </c>
      <c r="E92" s="161"/>
      <c r="F92" s="161"/>
      <c r="G92" s="161"/>
      <c r="H92" s="161"/>
      <c r="I92" s="161"/>
      <c r="J92" s="161"/>
      <c r="K92" s="161"/>
      <c r="L92" s="161"/>
      <c r="M92" s="161"/>
      <c r="N92" s="232"/>
      <c r="O92" s="161"/>
      <c r="P92" s="232"/>
      <c r="Q92" s="161"/>
      <c r="R92" s="232"/>
      <c r="S92" s="161"/>
      <c r="T92" s="232"/>
      <c r="U92" s="161"/>
      <c r="V92" s="232"/>
      <c r="W92" s="161"/>
      <c r="X92" s="232"/>
      <c r="Y92" s="161"/>
      <c r="Z92" s="232"/>
      <c r="AA92" s="161"/>
      <c r="AB92" s="232"/>
      <c r="AC92" s="161"/>
      <c r="AD92" s="232"/>
      <c r="AE92" s="161"/>
      <c r="AF92" s="232"/>
      <c r="AG92" s="161"/>
      <c r="AJ92" s="659">
        <f>LOOKUP($AK$90,'Tvorba postavy'!$D$101:$AG$101,'Tvorba postavy'!D103:AG103)</f>
        <v>3</v>
      </c>
      <c r="AN92" s="233">
        <f t="shared" si="3"/>
        <v>0</v>
      </c>
      <c r="AP92" s="233" t="s">
        <v>1048</v>
      </c>
      <c r="AQ92" s="233" t="s">
        <v>1049</v>
      </c>
      <c r="BN92" s="10" t="s">
        <v>5288</v>
      </c>
      <c r="BO92" s="10" t="s">
        <v>2665</v>
      </c>
      <c r="BP92" s="10" t="s">
        <v>5338</v>
      </c>
      <c r="BQ92" s="1078" t="s">
        <v>592</v>
      </c>
      <c r="BR92" s="10"/>
    </row>
    <row r="93" spans="3:70" x14ac:dyDescent="0.3">
      <c r="C93" s="33" t="s">
        <v>5</v>
      </c>
      <c r="D93" s="650">
        <f t="shared" si="4"/>
        <v>6</v>
      </c>
      <c r="E93" s="161"/>
      <c r="F93" s="161"/>
      <c r="G93" s="161"/>
      <c r="H93" s="161"/>
      <c r="I93" s="161"/>
      <c r="J93" s="161"/>
      <c r="K93" s="161"/>
      <c r="L93" s="161"/>
      <c r="M93" s="161"/>
      <c r="N93" s="232"/>
      <c r="O93" s="161"/>
      <c r="P93" s="232"/>
      <c r="Q93" s="161"/>
      <c r="R93" s="232"/>
      <c r="S93" s="161"/>
      <c r="T93" s="232"/>
      <c r="U93" s="161"/>
      <c r="V93" s="232"/>
      <c r="W93" s="161"/>
      <c r="X93" s="232"/>
      <c r="Y93" s="161"/>
      <c r="Z93" s="232"/>
      <c r="AA93" s="161"/>
      <c r="AB93" s="232"/>
      <c r="AC93" s="161"/>
      <c r="AD93" s="232"/>
      <c r="AE93" s="161"/>
      <c r="AF93" s="232"/>
      <c r="AG93" s="161"/>
      <c r="AJ93" s="659">
        <f>LOOKUP($AK$90,'Tvorba postavy'!$D$101:$AG$101,'Tvorba postavy'!D104:AG104)</f>
        <v>6</v>
      </c>
      <c r="AN93" s="233">
        <f t="shared" si="3"/>
        <v>0</v>
      </c>
      <c r="AP93" s="233" t="s">
        <v>1030</v>
      </c>
      <c r="AQ93" s="233" t="s">
        <v>1050</v>
      </c>
      <c r="BN93" s="10" t="s">
        <v>5289</v>
      </c>
      <c r="BO93" s="10" t="s">
        <v>616</v>
      </c>
      <c r="BP93" s="10" t="s">
        <v>5339</v>
      </c>
      <c r="BQ93" s="1078" t="s">
        <v>592</v>
      </c>
      <c r="BR93" s="10"/>
    </row>
    <row r="94" spans="3:70" x14ac:dyDescent="0.3">
      <c r="C94" s="33" t="s">
        <v>6</v>
      </c>
      <c r="D94" s="650">
        <f t="shared" si="4"/>
        <v>7</v>
      </c>
      <c r="E94" s="161"/>
      <c r="F94" s="161"/>
      <c r="G94" s="161"/>
      <c r="H94" s="161"/>
      <c r="I94" s="161"/>
      <c r="J94" s="161"/>
      <c r="K94" s="161"/>
      <c r="L94" s="161"/>
      <c r="M94" s="161"/>
      <c r="N94" s="232"/>
      <c r="O94" s="161"/>
      <c r="P94" s="232"/>
      <c r="Q94" s="161"/>
      <c r="R94" s="232"/>
      <c r="S94" s="161"/>
      <c r="T94" s="232"/>
      <c r="U94" s="161"/>
      <c r="V94" s="232"/>
      <c r="W94" s="161"/>
      <c r="X94" s="232"/>
      <c r="Y94" s="161"/>
      <c r="Z94" s="232"/>
      <c r="AA94" s="161"/>
      <c r="AB94" s="232"/>
      <c r="AC94" s="161"/>
      <c r="AD94" s="232"/>
      <c r="AE94" s="161"/>
      <c r="AF94" s="232"/>
      <c r="AG94" s="161"/>
      <c r="AJ94" s="659">
        <f>LOOKUP($AK$90,'Tvorba postavy'!$D$101:$AG$101,'Tvorba postavy'!D105:AG105)</f>
        <v>7</v>
      </c>
      <c r="AN94" s="233">
        <f t="shared" si="3"/>
        <v>0</v>
      </c>
      <c r="AP94" s="233" t="s">
        <v>4943</v>
      </c>
      <c r="AQ94" s="233"/>
      <c r="BN94" s="10" t="s">
        <v>5290</v>
      </c>
      <c r="BO94" s="10" t="s">
        <v>2522</v>
      </c>
      <c r="BP94" s="10" t="s">
        <v>5340</v>
      </c>
      <c r="BQ94" s="1078" t="s">
        <v>592</v>
      </c>
      <c r="BR94" s="10"/>
    </row>
    <row r="95" spans="3:70" x14ac:dyDescent="0.3">
      <c r="C95" s="33" t="s">
        <v>7</v>
      </c>
      <c r="D95" s="650">
        <f t="shared" si="4"/>
        <v>2</v>
      </c>
      <c r="E95" s="161"/>
      <c r="F95" s="161"/>
      <c r="G95" s="161"/>
      <c r="H95" s="161"/>
      <c r="I95" s="161"/>
      <c r="J95" s="161"/>
      <c r="K95" s="161"/>
      <c r="L95" s="161"/>
      <c r="M95" s="161"/>
      <c r="N95" s="232"/>
      <c r="O95" s="161"/>
      <c r="P95" s="232"/>
      <c r="Q95" s="161"/>
      <c r="R95" s="232"/>
      <c r="S95" s="161"/>
      <c r="T95" s="232"/>
      <c r="U95" s="161"/>
      <c r="V95" s="232"/>
      <c r="W95" s="161"/>
      <c r="X95" s="232"/>
      <c r="Y95" s="161"/>
      <c r="Z95" s="232"/>
      <c r="AA95" s="161"/>
      <c r="AB95" s="232"/>
      <c r="AC95" s="161"/>
      <c r="AD95" s="232"/>
      <c r="AE95" s="161"/>
      <c r="AF95" s="232"/>
      <c r="AG95" s="161"/>
      <c r="AJ95" s="659">
        <f>LOOKUP($AK$90,'Tvorba postavy'!$D$101:$AG$101,'Tvorba postavy'!D106:AG106)</f>
        <v>2</v>
      </c>
      <c r="AN95" s="233">
        <f t="shared" si="3"/>
        <v>0</v>
      </c>
      <c r="AP95" s="233" t="s">
        <v>228</v>
      </c>
      <c r="AQ95" s="233"/>
      <c r="BN95" s="10" t="s">
        <v>5291</v>
      </c>
      <c r="BO95" s="10" t="s">
        <v>593</v>
      </c>
      <c r="BP95" s="10" t="s">
        <v>5341</v>
      </c>
      <c r="BQ95" s="1078" t="s">
        <v>592</v>
      </c>
      <c r="BR95" s="10"/>
    </row>
    <row r="96" spans="3:70" x14ac:dyDescent="0.3">
      <c r="C96" s="33" t="s">
        <v>8</v>
      </c>
      <c r="D96" s="650">
        <f t="shared" si="4"/>
        <v>1</v>
      </c>
      <c r="E96" s="161"/>
      <c r="F96" s="161"/>
      <c r="G96" s="161"/>
      <c r="H96" s="161"/>
      <c r="I96" s="161"/>
      <c r="J96" s="161"/>
      <c r="K96" s="161"/>
      <c r="L96" s="161"/>
      <c r="M96" s="161"/>
      <c r="N96" s="232"/>
      <c r="O96" s="161"/>
      <c r="P96" s="232"/>
      <c r="Q96" s="161"/>
      <c r="R96" s="232"/>
      <c r="S96" s="161"/>
      <c r="T96" s="232"/>
      <c r="U96" s="161"/>
      <c r="V96" s="232"/>
      <c r="W96" s="161"/>
      <c r="X96" s="232"/>
      <c r="Y96" s="161"/>
      <c r="Z96" s="232"/>
      <c r="AA96" s="161"/>
      <c r="AB96" s="232"/>
      <c r="AC96" s="161"/>
      <c r="AD96" s="232"/>
      <c r="AE96" s="161"/>
      <c r="AF96" s="232"/>
      <c r="AG96" s="161"/>
      <c r="AJ96" s="659">
        <f>LOOKUP($AK$90,'Tvorba postavy'!$D$101:$AG$101,'Tvorba postavy'!D107:AG107)</f>
        <v>1</v>
      </c>
      <c r="AN96" s="233">
        <f t="shared" si="3"/>
        <v>0</v>
      </c>
      <c r="AP96" s="233" t="s">
        <v>1005</v>
      </c>
      <c r="AQ96" s="233"/>
      <c r="BN96" s="10" t="s">
        <v>5292</v>
      </c>
      <c r="BO96" s="10" t="s">
        <v>2519</v>
      </c>
      <c r="BP96" s="10" t="s">
        <v>5342</v>
      </c>
      <c r="BQ96" s="1078" t="s">
        <v>592</v>
      </c>
    </row>
    <row r="97" spans="2:69" x14ac:dyDescent="0.3">
      <c r="C97" s="33" t="s">
        <v>3100</v>
      </c>
      <c r="D97" s="650">
        <f>V81+HLOOKUP(Povolání!$Q$3,Povolání!$B$3:$Q$66,MATCH(IF('Tvorba postavy'!E$89="P",'Tvorba postavy'!$AF$83,'Tvorba postavy'!$AF$84),Povolání!$B$3:$B$66,0),FALSE)+IF(VEL="D",2,IF(VEL="E",4,IF(VEL="F",6,0)))</f>
        <v>10</v>
      </c>
      <c r="E97" s="748">
        <f>HLOOKUP(Povolání!$Q$3,Povolání!$B$3:$Q$66,MATCH(IF('Tvorba postavy'!E$89="P",'Tvorba postavy'!$AF$83,'Tvorba postavy'!$AF$84),Povolání!$B$3:$B$66,0),FALSE)+IF($F$99="A",1,0)+E91+IF(VEL="D",2,IF(VEL="E",4,IF(VEL="F",6,0)))+E98</f>
        <v>2</v>
      </c>
      <c r="F97" s="748">
        <f>HLOOKUP(Povolání!$Q$3,Povolání!$B$3:$Q$66,MATCH(IF('Tvorba postavy'!F$89="P",'Tvorba postavy'!$AF$83,'Tvorba postavy'!$AF$84),Povolání!$B$3:$B$66,0),FALSE)+IF($F$99="A",1,0)+F91+IF(VEL="D",2,IF(VEL="E",4,IF(VEL="F",6,0)))+F98</f>
        <v>2</v>
      </c>
      <c r="G97" s="748">
        <f>HLOOKUP(Povolání!$Q$3,Povolání!$B$3:$Q$66,MATCH(IF('Tvorba postavy'!G$89="P",'Tvorba postavy'!$AF$83,'Tvorba postavy'!$AF$84),Povolání!$B$3:$B$66,0),FALSE)+IF($F$99="A",1,0)+G91+IF(VEL="D",2,IF(VEL="E",4,IF(VEL="F",6,0)))+G98</f>
        <v>2</v>
      </c>
      <c r="H97" s="748">
        <f>HLOOKUP(Povolání!$Q$3,Povolání!$B$3:$Q$66,MATCH(IF('Tvorba postavy'!H$89="P",'Tvorba postavy'!$AF$83,'Tvorba postavy'!$AF$84),Povolání!$B$3:$B$66,0),FALSE)+IF($F$99="A",1,0)+H91+IF(VEL="D",2,IF(VEL="E",4,IF(VEL="F",6,0)))+H98</f>
        <v>2</v>
      </c>
      <c r="I97" s="748">
        <f>HLOOKUP(Povolání!$Q$3,Povolání!$B$3:$Q$66,MATCH(IF('Tvorba postavy'!I$89="P",'Tvorba postavy'!$AF$83,'Tvorba postavy'!$AF$84),Povolání!$B$3:$B$66,0),FALSE)+IF($F$99="A",1,0)+I91+IF(VEL="D",2,IF(VEL="E",4,IF(VEL="F",6,0)))+I98</f>
        <v>2</v>
      </c>
      <c r="J97" s="748">
        <f>HLOOKUP(Povolání!$Q$3,Povolání!$B$3:$Q$66,MATCH(IF('Tvorba postavy'!J$89="P",'Tvorba postavy'!$AF$83,'Tvorba postavy'!$AF$84),Povolání!$B$3:$B$66,0),FALSE)+IF($F$99="A",1,0)+J91+IF(VEL="D",2,IF(VEL="E",4,IF(VEL="F",6,0)))+J98</f>
        <v>2</v>
      </c>
      <c r="K97" s="748">
        <f>HLOOKUP(Povolání!$Q$3,Povolání!$B$3:$Q$66,MATCH(IF('Tvorba postavy'!K$89="P",'Tvorba postavy'!$AF$83,'Tvorba postavy'!$AF$84),Povolání!$B$3:$B$66,0),FALSE)+IF($F$99="A",1,0)+K91+IF(VEL="D",2,IF(VEL="E",4,IF(VEL="F",6,0)))+K98</f>
        <v>2</v>
      </c>
      <c r="L97" s="748">
        <f>HLOOKUP(Povolání!$Q$3,Povolání!$B$3:$Q$66,MATCH(IF('Tvorba postavy'!L$89="P",'Tvorba postavy'!$AF$83,'Tvorba postavy'!$AF$84),Povolání!$B$3:$B$66,0),FALSE)+IF($F$99="A",1,0)+L91+IF(VEL="D",2,IF(VEL="E",4,IF(VEL="F",6,0)))+L98</f>
        <v>2</v>
      </c>
      <c r="M97" s="748">
        <f>HLOOKUP(Povolání!$Q$3,Povolání!$B$3:$Q$66,MATCH(IF('Tvorba postavy'!M$89="P",'Tvorba postavy'!$AF$83,'Tvorba postavy'!$AF$84),Povolání!$B$3:$B$66,0),FALSE)+IF($F$99="A",1,0)+M91+IF(VEL="D",2,IF(VEL="E",4,IF(VEL="F",6,0)))+M98</f>
        <v>2</v>
      </c>
      <c r="N97" s="748">
        <f>HLOOKUP(Povolání!$Q$3,Povolání!$B$3:$Q$66,MATCH(IF('Tvorba postavy'!N$89="P",'Tvorba postavy'!$AF$83,'Tvorba postavy'!$AF$84),Povolání!$B$3:$B$66,0),FALSE)+IF($F$99="A",1,0)+N91+IF(VEL="D",2,IF(VEL="E",4,IF(VEL="F",6,0)))+N98</f>
        <v>2</v>
      </c>
      <c r="O97" s="748">
        <f>HLOOKUP(Povolání!$Q$3,Povolání!$B$3:$Q$66,MATCH(IF('Tvorba postavy'!O$89="P",'Tvorba postavy'!$AF$83,'Tvorba postavy'!$AF$84),Povolání!$B$3:$B$66,0),FALSE)+IF($F$99="A",1,0)+O91+IF(VEL="D",2,IF(VEL="E",4,IF(VEL="F",6,0)))+O98</f>
        <v>2</v>
      </c>
      <c r="P97" s="748">
        <f>HLOOKUP(Povolání!$Q$3,Povolání!$B$3:$Q$66,MATCH(IF('Tvorba postavy'!P$89="P",'Tvorba postavy'!$AF$83,'Tvorba postavy'!$AF$84),Povolání!$B$3:$B$66,0),FALSE)+IF($F$99="A",1,0)+P91+IF(VEL="D",2,IF(VEL="E",4,IF(VEL="F",6,0)))+P98</f>
        <v>2</v>
      </c>
      <c r="Q97" s="748">
        <f>HLOOKUP(Povolání!$Q$3,Povolání!$B$3:$Q$66,MATCH(IF('Tvorba postavy'!Q$89="P",'Tvorba postavy'!$AF$83,'Tvorba postavy'!$AF$84),Povolání!$B$3:$B$66,0),FALSE)+IF($F$99="A",1,0)+Q91+IF(VEL="D",2,IF(VEL="E",4,IF(VEL="F",6,0)))+Q98</f>
        <v>2</v>
      </c>
      <c r="R97" s="748">
        <f>HLOOKUP(Povolání!$Q$3,Povolání!$B$3:$Q$66,MATCH(IF('Tvorba postavy'!R$89="P",'Tvorba postavy'!$AF$83,'Tvorba postavy'!$AF$84),Povolání!$B$3:$B$66,0),FALSE)+IF($F$99="A",1,0)+R91+IF(VEL="D",2,IF(VEL="E",4,IF(VEL="F",6,0)))+R98</f>
        <v>2</v>
      </c>
      <c r="S97" s="748">
        <f>HLOOKUP(Povolání!$Q$3,Povolání!$B$3:$Q$66,MATCH(IF('Tvorba postavy'!S$89="P",'Tvorba postavy'!$AF$83,'Tvorba postavy'!$AF$84),Povolání!$B$3:$B$66,0),FALSE)+IF($F$99="A",1,0)+S91+IF(VEL="D",2,IF(VEL="E",4,IF(VEL="F",6,0)))+S98</f>
        <v>2</v>
      </c>
      <c r="T97" s="748">
        <f>HLOOKUP(Povolání!$Q$3,Povolání!$B$3:$Q$66,MATCH(IF('Tvorba postavy'!T$89="P",'Tvorba postavy'!$AF$83,'Tvorba postavy'!$AF$84),Povolání!$B$3:$B$66,0),FALSE)+IF($F$99="A",1,0)+T91+IF(VEL="D",2,IF(VEL="E",4,IF(VEL="F",6,0)))+T98</f>
        <v>2</v>
      </c>
      <c r="U97" s="748">
        <f>HLOOKUP(Povolání!$Q$3,Povolání!$B$3:$Q$66,MATCH(IF('Tvorba postavy'!U$89="P",'Tvorba postavy'!$AF$83,'Tvorba postavy'!$AF$84),Povolání!$B$3:$B$66,0),FALSE)+IF($F$99="A",1,0)+U91+IF(VEL="D",2,IF(VEL="E",4,IF(VEL="F",6,0)))+U98</f>
        <v>2</v>
      </c>
      <c r="V97" s="748">
        <f>HLOOKUP(Povolání!$Q$3,Povolání!$B$3:$Q$66,MATCH(IF('Tvorba postavy'!V$89="P",'Tvorba postavy'!$AF$83,'Tvorba postavy'!$AF$84),Povolání!$B$3:$B$66,0),FALSE)+IF($F$99="A",1,0)+V91+IF(VEL="D",2,IF(VEL="E",4,IF(VEL="F",6,0)))+V98</f>
        <v>2</v>
      </c>
      <c r="W97" s="748">
        <f>HLOOKUP(Povolání!$Q$3,Povolání!$B$3:$Q$66,MATCH(IF('Tvorba postavy'!W$89="P",'Tvorba postavy'!$AF$83,'Tvorba postavy'!$AF$84),Povolání!$B$3:$B$66,0),FALSE)+IF($F$99="A",1,0)+W91+IF(VEL="D",2,IF(VEL="E",4,IF(VEL="F",6,0)))+W98</f>
        <v>2</v>
      </c>
      <c r="X97" s="748">
        <f>HLOOKUP(Povolání!$Q$3,Povolání!$B$3:$Q$66,MATCH(IF('Tvorba postavy'!X$89="P",'Tvorba postavy'!$AF$83,'Tvorba postavy'!$AF$84),Povolání!$B$3:$B$66,0),FALSE)+IF($F$99="A",1,0)+X91+IF(VEL="D",2,IF(VEL="E",4,IF(VEL="F",6,0)))+X98</f>
        <v>2</v>
      </c>
      <c r="Y97" s="748">
        <f>HLOOKUP(Povolání!$Q$3,Povolání!$B$3:$Q$66,MATCH(IF('Tvorba postavy'!Y$89="P",'Tvorba postavy'!$AF$83,'Tvorba postavy'!$AF$84),Povolání!$B$3:$B$66,0),FALSE)+IF($F$99="A",1,0)+Y91+IF(VEL="D",2,IF(VEL="E",4,IF(VEL="F",6,0)))+Y98</f>
        <v>2</v>
      </c>
      <c r="Z97" s="748">
        <f>HLOOKUP(Povolání!$Q$3,Povolání!$B$3:$Q$66,MATCH(IF('Tvorba postavy'!Z$89="P",'Tvorba postavy'!$AF$83,'Tvorba postavy'!$AF$84),Povolání!$B$3:$B$66,0),FALSE)+IF($F$99="A",1,0)+Z91+IF(VEL="D",2,IF(VEL="E",4,IF(VEL="F",6,0)))+Z98</f>
        <v>2</v>
      </c>
      <c r="AA97" s="748">
        <f>HLOOKUP(Povolání!$Q$3,Povolání!$B$3:$Q$66,MATCH(IF('Tvorba postavy'!AA$89="P",'Tvorba postavy'!$AF$83,'Tvorba postavy'!$AF$84),Povolání!$B$3:$B$66,0),FALSE)+IF($F$99="A",1,0)+AA91+IF(VEL="D",2,IF(VEL="E",4,IF(VEL="F",6,0)))+AA98</f>
        <v>2</v>
      </c>
      <c r="AB97" s="748">
        <f>HLOOKUP(Povolání!$Q$3,Povolání!$B$3:$Q$66,MATCH(IF('Tvorba postavy'!AB$89="P",'Tvorba postavy'!$AF$83,'Tvorba postavy'!$AF$84),Povolání!$B$3:$B$66,0),FALSE)+IF($F$99="A",1,0)+AB91+IF(VEL="D",2,IF(VEL="E",4,IF(VEL="F",6,0)))+AB98</f>
        <v>2</v>
      </c>
      <c r="AC97" s="748">
        <f>HLOOKUP(Povolání!$Q$3,Povolání!$B$3:$Q$66,MATCH(IF('Tvorba postavy'!AC$89="P",'Tvorba postavy'!$AF$83,'Tvorba postavy'!$AF$84),Povolání!$B$3:$B$66,0),FALSE)+IF($F$99="A",1,0)+AC91+IF(VEL="D",2,IF(VEL="E",4,IF(VEL="F",6,0)))+AC98</f>
        <v>2</v>
      </c>
      <c r="AD97" s="748">
        <f>HLOOKUP(Povolání!$Q$3,Povolání!$B$3:$Q$66,MATCH(IF('Tvorba postavy'!AD$89="P",'Tvorba postavy'!$AF$83,'Tvorba postavy'!$AF$84),Povolání!$B$3:$B$66,0),FALSE)+IF($F$99="A",1,0)+AD91+IF(VEL="D",2,IF(VEL="E",4,IF(VEL="F",6,0)))+AD98</f>
        <v>2</v>
      </c>
      <c r="AE97" s="748">
        <f>HLOOKUP(Povolání!$Q$3,Povolání!$B$3:$Q$66,MATCH(IF('Tvorba postavy'!AE$89="P",'Tvorba postavy'!$AF$83,'Tvorba postavy'!$AF$84),Povolání!$B$3:$B$66,0),FALSE)+IF($F$99="A",1,0)+AE91+IF(VEL="D",2,IF(VEL="E",4,IF(VEL="F",6,0)))+AE98</f>
        <v>2</v>
      </c>
      <c r="AF97" s="748">
        <f>HLOOKUP(Povolání!$Q$3,Povolání!$B$3:$Q$66,MATCH(IF('Tvorba postavy'!AF$89="P",'Tvorba postavy'!$AF$83,'Tvorba postavy'!$AF$84),Povolání!$B$3:$B$66,0),FALSE)+IF($F$99="A",1,0)+AF91+IF(VEL="D",2,IF(VEL="E",4,IF(VEL="F",6,0)))+AF98</f>
        <v>2</v>
      </c>
      <c r="AG97" s="748">
        <f>HLOOKUP(Povolání!$Q$3,Povolání!$B$3:$Q$66,MATCH(IF('Tvorba postavy'!AG$89="P",'Tvorba postavy'!$AF$83,'Tvorba postavy'!$AF$84),Povolání!$B$3:$B$66,0),FALSE)+IF($F$99="A",1,0)+AG91+IF(VEL="D",2,IF(VEL="E",4,IF(VEL="F",6,0)))+AG98</f>
        <v>2</v>
      </c>
      <c r="AJ97" s="659">
        <f>LOOKUP($AK$90,'Tvorba postavy'!$D$101:$AG$101,'Tvorba postavy'!D108:AG108)</f>
        <v>16</v>
      </c>
      <c r="AN97" s="233">
        <f t="shared" si="3"/>
        <v>0</v>
      </c>
      <c r="AP97" s="233" t="s">
        <v>1054</v>
      </c>
      <c r="BN97" s="10" t="s">
        <v>5293</v>
      </c>
      <c r="BO97" s="10" t="s">
        <v>2563</v>
      </c>
      <c r="BP97" s="10" t="s">
        <v>5343</v>
      </c>
      <c r="BQ97" s="1078" t="s">
        <v>592</v>
      </c>
    </row>
    <row r="98" spans="2:69" x14ac:dyDescent="0.3">
      <c r="C98" s="1033" t="s">
        <v>4962</v>
      </c>
      <c r="D98" s="1034"/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  <c r="T98" s="161"/>
      <c r="U98" s="161"/>
      <c r="V98" s="161"/>
      <c r="W98" s="161"/>
      <c r="X98" s="161"/>
      <c r="Y98" s="161"/>
      <c r="Z98" s="161"/>
      <c r="AA98" s="161"/>
      <c r="AB98" s="161"/>
      <c r="AC98" s="161"/>
      <c r="AD98" s="161"/>
      <c r="AE98" s="161"/>
      <c r="AF98" s="161"/>
      <c r="AG98" s="161"/>
      <c r="AJ98" s="1032"/>
      <c r="AN98" s="233">
        <f t="shared" ref="AN98:AN125" si="5">IF($AL$1="PJ",AP98,AO98)</f>
        <v>0</v>
      </c>
      <c r="AP98" s="233" t="s">
        <v>1053</v>
      </c>
      <c r="BN98" s="10" t="s">
        <v>5294</v>
      </c>
      <c r="BO98" s="10" t="s">
        <v>612</v>
      </c>
      <c r="BP98" s="10" t="s">
        <v>5344</v>
      </c>
      <c r="BQ98" s="1078" t="s">
        <v>592</v>
      </c>
    </row>
    <row r="99" spans="2:69" x14ac:dyDescent="0.3">
      <c r="E99" s="1082" t="s">
        <v>630</v>
      </c>
      <c r="F99" s="115" t="str">
        <f>IF(OR(KV_1="23",KV_2="23",KV_3="23"),"A","N")</f>
        <v>N</v>
      </c>
      <c r="AN99" s="233">
        <f t="shared" si="5"/>
        <v>0</v>
      </c>
      <c r="AP99" s="233" t="s">
        <v>229</v>
      </c>
      <c r="BN99" s="10" t="s">
        <v>5295</v>
      </c>
      <c r="BO99" s="10" t="s">
        <v>2726</v>
      </c>
      <c r="BP99" s="10" t="s">
        <v>5345</v>
      </c>
      <c r="BQ99" s="1078" t="s">
        <v>592</v>
      </c>
    </row>
    <row r="100" spans="2:69" ht="18" x14ac:dyDescent="0.35">
      <c r="C100" s="132" t="s">
        <v>533</v>
      </c>
      <c r="AN100" s="233">
        <f t="shared" si="5"/>
        <v>0</v>
      </c>
      <c r="AP100" s="233" t="s">
        <v>1032</v>
      </c>
      <c r="BN100" s="10" t="s">
        <v>5296</v>
      </c>
      <c r="BO100" s="10" t="s">
        <v>2531</v>
      </c>
      <c r="BP100" s="10" t="s">
        <v>5346</v>
      </c>
      <c r="BQ100" s="1078" t="s">
        <v>592</v>
      </c>
    </row>
    <row r="101" spans="2:69" x14ac:dyDescent="0.3">
      <c r="C101" s="713" t="s">
        <v>1</v>
      </c>
      <c r="D101" s="713">
        <v>1</v>
      </c>
      <c r="E101" s="713">
        <v>2</v>
      </c>
      <c r="F101" s="713">
        <v>3</v>
      </c>
      <c r="G101" s="713">
        <v>4</v>
      </c>
      <c r="H101" s="713">
        <v>5</v>
      </c>
      <c r="I101" s="713">
        <v>6</v>
      </c>
      <c r="J101" s="713">
        <v>7</v>
      </c>
      <c r="K101" s="713">
        <v>8</v>
      </c>
      <c r="L101" s="713">
        <v>9</v>
      </c>
      <c r="M101" s="713">
        <v>10</v>
      </c>
      <c r="N101" s="713">
        <v>11</v>
      </c>
      <c r="O101" s="713">
        <v>12</v>
      </c>
      <c r="P101" s="713">
        <v>13</v>
      </c>
      <c r="Q101" s="713">
        <v>14</v>
      </c>
      <c r="R101" s="713">
        <v>15</v>
      </c>
      <c r="S101" s="713">
        <v>16</v>
      </c>
      <c r="T101" s="713">
        <v>17</v>
      </c>
      <c r="U101" s="713">
        <v>18</v>
      </c>
      <c r="V101" s="713">
        <v>19</v>
      </c>
      <c r="W101" s="713">
        <v>20</v>
      </c>
      <c r="X101" s="713">
        <v>21</v>
      </c>
      <c r="Y101" s="713">
        <v>22</v>
      </c>
      <c r="Z101" s="713">
        <v>23</v>
      </c>
      <c r="AA101" s="713">
        <v>24</v>
      </c>
      <c r="AB101" s="713">
        <v>25</v>
      </c>
      <c r="AC101" s="713">
        <v>26</v>
      </c>
      <c r="AD101" s="713">
        <v>27</v>
      </c>
      <c r="AE101" s="713">
        <v>28</v>
      </c>
      <c r="AF101" s="713">
        <v>29</v>
      </c>
      <c r="AG101" s="713">
        <v>30</v>
      </c>
      <c r="AN101" s="233">
        <f t="shared" si="5"/>
        <v>0</v>
      </c>
      <c r="AP101" s="233" t="s">
        <v>1042</v>
      </c>
      <c r="BN101" s="10" t="s">
        <v>5297</v>
      </c>
      <c r="BO101" s="10" t="s">
        <v>2533</v>
      </c>
      <c r="BP101" s="10" t="s">
        <v>5347</v>
      </c>
      <c r="BQ101" s="1078" t="s">
        <v>592</v>
      </c>
    </row>
    <row r="102" spans="2:69" x14ac:dyDescent="0.3">
      <c r="C102" s="650" t="s">
        <v>0</v>
      </c>
      <c r="D102" s="650">
        <f>SUM('Tvorba postavy'!$D91:D91)</f>
        <v>7</v>
      </c>
      <c r="E102" s="650">
        <f>SUM('Tvorba postavy'!$D91:E91)</f>
        <v>7</v>
      </c>
      <c r="F102" s="650">
        <f>SUM('Tvorba postavy'!$D91:F91)</f>
        <v>7</v>
      </c>
      <c r="G102" s="650">
        <f>SUM('Tvorba postavy'!$D91:G91)</f>
        <v>7</v>
      </c>
      <c r="H102" s="650">
        <f>SUM('Tvorba postavy'!$D91:H91)</f>
        <v>7</v>
      </c>
      <c r="I102" s="650">
        <f>SUM('Tvorba postavy'!$D91:I91)</f>
        <v>7</v>
      </c>
      <c r="J102" s="650">
        <f>SUM('Tvorba postavy'!$D91:J91)</f>
        <v>7</v>
      </c>
      <c r="K102" s="650">
        <f>SUM('Tvorba postavy'!$D91:K91)</f>
        <v>7</v>
      </c>
      <c r="L102" s="650">
        <f>SUM('Tvorba postavy'!$D91:L91)</f>
        <v>7</v>
      </c>
      <c r="M102" s="650">
        <f>SUM('Tvorba postavy'!$D91:M91)</f>
        <v>7</v>
      </c>
      <c r="N102" s="650">
        <f>SUM('Tvorba postavy'!$D91:N91)</f>
        <v>7</v>
      </c>
      <c r="O102" s="650">
        <f>SUM('Tvorba postavy'!$D91:O91)</f>
        <v>7</v>
      </c>
      <c r="P102" s="650">
        <f>SUM('Tvorba postavy'!$D91:P91)</f>
        <v>7</v>
      </c>
      <c r="Q102" s="650">
        <f>SUM('Tvorba postavy'!$D91:Q91)</f>
        <v>7</v>
      </c>
      <c r="R102" s="650">
        <f>SUM('Tvorba postavy'!$D91:R91)</f>
        <v>7</v>
      </c>
      <c r="S102" s="650">
        <f>SUM('Tvorba postavy'!$D91:S91)</f>
        <v>7</v>
      </c>
      <c r="T102" s="650">
        <f>SUM('Tvorba postavy'!$D91:T91)</f>
        <v>7</v>
      </c>
      <c r="U102" s="650">
        <f>SUM('Tvorba postavy'!$D91:U91)</f>
        <v>7</v>
      </c>
      <c r="V102" s="650">
        <f>SUM('Tvorba postavy'!$D91:V91)</f>
        <v>7</v>
      </c>
      <c r="W102" s="650">
        <f>SUM('Tvorba postavy'!$D91:W91)</f>
        <v>7</v>
      </c>
      <c r="X102" s="650">
        <f>SUM('Tvorba postavy'!$D91:X91)</f>
        <v>7</v>
      </c>
      <c r="Y102" s="650">
        <f>SUM('Tvorba postavy'!$D91:Y91)</f>
        <v>7</v>
      </c>
      <c r="Z102" s="650">
        <f>SUM('Tvorba postavy'!$D91:Z91)</f>
        <v>7</v>
      </c>
      <c r="AA102" s="650">
        <f>SUM('Tvorba postavy'!$D91:AA91)</f>
        <v>7</v>
      </c>
      <c r="AB102" s="650">
        <f>SUM('Tvorba postavy'!$D91:AB91)</f>
        <v>7</v>
      </c>
      <c r="AC102" s="650">
        <f>SUM('Tvorba postavy'!$D91:AC91)</f>
        <v>7</v>
      </c>
      <c r="AD102" s="650">
        <f>SUM('Tvorba postavy'!$D91:AD91)</f>
        <v>7</v>
      </c>
      <c r="AE102" s="650">
        <f>SUM('Tvorba postavy'!$D91:AE91)</f>
        <v>7</v>
      </c>
      <c r="AF102" s="650">
        <f>SUM('Tvorba postavy'!$D91:AF91)</f>
        <v>7</v>
      </c>
      <c r="AG102" s="650">
        <f>SUM('Tvorba postavy'!$D91:AG91)</f>
        <v>7</v>
      </c>
      <c r="AN102" s="233">
        <f t="shared" si="5"/>
        <v>0</v>
      </c>
      <c r="AP102" s="233" t="s">
        <v>1006</v>
      </c>
      <c r="BN102" s="10" t="s">
        <v>5298</v>
      </c>
      <c r="BO102" s="10" t="s">
        <v>5372</v>
      </c>
      <c r="BP102" s="10" t="s">
        <v>5348</v>
      </c>
      <c r="BQ102" s="1078" t="s">
        <v>592</v>
      </c>
    </row>
    <row r="103" spans="2:69" x14ac:dyDescent="0.3">
      <c r="C103" s="650" t="s">
        <v>4</v>
      </c>
      <c r="D103" s="650">
        <f>SUM('Tvorba postavy'!$D92:D92)</f>
        <v>3</v>
      </c>
      <c r="E103" s="650">
        <f>SUM('Tvorba postavy'!$D92:E92)</f>
        <v>3</v>
      </c>
      <c r="F103" s="650">
        <f>SUM('Tvorba postavy'!$D92:F92)</f>
        <v>3</v>
      </c>
      <c r="G103" s="650">
        <f>SUM('Tvorba postavy'!$D92:G92)</f>
        <v>3</v>
      </c>
      <c r="H103" s="650">
        <f>SUM('Tvorba postavy'!$D92:H92)</f>
        <v>3</v>
      </c>
      <c r="I103" s="650">
        <f>SUM('Tvorba postavy'!$D92:I92)</f>
        <v>3</v>
      </c>
      <c r="J103" s="650">
        <f>SUM('Tvorba postavy'!$D92:J92)</f>
        <v>3</v>
      </c>
      <c r="K103" s="650">
        <f>SUM('Tvorba postavy'!$D92:K92)</f>
        <v>3</v>
      </c>
      <c r="L103" s="650">
        <f>SUM('Tvorba postavy'!$D92:L92)</f>
        <v>3</v>
      </c>
      <c r="M103" s="650">
        <f>SUM('Tvorba postavy'!$D92:M92)</f>
        <v>3</v>
      </c>
      <c r="N103" s="650">
        <f>SUM('Tvorba postavy'!$D92:N92)</f>
        <v>3</v>
      </c>
      <c r="O103" s="650">
        <f>SUM('Tvorba postavy'!$D92:O92)</f>
        <v>3</v>
      </c>
      <c r="P103" s="650">
        <f>SUM('Tvorba postavy'!$D92:P92)</f>
        <v>3</v>
      </c>
      <c r="Q103" s="650">
        <f>SUM('Tvorba postavy'!$D92:Q92)</f>
        <v>3</v>
      </c>
      <c r="R103" s="650">
        <f>SUM('Tvorba postavy'!$D92:R92)</f>
        <v>3</v>
      </c>
      <c r="S103" s="650">
        <f>SUM('Tvorba postavy'!$D92:S92)</f>
        <v>3</v>
      </c>
      <c r="T103" s="650">
        <f>SUM('Tvorba postavy'!$D92:T92)</f>
        <v>3</v>
      </c>
      <c r="U103" s="650">
        <f>SUM('Tvorba postavy'!$D92:U92)</f>
        <v>3</v>
      </c>
      <c r="V103" s="650">
        <f>SUM('Tvorba postavy'!$D92:V92)</f>
        <v>3</v>
      </c>
      <c r="W103" s="650">
        <f>SUM('Tvorba postavy'!$D92:W92)</f>
        <v>3</v>
      </c>
      <c r="X103" s="650">
        <f>SUM('Tvorba postavy'!$D92:X92)</f>
        <v>3</v>
      </c>
      <c r="Y103" s="650">
        <f>SUM('Tvorba postavy'!$D92:Y92)</f>
        <v>3</v>
      </c>
      <c r="Z103" s="650">
        <f>SUM('Tvorba postavy'!$D92:Z92)</f>
        <v>3</v>
      </c>
      <c r="AA103" s="650">
        <f>SUM('Tvorba postavy'!$D92:AA92)</f>
        <v>3</v>
      </c>
      <c r="AB103" s="650">
        <f>SUM('Tvorba postavy'!$D92:AB92)</f>
        <v>3</v>
      </c>
      <c r="AC103" s="650">
        <f>SUM('Tvorba postavy'!$D92:AC92)</f>
        <v>3</v>
      </c>
      <c r="AD103" s="650">
        <f>SUM('Tvorba postavy'!$D92:AD92)</f>
        <v>3</v>
      </c>
      <c r="AE103" s="650">
        <f>SUM('Tvorba postavy'!$D92:AE92)</f>
        <v>3</v>
      </c>
      <c r="AF103" s="650">
        <f>SUM('Tvorba postavy'!$D92:AF92)</f>
        <v>3</v>
      </c>
      <c r="AG103" s="650">
        <f>SUM('Tvorba postavy'!$D92:AG92)</f>
        <v>3</v>
      </c>
      <c r="AN103" s="233">
        <f t="shared" si="5"/>
        <v>0</v>
      </c>
      <c r="AP103" s="233" t="s">
        <v>230</v>
      </c>
      <c r="BN103" s="10" t="s">
        <v>5299</v>
      </c>
      <c r="BO103" s="10" t="s">
        <v>2642</v>
      </c>
      <c r="BP103" s="10" t="s">
        <v>5349</v>
      </c>
      <c r="BQ103" s="1078" t="s">
        <v>592</v>
      </c>
    </row>
    <row r="104" spans="2:69" x14ac:dyDescent="0.3">
      <c r="C104" s="650" t="s">
        <v>5</v>
      </c>
      <c r="D104" s="650">
        <f>SUM('Tvorba postavy'!$D93:D93)</f>
        <v>6</v>
      </c>
      <c r="E104" s="650">
        <f>SUM('Tvorba postavy'!$D93:E93)</f>
        <v>6</v>
      </c>
      <c r="F104" s="650">
        <f>SUM('Tvorba postavy'!$D93:F93)</f>
        <v>6</v>
      </c>
      <c r="G104" s="650">
        <f>SUM('Tvorba postavy'!$D93:G93)</f>
        <v>6</v>
      </c>
      <c r="H104" s="650">
        <f>SUM('Tvorba postavy'!$D93:H93)</f>
        <v>6</v>
      </c>
      <c r="I104" s="650">
        <f>SUM('Tvorba postavy'!$D93:I93)</f>
        <v>6</v>
      </c>
      <c r="J104" s="650">
        <f>SUM('Tvorba postavy'!$D93:J93)</f>
        <v>6</v>
      </c>
      <c r="K104" s="650">
        <f>SUM('Tvorba postavy'!$D93:K93)</f>
        <v>6</v>
      </c>
      <c r="L104" s="650">
        <f>SUM('Tvorba postavy'!$D93:L93)</f>
        <v>6</v>
      </c>
      <c r="M104" s="650">
        <f>SUM('Tvorba postavy'!$D93:M93)</f>
        <v>6</v>
      </c>
      <c r="N104" s="650">
        <f>SUM('Tvorba postavy'!$D93:N93)</f>
        <v>6</v>
      </c>
      <c r="O104" s="650">
        <f>SUM('Tvorba postavy'!$D93:O93)</f>
        <v>6</v>
      </c>
      <c r="P104" s="650">
        <f>SUM('Tvorba postavy'!$D93:P93)</f>
        <v>6</v>
      </c>
      <c r="Q104" s="650">
        <f>SUM('Tvorba postavy'!$D93:Q93)</f>
        <v>6</v>
      </c>
      <c r="R104" s="650">
        <f>SUM('Tvorba postavy'!$D93:R93)</f>
        <v>6</v>
      </c>
      <c r="S104" s="650">
        <f>SUM('Tvorba postavy'!$D93:S93)</f>
        <v>6</v>
      </c>
      <c r="T104" s="650">
        <f>SUM('Tvorba postavy'!$D93:T93)</f>
        <v>6</v>
      </c>
      <c r="U104" s="650">
        <f>SUM('Tvorba postavy'!$D93:U93)</f>
        <v>6</v>
      </c>
      <c r="V104" s="650">
        <f>SUM('Tvorba postavy'!$D93:V93)</f>
        <v>6</v>
      </c>
      <c r="W104" s="650">
        <f>SUM('Tvorba postavy'!$D93:W93)</f>
        <v>6</v>
      </c>
      <c r="X104" s="650">
        <f>SUM('Tvorba postavy'!$D93:X93)</f>
        <v>6</v>
      </c>
      <c r="Y104" s="650">
        <f>SUM('Tvorba postavy'!$D93:Y93)</f>
        <v>6</v>
      </c>
      <c r="Z104" s="650">
        <f>SUM('Tvorba postavy'!$D93:Z93)</f>
        <v>6</v>
      </c>
      <c r="AA104" s="650">
        <f>SUM('Tvorba postavy'!$D93:AA93)</f>
        <v>6</v>
      </c>
      <c r="AB104" s="650">
        <f>SUM('Tvorba postavy'!$D93:AB93)</f>
        <v>6</v>
      </c>
      <c r="AC104" s="650">
        <f>SUM('Tvorba postavy'!$D93:AC93)</f>
        <v>6</v>
      </c>
      <c r="AD104" s="650">
        <f>SUM('Tvorba postavy'!$D93:AD93)</f>
        <v>6</v>
      </c>
      <c r="AE104" s="650">
        <f>SUM('Tvorba postavy'!$D93:AE93)</f>
        <v>6</v>
      </c>
      <c r="AF104" s="650">
        <f>SUM('Tvorba postavy'!$D93:AF93)</f>
        <v>6</v>
      </c>
      <c r="AG104" s="650">
        <f>SUM('Tvorba postavy'!$D93:AG93)</f>
        <v>6</v>
      </c>
      <c r="AN104" s="233">
        <f t="shared" si="5"/>
        <v>0</v>
      </c>
      <c r="AP104" s="233" t="s">
        <v>4295</v>
      </c>
      <c r="BN104" s="10" t="s">
        <v>5300</v>
      </c>
      <c r="BO104" s="10" t="s">
        <v>2542</v>
      </c>
      <c r="BP104" s="10" t="s">
        <v>5350</v>
      </c>
      <c r="BQ104" s="10" t="s">
        <v>1146</v>
      </c>
    </row>
    <row r="105" spans="2:69" x14ac:dyDescent="0.3">
      <c r="C105" s="650" t="s">
        <v>6</v>
      </c>
      <c r="D105" s="650">
        <f>SUM('Tvorba postavy'!$D94:D94)</f>
        <v>7</v>
      </c>
      <c r="E105" s="650">
        <f>SUM('Tvorba postavy'!$D94:E94)</f>
        <v>7</v>
      </c>
      <c r="F105" s="650">
        <f>SUM('Tvorba postavy'!$D94:F94)</f>
        <v>7</v>
      </c>
      <c r="G105" s="650">
        <f>SUM('Tvorba postavy'!$D94:G94)</f>
        <v>7</v>
      </c>
      <c r="H105" s="650">
        <f>SUM('Tvorba postavy'!$D94:H94)</f>
        <v>7</v>
      </c>
      <c r="I105" s="650">
        <f>SUM('Tvorba postavy'!$D94:I94)</f>
        <v>7</v>
      </c>
      <c r="J105" s="650">
        <f>SUM('Tvorba postavy'!$D94:J94)</f>
        <v>7</v>
      </c>
      <c r="K105" s="650">
        <f>SUM('Tvorba postavy'!$D94:K94)</f>
        <v>7</v>
      </c>
      <c r="L105" s="650">
        <f>SUM('Tvorba postavy'!$D94:L94)</f>
        <v>7</v>
      </c>
      <c r="M105" s="650">
        <f>SUM('Tvorba postavy'!$D94:M94)</f>
        <v>7</v>
      </c>
      <c r="N105" s="650">
        <f>SUM('Tvorba postavy'!$D94:N94)</f>
        <v>7</v>
      </c>
      <c r="O105" s="650">
        <f>SUM('Tvorba postavy'!$D94:O94)</f>
        <v>7</v>
      </c>
      <c r="P105" s="650">
        <f>SUM('Tvorba postavy'!$D94:P94)</f>
        <v>7</v>
      </c>
      <c r="Q105" s="650">
        <f>SUM('Tvorba postavy'!$D94:Q94)</f>
        <v>7</v>
      </c>
      <c r="R105" s="650">
        <f>SUM('Tvorba postavy'!$D94:R94)</f>
        <v>7</v>
      </c>
      <c r="S105" s="650">
        <f>SUM('Tvorba postavy'!$D94:S94)</f>
        <v>7</v>
      </c>
      <c r="T105" s="650">
        <f>SUM('Tvorba postavy'!$D94:T94)</f>
        <v>7</v>
      </c>
      <c r="U105" s="650">
        <f>SUM('Tvorba postavy'!$D94:U94)</f>
        <v>7</v>
      </c>
      <c r="V105" s="650">
        <f>SUM('Tvorba postavy'!$D94:V94)</f>
        <v>7</v>
      </c>
      <c r="W105" s="650">
        <f>SUM('Tvorba postavy'!$D94:W94)</f>
        <v>7</v>
      </c>
      <c r="X105" s="650">
        <f>SUM('Tvorba postavy'!$D94:X94)</f>
        <v>7</v>
      </c>
      <c r="Y105" s="650">
        <f>SUM('Tvorba postavy'!$D94:Y94)</f>
        <v>7</v>
      </c>
      <c r="Z105" s="650">
        <f>SUM('Tvorba postavy'!$D94:Z94)</f>
        <v>7</v>
      </c>
      <c r="AA105" s="650">
        <f>SUM('Tvorba postavy'!$D94:AA94)</f>
        <v>7</v>
      </c>
      <c r="AB105" s="650">
        <f>SUM('Tvorba postavy'!$D94:AB94)</f>
        <v>7</v>
      </c>
      <c r="AC105" s="650">
        <f>SUM('Tvorba postavy'!$D94:AC94)</f>
        <v>7</v>
      </c>
      <c r="AD105" s="650">
        <f>SUM('Tvorba postavy'!$D94:AD94)</f>
        <v>7</v>
      </c>
      <c r="AE105" s="650">
        <f>SUM('Tvorba postavy'!$D94:AE94)</f>
        <v>7</v>
      </c>
      <c r="AF105" s="650">
        <f>SUM('Tvorba postavy'!$D94:AF94)</f>
        <v>7</v>
      </c>
      <c r="AG105" s="650">
        <f>SUM('Tvorba postavy'!$D94:AG94)</f>
        <v>7</v>
      </c>
      <c r="AN105" s="233">
        <f t="shared" si="5"/>
        <v>0</v>
      </c>
      <c r="AP105" s="233" t="s">
        <v>4296</v>
      </c>
      <c r="BN105" s="10" t="s">
        <v>5301</v>
      </c>
      <c r="BO105" s="10" t="s">
        <v>617</v>
      </c>
      <c r="BP105" s="10" t="s">
        <v>5351</v>
      </c>
      <c r="BQ105" s="10" t="s">
        <v>2821</v>
      </c>
    </row>
    <row r="106" spans="2:69" x14ac:dyDescent="0.3">
      <c r="C106" s="650" t="s">
        <v>7</v>
      </c>
      <c r="D106" s="650">
        <f>SUM('Tvorba postavy'!$D95:D95)</f>
        <v>2</v>
      </c>
      <c r="E106" s="650">
        <f>SUM('Tvorba postavy'!$D95:E95)</f>
        <v>2</v>
      </c>
      <c r="F106" s="650">
        <f>SUM('Tvorba postavy'!$D95:F95)</f>
        <v>2</v>
      </c>
      <c r="G106" s="650">
        <f>SUM('Tvorba postavy'!$D95:G95)</f>
        <v>2</v>
      </c>
      <c r="H106" s="650">
        <f>SUM('Tvorba postavy'!$D95:H95)</f>
        <v>2</v>
      </c>
      <c r="I106" s="650">
        <f>SUM('Tvorba postavy'!$D95:I95)</f>
        <v>2</v>
      </c>
      <c r="J106" s="650">
        <f>SUM('Tvorba postavy'!$D95:J95)</f>
        <v>2</v>
      </c>
      <c r="K106" s="650">
        <f>SUM('Tvorba postavy'!$D95:K95)</f>
        <v>2</v>
      </c>
      <c r="L106" s="650">
        <f>SUM('Tvorba postavy'!$D95:L95)</f>
        <v>2</v>
      </c>
      <c r="M106" s="650">
        <f>SUM('Tvorba postavy'!$D95:M95)</f>
        <v>2</v>
      </c>
      <c r="N106" s="650">
        <f>SUM('Tvorba postavy'!$D95:N95)</f>
        <v>2</v>
      </c>
      <c r="O106" s="650">
        <f>SUM('Tvorba postavy'!$D95:O95)</f>
        <v>2</v>
      </c>
      <c r="P106" s="650">
        <f>SUM('Tvorba postavy'!$D95:P95)</f>
        <v>2</v>
      </c>
      <c r="Q106" s="650">
        <f>SUM('Tvorba postavy'!$D95:Q95)</f>
        <v>2</v>
      </c>
      <c r="R106" s="650">
        <f>SUM('Tvorba postavy'!$D95:R95)</f>
        <v>2</v>
      </c>
      <c r="S106" s="650">
        <f>SUM('Tvorba postavy'!$D95:S95)</f>
        <v>2</v>
      </c>
      <c r="T106" s="650">
        <f>SUM('Tvorba postavy'!$D95:T95)</f>
        <v>2</v>
      </c>
      <c r="U106" s="650">
        <f>SUM('Tvorba postavy'!$D95:U95)</f>
        <v>2</v>
      </c>
      <c r="V106" s="650">
        <f>SUM('Tvorba postavy'!$D95:V95)</f>
        <v>2</v>
      </c>
      <c r="W106" s="650">
        <f>SUM('Tvorba postavy'!$D95:W95)</f>
        <v>2</v>
      </c>
      <c r="X106" s="650">
        <f>SUM('Tvorba postavy'!$D95:X95)</f>
        <v>2</v>
      </c>
      <c r="Y106" s="650">
        <f>SUM('Tvorba postavy'!$D95:Y95)</f>
        <v>2</v>
      </c>
      <c r="Z106" s="650">
        <f>SUM('Tvorba postavy'!$D95:Z95)</f>
        <v>2</v>
      </c>
      <c r="AA106" s="650">
        <f>SUM('Tvorba postavy'!$D95:AA95)</f>
        <v>2</v>
      </c>
      <c r="AB106" s="650">
        <f>SUM('Tvorba postavy'!$D95:AB95)</f>
        <v>2</v>
      </c>
      <c r="AC106" s="650">
        <f>SUM('Tvorba postavy'!$D95:AC95)</f>
        <v>2</v>
      </c>
      <c r="AD106" s="650">
        <f>SUM('Tvorba postavy'!$D95:AD95)</f>
        <v>2</v>
      </c>
      <c r="AE106" s="650">
        <f>SUM('Tvorba postavy'!$D95:AE95)</f>
        <v>2</v>
      </c>
      <c r="AF106" s="650">
        <f>SUM('Tvorba postavy'!$D95:AF95)</f>
        <v>2</v>
      </c>
      <c r="AG106" s="650">
        <f>SUM('Tvorba postavy'!$D95:AG95)</f>
        <v>2</v>
      </c>
      <c r="AN106" s="233">
        <f t="shared" si="5"/>
        <v>0</v>
      </c>
      <c r="AP106" s="233"/>
      <c r="BN106" s="10" t="s">
        <v>1925</v>
      </c>
      <c r="BO106" s="10" t="s">
        <v>2745</v>
      </c>
      <c r="BP106" s="10" t="s">
        <v>5352</v>
      </c>
      <c r="BQ106" s="441" t="s">
        <v>659</v>
      </c>
    </row>
    <row r="107" spans="2:69" x14ac:dyDescent="0.3">
      <c r="C107" s="650" t="s">
        <v>8</v>
      </c>
      <c r="D107" s="650">
        <f>SUM($D96:D96)</f>
        <v>1</v>
      </c>
      <c r="E107" s="650">
        <f>SUM($D96:E96)</f>
        <v>1</v>
      </c>
      <c r="F107" s="650">
        <f>SUM($D96:F96)</f>
        <v>1</v>
      </c>
      <c r="G107" s="650">
        <f>SUM($D96:G96)</f>
        <v>1</v>
      </c>
      <c r="H107" s="650">
        <f>SUM($D96:H96)</f>
        <v>1</v>
      </c>
      <c r="I107" s="650">
        <f>SUM($D96:I96)</f>
        <v>1</v>
      </c>
      <c r="J107" s="650">
        <f>SUM($D96:J96)</f>
        <v>1</v>
      </c>
      <c r="K107" s="650">
        <f>SUM($D96:K96)</f>
        <v>1</v>
      </c>
      <c r="L107" s="650">
        <f>SUM($D96:L96)</f>
        <v>1</v>
      </c>
      <c r="M107" s="650">
        <f>SUM($D96:M96)</f>
        <v>1</v>
      </c>
      <c r="N107" s="650">
        <f>SUM($D96:N96)</f>
        <v>1</v>
      </c>
      <c r="O107" s="650">
        <f>SUM($D96:O96)</f>
        <v>1</v>
      </c>
      <c r="P107" s="650">
        <f>SUM($D96:P96)</f>
        <v>1</v>
      </c>
      <c r="Q107" s="650">
        <f>SUM($D96:Q96)</f>
        <v>1</v>
      </c>
      <c r="R107" s="650">
        <f>SUM($D96:R96)</f>
        <v>1</v>
      </c>
      <c r="S107" s="650">
        <f>SUM($D96:S96)</f>
        <v>1</v>
      </c>
      <c r="T107" s="650">
        <f>SUM($D96:T96)</f>
        <v>1</v>
      </c>
      <c r="U107" s="650">
        <f>SUM($D96:U96)</f>
        <v>1</v>
      </c>
      <c r="V107" s="650">
        <f>SUM($D96:V96)</f>
        <v>1</v>
      </c>
      <c r="W107" s="650">
        <f>SUM($D96:W96)</f>
        <v>1</v>
      </c>
      <c r="X107" s="650">
        <f>SUM($D96:X96)</f>
        <v>1</v>
      </c>
      <c r="Y107" s="650">
        <f>SUM($D96:Y96)</f>
        <v>1</v>
      </c>
      <c r="Z107" s="650">
        <f>SUM($D96:Z96)</f>
        <v>1</v>
      </c>
      <c r="AA107" s="650">
        <f>SUM($D96:AA96)</f>
        <v>1</v>
      </c>
      <c r="AB107" s="650">
        <f>SUM($D96:AB96)</f>
        <v>1</v>
      </c>
      <c r="AC107" s="650">
        <f>SUM($D96:AC96)</f>
        <v>1</v>
      </c>
      <c r="AD107" s="650">
        <f>SUM($D96:AD96)</f>
        <v>1</v>
      </c>
      <c r="AE107" s="650">
        <f>SUM($D96:AE96)</f>
        <v>1</v>
      </c>
      <c r="AF107" s="650">
        <f>SUM($D96:AF96)</f>
        <v>1</v>
      </c>
      <c r="AG107" s="650">
        <f>SUM($D96:AG96)</f>
        <v>1</v>
      </c>
      <c r="AN107" s="233">
        <f t="shared" si="5"/>
        <v>0</v>
      </c>
      <c r="AP107" s="233" t="s">
        <v>3741</v>
      </c>
      <c r="BN107" s="10" t="s">
        <v>5302</v>
      </c>
      <c r="BO107" s="10" t="s">
        <v>199</v>
      </c>
      <c r="BP107" s="10" t="s">
        <v>5302</v>
      </c>
      <c r="BQ107" s="10" t="s">
        <v>199</v>
      </c>
    </row>
    <row r="108" spans="2:69" x14ac:dyDescent="0.3">
      <c r="C108" s="650" t="s">
        <v>50</v>
      </c>
      <c r="D108" s="650">
        <f>SUM($D97:D97)</f>
        <v>10</v>
      </c>
      <c r="E108" s="650">
        <f>SUM($D97:E97)</f>
        <v>12</v>
      </c>
      <c r="F108" s="650">
        <f>SUM($D97:F97)</f>
        <v>14</v>
      </c>
      <c r="G108" s="650">
        <f>SUM($D97:G97)</f>
        <v>16</v>
      </c>
      <c r="H108" s="650">
        <f>SUM($D97:H97)</f>
        <v>18</v>
      </c>
      <c r="I108" s="650">
        <f>SUM($D97:I97)</f>
        <v>20</v>
      </c>
      <c r="J108" s="650">
        <f>SUM($D97:J97)</f>
        <v>22</v>
      </c>
      <c r="K108" s="650">
        <f>SUM($D97:K97)</f>
        <v>24</v>
      </c>
      <c r="L108" s="650">
        <f>SUM($D97:L97)</f>
        <v>26</v>
      </c>
      <c r="M108" s="650">
        <f>SUM($D97:M97)</f>
        <v>28</v>
      </c>
      <c r="N108" s="650">
        <f>SUM($D97:N97)</f>
        <v>30</v>
      </c>
      <c r="O108" s="650">
        <f>SUM($D97:O97)</f>
        <v>32</v>
      </c>
      <c r="P108" s="650">
        <f>SUM($D97:P97)</f>
        <v>34</v>
      </c>
      <c r="Q108" s="650">
        <f>SUM($D97:Q97)</f>
        <v>36</v>
      </c>
      <c r="R108" s="650">
        <f>SUM($D97:R97)</f>
        <v>38</v>
      </c>
      <c r="S108" s="650">
        <f>SUM($D97:S97)</f>
        <v>40</v>
      </c>
      <c r="T108" s="650">
        <f>SUM($D97:T97)</f>
        <v>42</v>
      </c>
      <c r="U108" s="650">
        <f>SUM($D97:U97)</f>
        <v>44</v>
      </c>
      <c r="V108" s="650">
        <f>SUM($D97:V97)</f>
        <v>46</v>
      </c>
      <c r="W108" s="650">
        <f>SUM($D97:W97)</f>
        <v>48</v>
      </c>
      <c r="X108" s="650">
        <f>SUM($D97:X97)</f>
        <v>50</v>
      </c>
      <c r="Y108" s="650">
        <f>SUM($D97:Y97)</f>
        <v>52</v>
      </c>
      <c r="Z108" s="650">
        <f>SUM($D97:Z97)</f>
        <v>54</v>
      </c>
      <c r="AA108" s="650">
        <f>SUM($D97:AA97)</f>
        <v>56</v>
      </c>
      <c r="AB108" s="650">
        <f>SUM($D97:AB97)</f>
        <v>58</v>
      </c>
      <c r="AC108" s="650">
        <f>SUM($D97:AC97)</f>
        <v>60</v>
      </c>
      <c r="AD108" s="650">
        <f>SUM($D97:AD97)</f>
        <v>62</v>
      </c>
      <c r="AE108" s="650">
        <f>SUM($D97:AE97)</f>
        <v>64</v>
      </c>
      <c r="AF108" s="650">
        <f>SUM($D97:AF97)</f>
        <v>66</v>
      </c>
      <c r="AG108" s="650">
        <f>SUM($D97:AG97)</f>
        <v>68</v>
      </c>
      <c r="AN108" s="233">
        <f t="shared" si="5"/>
        <v>0</v>
      </c>
      <c r="AP108" s="233" t="s">
        <v>1026</v>
      </c>
      <c r="BN108" s="10"/>
      <c r="BO108" s="10"/>
      <c r="BP108" s="10"/>
      <c r="BQ108" s="10"/>
    </row>
    <row r="109" spans="2:69" x14ac:dyDescent="0.3">
      <c r="AN109" s="233">
        <f t="shared" si="5"/>
        <v>0</v>
      </c>
      <c r="AP109" s="233" t="s">
        <v>4708</v>
      </c>
      <c r="BN109" s="10"/>
      <c r="BO109" s="10"/>
      <c r="BP109" s="10"/>
      <c r="BQ109" s="10"/>
    </row>
    <row r="110" spans="2:69" x14ac:dyDescent="0.3">
      <c r="B110" s="1" t="s">
        <v>3637</v>
      </c>
      <c r="AN110" s="233">
        <f t="shared" si="5"/>
        <v>0</v>
      </c>
      <c r="AP110" s="233" t="s">
        <v>1008</v>
      </c>
      <c r="BN110" s="10"/>
      <c r="BO110" s="10"/>
      <c r="BP110" s="10"/>
      <c r="BQ110" s="10"/>
    </row>
    <row r="111" spans="2:69" x14ac:dyDescent="0.3">
      <c r="C111" s="57" t="s">
        <v>3638</v>
      </c>
      <c r="AN111" s="233">
        <f t="shared" si="5"/>
        <v>0</v>
      </c>
      <c r="AP111" s="233" t="s">
        <v>204</v>
      </c>
      <c r="BN111" s="10"/>
      <c r="BO111" s="10"/>
      <c r="BP111" s="10"/>
      <c r="BQ111" s="10"/>
    </row>
    <row r="112" spans="2:69" x14ac:dyDescent="0.3">
      <c r="C112" t="s">
        <v>3639</v>
      </c>
      <c r="AN112" s="233">
        <f t="shared" si="5"/>
        <v>0</v>
      </c>
      <c r="AP112" s="233" t="s">
        <v>1043</v>
      </c>
      <c r="BN112" s="10"/>
      <c r="BO112" s="10"/>
      <c r="BP112" s="10"/>
      <c r="BQ112" s="10"/>
    </row>
    <row r="113" spans="40:69" x14ac:dyDescent="0.3">
      <c r="AN113" s="233">
        <f t="shared" si="5"/>
        <v>0</v>
      </c>
      <c r="AP113" s="233" t="s">
        <v>1035</v>
      </c>
      <c r="BN113" s="10"/>
      <c r="BO113" s="10"/>
      <c r="BP113" s="10"/>
      <c r="BQ113" s="10"/>
    </row>
    <row r="114" spans="40:69" x14ac:dyDescent="0.3">
      <c r="AN114" s="233">
        <f t="shared" si="5"/>
        <v>0</v>
      </c>
      <c r="AP114" s="233" t="s">
        <v>1034</v>
      </c>
      <c r="BN114" s="10"/>
      <c r="BO114" s="10"/>
      <c r="BP114" s="10"/>
      <c r="BQ114" s="10"/>
    </row>
    <row r="115" spans="40:69" x14ac:dyDescent="0.3">
      <c r="AN115" s="233">
        <f t="shared" si="5"/>
        <v>0</v>
      </c>
      <c r="AP115" s="233" t="s">
        <v>4941</v>
      </c>
      <c r="BN115" s="10"/>
      <c r="BO115" s="10"/>
      <c r="BP115" s="10"/>
      <c r="BQ115" s="10"/>
    </row>
    <row r="116" spans="40:69" x14ac:dyDescent="0.3">
      <c r="AN116" s="233">
        <f t="shared" si="5"/>
        <v>0</v>
      </c>
      <c r="AP116" s="233" t="s">
        <v>4942</v>
      </c>
      <c r="BN116" s="10"/>
      <c r="BO116" s="10"/>
      <c r="BP116" s="10"/>
      <c r="BQ116" s="10"/>
    </row>
    <row r="117" spans="40:69" x14ac:dyDescent="0.3">
      <c r="AN117" s="233">
        <f t="shared" si="5"/>
        <v>0</v>
      </c>
      <c r="AP117" s="233" t="s">
        <v>3747</v>
      </c>
      <c r="BN117" s="10"/>
      <c r="BO117" s="10"/>
      <c r="BP117" s="10"/>
      <c r="BQ117" s="10"/>
    </row>
    <row r="118" spans="40:69" x14ac:dyDescent="0.3">
      <c r="AN118" s="233">
        <f t="shared" si="5"/>
        <v>0</v>
      </c>
      <c r="AP118" s="233" t="s">
        <v>4709</v>
      </c>
      <c r="BN118" s="10"/>
      <c r="BO118" s="10"/>
      <c r="BP118" s="10"/>
      <c r="BQ118" s="10"/>
    </row>
    <row r="119" spans="40:69" x14ac:dyDescent="0.3">
      <c r="AN119" s="233">
        <f t="shared" si="5"/>
        <v>0</v>
      </c>
      <c r="AP119" s="233" t="s">
        <v>1009</v>
      </c>
      <c r="BN119" s="10"/>
      <c r="BO119" s="10"/>
      <c r="BP119" s="10"/>
      <c r="BQ119" s="10"/>
    </row>
    <row r="120" spans="40:69" x14ac:dyDescent="0.3">
      <c r="AN120" s="233">
        <f t="shared" si="5"/>
        <v>0</v>
      </c>
      <c r="AP120" s="233" t="s">
        <v>231</v>
      </c>
      <c r="BN120" s="10"/>
      <c r="BO120" s="10"/>
      <c r="BP120" s="10"/>
      <c r="BQ120" s="10"/>
    </row>
    <row r="121" spans="40:69" x14ac:dyDescent="0.3">
      <c r="AN121" s="233">
        <f t="shared" si="5"/>
        <v>0</v>
      </c>
      <c r="AP121" s="233" t="s">
        <v>3751</v>
      </c>
      <c r="BN121" s="10"/>
      <c r="BO121" s="10"/>
      <c r="BP121" s="10"/>
      <c r="BQ121" s="10"/>
    </row>
    <row r="122" spans="40:69" x14ac:dyDescent="0.3">
      <c r="AN122" s="233">
        <f t="shared" si="5"/>
        <v>0</v>
      </c>
      <c r="AP122" s="233" t="s">
        <v>1049</v>
      </c>
      <c r="BN122" s="10"/>
      <c r="BO122" s="10"/>
      <c r="BP122" s="10"/>
      <c r="BQ122" s="10"/>
    </row>
    <row r="123" spans="40:69" x14ac:dyDescent="0.3">
      <c r="AN123" s="233">
        <f t="shared" si="5"/>
        <v>0</v>
      </c>
      <c r="AP123" s="233" t="s">
        <v>1050</v>
      </c>
      <c r="BN123" s="10"/>
      <c r="BO123" s="10"/>
      <c r="BP123" s="10"/>
      <c r="BQ123" s="10"/>
    </row>
    <row r="124" spans="40:69" x14ac:dyDescent="0.3">
      <c r="AN124" s="233">
        <f t="shared" si="5"/>
        <v>0</v>
      </c>
      <c r="AP124" s="233" t="s">
        <v>5018</v>
      </c>
      <c r="BN124" s="10"/>
      <c r="BO124" s="10"/>
      <c r="BP124" s="10"/>
      <c r="BQ124" s="10"/>
    </row>
    <row r="125" spans="40:69" x14ac:dyDescent="0.3">
      <c r="AN125" s="233">
        <f t="shared" si="5"/>
        <v>0</v>
      </c>
      <c r="AP125" s="233" t="s">
        <v>5019</v>
      </c>
      <c r="BN125" s="10"/>
      <c r="BO125" s="10"/>
      <c r="BP125" s="10"/>
      <c r="BQ125" s="10"/>
    </row>
    <row r="126" spans="40:69" x14ac:dyDescent="0.3">
      <c r="BN126" s="10"/>
      <c r="BO126" s="10"/>
      <c r="BP126" s="10"/>
      <c r="BQ126" s="10"/>
    </row>
    <row r="127" spans="40:69" x14ac:dyDescent="0.3">
      <c r="BN127" s="10"/>
      <c r="BO127" s="10"/>
      <c r="BP127" s="10"/>
      <c r="BQ127" s="10"/>
    </row>
    <row r="128" spans="40:69" x14ac:dyDescent="0.3">
      <c r="BN128" s="10"/>
      <c r="BO128" s="10"/>
      <c r="BP128" s="10"/>
      <c r="BQ128" s="10"/>
    </row>
    <row r="129" spans="66:69" x14ac:dyDescent="0.3">
      <c r="BN129" s="10"/>
      <c r="BO129" s="10"/>
      <c r="BP129" s="10"/>
      <c r="BQ129" s="10"/>
    </row>
    <row r="130" spans="66:69" x14ac:dyDescent="0.3">
      <c r="BN130" s="10"/>
      <c r="BO130" s="10"/>
      <c r="BP130" s="10"/>
      <c r="BQ130" s="10"/>
    </row>
  </sheetData>
  <sortState ref="AU7:AU63">
    <sortCondition ref="AU63"/>
  </sortState>
  <mergeCells count="34">
    <mergeCell ref="AF84:AJ84"/>
    <mergeCell ref="F80:G80"/>
    <mergeCell ref="J73:L73"/>
    <mergeCell ref="F24:J24"/>
    <mergeCell ref="E68:I68"/>
    <mergeCell ref="E67:I67"/>
    <mergeCell ref="E66:I66"/>
    <mergeCell ref="J72:L72"/>
    <mergeCell ref="F28:L28"/>
    <mergeCell ref="F29:L29"/>
    <mergeCell ref="J74:L74"/>
    <mergeCell ref="J75:L75"/>
    <mergeCell ref="F32:N32"/>
    <mergeCell ref="F33:N33"/>
    <mergeCell ref="I3:L3"/>
    <mergeCell ref="F86:G86"/>
    <mergeCell ref="V81:W81"/>
    <mergeCell ref="T81:U81"/>
    <mergeCell ref="F81:G81"/>
    <mergeCell ref="R86:S86"/>
    <mergeCell ref="F82:G82"/>
    <mergeCell ref="F83:G83"/>
    <mergeCell ref="F84:G84"/>
    <mergeCell ref="R85:S85"/>
    <mergeCell ref="F85:G85"/>
    <mergeCell ref="R82:S82"/>
    <mergeCell ref="R83:S83"/>
    <mergeCell ref="R84:S84"/>
    <mergeCell ref="AU4:AX4"/>
    <mergeCell ref="R80:S80"/>
    <mergeCell ref="R81:S81"/>
    <mergeCell ref="AF82:AJ82"/>
    <mergeCell ref="AF83:AJ83"/>
    <mergeCell ref="AN4:AS4"/>
  </mergeCells>
  <conditionalFormatting sqref="R36:R37">
    <cfRule type="expression" dxfId="483" priority="40">
      <formula>$D$35=A36</formula>
    </cfRule>
  </conditionalFormatting>
  <conditionalFormatting sqref="R40:R46">
    <cfRule type="expression" dxfId="482" priority="39">
      <formula>OR($D$39=A40,$E$39=A40)</formula>
    </cfRule>
  </conditionalFormatting>
  <conditionalFormatting sqref="D27 D31 D35 D39 D48 F24 C3 I3:L3 C5 D6 D15:D20 D65:D67">
    <cfRule type="cellIs" dxfId="481" priority="38" operator="equal">
      <formula>0</formula>
    </cfRule>
  </conditionalFormatting>
  <conditionalFormatting sqref="R49:R52">
    <cfRule type="expression" dxfId="480" priority="37">
      <formula>$D$48=A49</formula>
    </cfRule>
  </conditionalFormatting>
  <conditionalFormatting sqref="R55:R61">
    <cfRule type="expression" dxfId="479" priority="33">
      <formula>OR($D$54=A55,$D$55=A55,$E$54=A55,$E$55=A55)</formula>
    </cfRule>
  </conditionalFormatting>
  <conditionalFormatting sqref="E15:E20">
    <cfRule type="expression" dxfId="478" priority="31">
      <formula>$B15="1k6"</formula>
    </cfRule>
  </conditionalFormatting>
  <conditionalFormatting sqref="J73:N73">
    <cfRule type="expression" dxfId="477" priority="28">
      <formula>$J$73=$F$24</formula>
    </cfRule>
  </conditionalFormatting>
  <conditionalFormatting sqref="D77">
    <cfRule type="cellIs" dxfId="476" priority="25" operator="greaterThan">
      <formula>$E$77</formula>
    </cfRule>
    <cfRule type="cellIs" dxfId="475" priority="26" operator="equal">
      <formula>$E$77</formula>
    </cfRule>
  </conditionalFormatting>
  <conditionalFormatting sqref="D71:D76">
    <cfRule type="cellIs" dxfId="474" priority="24" operator="greaterThan">
      <formula>2</formula>
    </cfRule>
  </conditionalFormatting>
  <conditionalFormatting sqref="F89:AG89">
    <cfRule type="cellIs" dxfId="473" priority="19" operator="equal">
      <formula>"D"</formula>
    </cfRule>
  </conditionalFormatting>
  <conditionalFormatting sqref="E91:AG96">
    <cfRule type="notContainsBlanks" dxfId="472" priority="23">
      <formula>LEN(TRIM(E91))&gt;0</formula>
    </cfRule>
  </conditionalFormatting>
  <conditionalFormatting sqref="C81:C86">
    <cfRule type="expression" dxfId="471" priority="22">
      <formula>$B81="H"</formula>
    </cfRule>
  </conditionalFormatting>
  <conditionalFormatting sqref="E94:AG94">
    <cfRule type="expression" dxfId="470" priority="57">
      <formula>$AP$10="A"</formula>
    </cfRule>
  </conditionalFormatting>
  <conditionalFormatting sqref="C7 D8 D10 E39 D54:E55 D71:D76">
    <cfRule type="cellIs" dxfId="469" priority="12" operator="equal">
      <formula>0</formula>
    </cfRule>
  </conditionalFormatting>
  <conditionalFormatting sqref="R36:R37 R55:R61 R49:R52 R40:R46 R31:R33">
    <cfRule type="cellIs" dxfId="468" priority="8" operator="notEqual">
      <formula>0</formula>
    </cfRule>
  </conditionalFormatting>
  <conditionalFormatting sqref="F28:L29 F32:N33 D54:E55">
    <cfRule type="cellIs" dxfId="467" priority="7" operator="equal">
      <formula>" -"</formula>
    </cfRule>
  </conditionalFormatting>
  <conditionalFormatting sqref="E66:I66">
    <cfRule type="expression" dxfId="466" priority="4">
      <formula>D66&gt;D65+1</formula>
    </cfRule>
  </conditionalFormatting>
  <conditionalFormatting sqref="E67:I67">
    <cfRule type="expression" dxfId="465" priority="3">
      <formula>D67&gt;D65+1</formula>
    </cfRule>
  </conditionalFormatting>
  <conditionalFormatting sqref="E68:I68">
    <cfRule type="expression" dxfId="464" priority="2">
      <formula>D68&lt;&gt;D64</formula>
    </cfRule>
  </conditionalFormatting>
  <conditionalFormatting sqref="J74:N74">
    <cfRule type="expression" dxfId="463" priority="71">
      <formula>$J$74=$F$24</formula>
    </cfRule>
  </conditionalFormatting>
  <conditionalFormatting sqref="J75:N75">
    <cfRule type="expression" dxfId="462" priority="84">
      <formula>$J$75=$F$24</formula>
    </cfRule>
  </conditionalFormatting>
  <conditionalFormatting sqref="E95:AG95">
    <cfRule type="expression" dxfId="461" priority="2824">
      <formula>OR($AP$7="A",$AP$9="A",$AP$10="A")</formula>
    </cfRule>
  </conditionalFormatting>
  <conditionalFormatting sqref="E98:AG98">
    <cfRule type="notContainsBlanks" dxfId="460" priority="1">
      <formula>LEN(TRIM(E98))&gt;0</formula>
    </cfRule>
  </conditionalFormatting>
  <dataValidations count="20">
    <dataValidation type="list" allowBlank="1" showInputMessage="1" showErrorMessage="1" sqref="AL1">
      <formula1>$BG$2:$BG$3</formula1>
    </dataValidation>
    <dataValidation type="list" allowBlank="1" showInputMessage="1" showErrorMessage="1" sqref="D8 D6">
      <formula1>$AY$6:$AY$35</formula1>
    </dataValidation>
    <dataValidation type="whole" allowBlank="1" showInputMessage="1" showErrorMessage="1" sqref="D10">
      <formula1>0</formula1>
      <formula2>2000</formula2>
    </dataValidation>
    <dataValidation type="list" allowBlank="1" showInputMessage="1" showErrorMessage="1" sqref="C3">
      <formula1>Rasy</formula1>
    </dataValidation>
    <dataValidation type="list" allowBlank="1" showInputMessage="1" showErrorMessage="1" sqref="D35">
      <formula1>$A$36:$A$37</formula1>
    </dataValidation>
    <dataValidation type="list" allowBlank="1" showInputMessage="1" showErrorMessage="1" sqref="D39:E39">
      <formula1>$A$40:$A$46</formula1>
    </dataValidation>
    <dataValidation type="list" allowBlank="1" showInputMessage="1" showErrorMessage="1" sqref="D48">
      <formula1>$A$49:$A$52</formula1>
    </dataValidation>
    <dataValidation type="list" allowBlank="1" showInputMessage="1" showErrorMessage="1" sqref="D54:E55">
      <formula1>$A$55:$A$61</formula1>
    </dataValidation>
    <dataValidation type="whole" allowBlank="1" showInputMessage="1" showErrorMessage="1" sqref="E20 D71:D76">
      <formula1>1</formula1>
      <formula2>6</formula2>
    </dataValidation>
    <dataValidation type="list" allowBlank="1" showInputMessage="1" showErrorMessage="1" sqref="D67">
      <formula1>$BK$12:$BK$21</formula1>
      <formula2>0</formula2>
    </dataValidation>
    <dataValidation type="list" allowBlank="1" showInputMessage="1" showErrorMessage="1" sqref="D66">
      <formula1>$BH$12:$BH$21</formula1>
      <formula2>0</formula2>
    </dataValidation>
    <dataValidation type="list" allowBlank="1" showInputMessage="1" showErrorMessage="1" sqref="D65">
      <formula1>$BA$12:$BA$16</formula1>
    </dataValidation>
    <dataValidation type="list" allowBlank="1" showInputMessage="1" showErrorMessage="1" sqref="F89:AG89">
      <formula1>$AK$83:$AK$84</formula1>
    </dataValidation>
    <dataValidation type="whole" allowBlank="1" showInputMessage="1" showErrorMessage="1" error="Celé číslo od 1 do 6!" sqref="D15:D20">
      <formula1>1</formula1>
      <formula2>6</formula2>
    </dataValidation>
    <dataValidation type="list" allowBlank="1" showInputMessage="1" showErrorMessage="1" sqref="C30">
      <formula1>$AZ$6:$AZ$8</formula1>
    </dataValidation>
    <dataValidation type="list" allowBlank="1" showInputMessage="1" showErrorMessage="1" sqref="I3">
      <formula1>$AQ$6:$AQ$96</formula1>
    </dataValidation>
    <dataValidation type="list" allowBlank="1" showInputMessage="1" showErrorMessage="1" sqref="F24:J24">
      <formula1>$J$73:$J$75</formula1>
    </dataValidation>
    <dataValidation type="list" allowBlank="1" showInputMessage="1" showErrorMessage="1" sqref="F32:F33">
      <formula1>$BQ$6:$BQ$107</formula1>
    </dataValidation>
    <dataValidation type="list" allowBlank="1" showInputMessage="1" showErrorMessage="1" sqref="F28:F29">
      <formula1>$BO$6:$BO$130</formula1>
    </dataValidation>
    <dataValidation type="list" allowBlank="1" showInputMessage="1" showErrorMessage="1" sqref="C5 C7">
      <formula1>$AU$6:$AU$70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10" r:id="rId4" name="CommandButton1">
          <controlPr defaultSize="0" autoLine="0" r:id="rId5">
            <anchor moveWithCells="1">
              <from>
                <xdr:col>6</xdr:col>
                <xdr:colOff>236220</xdr:colOff>
                <xdr:row>10</xdr:row>
                <xdr:rowOff>45720</xdr:rowOff>
              </from>
              <to>
                <xdr:col>14</xdr:col>
                <xdr:colOff>243840</xdr:colOff>
                <xdr:row>11</xdr:row>
                <xdr:rowOff>175260</xdr:rowOff>
              </to>
            </anchor>
          </controlPr>
        </control>
      </mc:Choice>
      <mc:Fallback>
        <control shapeId="821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>
    <tabColor theme="4" tint="-0.499984740745262"/>
  </sheetPr>
  <dimension ref="A1:V176"/>
  <sheetViews>
    <sheetView topLeftCell="A52" workbookViewId="0">
      <selection activeCell="L70" sqref="L70:L77"/>
    </sheetView>
  </sheetViews>
  <sheetFormatPr defaultRowHeight="14.4" x14ac:dyDescent="0.3"/>
  <cols>
    <col min="1" max="1" width="30" customWidth="1"/>
    <col min="2" max="2" width="12" customWidth="1"/>
    <col min="3" max="3" width="9.88671875" customWidth="1"/>
    <col min="4" max="4" width="6.88671875" customWidth="1"/>
    <col min="5" max="6" width="3.109375" customWidth="1"/>
    <col min="7" max="7" width="2.6640625" customWidth="1"/>
    <col min="8" max="8" width="3.109375" customWidth="1"/>
    <col min="9" max="9" width="3.5546875" customWidth="1"/>
    <col min="10" max="10" width="3.6640625" customWidth="1"/>
    <col min="11" max="11" width="26.5546875" bestFit="1" customWidth="1"/>
    <col min="14" max="14" width="8.33203125" bestFit="1" customWidth="1"/>
    <col min="16" max="16" width="23" customWidth="1"/>
    <col min="20" max="20" width="29.6640625" customWidth="1"/>
  </cols>
  <sheetData>
    <row r="1" spans="1:22" ht="21" x14ac:dyDescent="0.4">
      <c r="A1" s="201" t="s">
        <v>1245</v>
      </c>
      <c r="M1" s="190" t="s">
        <v>1265</v>
      </c>
      <c r="N1" s="190" t="s">
        <v>1264</v>
      </c>
    </row>
    <row r="2" spans="1:22" x14ac:dyDescent="0.3">
      <c r="A2" s="4" t="s">
        <v>1247</v>
      </c>
      <c r="B2" s="751" t="str">
        <f>COPY_Handlířství</f>
        <v>Průměrně</v>
      </c>
      <c r="M2" s="390" t="s">
        <v>1241</v>
      </c>
      <c r="N2" s="390" t="s">
        <v>1282</v>
      </c>
    </row>
    <row r="3" spans="1:22" x14ac:dyDescent="0.3">
      <c r="A3" s="4" t="s">
        <v>1254</v>
      </c>
      <c r="B3" s="738" t="str">
        <f>'2-Vzhled a charakter'!P16</f>
        <v>B</v>
      </c>
      <c r="C3" t="s">
        <v>1255</v>
      </c>
      <c r="M3" s="390" t="s">
        <v>1242</v>
      </c>
      <c r="N3" s="390" t="s">
        <v>93</v>
      </c>
    </row>
    <row r="4" spans="1:22" x14ac:dyDescent="0.3">
      <c r="N4" s="390" t="s">
        <v>94</v>
      </c>
    </row>
    <row r="5" spans="1:22" ht="21" x14ac:dyDescent="0.4">
      <c r="A5" s="388" t="s">
        <v>1246</v>
      </c>
      <c r="B5" s="750" t="s">
        <v>1241</v>
      </c>
      <c r="N5" s="390" t="s">
        <v>95</v>
      </c>
    </row>
    <row r="6" spans="1:22" x14ac:dyDescent="0.3">
      <c r="N6" s="390" t="s">
        <v>96</v>
      </c>
    </row>
    <row r="7" spans="1:22" ht="15.6" x14ac:dyDescent="0.3">
      <c r="A7" s="4" t="s">
        <v>1308</v>
      </c>
      <c r="B7" s="752" t="e">
        <f>SUM(C11:C159,M12:M141,R12:R113,V12:V89)</f>
        <v>#N/A</v>
      </c>
      <c r="C7" s="363" t="s">
        <v>1248</v>
      </c>
      <c r="D7" s="751" t="e">
        <f>FLOOR(B7/10,1)</f>
        <v>#N/A</v>
      </c>
      <c r="E7" t="s">
        <v>1249</v>
      </c>
      <c r="F7" s="751" t="e">
        <f>TRUNC(B7-10*D7,0)</f>
        <v>#N/A</v>
      </c>
      <c r="G7" t="s">
        <v>1250</v>
      </c>
      <c r="H7" s="751" t="e">
        <f>ROUND((B7-D7*10-F7)*10,0)</f>
        <v>#N/A</v>
      </c>
      <c r="I7" t="s">
        <v>1251</v>
      </c>
      <c r="N7" s="390" t="s">
        <v>97</v>
      </c>
    </row>
    <row r="8" spans="1:22" x14ac:dyDescent="0.3">
      <c r="B8" t="s">
        <v>4898</v>
      </c>
    </row>
    <row r="10" spans="1:22" x14ac:dyDescent="0.3">
      <c r="A10" s="389" t="s">
        <v>680</v>
      </c>
      <c r="B10" s="389" t="s">
        <v>1252</v>
      </c>
      <c r="C10" s="389" t="s">
        <v>1253</v>
      </c>
      <c r="K10" s="389" t="s">
        <v>680</v>
      </c>
      <c r="L10" s="389" t="s">
        <v>1252</v>
      </c>
      <c r="M10" s="389" t="s">
        <v>1253</v>
      </c>
      <c r="P10" s="389" t="s">
        <v>680</v>
      </c>
      <c r="Q10" s="389" t="s">
        <v>1252</v>
      </c>
      <c r="R10" s="389" t="s">
        <v>1253</v>
      </c>
      <c r="T10" s="389" t="s">
        <v>680</v>
      </c>
      <c r="U10" s="389" t="s">
        <v>1252</v>
      </c>
      <c r="V10" s="389" t="s">
        <v>1253</v>
      </c>
    </row>
    <row r="11" spans="1:22" ht="12.9" customHeight="1" x14ac:dyDescent="0.3">
      <c r="A11" s="247" t="s">
        <v>4582</v>
      </c>
      <c r="B11" s="247"/>
      <c r="C11" s="247"/>
      <c r="K11" s="247" t="s">
        <v>3852</v>
      </c>
      <c r="L11" t="s">
        <v>1283</v>
      </c>
      <c r="N11" s="719" t="s">
        <v>1282</v>
      </c>
      <c r="P11" s="247" t="s">
        <v>3790</v>
      </c>
      <c r="T11" s="247" t="s">
        <v>4589</v>
      </c>
      <c r="U11" s="247"/>
      <c r="V11" s="247"/>
    </row>
    <row r="12" spans="1:22" ht="12.9" customHeight="1" x14ac:dyDescent="0.3">
      <c r="A12" s="157" t="s">
        <v>3800</v>
      </c>
      <c r="B12" s="157"/>
      <c r="C12" s="392">
        <f>HLOOKUP(Věci!$E$2,Věci!$A$2:$F$529,MATCH(A12,Věci!$A$2:$A$529,0),FALSE)*HLOOKUP($B$5,Věci!$R$2:$T$10,MATCH($B$2,Věci!$R$2:$R$10,0),FALSE)*B12</f>
        <v>0</v>
      </c>
      <c r="K12" s="157" t="s">
        <v>3866</v>
      </c>
      <c r="L12" s="157"/>
      <c r="M12" s="392">
        <f>HLOOKUP(Věci!$E$2,Věci!$A$2:$F$529,MATCH(K12,Věci!$A$2:$A$529,0),FALSE)*HLOOKUP($B$5,Věci!$R$2:$T$10,MATCH($B$2,Věci!$R$2:$R$10,0),FALSE)*L12*HLOOKUP(Věci!$Y$2,Věci!$W$2:$Y$7,MATCH(IF($N$11="Sebe",$B$3,$N$11),Věci!$W$2:$W$7,0),FALSE)</f>
        <v>0</v>
      </c>
      <c r="P12" s="157" t="s">
        <v>3184</v>
      </c>
      <c r="Q12" s="157"/>
      <c r="R12" s="392">
        <f>HLOOKUP(Věci!$E$2,Věci!$A$2:$F$529,MATCH(P12,Věci!$A$2:$A$529,0),FALSE)*HLOOKUP($B$5,Věci!$R$2:$T$10,MATCH($B$2,Věci!$R$2:$R$10,0),FALSE)*Q12</f>
        <v>0</v>
      </c>
      <c r="T12" s="157" t="s">
        <v>4569</v>
      </c>
      <c r="U12" s="157"/>
      <c r="V12" s="392">
        <f>HLOOKUP(Věci!$E$2,Věci!$A$2:$F$529,MATCH(T12,Věci!$A$2:$A$529,0),FALSE)*HLOOKUP($B$5,Věci!$R$2:$T$10,MATCH($B$2,Věci!$R$2:$R$10,0),FALSE)*U12</f>
        <v>0</v>
      </c>
    </row>
    <row r="13" spans="1:22" ht="12.9" customHeight="1" x14ac:dyDescent="0.3">
      <c r="A13" s="157" t="s">
        <v>3801</v>
      </c>
      <c r="B13" s="157"/>
      <c r="C13" s="392">
        <f>HLOOKUP(Věci!$E$2,Věci!$A$2:$F$529,MATCH(A13,Věci!$A$2:$A$529,0),FALSE)*HLOOKUP($B$5,Věci!$R$2:$T$10,MATCH($B$2,Věci!$R$2:$R$10,0),FALSE)*B13</f>
        <v>0</v>
      </c>
      <c r="K13" s="157" t="s">
        <v>3858</v>
      </c>
      <c r="L13" s="157"/>
      <c r="M13" s="392">
        <f>HLOOKUP(Věci!$E$2,Věci!$A$2:$F$529,MATCH(K13,Věci!$A$2:$A$529,0),FALSE)*HLOOKUP($B$5,Věci!$R$2:$T$10,MATCH($B$2,Věci!$R$2:$R$10,0),FALSE)*L13*HLOOKUP(Věci!$Y$2,Věci!$W$2:$Y$7,MATCH(IF($N$11="Sebe",$B$3,$N$11),Věci!$W$2:$W$7,0),FALSE)</f>
        <v>0</v>
      </c>
      <c r="P13" s="157" t="s">
        <v>3907</v>
      </c>
      <c r="Q13" s="157"/>
      <c r="R13" s="392">
        <f>HLOOKUP(Věci!$E$2,Věci!$A$2:$F$529,MATCH(P13,Věci!$A$2:$A$529,0),FALSE)*HLOOKUP($B$5,Věci!$R$2:$T$10,MATCH($B$2,Věci!$R$2:$R$10,0),FALSE)*Q13</f>
        <v>0</v>
      </c>
      <c r="T13" s="157" t="s">
        <v>4574</v>
      </c>
      <c r="U13" s="157"/>
      <c r="V13" s="392">
        <f>HLOOKUP(Věci!$E$2,Věci!$A$2:$F$529,MATCH(T13,Věci!$A$2:$A$529,0),FALSE)*HLOOKUP($B$5,Věci!$R$2:$T$10,MATCH($B$2,Věci!$R$2:$R$10,0),FALSE)*U13</f>
        <v>0</v>
      </c>
    </row>
    <row r="14" spans="1:22" ht="12.9" customHeight="1" x14ac:dyDescent="0.3">
      <c r="A14" s="157" t="s">
        <v>3802</v>
      </c>
      <c r="B14" s="157"/>
      <c r="C14" s="392">
        <f>HLOOKUP(Věci!$E$2,Věci!$A$2:$F$529,MATCH(A14,Věci!$A$2:$A$529,0),FALSE)*HLOOKUP($B$5,Věci!$R$2:$T$10,MATCH($B$2,Věci!$R$2:$R$10,0),FALSE)*B14</f>
        <v>0</v>
      </c>
      <c r="K14" s="157" t="s">
        <v>3869</v>
      </c>
      <c r="L14" s="157"/>
      <c r="M14" s="392">
        <f>HLOOKUP(Věci!$E$2,Věci!$A$2:$F$529,MATCH(K14,Věci!$A$2:$A$529,0),FALSE)*HLOOKUP($B$5,Věci!$R$2:$T$10,MATCH($B$2,Věci!$R$2:$R$10,0),FALSE)*L14*HLOOKUP(Věci!$Y$2,Věci!$W$2:$Y$7,MATCH(IF($N$11="Sebe",$B$3,$N$11),Věci!$W$2:$W$7,0),FALSE)</f>
        <v>0</v>
      </c>
      <c r="P14" s="157" t="s">
        <v>969</v>
      </c>
      <c r="Q14" s="157"/>
      <c r="R14" s="392">
        <f>HLOOKUP(Věci!$E$2,Věci!$A$2:$F$529,MATCH(P14,Věci!$A$2:$A$529,0),FALSE)*HLOOKUP($B$5,Věci!$R$2:$T$10,MATCH($B$2,Věci!$R$2:$R$10,0),FALSE)*Q14</f>
        <v>0</v>
      </c>
      <c r="T14" s="157" t="s">
        <v>434</v>
      </c>
      <c r="U14" s="157"/>
      <c r="V14" s="392">
        <f>HLOOKUP(Věci!$E$2,Věci!$A$2:$F$529,MATCH(T14,Věci!$A$2:$A$529,0),FALSE)*HLOOKUP($B$5,Věci!$R$2:$T$10,MATCH($B$2,Věci!$R$2:$R$10,0),FALSE)*U14</f>
        <v>0</v>
      </c>
    </row>
    <row r="15" spans="1:22" ht="12.9" customHeight="1" x14ac:dyDescent="0.3">
      <c r="A15" s="157" t="s">
        <v>3803</v>
      </c>
      <c r="B15" s="157"/>
      <c r="C15" s="392">
        <f>HLOOKUP(Věci!$E$2,Věci!$A$2:$F$529,MATCH(A15,Věci!$A$2:$A$529,0),FALSE)*HLOOKUP($B$5,Věci!$R$2:$T$10,MATCH($B$2,Věci!$R$2:$R$10,0),FALSE)*B15</f>
        <v>0</v>
      </c>
      <c r="K15" s="157" t="s">
        <v>3861</v>
      </c>
      <c r="L15" s="157"/>
      <c r="M15" s="392">
        <f>HLOOKUP(Věci!$E$2,Věci!$A$2:$F$529,MATCH(K15,Věci!$A$2:$A$529,0),FALSE)*HLOOKUP($B$5,Věci!$R$2:$T$10,MATCH($B$2,Věci!$R$2:$R$10,0),FALSE)*L15*HLOOKUP(Věci!$Y$2,Věci!$W$2:$Y$7,MATCH(IF($N$11="Sebe",$B$3,$N$11),Věci!$W$2:$W$7,0),FALSE)</f>
        <v>0</v>
      </c>
      <c r="P15" s="157" t="s">
        <v>966</v>
      </c>
      <c r="Q15" s="157"/>
      <c r="R15" s="392">
        <f>HLOOKUP(Věci!$E$2,Věci!$A$2:$F$529,MATCH(P15,Věci!$A$2:$A$529,0),FALSE)*HLOOKUP($B$5,Věci!$R$2:$T$10,MATCH($B$2,Věci!$R$2:$R$10,0),FALSE)*Q15</f>
        <v>0</v>
      </c>
      <c r="T15" s="157" t="s">
        <v>432</v>
      </c>
      <c r="U15" s="157"/>
      <c r="V15" s="392">
        <f>HLOOKUP(Věci!$E$2,Věci!$A$2:$F$529,MATCH(T15,Věci!$A$2:$A$529,0),FALSE)*HLOOKUP($B$5,Věci!$R$2:$T$10,MATCH($B$2,Věci!$R$2:$R$10,0),FALSE)*U15</f>
        <v>0</v>
      </c>
    </row>
    <row r="16" spans="1:22" ht="12.9" customHeight="1" x14ac:dyDescent="0.3">
      <c r="A16" s="157" t="s">
        <v>3804</v>
      </c>
      <c r="B16" s="157"/>
      <c r="C16" s="392">
        <f>HLOOKUP(Věci!$E$2,Věci!$A$2:$F$529,MATCH(A16,Věci!$A$2:$A$529,0),FALSE)*HLOOKUP($B$5,Věci!$R$2:$T$10,MATCH($B$2,Věci!$R$2:$R$10,0),FALSE)*B16</f>
        <v>0</v>
      </c>
      <c r="K16" s="157" t="s">
        <v>3867</v>
      </c>
      <c r="L16" s="157"/>
      <c r="M16" s="392">
        <f>HLOOKUP(Věci!$E$2,Věci!$A$2:$F$529,MATCH(K16,Věci!$A$2:$A$529,0),FALSE)*HLOOKUP($B$5,Věci!$R$2:$T$10,MATCH($B$2,Věci!$R$2:$R$10,0),FALSE)*L16*HLOOKUP(Věci!$Y$2,Věci!$W$2:$Y$7,MATCH(IF($N$11="Sebe",$B$3,$N$11),Věci!$W$2:$W$7,0),FALSE)</f>
        <v>0</v>
      </c>
      <c r="P16" s="157" t="s">
        <v>393</v>
      </c>
      <c r="Q16" s="157"/>
      <c r="R16" s="392">
        <f>HLOOKUP(Věci!$E$2,Věci!$A$2:$F$529,MATCH(P16,Věci!$A$2:$A$529,0),FALSE)*HLOOKUP($B$5,Věci!$R$2:$T$10,MATCH($B$2,Věci!$R$2:$R$10,0),FALSE)*Q16</f>
        <v>0</v>
      </c>
      <c r="T16" s="157" t="s">
        <v>433</v>
      </c>
      <c r="U16" s="157"/>
      <c r="V16" s="392">
        <f>HLOOKUP(Věci!$E$2,Věci!$A$2:$F$529,MATCH(T16,Věci!$A$2:$A$529,0),FALSE)*HLOOKUP($B$5,Věci!$R$2:$T$10,MATCH($B$2,Věci!$R$2:$R$10,0),FALSE)*U16</f>
        <v>0</v>
      </c>
    </row>
    <row r="17" spans="1:22" ht="12.9" customHeight="1" x14ac:dyDescent="0.3">
      <c r="A17" s="157" t="s">
        <v>3805</v>
      </c>
      <c r="B17" s="157"/>
      <c r="C17" s="392">
        <f>HLOOKUP(Věci!$E$2,Věci!$A$2:$F$529,MATCH(A17,Věci!$A$2:$A$529,0),FALSE)*HLOOKUP($B$5,Věci!$R$2:$T$10,MATCH($B$2,Věci!$R$2:$R$10,0),FALSE)*B17</f>
        <v>0</v>
      </c>
      <c r="K17" s="157" t="s">
        <v>3859</v>
      </c>
      <c r="L17" s="157"/>
      <c r="M17" s="392">
        <f>HLOOKUP(Věci!$E$2,Věci!$A$2:$F$529,MATCH(K17,Věci!$A$2:$A$529,0),FALSE)*HLOOKUP($B$5,Věci!$R$2:$T$10,MATCH($B$2,Věci!$R$2:$R$10,0),FALSE)*L17*HLOOKUP(Věci!$Y$2,Věci!$W$2:$Y$7,MATCH(IF($N$11="Sebe",$B$3,$N$11),Věci!$W$2:$W$7,0),FALSE)</f>
        <v>0</v>
      </c>
      <c r="P17" s="157" t="s">
        <v>974</v>
      </c>
      <c r="Q17" s="157"/>
      <c r="R17" s="392">
        <f>HLOOKUP(Věci!$E$2,Věci!$A$2:$F$529,MATCH(P17,Věci!$A$2:$A$529,0),FALSE)*HLOOKUP($B$5,Věci!$R$2:$T$10,MATCH($B$2,Věci!$R$2:$R$10,0),FALSE)*Q17</f>
        <v>0</v>
      </c>
      <c r="T17" s="157" t="s">
        <v>967</v>
      </c>
      <c r="U17" s="157"/>
      <c r="V17" s="392">
        <f>HLOOKUP(Věci!$E$2,Věci!$A$2:$F$529,MATCH(T17,Věci!$A$2:$A$529,0),FALSE)*HLOOKUP($B$5,Věci!$R$2:$T$10,MATCH($B$2,Věci!$R$2:$R$10,0),FALSE)*U17</f>
        <v>0</v>
      </c>
    </row>
    <row r="18" spans="1:22" ht="12.9" customHeight="1" x14ac:dyDescent="0.3">
      <c r="A18" s="157" t="s">
        <v>3806</v>
      </c>
      <c r="B18" s="157"/>
      <c r="C18" s="392">
        <f>HLOOKUP(Věci!$E$2,Věci!$A$2:$F$529,MATCH(A18,Věci!$A$2:$A$529,0),FALSE)*HLOOKUP($B$5,Věci!$R$2:$T$10,MATCH($B$2,Věci!$R$2:$R$10,0),FALSE)*B18</f>
        <v>0</v>
      </c>
      <c r="K18" s="157" t="s">
        <v>3864</v>
      </c>
      <c r="L18" s="157"/>
      <c r="M18" s="392">
        <f>HLOOKUP(Věci!$E$2,Věci!$A$2:$F$529,MATCH(K18,Věci!$A$2:$A$529,0),FALSE)*HLOOKUP($B$5,Věci!$R$2:$T$10,MATCH($B$2,Věci!$R$2:$R$10,0),FALSE)*L18*HLOOKUP(Věci!$Y$2,Věci!$W$2:$Y$7,MATCH(IF($N$11="Sebe",$B$3,$N$11),Věci!$W$2:$W$7,0),FALSE)</f>
        <v>0</v>
      </c>
      <c r="P18" s="157" t="s">
        <v>3185</v>
      </c>
      <c r="Q18" s="157"/>
      <c r="R18" s="392">
        <f>HLOOKUP(Věci!$E$2,Věci!$A$2:$F$529,MATCH(P18,Věci!$A$2:$A$529,0),FALSE)*HLOOKUP($B$5,Věci!$R$2:$T$10,MATCH($B$2,Věci!$R$2:$R$10,0),FALSE)*Q18</f>
        <v>0</v>
      </c>
      <c r="T18" s="157" t="s">
        <v>1236</v>
      </c>
      <c r="U18" s="157"/>
      <c r="V18" s="392">
        <f>HLOOKUP(Věci!$E$2,Věci!$A$2:$F$529,MATCH(T18,Věci!$A$2:$A$529,0),FALSE)*HLOOKUP($B$5,Věci!$R$2:$T$10,MATCH($B$2,Věci!$R$2:$R$10,0),FALSE)*U18</f>
        <v>0</v>
      </c>
    </row>
    <row r="19" spans="1:22" ht="12.9" customHeight="1" x14ac:dyDescent="0.3">
      <c r="A19" s="157" t="s">
        <v>3807</v>
      </c>
      <c r="B19" s="157"/>
      <c r="C19" s="392">
        <f>HLOOKUP(Věci!$E$2,Věci!$A$2:$F$529,MATCH(A19,Věci!$A$2:$A$529,0),FALSE)*HLOOKUP($B$5,Věci!$R$2:$T$10,MATCH($B$2,Věci!$R$2:$R$10,0),FALSE)*B19</f>
        <v>0</v>
      </c>
      <c r="K19" s="157" t="s">
        <v>3856</v>
      </c>
      <c r="L19" s="157"/>
      <c r="M19" s="392">
        <f>HLOOKUP(Věci!$E$2,Věci!$A$2:$F$529,MATCH(K19,Věci!$A$2:$A$529,0),FALSE)*HLOOKUP($B$5,Věci!$R$2:$T$10,MATCH($B$2,Věci!$R$2:$R$10,0),FALSE)*L19*HLOOKUP(Věci!$Y$2,Věci!$W$2:$Y$7,MATCH(IF($N$11="Sebe",$B$3,$N$11),Věci!$W$2:$W$7,0),FALSE)</f>
        <v>0</v>
      </c>
      <c r="P19" s="157" t="s">
        <v>365</v>
      </c>
      <c r="Q19" s="157"/>
      <c r="R19" s="392">
        <f>HLOOKUP(Věci!$E$2,Věci!$A$2:$F$529,MATCH(P19,Věci!$A$2:$A$529,0),FALSE)*HLOOKUP($B$5,Věci!$R$2:$T$10,MATCH($B$2,Věci!$R$2:$R$10,0),FALSE)*Q19</f>
        <v>0</v>
      </c>
      <c r="T19" s="157" t="s">
        <v>1137</v>
      </c>
      <c r="U19" s="157"/>
      <c r="V19" s="392">
        <f>HLOOKUP(Věci!$E$2,Věci!$A$2:$F$529,MATCH(T19,Věci!$A$2:$A$529,0),FALSE)*HLOOKUP($B$5,Věci!$R$2:$T$10,MATCH($B$2,Věci!$R$2:$R$10,0),FALSE)*U19</f>
        <v>0</v>
      </c>
    </row>
    <row r="20" spans="1:22" ht="12.9" customHeight="1" x14ac:dyDescent="0.3">
      <c r="A20" s="157" t="s">
        <v>3808</v>
      </c>
      <c r="B20" s="157"/>
      <c r="C20" s="392">
        <f>HLOOKUP(Věci!$E$2,Věci!$A$2:$F$529,MATCH(A20,Věci!$A$2:$A$529,0),FALSE)*HLOOKUP($B$5,Věci!$R$2:$T$10,MATCH($B$2,Věci!$R$2:$R$10,0),FALSE)*B20</f>
        <v>0</v>
      </c>
      <c r="K20" s="157" t="s">
        <v>3863</v>
      </c>
      <c r="L20" s="157"/>
      <c r="M20" s="392">
        <f>HLOOKUP(Věci!$E$2,Věci!$A$2:$F$529,MATCH(K20,Věci!$A$2:$A$529,0),FALSE)*HLOOKUP($B$5,Věci!$R$2:$T$10,MATCH($B$2,Věci!$R$2:$R$10,0),FALSE)*L20*HLOOKUP(Věci!$Y$2,Věci!$W$2:$Y$7,MATCH(IF($N$11="Sebe",$B$3,$N$11),Věci!$W$2:$W$7,0),FALSE)</f>
        <v>0</v>
      </c>
      <c r="P20" s="157" t="s">
        <v>501</v>
      </c>
      <c r="Q20" s="157"/>
      <c r="R20" s="392">
        <f>HLOOKUP(Věci!$E$2,Věci!$A$2:$F$529,MATCH(P20,Věci!$A$2:$A$529,0),FALSE)*HLOOKUP($B$5,Věci!$R$2:$T$10,MATCH($B$2,Věci!$R$2:$R$10,0),FALSE)*Q20</f>
        <v>0</v>
      </c>
      <c r="T20" s="157" t="s">
        <v>1238</v>
      </c>
      <c r="U20" s="157"/>
      <c r="V20" s="392">
        <f>HLOOKUP(Věci!$E$2,Věci!$A$2:$F$529,MATCH(T20,Věci!$A$2:$A$529,0),FALSE)*HLOOKUP($B$5,Věci!$R$2:$T$10,MATCH($B$2,Věci!$R$2:$R$10,0),FALSE)*U20</f>
        <v>0</v>
      </c>
    </row>
    <row r="21" spans="1:22" ht="12.9" customHeight="1" x14ac:dyDescent="0.3">
      <c r="A21" s="157" t="s">
        <v>3809</v>
      </c>
      <c r="B21" s="157"/>
      <c r="C21" s="392">
        <f>HLOOKUP(Věci!$E$2,Věci!$A$2:$F$529,MATCH(A21,Věci!$A$2:$A$529,0),FALSE)*HLOOKUP($B$5,Věci!$R$2:$T$10,MATCH($B$2,Věci!$R$2:$R$10,0),FALSE)*B21</f>
        <v>0</v>
      </c>
      <c r="K21" s="157" t="s">
        <v>3855</v>
      </c>
      <c r="L21" s="157"/>
      <c r="M21" s="392">
        <f>HLOOKUP(Věci!$E$2,Věci!$A$2:$F$529,MATCH(K21,Věci!$A$2:$A$529,0),FALSE)*HLOOKUP($B$5,Věci!$R$2:$T$10,MATCH($B$2,Věci!$R$2:$R$10,0),FALSE)*L21*HLOOKUP(Věci!$Y$2,Věci!$W$2:$Y$7,MATCH(IF($N$11="Sebe",$B$3,$N$11),Věci!$W$2:$W$7,0),FALSE)</f>
        <v>0</v>
      </c>
      <c r="P21" s="157" t="s">
        <v>939</v>
      </c>
      <c r="Q21" s="157"/>
      <c r="R21" s="392">
        <f>HLOOKUP(Věci!$E$2,Věci!$A$2:$F$529,MATCH(P21,Věci!$A$2:$A$529,0),FALSE)*HLOOKUP($B$5,Věci!$R$2:$T$10,MATCH($B$2,Věci!$R$2:$R$10,0),FALSE)*Q21</f>
        <v>0</v>
      </c>
      <c r="T21" s="157" t="s">
        <v>1237</v>
      </c>
      <c r="U21" s="157"/>
      <c r="V21" s="392">
        <f>HLOOKUP(Věci!$E$2,Věci!$A$2:$F$529,MATCH(T21,Věci!$A$2:$A$529,0),FALSE)*HLOOKUP($B$5,Věci!$R$2:$T$10,MATCH($B$2,Věci!$R$2:$R$10,0),FALSE)*U21</f>
        <v>0</v>
      </c>
    </row>
    <row r="22" spans="1:22" ht="12.9" customHeight="1" x14ac:dyDescent="0.3">
      <c r="A22" s="247" t="s">
        <v>4583</v>
      </c>
      <c r="B22" s="247"/>
      <c r="C22" s="247"/>
      <c r="K22" s="157" t="s">
        <v>3868</v>
      </c>
      <c r="L22" s="157"/>
      <c r="M22" s="392">
        <f>HLOOKUP(Věci!$E$2,Věci!$A$2:$F$529,MATCH(K22,Věci!$A$2:$A$529,0),FALSE)*HLOOKUP($B$5,Věci!$R$2:$T$10,MATCH($B$2,Věci!$R$2:$R$10,0),FALSE)*L22*HLOOKUP(Věci!$Y$2,Věci!$W$2:$Y$7,MATCH(IF($N$11="Sebe",$B$3,$N$11),Věci!$W$2:$W$7,0),FALSE)</f>
        <v>0</v>
      </c>
      <c r="P22" s="157" t="s">
        <v>369</v>
      </c>
      <c r="Q22" s="157"/>
      <c r="R22" s="392">
        <f>HLOOKUP(Věci!$E$2,Věci!$A$2:$F$529,MATCH(P22,Věci!$A$2:$A$529,0),FALSE)*HLOOKUP($B$5,Věci!$R$2:$T$10,MATCH($B$2,Věci!$R$2:$R$10,0),FALSE)*Q22</f>
        <v>0</v>
      </c>
      <c r="T22" s="157" t="s">
        <v>1142</v>
      </c>
      <c r="U22" s="157"/>
      <c r="V22" s="392">
        <f>HLOOKUP(Věci!$E$2,Věci!$A$2:$F$529,MATCH(T22,Věci!$A$2:$A$529,0),FALSE)*HLOOKUP($B$5,Věci!$R$2:$T$10,MATCH($B$2,Věci!$R$2:$R$10,0),FALSE)*U22</f>
        <v>0</v>
      </c>
    </row>
    <row r="23" spans="1:22" ht="12.9" customHeight="1" x14ac:dyDescent="0.3">
      <c r="A23" s="157" t="s">
        <v>3811</v>
      </c>
      <c r="B23" s="157"/>
      <c r="C23" s="392">
        <f>HLOOKUP(Věci!$E$2,Věci!$A$2:$F$529,MATCH(A23,Věci!$A$2:$A$529,0),FALSE)*HLOOKUP($B$5,Věci!$R$2:$T$10,MATCH($B$2,Věci!$R$2:$R$10,0),FALSE)*B23</f>
        <v>0</v>
      </c>
      <c r="K23" s="157" t="s">
        <v>3860</v>
      </c>
      <c r="L23" s="157"/>
      <c r="M23" s="392">
        <f>HLOOKUP(Věci!$E$2,Věci!$A$2:$F$529,MATCH(K23,Věci!$A$2:$A$529,0),FALSE)*HLOOKUP($B$5,Věci!$R$2:$T$10,MATCH($B$2,Věci!$R$2:$R$10,0),FALSE)*L23*HLOOKUP(Věci!$Y$2,Věci!$W$2:$Y$7,MATCH(IF($N$11="Sebe",$B$3,$N$11),Věci!$W$2:$W$7,0),FALSE)</f>
        <v>0</v>
      </c>
      <c r="P23" s="157" t="s">
        <v>3183</v>
      </c>
      <c r="Q23" s="157"/>
      <c r="R23" s="392">
        <f>HLOOKUP(Věci!$E$2,Věci!$A$2:$F$529,MATCH(P23,Věci!$A$2:$A$529,0),FALSE)*HLOOKUP($B$5,Věci!$R$2:$T$10,MATCH($B$2,Věci!$R$2:$R$10,0),FALSE)*Q23</f>
        <v>0</v>
      </c>
      <c r="T23" s="157" t="s">
        <v>4552</v>
      </c>
      <c r="U23" s="157"/>
      <c r="V23" s="392">
        <f>HLOOKUP(Věci!$E$2,Věci!$A$2:$F$529,MATCH(T23,Věci!$A$2:$A$529,0),FALSE)*HLOOKUP($B$5,Věci!$R$2:$T$10,MATCH($B$2,Věci!$R$2:$R$10,0),FALSE)*U23</f>
        <v>0</v>
      </c>
    </row>
    <row r="24" spans="1:22" ht="12.9" customHeight="1" x14ac:dyDescent="0.3">
      <c r="A24" s="157" t="s">
        <v>3824</v>
      </c>
      <c r="B24" s="157"/>
      <c r="C24" s="392">
        <f>HLOOKUP(Věci!$E$2,Věci!$A$2:$F$529,MATCH(A24,Věci!$A$2:$A$529,0),FALSE)*HLOOKUP($B$5,Věci!$R$2:$T$10,MATCH($B$2,Věci!$R$2:$R$10,0),FALSE)*B24</f>
        <v>0</v>
      </c>
      <c r="K24" s="157" t="s">
        <v>3870</v>
      </c>
      <c r="L24" s="157"/>
      <c r="M24" s="392">
        <f>HLOOKUP(Věci!$E$2,Věci!$A$2:$F$529,MATCH(K24,Věci!$A$2:$A$529,0),FALSE)*HLOOKUP($B$5,Věci!$R$2:$T$10,MATCH($B$2,Věci!$R$2:$R$10,0),FALSE)*L24*HLOOKUP(Věci!$Y$2,Věci!$W$2:$Y$7,MATCH(IF($N$11="Sebe",$B$3,$N$11),Věci!$W$2:$W$7,0),FALSE)</f>
        <v>0</v>
      </c>
      <c r="P24" s="157" t="s">
        <v>981</v>
      </c>
      <c r="Q24" s="157"/>
      <c r="R24" s="392">
        <f>HLOOKUP(Věci!$E$2,Věci!$A$2:$F$529,MATCH(P24,Věci!$A$2:$A$529,0),FALSE)*HLOOKUP($B$5,Věci!$R$2:$T$10,MATCH($B$2,Věci!$R$2:$R$10,0),FALSE)*Q24</f>
        <v>0</v>
      </c>
      <c r="T24" s="157" t="s">
        <v>4557</v>
      </c>
      <c r="U24" s="157"/>
      <c r="V24" s="392">
        <f>HLOOKUP(Věci!$E$2,Věci!$A$2:$F$529,MATCH(T24,Věci!$A$2:$A$529,0),FALSE)*HLOOKUP($B$5,Věci!$R$2:$T$10,MATCH($B$2,Věci!$R$2:$R$10,0),FALSE)*U24</f>
        <v>0</v>
      </c>
    </row>
    <row r="25" spans="1:22" ht="12.9" customHeight="1" x14ac:dyDescent="0.3">
      <c r="A25" s="157" t="s">
        <v>3814</v>
      </c>
      <c r="B25" s="157"/>
      <c r="C25" s="392">
        <f>HLOOKUP(Věci!$E$2,Věci!$A$2:$F$529,MATCH(A25,Věci!$A$2:$A$529,0),FALSE)*HLOOKUP($B$5,Věci!$R$2:$T$10,MATCH($B$2,Věci!$R$2:$R$10,0),FALSE)*B25</f>
        <v>0</v>
      </c>
      <c r="K25" s="157" t="s">
        <v>3862</v>
      </c>
      <c r="L25" s="157"/>
      <c r="M25" s="392">
        <f>HLOOKUP(Věci!$E$2,Věci!$A$2:$F$529,MATCH(K25,Věci!$A$2:$A$529,0),FALSE)*HLOOKUP($B$5,Věci!$R$2:$T$10,MATCH($B$2,Věci!$R$2:$R$10,0),FALSE)*L25*HLOOKUP(Věci!$Y$2,Věci!$W$2:$Y$7,MATCH(IF($N$11="Sebe",$B$3,$N$11),Věci!$W$2:$W$7,0),FALSE)</f>
        <v>0</v>
      </c>
      <c r="P25" s="157" t="s">
        <v>980</v>
      </c>
      <c r="Q25" s="157"/>
      <c r="R25" s="392">
        <f>HLOOKUP(Věci!$E$2,Věci!$A$2:$F$529,MATCH(P25,Věci!$A$2:$A$529,0),FALSE)*HLOOKUP($B$5,Věci!$R$2:$T$10,MATCH($B$2,Věci!$R$2:$R$10,0),FALSE)*Q25</f>
        <v>0</v>
      </c>
      <c r="T25" s="157" t="s">
        <v>4553</v>
      </c>
      <c r="U25" s="157"/>
      <c r="V25" s="392">
        <f>HLOOKUP(Věci!$E$2,Věci!$A$2:$F$529,MATCH(T25,Věci!$A$2:$A$529,0),FALSE)*HLOOKUP($B$5,Věci!$R$2:$T$10,MATCH($B$2,Věci!$R$2:$R$10,0),FALSE)*U25</f>
        <v>0</v>
      </c>
    </row>
    <row r="26" spans="1:22" ht="12.9" customHeight="1" x14ac:dyDescent="0.3">
      <c r="A26" s="157" t="s">
        <v>3813</v>
      </c>
      <c r="B26" s="157"/>
      <c r="C26" s="392">
        <f>HLOOKUP(Věci!$E$2,Věci!$A$2:$F$529,MATCH(A26,Věci!$A$2:$A$529,0),FALSE)*HLOOKUP($B$5,Věci!$R$2:$T$10,MATCH($B$2,Věci!$R$2:$R$10,0),FALSE)*B26</f>
        <v>0</v>
      </c>
      <c r="K26" s="157" t="s">
        <v>3865</v>
      </c>
      <c r="L26" s="157"/>
      <c r="M26" s="392">
        <f>HLOOKUP(Věci!$E$2,Věci!$A$2:$F$529,MATCH(K26,Věci!$A$2:$A$529,0),FALSE)*HLOOKUP($B$5,Věci!$R$2:$T$10,MATCH($B$2,Věci!$R$2:$R$10,0),FALSE)*L26*HLOOKUP(Věci!$Y$2,Věci!$W$2:$Y$7,MATCH(IF($N$11="Sebe",$B$3,$N$11),Věci!$W$2:$W$7,0),FALSE)</f>
        <v>0</v>
      </c>
      <c r="P26" s="157" t="s">
        <v>497</v>
      </c>
      <c r="Q26" s="157"/>
      <c r="R26" s="392">
        <f>HLOOKUP(Věci!$E$2,Věci!$A$2:$F$529,MATCH(P26,Věci!$A$2:$A$529,0),FALSE)*HLOOKUP($B$5,Věci!$R$2:$T$10,MATCH($B$2,Věci!$R$2:$R$10,0),FALSE)*Q26</f>
        <v>0</v>
      </c>
      <c r="T26" s="157" t="s">
        <v>4554</v>
      </c>
      <c r="U26" s="157"/>
      <c r="V26" s="392">
        <f>HLOOKUP(Věci!$E$2,Věci!$A$2:$F$529,MATCH(T26,Věci!$A$2:$A$529,0),FALSE)*HLOOKUP($B$5,Věci!$R$2:$T$10,MATCH($B$2,Věci!$R$2:$R$10,0),FALSE)*U26</f>
        <v>0</v>
      </c>
    </row>
    <row r="27" spans="1:22" ht="12.9" customHeight="1" x14ac:dyDescent="0.3">
      <c r="A27" s="157" t="s">
        <v>3823</v>
      </c>
      <c r="B27" s="157"/>
      <c r="C27" s="392">
        <f>HLOOKUP(Věci!$E$2,Věci!$A$2:$F$529,MATCH(A27,Věci!$A$2:$A$529,0),FALSE)*HLOOKUP($B$5,Věci!$R$2:$T$10,MATCH($B$2,Věci!$R$2:$R$10,0),FALSE)*B27</f>
        <v>0</v>
      </c>
      <c r="K27" s="157" t="s">
        <v>3857</v>
      </c>
      <c r="L27" s="157"/>
      <c r="M27" s="392">
        <f>HLOOKUP(Věci!$E$2,Věci!$A$2:$F$529,MATCH(K27,Věci!$A$2:$A$529,0),FALSE)*HLOOKUP($B$5,Věci!$R$2:$T$10,MATCH($B$2,Věci!$R$2:$R$10,0),FALSE)*L27*HLOOKUP(Věci!$Y$2,Věci!$W$2:$Y$7,MATCH(IF($N$11="Sebe",$B$3,$N$11),Věci!$W$2:$W$7,0),FALSE)</f>
        <v>0</v>
      </c>
      <c r="P27" s="157" t="s">
        <v>3182</v>
      </c>
      <c r="Q27" s="157"/>
      <c r="R27" s="392">
        <f>HLOOKUP(Věci!$E$2,Věci!$A$2:$F$529,MATCH(P27,Věci!$A$2:$A$529,0),FALSE)*HLOOKUP($B$5,Věci!$R$2:$T$10,MATCH($B$2,Věci!$R$2:$R$10,0),FALSE)*Q27</f>
        <v>0</v>
      </c>
      <c r="T27" s="157" t="s">
        <v>4555</v>
      </c>
      <c r="U27" s="157"/>
      <c r="V27" s="392">
        <f>HLOOKUP(Věci!$E$2,Věci!$A$2:$F$529,MATCH(T27,Věci!$A$2:$A$529,0),FALSE)*HLOOKUP($B$5,Věci!$R$2:$T$10,MATCH($B$2,Věci!$R$2:$R$10,0),FALSE)*U27</f>
        <v>0</v>
      </c>
    </row>
    <row r="28" spans="1:22" ht="12.9" customHeight="1" x14ac:dyDescent="0.3">
      <c r="A28" s="157" t="s">
        <v>3815</v>
      </c>
      <c r="B28" s="157"/>
      <c r="C28" s="392">
        <f>HLOOKUP(Věci!$E$2,Věci!$A$2:$F$529,MATCH(A28,Věci!$A$2:$A$529,0),FALSE)*HLOOKUP($B$5,Věci!$R$2:$T$10,MATCH($B$2,Věci!$R$2:$R$10,0),FALSE)*B28</f>
        <v>0</v>
      </c>
      <c r="K28" s="247" t="s">
        <v>3854</v>
      </c>
      <c r="P28" s="157" t="s">
        <v>979</v>
      </c>
      <c r="Q28" s="157"/>
      <c r="R28" s="392">
        <f>HLOOKUP(Věci!$E$2,Věci!$A$2:$F$529,MATCH(P28,Věci!$A$2:$A$529,0),FALSE)*HLOOKUP($B$5,Věci!$R$2:$T$10,MATCH($B$2,Věci!$R$2:$R$10,0),FALSE)*Q28</f>
        <v>0</v>
      </c>
      <c r="T28" s="157" t="s">
        <v>4556</v>
      </c>
      <c r="U28" s="157"/>
      <c r="V28" s="392">
        <f>HLOOKUP(Věci!$E$2,Věci!$A$2:$F$529,MATCH(T28,Věci!$A$2:$A$529,0),FALSE)*HLOOKUP($B$5,Věci!$R$2:$T$10,MATCH($B$2,Věci!$R$2:$R$10,0),FALSE)*U28</f>
        <v>0</v>
      </c>
    </row>
    <row r="29" spans="1:22" ht="12.9" customHeight="1" x14ac:dyDescent="0.3">
      <c r="A29" s="157" t="s">
        <v>3819</v>
      </c>
      <c r="B29" s="157"/>
      <c r="C29" s="392">
        <f>HLOOKUP(Věci!$E$2,Věci!$A$2:$F$529,MATCH(A29,Věci!$A$2:$A$529,0),FALSE)*HLOOKUP($B$5,Věci!$R$2:$T$10,MATCH($B$2,Věci!$R$2:$R$10,0),FALSE)*B29</f>
        <v>0</v>
      </c>
      <c r="K29" s="157" t="s">
        <v>3871</v>
      </c>
      <c r="L29" s="157"/>
      <c r="M29" s="392">
        <f>HLOOKUP(Věci!$E$2,Věci!$A$2:$F$529,MATCH(K29,Věci!$A$2:$A$529,0),FALSE)*HLOOKUP($B$5,Věci!$R$2:$T$10,MATCH($B$2,Věci!$R$2:$R$10,0),FALSE)*L29</f>
        <v>0</v>
      </c>
      <c r="P29" s="157" t="s">
        <v>1307</v>
      </c>
      <c r="Q29" s="157"/>
      <c r="R29" s="392">
        <f>HLOOKUP(Věci!$E$2,Věci!$A$2:$F$529,MATCH(P29,Věci!$A$2:$A$529,0),FALSE)*HLOOKUP($B$5,Věci!$R$2:$T$10,MATCH($B$2,Věci!$R$2:$R$10,0),FALSE)*Q29</f>
        <v>0</v>
      </c>
      <c r="T29" s="157" t="s">
        <v>4558</v>
      </c>
      <c r="U29" s="157"/>
      <c r="V29" s="392">
        <f>HLOOKUP(Věci!$E$2,Věci!$A$2:$F$529,MATCH(T29,Věci!$A$2:$A$529,0),FALSE)*HLOOKUP($B$5,Věci!$R$2:$T$10,MATCH($B$2,Věci!$R$2:$R$10,0),FALSE)*U29</f>
        <v>0</v>
      </c>
    </row>
    <row r="30" spans="1:22" ht="12.9" customHeight="1" x14ac:dyDescent="0.3">
      <c r="A30" s="157" t="s">
        <v>3816</v>
      </c>
      <c r="B30" s="157"/>
      <c r="C30" s="392">
        <f>HLOOKUP(Věci!$E$2,Věci!$A$2:$F$529,MATCH(A30,Věci!$A$2:$A$529,0),FALSE)*HLOOKUP($B$5,Věci!$R$2:$T$10,MATCH($B$2,Věci!$R$2:$R$10,0),FALSE)*B30</f>
        <v>0</v>
      </c>
      <c r="K30" s="157" t="s">
        <v>3872</v>
      </c>
      <c r="L30" s="157"/>
      <c r="M30" s="392">
        <f>HLOOKUP(Věci!$E$2,Věci!$A$2:$F$529,MATCH(K30,Věci!$A$2:$A$529,0),FALSE)*HLOOKUP($B$5,Věci!$R$2:$T$10,MATCH($B$2,Věci!$R$2:$R$10,0),FALSE)*L30*HLOOKUP(Věci!$Y$2,Věci!$W$2:$Y$7,MATCH(IF($N$11="Sebe",$B$3,$N$11),Věci!$W$2:$W$7,0),FALSE)</f>
        <v>0</v>
      </c>
      <c r="P30" s="157" t="s">
        <v>381</v>
      </c>
      <c r="Q30" s="157"/>
      <c r="R30" s="392">
        <f>HLOOKUP(Věci!$E$2,Věci!$A$2:$F$529,MATCH(P30,Věci!$A$2:$A$529,0),FALSE)*HLOOKUP($B$5,Věci!$R$2:$T$10,MATCH($B$2,Věci!$R$2:$R$10,0),FALSE)*Q30</f>
        <v>0</v>
      </c>
      <c r="T30" s="157" t="s">
        <v>531</v>
      </c>
      <c r="U30" s="157"/>
      <c r="V30" s="392">
        <f>HLOOKUP(Věci!$E$2,Věci!$A$2:$F$529,MATCH(T30,Věci!$A$2:$A$529,0),FALSE)*HLOOKUP($B$5,Věci!$R$2:$T$10,MATCH($B$2,Věci!$R$2:$R$10,0),FALSE)*U30</f>
        <v>0</v>
      </c>
    </row>
    <row r="31" spans="1:22" ht="12.9" customHeight="1" x14ac:dyDescent="0.3">
      <c r="A31" s="157" t="s">
        <v>3817</v>
      </c>
      <c r="B31" s="157"/>
      <c r="C31" s="392">
        <f>HLOOKUP(Věci!$E$2,Věci!$A$2:$F$529,MATCH(A31,Věci!$A$2:$A$529,0),FALSE)*HLOOKUP($B$5,Věci!$R$2:$T$10,MATCH($B$2,Věci!$R$2:$R$10,0),FALSE)*B31</f>
        <v>0</v>
      </c>
      <c r="K31" s="157" t="s">
        <v>3873</v>
      </c>
      <c r="L31" s="157"/>
      <c r="M31" s="392">
        <f>HLOOKUP(Věci!$E$2,Věci!$A$2:$F$529,MATCH(K31,Věci!$A$2:$A$529,0),FALSE)*HLOOKUP($B$5,Věci!$R$2:$T$10,MATCH($B$2,Věci!$R$2:$R$10,0),FALSE)*L31*HLOOKUP(Věci!$Y$2,Věci!$W$2:$Y$7,MATCH(IF($N$11="Sebe",$B$3,$N$11),Věci!$W$2:$W$7,0),FALSE)</f>
        <v>0</v>
      </c>
      <c r="P31" s="157" t="s">
        <v>376</v>
      </c>
      <c r="Q31" s="157"/>
      <c r="R31" s="392">
        <f>HLOOKUP(Věci!$E$2,Věci!$A$2:$F$529,MATCH(P31,Věci!$A$2:$A$529,0),FALSE)*HLOOKUP($B$5,Věci!$R$2:$T$10,MATCH($B$2,Věci!$R$2:$R$10,0),FALSE)*Q31</f>
        <v>0</v>
      </c>
      <c r="T31" s="157" t="s">
        <v>3787</v>
      </c>
      <c r="U31" s="157"/>
      <c r="V31" s="392">
        <f>HLOOKUP(Věci!$E$2,Věci!$A$2:$F$529,MATCH(T31,Věci!$A$2:$A$529,0),FALSE)*HLOOKUP($B$5,Věci!$R$2:$T$10,MATCH($B$2,Věci!$R$2:$R$10,0),FALSE)*U31</f>
        <v>0</v>
      </c>
    </row>
    <row r="32" spans="1:22" ht="12.9" customHeight="1" x14ac:dyDescent="0.3">
      <c r="A32" s="157" t="s">
        <v>3826</v>
      </c>
      <c r="B32" s="157"/>
      <c r="C32" s="392">
        <f>HLOOKUP(Věci!$E$2,Věci!$A$2:$F$529,MATCH(A32,Věci!$A$2:$A$529,0),FALSE)*HLOOKUP($B$5,Věci!$R$2:$T$10,MATCH($B$2,Věci!$R$2:$R$10,0),FALSE)*B32</f>
        <v>0</v>
      </c>
      <c r="K32" s="157" t="s">
        <v>3874</v>
      </c>
      <c r="L32" s="157"/>
      <c r="M32" s="392">
        <f>HLOOKUP(Věci!$E$2,Věci!$A$2:$F$529,MATCH(K32,Věci!$A$2:$A$529,0),FALSE)*HLOOKUP($B$5,Věci!$R$2:$T$10,MATCH($B$2,Věci!$R$2:$R$10,0),FALSE)*L32*HLOOKUP(Věci!$Y$2,Věci!$W$2:$Y$7,MATCH(IF($N$11="Sebe",$B$3,$N$11),Věci!$W$2:$W$7,0),FALSE)</f>
        <v>0</v>
      </c>
      <c r="P32" s="157" t="s">
        <v>3186</v>
      </c>
      <c r="Q32" s="157"/>
      <c r="R32" s="392">
        <f>HLOOKUP(Věci!$E$2,Věci!$A$2:$F$529,MATCH(P32,Věci!$A$2:$A$529,0),FALSE)*HLOOKUP($B$5,Věci!$R$2:$T$10,MATCH($B$2,Věci!$R$2:$R$10,0),FALSE)*Q32</f>
        <v>0</v>
      </c>
      <c r="T32" s="157" t="s">
        <v>530</v>
      </c>
      <c r="U32" s="157"/>
      <c r="V32" s="392">
        <f>HLOOKUP(Věci!$E$2,Věci!$A$2:$F$529,MATCH(T32,Věci!$A$2:$A$529,0),FALSE)*HLOOKUP($B$5,Věci!$R$2:$T$10,MATCH($B$2,Věci!$R$2:$R$10,0),FALSE)*U32</f>
        <v>0</v>
      </c>
    </row>
    <row r="33" spans="1:22" ht="12.9" customHeight="1" x14ac:dyDescent="0.3">
      <c r="A33" s="157" t="s">
        <v>3820</v>
      </c>
      <c r="B33" s="157"/>
      <c r="C33" s="392">
        <f>HLOOKUP(Věci!$E$2,Věci!$A$2:$F$529,MATCH(A33,Věci!$A$2:$A$529,0),FALSE)*HLOOKUP($B$5,Věci!$R$2:$T$10,MATCH($B$2,Věci!$R$2:$R$10,0),FALSE)*B33</f>
        <v>0</v>
      </c>
      <c r="K33" s="157" t="s">
        <v>3875</v>
      </c>
      <c r="L33" s="157"/>
      <c r="M33" s="392">
        <f>HLOOKUP(Věci!$E$2,Věci!$A$2:$F$529,MATCH(K33,Věci!$A$2:$A$529,0),FALSE)*HLOOKUP($B$5,Věci!$R$2:$T$10,MATCH($B$2,Věci!$R$2:$R$10,0),FALSE)*L33*HLOOKUP(Věci!$Y$2,Věci!$W$2:$Y$7,MATCH(IF($N$11="Sebe",$B$3,$N$11),Věci!$W$2:$W$7,0),FALSE)</f>
        <v>0</v>
      </c>
      <c r="P33" s="157" t="s">
        <v>373</v>
      </c>
      <c r="Q33" s="157"/>
      <c r="R33" s="392">
        <f>HLOOKUP(Věci!$E$2,Věci!$A$2:$F$529,MATCH(P33,Věci!$A$2:$A$529,0),FALSE)*HLOOKUP($B$5,Věci!$R$2:$T$10,MATCH($B$2,Věci!$R$2:$R$10,0),FALSE)*Q33</f>
        <v>0</v>
      </c>
      <c r="T33" s="157" t="s">
        <v>940</v>
      </c>
      <c r="U33" s="157"/>
      <c r="V33" s="392">
        <f>HLOOKUP(Věci!$E$2,Věci!$A$2:$F$529,MATCH(T33,Věci!$A$2:$A$529,0),FALSE)*HLOOKUP($B$5,Věci!$R$2:$T$10,MATCH($B$2,Věci!$R$2:$R$10,0),FALSE)*U33</f>
        <v>0</v>
      </c>
    </row>
    <row r="34" spans="1:22" ht="12.9" customHeight="1" x14ac:dyDescent="0.3">
      <c r="A34" s="157" t="s">
        <v>3818</v>
      </c>
      <c r="B34" s="157"/>
      <c r="C34" s="392">
        <f>HLOOKUP(Věci!$E$2,Věci!$A$2:$F$529,MATCH(A34,Věci!$A$2:$A$529,0),FALSE)*HLOOKUP($B$5,Věci!$R$2:$T$10,MATCH($B$2,Věci!$R$2:$R$10,0),FALSE)*B34</f>
        <v>0</v>
      </c>
      <c r="K34" s="157" t="s">
        <v>1637</v>
      </c>
      <c r="L34" s="157"/>
      <c r="M34" s="392">
        <f>HLOOKUP(Věci!$E$2,Věci!$A$2:$F$529,MATCH(K34,Věci!$A$2:$A$529,0),FALSE)*HLOOKUP($B$5,Věci!$R$2:$T$10,MATCH($B$2,Věci!$R$2:$R$10,0),FALSE)*L34*HLOOKUP(Věci!$Y$2,Věci!$W$2:$Y$7,MATCH(IF($N$11="Sebe",$B$3,$N$11),Věci!$W$2:$W$7,0),FALSE)</f>
        <v>0</v>
      </c>
      <c r="P34" s="157" t="s">
        <v>971</v>
      </c>
      <c r="Q34" s="157"/>
      <c r="R34" s="392">
        <f>HLOOKUP(Věci!$E$2,Věci!$A$2:$F$529,MATCH(P34,Věci!$A$2:$A$529,0),FALSE)*HLOOKUP($B$5,Věci!$R$2:$T$10,MATCH($B$2,Věci!$R$2:$R$10,0),FALSE)*Q34</f>
        <v>0</v>
      </c>
      <c r="T34" s="157" t="s">
        <v>4545</v>
      </c>
      <c r="U34" s="157"/>
      <c r="V34" s="392">
        <f>HLOOKUP(Věci!$E$2,Věci!$A$2:$F$529,MATCH(T34,Věci!$A$2:$A$529,0),FALSE)*HLOOKUP($B$5,Věci!$R$2:$T$10,MATCH($B$2,Věci!$R$2:$R$10,0),FALSE)*U34</f>
        <v>0</v>
      </c>
    </row>
    <row r="35" spans="1:22" ht="12.9" customHeight="1" x14ac:dyDescent="0.3">
      <c r="A35" s="157" t="s">
        <v>3827</v>
      </c>
      <c r="B35" s="157"/>
      <c r="C35" s="392">
        <f>HLOOKUP(Věci!$E$2,Věci!$A$2:$F$529,MATCH(A35,Věci!$A$2:$A$529,0),FALSE)*HLOOKUP($B$5,Věci!$R$2:$T$10,MATCH($B$2,Věci!$R$2:$R$10,0),FALSE)*B35</f>
        <v>0</v>
      </c>
      <c r="K35" s="157" t="s">
        <v>3876</v>
      </c>
      <c r="L35" s="157"/>
      <c r="M35" s="392">
        <f>HLOOKUP(Věci!$E$2,Věci!$A$2:$F$529,MATCH(K35,Věci!$A$2:$A$529,0),FALSE)*HLOOKUP($B$5,Věci!$R$2:$T$10,MATCH($B$2,Věci!$R$2:$R$10,0),FALSE)*L35*HLOOKUP(Věci!$Y$2,Věci!$W$2:$Y$7,MATCH(IF($N$11="Sebe",$B$3,$N$11),Věci!$W$2:$W$7,0),FALSE)</f>
        <v>0</v>
      </c>
      <c r="P35" s="157" t="s">
        <v>473</v>
      </c>
      <c r="Q35" s="157"/>
      <c r="R35" s="392">
        <f>HLOOKUP(Věci!$E$2,Věci!$A$2:$F$529,MATCH(P35,Věci!$A$2:$A$529,0),FALSE)*HLOOKUP($B$5,Věci!$R$2:$T$10,MATCH($B$2,Věci!$R$2:$R$10,0),FALSE)*Q35</f>
        <v>0</v>
      </c>
      <c r="T35" s="157" t="s">
        <v>4546</v>
      </c>
      <c r="U35" s="157"/>
      <c r="V35" s="392">
        <f>HLOOKUP(Věci!$E$2,Věci!$A$2:$F$529,MATCH(T35,Věci!$A$2:$A$529,0),FALSE)*HLOOKUP($B$5,Věci!$R$2:$T$10,MATCH($B$2,Věci!$R$2:$R$10,0),FALSE)*U35</f>
        <v>0</v>
      </c>
    </row>
    <row r="36" spans="1:22" ht="12.9" customHeight="1" x14ac:dyDescent="0.3">
      <c r="A36" s="157" t="s">
        <v>3828</v>
      </c>
      <c r="B36" s="157"/>
      <c r="C36" s="392">
        <f>HLOOKUP(Věci!$E$2,Věci!$A$2:$F$529,MATCH(A36,Věci!$A$2:$A$529,0),FALSE)*HLOOKUP($B$5,Věci!$R$2:$T$10,MATCH($B$2,Věci!$R$2:$R$10,0),FALSE)*B36</f>
        <v>0</v>
      </c>
      <c r="K36" s="157" t="s">
        <v>3877</v>
      </c>
      <c r="L36" s="157"/>
      <c r="M36" s="392">
        <f>HLOOKUP(Věci!$E$2,Věci!$A$2:$F$529,MATCH(K36,Věci!$A$2:$A$529,0),FALSE)*HLOOKUP($B$5,Věci!$R$2:$T$10,MATCH($B$2,Věci!$R$2:$R$10,0),FALSE)*L36*HLOOKUP(Věci!$Y$2,Věci!$W$2:$Y$7,MATCH(IF($N$11="Sebe",$B$3,$N$11),Věci!$W$2:$W$7,0),FALSE)</f>
        <v>0</v>
      </c>
      <c r="P36" s="157" t="s">
        <v>514</v>
      </c>
      <c r="Q36" s="157"/>
      <c r="R36" s="392">
        <f>HLOOKUP(Věci!$E$2,Věci!$A$2:$F$529,MATCH(P36,Věci!$A$2:$A$529,0),FALSE)*HLOOKUP($B$5,Věci!$R$2:$T$10,MATCH($B$2,Věci!$R$2:$R$10,0),FALSE)*Q36</f>
        <v>0</v>
      </c>
      <c r="T36" s="157" t="s">
        <v>4547</v>
      </c>
      <c r="U36" s="157"/>
      <c r="V36" s="392">
        <f>HLOOKUP(Věci!$E$2,Věci!$A$2:$F$529,MATCH(T36,Věci!$A$2:$A$529,0),FALSE)*HLOOKUP($B$5,Věci!$R$2:$T$10,MATCH($B$2,Věci!$R$2:$R$10,0),FALSE)*U36</f>
        <v>0</v>
      </c>
    </row>
    <row r="37" spans="1:22" ht="12.9" customHeight="1" x14ac:dyDescent="0.3">
      <c r="A37" s="157" t="s">
        <v>3832</v>
      </c>
      <c r="B37" s="157"/>
      <c r="C37" s="392">
        <f>HLOOKUP(Věci!$E$2,Věci!$A$2:$F$529,MATCH(A37,Věci!$A$2:$A$529,0),FALSE)*HLOOKUP($B$5,Věci!$R$2:$T$10,MATCH($B$2,Věci!$R$2:$R$10,0),FALSE)*B37</f>
        <v>0</v>
      </c>
      <c r="K37" s="157" t="s">
        <v>3878</v>
      </c>
      <c r="L37" s="157"/>
      <c r="M37" s="392">
        <f>HLOOKUP(Věci!$E$2,Věci!$A$2:$F$529,MATCH(K37,Věci!$A$2:$A$529,0),FALSE)*HLOOKUP($B$5,Věci!$R$2:$T$10,MATCH($B$2,Věci!$R$2:$R$10,0),FALSE)*L37*HLOOKUP(Věci!$Y$2,Věci!$W$2:$Y$7,MATCH(IF($N$11="Sebe",$B$3,$N$11),Věci!$W$2:$W$7,0),FALSE)</f>
        <v>0</v>
      </c>
      <c r="P37" s="157" t="s">
        <v>500</v>
      </c>
      <c r="Q37" s="157"/>
      <c r="R37" s="392">
        <f>HLOOKUP(Věci!$E$2,Věci!$A$2:$F$529,MATCH(P37,Věci!$A$2:$A$529,0),FALSE)*HLOOKUP($B$5,Věci!$R$2:$T$10,MATCH($B$2,Věci!$R$2:$R$10,0),FALSE)*Q37</f>
        <v>0</v>
      </c>
      <c r="T37" s="157" t="s">
        <v>4548</v>
      </c>
      <c r="U37" s="157"/>
      <c r="V37" s="392">
        <f>HLOOKUP(Věci!$E$2,Věci!$A$2:$F$529,MATCH(T37,Věci!$A$2:$A$529,0),FALSE)*HLOOKUP($B$5,Věci!$R$2:$T$10,MATCH($B$2,Věci!$R$2:$R$10,0),FALSE)*U37</f>
        <v>0</v>
      </c>
    </row>
    <row r="38" spans="1:22" ht="12.9" customHeight="1" x14ac:dyDescent="0.3">
      <c r="A38" s="157" t="s">
        <v>3822</v>
      </c>
      <c r="B38" s="157"/>
      <c r="C38" s="392">
        <f>HLOOKUP(Věci!$E$2,Věci!$A$2:$F$529,MATCH(A38,Věci!$A$2:$A$529,0),FALSE)*HLOOKUP($B$5,Věci!$R$2:$T$10,MATCH($B$2,Věci!$R$2:$R$10,0),FALSE)*B38</f>
        <v>0</v>
      </c>
      <c r="K38" s="157" t="s">
        <v>1170</v>
      </c>
      <c r="L38" s="157"/>
      <c r="M38" s="392">
        <f>HLOOKUP(Věci!$E$2,Věci!$A$2:$F$529,MATCH(K38,Věci!$A$2:$A$529,0),FALSE)*HLOOKUP($B$5,Věci!$R$2:$T$10,MATCH($B$2,Věci!$R$2:$R$10,0),FALSE)*L38*HLOOKUP(Věci!$Y$2,Věci!$W$2:$Y$7,MATCH(IF($N$11="Sebe",$B$3,$N$11),Věci!$W$2:$W$7,0),FALSE)</f>
        <v>0</v>
      </c>
      <c r="P38" s="157" t="s">
        <v>360</v>
      </c>
      <c r="Q38" s="157"/>
      <c r="R38" s="392">
        <f>HLOOKUP(Věci!$E$2,Věci!$A$2:$F$529,MATCH(P38,Věci!$A$2:$A$529,0),FALSE)*HLOOKUP($B$5,Věci!$R$2:$T$10,MATCH($B$2,Věci!$R$2:$R$10,0),FALSE)*Q38</f>
        <v>0</v>
      </c>
      <c r="T38" s="157" t="s">
        <v>4551</v>
      </c>
      <c r="U38" s="157"/>
      <c r="V38" s="392">
        <f>HLOOKUP(Věci!$E$2,Věci!$A$2:$F$529,MATCH(T38,Věci!$A$2:$A$529,0),FALSE)*HLOOKUP($B$5,Věci!$R$2:$T$10,MATCH($B$2,Věci!$R$2:$R$10,0),FALSE)*U38</f>
        <v>0</v>
      </c>
    </row>
    <row r="39" spans="1:22" ht="12.9" customHeight="1" x14ac:dyDescent="0.3">
      <c r="A39" s="157" t="s">
        <v>3825</v>
      </c>
      <c r="B39" s="157"/>
      <c r="C39" s="392">
        <f>HLOOKUP(Věci!$E$2,Věci!$A$2:$F$529,MATCH(A39,Věci!$A$2:$A$529,0),FALSE)*HLOOKUP($B$5,Věci!$R$2:$T$10,MATCH($B$2,Věci!$R$2:$R$10,0),FALSE)*B39</f>
        <v>0</v>
      </c>
      <c r="K39" s="157" t="s">
        <v>1184</v>
      </c>
      <c r="L39" s="157"/>
      <c r="M39" s="392">
        <f>HLOOKUP(Věci!$E$2,Věci!$A$2:$F$529,MATCH(K39,Věci!$A$2:$A$529,0),FALSE)*HLOOKUP($B$5,Věci!$R$2:$T$10,MATCH($B$2,Věci!$R$2:$R$10,0),FALSE)*L39*HLOOKUP(Věci!$Y$2,Věci!$W$2:$Y$7,MATCH(IF($N$11="Sebe",$B$3,$N$11),Věci!$W$2:$W$7,0),FALSE)</f>
        <v>0</v>
      </c>
      <c r="P39" s="157" t="s">
        <v>513</v>
      </c>
      <c r="Q39" s="157"/>
      <c r="R39" s="392">
        <f>HLOOKUP(Věci!$E$2,Věci!$A$2:$F$529,MATCH(P39,Věci!$A$2:$A$529,0),FALSE)*HLOOKUP($B$5,Věci!$R$2:$T$10,MATCH($B$2,Věci!$R$2:$R$10,0),FALSE)*Q39</f>
        <v>0</v>
      </c>
      <c r="T39" s="157" t="s">
        <v>3796</v>
      </c>
      <c r="U39" s="157"/>
      <c r="V39" s="392">
        <f>HLOOKUP(Věci!$E$2,Věci!$A$2:$F$529,MATCH(T39,Věci!$A$2:$A$529,0),FALSE)*HLOOKUP($B$5,Věci!$R$2:$T$10,MATCH($B$2,Věci!$R$2:$R$10,0),FALSE)*U39</f>
        <v>0</v>
      </c>
    </row>
    <row r="40" spans="1:22" ht="12.9" customHeight="1" x14ac:dyDescent="0.3">
      <c r="A40" s="157" t="s">
        <v>3831</v>
      </c>
      <c r="B40" s="157"/>
      <c r="C40" s="392">
        <f>HLOOKUP(Věci!$E$2,Věci!$A$2:$F$529,MATCH(A40,Věci!$A$2:$A$529,0),FALSE)*HLOOKUP($B$5,Věci!$R$2:$T$10,MATCH($B$2,Věci!$R$2:$R$10,0),FALSE)*B40</f>
        <v>0</v>
      </c>
      <c r="K40" s="157" t="s">
        <v>1185</v>
      </c>
      <c r="L40" s="157"/>
      <c r="M40" s="392">
        <f>HLOOKUP(Věci!$E$2,Věci!$A$2:$F$529,MATCH(K40,Věci!$A$2:$A$529,0),FALSE)*HLOOKUP($B$5,Věci!$R$2:$T$10,MATCH($B$2,Věci!$R$2:$R$10,0),FALSE)*L40*HLOOKUP(Věci!$Y$2,Věci!$W$2:$Y$7,MATCH(IF($N$11="Sebe",$B$3,$N$11),Věci!$W$2:$W$7,0),FALSE)</f>
        <v>0</v>
      </c>
      <c r="P40" s="157" t="s">
        <v>372</v>
      </c>
      <c r="Q40" s="157"/>
      <c r="R40" s="392">
        <f>HLOOKUP(Věci!$E$2,Věci!$A$2:$F$529,MATCH(P40,Věci!$A$2:$A$529,0),FALSE)*HLOOKUP($B$5,Věci!$R$2:$T$10,MATCH($B$2,Věci!$R$2:$R$10,0),FALSE)*Q40</f>
        <v>0</v>
      </c>
      <c r="T40" s="157" t="s">
        <v>4541</v>
      </c>
      <c r="U40" s="157"/>
      <c r="V40" s="392">
        <f>HLOOKUP(Věci!$E$2,Věci!$A$2:$F$529,MATCH(T40,Věci!$A$2:$A$529,0),FALSE)*HLOOKUP($B$5,Věci!$R$2:$T$10,MATCH($B$2,Věci!$R$2:$R$10,0),FALSE)*U40</f>
        <v>0</v>
      </c>
    </row>
    <row r="41" spans="1:22" ht="12.9" customHeight="1" x14ac:dyDescent="0.3">
      <c r="A41" s="157" t="s">
        <v>3830</v>
      </c>
      <c r="B41" s="157"/>
      <c r="C41" s="392">
        <f>HLOOKUP(Věci!$E$2,Věci!$A$2:$F$529,MATCH(A41,Věci!$A$2:$A$529,0),FALSE)*HLOOKUP($B$5,Věci!$R$2:$T$10,MATCH($B$2,Věci!$R$2:$R$10,0),FALSE)*B41</f>
        <v>0</v>
      </c>
      <c r="K41" s="157" t="s">
        <v>1186</v>
      </c>
      <c r="L41" s="157"/>
      <c r="M41" s="392">
        <f>HLOOKUP(Věci!$E$2,Věci!$A$2:$F$529,MATCH(K41,Věci!$A$2:$A$529,0),FALSE)*HLOOKUP($B$5,Věci!$R$2:$T$10,MATCH($B$2,Věci!$R$2:$R$10,0),FALSE)*L41*HLOOKUP(Věci!$Y$2,Věci!$W$2:$Y$7,MATCH(IF($N$11="Sebe",$B$3,$N$11),Věci!$W$2:$W$7,0),FALSE)</f>
        <v>0</v>
      </c>
      <c r="P41" s="157" t="s">
        <v>471</v>
      </c>
      <c r="Q41" s="157"/>
      <c r="R41" s="392">
        <f>HLOOKUP(Věci!$E$2,Věci!$A$2:$F$529,MATCH(P41,Věci!$A$2:$A$529,0),FALSE)*HLOOKUP($B$5,Věci!$R$2:$T$10,MATCH($B$2,Věci!$R$2:$R$10,0),FALSE)*Q41</f>
        <v>0</v>
      </c>
      <c r="T41" s="157" t="s">
        <v>4550</v>
      </c>
      <c r="U41" s="157"/>
      <c r="V41" s="392">
        <f>HLOOKUP(Věci!$E$2,Věci!$A$2:$F$529,MATCH(T41,Věci!$A$2:$A$529,0),FALSE)*HLOOKUP($B$5,Věci!$R$2:$T$10,MATCH($B$2,Věci!$R$2:$R$10,0),FALSE)*U41</f>
        <v>0</v>
      </c>
    </row>
    <row r="42" spans="1:22" ht="12.9" customHeight="1" x14ac:dyDescent="0.3">
      <c r="A42" s="157" t="s">
        <v>3829</v>
      </c>
      <c r="B42" s="157"/>
      <c r="C42" s="392">
        <f>HLOOKUP(Věci!$E$2,Věci!$A$2:$F$529,MATCH(A42,Věci!$A$2:$A$529,0),FALSE)*HLOOKUP($B$5,Věci!$R$2:$T$10,MATCH($B$2,Věci!$R$2:$R$10,0),FALSE)*B42</f>
        <v>0</v>
      </c>
      <c r="K42" s="157" t="s">
        <v>3879</v>
      </c>
      <c r="L42" s="157"/>
      <c r="M42" s="392">
        <f>HLOOKUP(Věci!$E$2,Věci!$A$2:$F$529,MATCH(K42,Věci!$A$2:$A$529,0),FALSE)*HLOOKUP($B$5,Věci!$R$2:$T$10,MATCH($B$2,Věci!$R$2:$R$10,0),FALSE)*L42*HLOOKUP(Věci!$Y$2,Věci!$W$2:$Y$7,MATCH(IF($N$11="Sebe",$B$3,$N$11),Věci!$W$2:$W$7,0),FALSE)</f>
        <v>0</v>
      </c>
      <c r="P42" s="157" t="s">
        <v>3187</v>
      </c>
      <c r="Q42" s="157"/>
      <c r="R42" s="392">
        <f>HLOOKUP(Věci!$E$2,Věci!$A$2:$F$529,MATCH(P42,Věci!$A$2:$A$529,0),FALSE)*HLOOKUP($B$5,Věci!$R$2:$T$10,MATCH($B$2,Věci!$R$2:$R$10,0),FALSE)*Q42</f>
        <v>0</v>
      </c>
      <c r="T42" s="157" t="s">
        <v>4573</v>
      </c>
      <c r="U42" s="157"/>
      <c r="V42" s="392">
        <f>HLOOKUP(Věci!$E$2,Věci!$A$2:$F$529,MATCH(T42,Věci!$A$2:$A$529,0),FALSE)*HLOOKUP($B$5,Věci!$R$2:$T$10,MATCH($B$2,Věci!$R$2:$R$10,0),FALSE)*U42</f>
        <v>0</v>
      </c>
    </row>
    <row r="43" spans="1:22" ht="12.9" customHeight="1" x14ac:dyDescent="0.3">
      <c r="A43" s="157" t="s">
        <v>3834</v>
      </c>
      <c r="B43" s="157"/>
      <c r="C43" s="392">
        <f>HLOOKUP(Věci!$E$2,Věci!$A$2:$F$529,MATCH(A43,Věci!$A$2:$A$529,0),FALSE)*HLOOKUP($B$5,Věci!$R$2:$T$10,MATCH($B$2,Věci!$R$2:$R$10,0),FALSE)*B43</f>
        <v>0</v>
      </c>
      <c r="K43" s="157" t="s">
        <v>1187</v>
      </c>
      <c r="L43" s="157"/>
      <c r="M43" s="392">
        <f>HLOOKUP(Věci!$E$2,Věci!$A$2:$F$529,MATCH(K43,Věci!$A$2:$A$529,0),FALSE)*HLOOKUP($B$5,Věci!$R$2:$T$10,MATCH($B$2,Věci!$R$2:$R$10,0),FALSE)*L43*HLOOKUP(Věci!$Y$2,Věci!$W$2:$Y$7,MATCH(IF($N$11="Sebe",$B$3,$N$11),Věci!$W$2:$W$7,0),FALSE)</f>
        <v>0</v>
      </c>
      <c r="P43" s="157" t="s">
        <v>982</v>
      </c>
      <c r="Q43" s="157"/>
      <c r="R43" s="392">
        <f>HLOOKUP(Věci!$E$2,Věci!$A$2:$F$529,MATCH(P43,Věci!$A$2:$A$529,0),FALSE)*HLOOKUP($B$5,Věci!$R$2:$T$10,MATCH($B$2,Věci!$R$2:$R$10,0),FALSE)*Q43</f>
        <v>0</v>
      </c>
      <c r="T43" s="157" t="s">
        <v>4570</v>
      </c>
      <c r="U43" s="157"/>
      <c r="V43" s="392">
        <f>HLOOKUP(Věci!$E$2,Věci!$A$2:$F$529,MATCH(T43,Věci!$A$2:$A$529,0),FALSE)*HLOOKUP($B$5,Věci!$R$2:$T$10,MATCH($B$2,Věci!$R$2:$R$10,0),FALSE)*U43</f>
        <v>0</v>
      </c>
    </row>
    <row r="44" spans="1:22" ht="12.9" customHeight="1" x14ac:dyDescent="0.3">
      <c r="A44" s="157" t="s">
        <v>3833</v>
      </c>
      <c r="B44" s="157"/>
      <c r="C44" s="392">
        <f>HLOOKUP(Věci!$E$2,Věci!$A$2:$F$529,MATCH(A44,Věci!$A$2:$A$529,0),FALSE)*HLOOKUP($B$5,Věci!$R$2:$T$10,MATCH($B$2,Věci!$R$2:$R$10,0),FALSE)*B44</f>
        <v>0</v>
      </c>
      <c r="K44" s="157" t="s">
        <v>1188</v>
      </c>
      <c r="L44" s="157"/>
      <c r="M44" s="392">
        <f>HLOOKUP(Věci!$E$2,Věci!$A$2:$F$529,MATCH(K44,Věci!$A$2:$A$529,0),FALSE)*HLOOKUP($B$5,Věci!$R$2:$T$10,MATCH($B$2,Věci!$R$2:$R$10,0),FALSE)*L44*HLOOKUP(Věci!$Y$2,Věci!$W$2:$Y$7,MATCH(IF($N$11="Sebe",$B$3,$N$11),Věci!$W$2:$W$7,0),FALSE)</f>
        <v>0</v>
      </c>
      <c r="P44" s="157" t="s">
        <v>506</v>
      </c>
      <c r="Q44" s="157"/>
      <c r="R44" s="392">
        <f>HLOOKUP(Věci!$E$2,Věci!$A$2:$F$529,MATCH(P44,Věci!$A$2:$A$529,0),FALSE)*HLOOKUP($B$5,Věci!$R$2:$T$10,MATCH($B$2,Věci!$R$2:$R$10,0),FALSE)*Q44</f>
        <v>0</v>
      </c>
      <c r="T44" s="157" t="s">
        <v>4579</v>
      </c>
      <c r="U44" s="157"/>
      <c r="V44" s="392">
        <f>HLOOKUP(Věci!$E$2,Věci!$A$2:$F$529,MATCH(T44,Věci!$A$2:$A$529,0),FALSE)*HLOOKUP($B$5,Věci!$R$2:$T$10,MATCH($B$2,Věci!$R$2:$R$10,0),FALSE)*U44</f>
        <v>0</v>
      </c>
    </row>
    <row r="45" spans="1:22" ht="12.9" customHeight="1" x14ac:dyDescent="0.3">
      <c r="A45" s="157" t="s">
        <v>3821</v>
      </c>
      <c r="B45" s="157"/>
      <c r="C45" s="392">
        <f>HLOOKUP(Věci!$E$2,Věci!$A$2:$F$529,MATCH(A45,Věci!$A$2:$A$529,0),FALSE)*HLOOKUP($B$5,Věci!$R$2:$T$10,MATCH($B$2,Věci!$R$2:$R$10,0),FALSE)*B45</f>
        <v>0</v>
      </c>
      <c r="K45" s="157" t="s">
        <v>1189</v>
      </c>
      <c r="L45" s="157"/>
      <c r="M45" s="392">
        <f>HLOOKUP(Věci!$E$2,Věci!$A$2:$F$529,MATCH(K45,Věci!$A$2:$A$529,0),FALSE)*HLOOKUP($B$5,Věci!$R$2:$T$10,MATCH($B$2,Věci!$R$2:$R$10,0),FALSE)*L45*HLOOKUP(Věci!$Y$2,Věci!$W$2:$Y$7,MATCH(IF($N$11="Sebe",$B$3,$N$11),Věci!$W$2:$W$7,0),FALSE)</f>
        <v>0</v>
      </c>
      <c r="P45" s="157" t="s">
        <v>508</v>
      </c>
      <c r="Q45" s="157"/>
      <c r="R45" s="392">
        <f>HLOOKUP(Věci!$E$2,Věci!$A$2:$F$529,MATCH(P45,Věci!$A$2:$A$529,0),FALSE)*HLOOKUP($B$5,Věci!$R$2:$T$10,MATCH($B$2,Věci!$R$2:$R$10,0),FALSE)*Q45</f>
        <v>0</v>
      </c>
      <c r="T45" s="157" t="s">
        <v>4572</v>
      </c>
      <c r="U45" s="157"/>
      <c r="V45" s="392">
        <f>HLOOKUP(Věci!$E$2,Věci!$A$2:$F$529,MATCH(T45,Věci!$A$2:$A$529,0),FALSE)*HLOOKUP($B$5,Věci!$R$2:$T$10,MATCH($B$2,Věci!$R$2:$R$10,0),FALSE)*U45</f>
        <v>0</v>
      </c>
    </row>
    <row r="46" spans="1:22" ht="12.9" customHeight="1" x14ac:dyDescent="0.3">
      <c r="A46" s="247" t="s">
        <v>4584</v>
      </c>
      <c r="B46" s="247"/>
      <c r="C46" s="247"/>
      <c r="K46" s="157" t="s">
        <v>927</v>
      </c>
      <c r="L46" s="157"/>
      <c r="M46" s="392">
        <f>HLOOKUP(Věci!$E$2,Věci!$A$2:$F$529,MATCH(K46,Věci!$A$2:$A$529,0),FALSE)*HLOOKUP($B$5,Věci!$R$2:$T$10,MATCH($B$2,Věci!$R$2:$R$10,0),FALSE)*L46*HLOOKUP(Věci!$Y$2,Věci!$W$2:$Y$7,MATCH(IF($N$11="Sebe",$B$3,$N$11),Věci!$W$2:$W$7,0),FALSE)</f>
        <v>0</v>
      </c>
      <c r="P46" s="157" t="s">
        <v>507</v>
      </c>
      <c r="Q46" s="157"/>
      <c r="R46" s="392">
        <f>HLOOKUP(Věci!$E$2,Věci!$A$2:$F$529,MATCH(P46,Věci!$A$2:$A$529,0),FALSE)*HLOOKUP($B$5,Věci!$R$2:$T$10,MATCH($B$2,Věci!$R$2:$R$10,0),FALSE)*Q46</f>
        <v>0</v>
      </c>
      <c r="T46" s="157" t="s">
        <v>2386</v>
      </c>
      <c r="U46" s="157"/>
      <c r="V46" s="392">
        <f>HLOOKUP(Věci!$E$2,Věci!$A$2:$F$529,MATCH(T46,Věci!$A$2:$A$529,0),FALSE)*HLOOKUP($B$5,Věci!$R$2:$T$10,MATCH($B$2,Věci!$R$2:$R$10,0),FALSE)*U46</f>
        <v>0</v>
      </c>
    </row>
    <row r="47" spans="1:22" ht="12.9" customHeight="1" x14ac:dyDescent="0.3">
      <c r="A47" s="157" t="s">
        <v>1268</v>
      </c>
      <c r="B47" s="157"/>
      <c r="C47" s="392">
        <f>HLOOKUP(Věci!$E$2,Věci!$A$2:$F$529,MATCH(A47,Věci!$A$2:$A$529,0),FALSE)*HLOOKUP($B$5,Věci!$R$2:$T$10,MATCH($B$2,Věci!$R$2:$R$10,0),FALSE)*B47</f>
        <v>0</v>
      </c>
      <c r="K47" s="247" t="s">
        <v>3886</v>
      </c>
      <c r="P47" s="157" t="s">
        <v>377</v>
      </c>
      <c r="Q47" s="157"/>
      <c r="R47" s="392">
        <f>HLOOKUP(Věci!$E$2,Věci!$A$2:$F$529,MATCH(P47,Věci!$A$2:$A$529,0),FALSE)*HLOOKUP($B$5,Věci!$R$2:$T$10,MATCH($B$2,Věci!$R$2:$R$10,0),FALSE)*Q47</f>
        <v>0</v>
      </c>
      <c r="T47" s="157" t="s">
        <v>3789</v>
      </c>
      <c r="U47" s="157"/>
      <c r="V47" s="392">
        <f>HLOOKUP(Věci!$E$2,Věci!$A$2:$F$529,MATCH(T47,Věci!$A$2:$A$529,0),FALSE)*HLOOKUP($B$5,Věci!$R$2:$T$10,MATCH($B$2,Věci!$R$2:$R$10,0),FALSE)*U47</f>
        <v>0</v>
      </c>
    </row>
    <row r="48" spans="1:22" ht="12.9" customHeight="1" x14ac:dyDescent="0.3">
      <c r="A48" s="157" t="s">
        <v>1267</v>
      </c>
      <c r="B48" s="157"/>
      <c r="C48" s="392">
        <f>HLOOKUP(Věci!$E$2,Věci!$A$2:$F$529,MATCH(A48,Věci!$A$2:$A$529,0),FALSE)*HLOOKUP($B$5,Věci!$R$2:$T$10,MATCH($B$2,Věci!$R$2:$R$10,0),FALSE)*B48</f>
        <v>0</v>
      </c>
      <c r="K48" s="157" t="s">
        <v>3882</v>
      </c>
      <c r="L48" s="157"/>
      <c r="M48" s="392">
        <f>HLOOKUP(Věci!$E$2,Věci!$A$2:$F$529,MATCH(K48,Věci!$A$2:$A$529,0),FALSE)*HLOOKUP($B$5,Věci!$R$2:$T$10,MATCH($B$2,Věci!$R$2:$R$10,0),FALSE)*L48*HLOOKUP(Věci!$Y$2,Věci!$W$2:$Y$7,MATCH(IF($N$11="Sebe",$B$3,$N$11),Věci!$W$2:$W$7,0),FALSE)</f>
        <v>0</v>
      </c>
      <c r="P48" s="157" t="s">
        <v>498</v>
      </c>
      <c r="Q48" s="157"/>
      <c r="R48" s="392">
        <f>HLOOKUP(Věci!$E$2,Věci!$A$2:$F$529,MATCH(P48,Věci!$A$2:$A$529,0),FALSE)*HLOOKUP($B$5,Věci!$R$2:$T$10,MATCH($B$2,Věci!$R$2:$R$10,0),FALSE)*Q48</f>
        <v>0</v>
      </c>
      <c r="T48" s="157" t="s">
        <v>4542</v>
      </c>
      <c r="U48" s="157"/>
      <c r="V48" s="392">
        <f>HLOOKUP(Věci!$E$2,Věci!$A$2:$F$529,MATCH(T48,Věci!$A$2:$A$529,0),FALSE)*HLOOKUP($B$5,Věci!$R$2:$T$10,MATCH($B$2,Věci!$R$2:$R$10,0),FALSE)*U48</f>
        <v>0</v>
      </c>
    </row>
    <row r="49" spans="1:22" ht="12.9" customHeight="1" x14ac:dyDescent="0.3">
      <c r="A49" s="157" t="s">
        <v>3835</v>
      </c>
      <c r="B49" s="157"/>
      <c r="C49" s="392">
        <f>HLOOKUP(Věci!$E$2,Věci!$A$2:$F$529,MATCH(A49,Věci!$A$2:$A$529,0),FALSE)*HLOOKUP($B$5,Věci!$R$2:$T$10,MATCH($B$2,Věci!$R$2:$R$10,0),FALSE)*B49</f>
        <v>0</v>
      </c>
      <c r="K49" s="157" t="s">
        <v>347</v>
      </c>
      <c r="L49" s="157"/>
      <c r="M49" s="392">
        <f>HLOOKUP(Věci!$E$2,Věci!$A$2:$F$529,MATCH(K49,Věci!$A$2:$A$529,0),FALSE)*HLOOKUP($B$5,Věci!$R$2:$T$10,MATCH($B$2,Věci!$R$2:$R$10,0),FALSE)*L49*HLOOKUP(Věci!$Y$2,Věci!$W$2:$Y$7,MATCH(IF($N$11="Sebe",$B$3,$N$11),Věci!$W$2:$W$7,0),FALSE)</f>
        <v>0</v>
      </c>
      <c r="P49" s="157" t="s">
        <v>504</v>
      </c>
      <c r="Q49" s="157"/>
      <c r="R49" s="392">
        <f>HLOOKUP(Věci!$E$2,Věci!$A$2:$F$529,MATCH(P49,Věci!$A$2:$A$529,0),FALSE)*HLOOKUP($B$5,Věci!$R$2:$T$10,MATCH($B$2,Věci!$R$2:$R$10,0),FALSE)*Q49</f>
        <v>0</v>
      </c>
      <c r="T49" s="157" t="s">
        <v>4543</v>
      </c>
      <c r="U49" s="157"/>
      <c r="V49" s="392">
        <f>HLOOKUP(Věci!$E$2,Věci!$A$2:$F$529,MATCH(T49,Věci!$A$2:$A$529,0),FALSE)*HLOOKUP($B$5,Věci!$R$2:$T$10,MATCH($B$2,Věci!$R$2:$R$10,0),FALSE)*U49</f>
        <v>0</v>
      </c>
    </row>
    <row r="50" spans="1:22" ht="12.9" customHeight="1" x14ac:dyDescent="0.3">
      <c r="A50" s="157" t="s">
        <v>1272</v>
      </c>
      <c r="B50" s="157"/>
      <c r="C50" s="392">
        <f>HLOOKUP(Věci!$E$2,Věci!$A$2:$F$529,MATCH(A50,Věci!$A$2:$A$529,0),FALSE)*HLOOKUP($B$5,Věci!$R$2:$T$10,MATCH($B$2,Věci!$R$2:$R$10,0),FALSE)*B50</f>
        <v>0</v>
      </c>
      <c r="K50" s="157" t="s">
        <v>3883</v>
      </c>
      <c r="L50" s="157"/>
      <c r="M50" s="392">
        <f>HLOOKUP(Věci!$E$2,Věci!$A$2:$F$529,MATCH(K50,Věci!$A$2:$A$529,0),FALSE)*HLOOKUP($B$5,Věci!$R$2:$T$10,MATCH($B$2,Věci!$R$2:$R$10,0),FALSE)*L50*HLOOKUP(Věci!$Y$2,Věci!$W$2:$Y$7,MATCH(IF($N$11="Sebe",$B$3,$N$11),Věci!$W$2:$W$7,0),FALSE)</f>
        <v>0</v>
      </c>
      <c r="P50" s="157" t="s">
        <v>495</v>
      </c>
      <c r="Q50" s="157"/>
      <c r="R50" s="392">
        <f>HLOOKUP(Věci!$E$2,Věci!$A$2:$F$529,MATCH(P50,Věci!$A$2:$A$529,0),FALSE)*HLOOKUP($B$5,Věci!$R$2:$T$10,MATCH($B$2,Věci!$R$2:$R$10,0),FALSE)*Q50</f>
        <v>0</v>
      </c>
      <c r="T50" s="157" t="s">
        <v>3792</v>
      </c>
      <c r="U50" s="157"/>
      <c r="V50" s="392">
        <f>HLOOKUP(Věci!$E$2,Věci!$A$2:$F$529,MATCH(T50,Věci!$A$2:$A$529,0),FALSE)*HLOOKUP($B$5,Věci!$R$2:$T$10,MATCH($B$2,Věci!$R$2:$R$10,0),FALSE)*U50</f>
        <v>0</v>
      </c>
    </row>
    <row r="51" spans="1:22" ht="12.9" customHeight="1" x14ac:dyDescent="0.3">
      <c r="A51" s="157" t="s">
        <v>1269</v>
      </c>
      <c r="B51" s="157"/>
      <c r="C51" s="392">
        <f>HLOOKUP(Věci!$E$2,Věci!$A$2:$F$529,MATCH(A51,Věci!$A$2:$A$529,0),FALSE)*HLOOKUP($B$5,Věci!$R$2:$T$10,MATCH($B$2,Věci!$R$2:$R$10,0),FALSE)*B51</f>
        <v>0</v>
      </c>
      <c r="K51" s="157" t="s">
        <v>3884</v>
      </c>
      <c r="L51" s="157"/>
      <c r="M51" s="392">
        <f>HLOOKUP(Věci!$E$2,Věci!$A$2:$F$529,MATCH(K51,Věci!$A$2:$A$529,0),FALSE)*HLOOKUP($B$5,Věci!$R$2:$T$10,MATCH($B$2,Věci!$R$2:$R$10,0),FALSE)*L51*HLOOKUP(Věci!$Y$2,Věci!$W$2:$Y$7,MATCH(IF($N$11="Sebe",$B$3,$N$11),Věci!$W$2:$W$7,0),FALSE)</f>
        <v>0</v>
      </c>
      <c r="P51" s="157" t="s">
        <v>503</v>
      </c>
      <c r="Q51" s="157"/>
      <c r="R51" s="392">
        <f>HLOOKUP(Věci!$E$2,Věci!$A$2:$F$529,MATCH(P51,Věci!$A$2:$A$529,0),FALSE)*HLOOKUP($B$5,Věci!$R$2:$T$10,MATCH($B$2,Věci!$R$2:$R$10,0),FALSE)*Q51</f>
        <v>0</v>
      </c>
      <c r="T51" s="157" t="s">
        <v>3793</v>
      </c>
      <c r="U51" s="157"/>
      <c r="V51" s="392">
        <f>HLOOKUP(Věci!$E$2,Věci!$A$2:$F$529,MATCH(T51,Věci!$A$2:$A$529,0),FALSE)*HLOOKUP($B$5,Věci!$R$2:$T$10,MATCH($B$2,Věci!$R$2:$R$10,0),FALSE)*U51</f>
        <v>0</v>
      </c>
    </row>
    <row r="52" spans="1:22" ht="12.9" customHeight="1" x14ac:dyDescent="0.3">
      <c r="A52" s="157" t="s">
        <v>4495</v>
      </c>
      <c r="B52" s="157"/>
      <c r="C52" s="392" t="e">
        <f>HLOOKUP(Věci!$E$2,Věci!$A$2:$F$529,MATCH(A52,Věci!$A$2:$A$529,0),FALSE)*HLOOKUP($B$5,Věci!$R$2:$T$10,MATCH($B$2,Věci!$R$2:$R$10,0),FALSE)*B52</f>
        <v>#N/A</v>
      </c>
      <c r="K52" s="157" t="s">
        <v>3885</v>
      </c>
      <c r="L52" s="157"/>
      <c r="M52" s="392">
        <f>HLOOKUP(Věci!$E$2,Věci!$A$2:$F$529,MATCH(K52,Věci!$A$2:$A$529,0),FALSE)*HLOOKUP($B$5,Věci!$R$2:$T$10,MATCH($B$2,Věci!$R$2:$R$10,0),FALSE)*L52*HLOOKUP(Věci!$Y$2,Věci!$W$2:$Y$7,MATCH(IF($N$11="Sebe",$B$3,$N$11),Věci!$W$2:$W$7,0),FALSE)</f>
        <v>0</v>
      </c>
      <c r="P52" s="157" t="s">
        <v>496</v>
      </c>
      <c r="Q52" s="157"/>
      <c r="R52" s="392">
        <f>HLOOKUP(Věci!$E$2,Věci!$A$2:$F$529,MATCH(P52,Věci!$A$2:$A$529,0),FALSE)*HLOOKUP($B$5,Věci!$R$2:$T$10,MATCH($B$2,Věci!$R$2:$R$10,0),FALSE)*Q52</f>
        <v>0</v>
      </c>
      <c r="T52" s="157" t="s">
        <v>3791</v>
      </c>
      <c r="U52" s="157"/>
      <c r="V52" s="392">
        <f>HLOOKUP(Věci!$E$2,Věci!$A$2:$F$529,MATCH(T52,Věci!$A$2:$A$529,0),FALSE)*HLOOKUP($B$5,Věci!$R$2:$T$10,MATCH($B$2,Věci!$R$2:$R$10,0),FALSE)*U52</f>
        <v>0</v>
      </c>
    </row>
    <row r="53" spans="1:22" ht="12.9" customHeight="1" x14ac:dyDescent="0.3">
      <c r="A53" s="157" t="s">
        <v>4499</v>
      </c>
      <c r="B53" s="157"/>
      <c r="C53" s="392">
        <f>HLOOKUP(Věci!$E$2,Věci!$A$2:$F$529,MATCH(A53,Věci!$A$2:$A$529,0),FALSE)*HLOOKUP($B$5,Věci!$R$2:$T$10,MATCH($B$2,Věci!$R$2:$R$10,0),FALSE)*B53</f>
        <v>0</v>
      </c>
      <c r="K53" s="247" t="s">
        <v>3889</v>
      </c>
      <c r="P53" s="157" t="s">
        <v>505</v>
      </c>
      <c r="Q53" s="157"/>
      <c r="R53" s="392">
        <f>HLOOKUP(Věci!$E$2,Věci!$A$2:$F$529,MATCH(P53,Věci!$A$2:$A$529,0),FALSE)*HLOOKUP($B$5,Věci!$R$2:$T$10,MATCH($B$2,Věci!$R$2:$R$10,0),FALSE)*Q53</f>
        <v>0</v>
      </c>
      <c r="T53" s="157" t="s">
        <v>4578</v>
      </c>
      <c r="U53" s="157"/>
      <c r="V53" s="392">
        <f>HLOOKUP(Věci!$E$2,Věci!$A$2:$F$529,MATCH(T53,Věci!$A$2:$A$529,0),FALSE)*HLOOKUP($B$5,Věci!$R$2:$T$10,MATCH($B$2,Věci!$R$2:$R$10,0),FALSE)*U53</f>
        <v>0</v>
      </c>
    </row>
    <row r="54" spans="1:22" ht="12.9" customHeight="1" x14ac:dyDescent="0.3">
      <c r="A54" s="157" t="s">
        <v>436</v>
      </c>
      <c r="B54" s="157"/>
      <c r="C54" s="392">
        <f>HLOOKUP(Věci!$E$2,Věci!$A$2:$F$529,MATCH(A54,Věci!$A$2:$A$529,0),FALSE)*HLOOKUP($B$5,Věci!$R$2:$T$10,MATCH($B$2,Věci!$R$2:$R$10,0),FALSE)*B54</f>
        <v>0</v>
      </c>
      <c r="K54" s="404" t="s">
        <v>1289</v>
      </c>
      <c r="L54" s="157"/>
      <c r="M54" s="392">
        <f>HLOOKUP(Věci!$E$2,Věci!$A$2:$F$529,MATCH(K54,Věci!$A$2:$A$529,0),FALSE)*HLOOKUP($B$5,Věci!$R$2:$T$10,MATCH($B$2,Věci!$R$2:$R$10,0),FALSE)*L54*HLOOKUP(Věci!$Y$2,Věci!$W$2:$Y$7,MATCH(IF($N$11="Sebe",$B$3,$N$11),Věci!$W$2:$W$7,0),FALSE)</f>
        <v>0</v>
      </c>
      <c r="P54" s="157" t="s">
        <v>370</v>
      </c>
      <c r="Q54" s="157"/>
      <c r="R54" s="392">
        <f>HLOOKUP(Věci!$E$2,Věci!$A$2:$F$529,MATCH(P54,Věci!$A$2:$A$529,0),FALSE)*HLOOKUP($B$5,Věci!$R$2:$T$10,MATCH($B$2,Věci!$R$2:$R$10,0),FALSE)*Q54</f>
        <v>0</v>
      </c>
      <c r="T54" s="157" t="s">
        <v>4581</v>
      </c>
      <c r="U54" s="157"/>
      <c r="V54" s="392">
        <f>HLOOKUP(Věci!$E$2,Věci!$A$2:$F$529,MATCH(T54,Věci!$A$2:$A$529,0),FALSE)*HLOOKUP($B$5,Věci!$R$2:$T$10,MATCH($B$2,Věci!$R$2:$R$10,0),FALSE)*U54</f>
        <v>0</v>
      </c>
    </row>
    <row r="55" spans="1:22" ht="12.9" customHeight="1" x14ac:dyDescent="0.3">
      <c r="A55" s="157" t="s">
        <v>1273</v>
      </c>
      <c r="B55" s="157"/>
      <c r="C55" s="392">
        <f>HLOOKUP(Věci!$E$2,Věci!$A$2:$F$529,MATCH(A55,Věci!$A$2:$A$529,0),FALSE)*HLOOKUP($B$5,Věci!$R$2:$T$10,MATCH($B$2,Věci!$R$2:$R$10,0),FALSE)*B55</f>
        <v>0</v>
      </c>
      <c r="K55" s="405" t="s">
        <v>337</v>
      </c>
      <c r="L55" s="157"/>
      <c r="M55" s="392">
        <f>HLOOKUP(Věci!$E$2,Věci!$A$2:$F$529,MATCH(K55,Věci!$A$2:$A$529,0),FALSE)*HLOOKUP($B$5,Věci!$R$2:$T$10,MATCH($B$2,Věci!$R$2:$R$10,0),FALSE)*L55*HLOOKUP(Věci!$Y$2,Věci!$W$2:$Y$7,MATCH(IF($N$11="Sebe",$B$3,$N$11),Věci!$W$2:$W$7,0),FALSE)</f>
        <v>0</v>
      </c>
      <c r="P55" s="157" t="s">
        <v>374</v>
      </c>
      <c r="Q55" s="157"/>
      <c r="R55" s="392">
        <f>HLOOKUP(Věci!$E$2,Věci!$A$2:$F$529,MATCH(P55,Věci!$A$2:$A$529,0),FALSE)*HLOOKUP($B$5,Věci!$R$2:$T$10,MATCH($B$2,Věci!$R$2:$R$10,0),FALSE)*Q55</f>
        <v>0</v>
      </c>
      <c r="T55" s="157" t="s">
        <v>4577</v>
      </c>
      <c r="U55" s="157"/>
      <c r="V55" s="392">
        <f>HLOOKUP(Věci!$E$2,Věci!$A$2:$F$529,MATCH(T55,Věci!$A$2:$A$529,0),FALSE)*HLOOKUP($B$5,Věci!$R$2:$T$10,MATCH($B$2,Věci!$R$2:$R$10,0),FALSE)*U55</f>
        <v>0</v>
      </c>
    </row>
    <row r="56" spans="1:22" ht="12.9" customHeight="1" x14ac:dyDescent="0.3">
      <c r="A56" s="157" t="s">
        <v>1270</v>
      </c>
      <c r="B56" s="157"/>
      <c r="C56" s="392">
        <f>HLOOKUP(Věci!$E$2,Věci!$A$2:$F$529,MATCH(A56,Věci!$A$2:$A$529,0),FALSE)*HLOOKUP($B$5,Věci!$R$2:$T$10,MATCH($B$2,Věci!$R$2:$R$10,0),FALSE)*B56</f>
        <v>0</v>
      </c>
      <c r="K56" s="405" t="s">
        <v>1173</v>
      </c>
      <c r="L56" s="157"/>
      <c r="M56" s="392">
        <f>HLOOKUP(Věci!$E$2,Věci!$A$2:$F$529,MATCH(K56,Věci!$A$2:$A$529,0),FALSE)*HLOOKUP($B$5,Věci!$R$2:$T$10,MATCH($B$2,Věci!$R$2:$R$10,0),FALSE)*L56*HLOOKUP(Věci!$Y$2,Věci!$W$2:$Y$7,MATCH(IF($N$11="Sebe",$B$3,$N$11),Věci!$W$2:$W$7,0),FALSE)</f>
        <v>0</v>
      </c>
      <c r="P56" s="157" t="s">
        <v>972</v>
      </c>
      <c r="Q56" s="157"/>
      <c r="R56" s="392">
        <f>HLOOKUP(Věci!$E$2,Věci!$A$2:$F$529,MATCH(P56,Věci!$A$2:$A$529,0),FALSE)*HLOOKUP($B$5,Věci!$R$2:$T$10,MATCH($B$2,Věci!$R$2:$R$10,0),FALSE)*Q56</f>
        <v>0</v>
      </c>
      <c r="T56" s="157" t="s">
        <v>4580</v>
      </c>
      <c r="U56" s="157"/>
      <c r="V56" s="392">
        <f>HLOOKUP(Věci!$E$2,Věci!$A$2:$F$529,MATCH(T56,Věci!$A$2:$A$529,0),FALSE)*HLOOKUP($B$5,Věci!$R$2:$T$10,MATCH($B$2,Věci!$R$2:$R$10,0),FALSE)*U56</f>
        <v>0</v>
      </c>
    </row>
    <row r="57" spans="1:22" ht="12.9" customHeight="1" x14ac:dyDescent="0.3">
      <c r="A57" s="157" t="s">
        <v>441</v>
      </c>
      <c r="B57" s="157"/>
      <c r="C57" s="392">
        <f>HLOOKUP(Věci!$E$2,Věci!$A$2:$F$529,MATCH(A57,Věci!$A$2:$A$529,0),FALSE)*HLOOKUP($B$5,Věci!$R$2:$T$10,MATCH($B$2,Věci!$R$2:$R$10,0),FALSE)*B57</f>
        <v>0</v>
      </c>
      <c r="K57" s="405" t="s">
        <v>327</v>
      </c>
      <c r="L57" s="157"/>
      <c r="M57" s="392">
        <f>HLOOKUP(Věci!$E$2,Věci!$A$2:$F$529,MATCH(K57,Věci!$A$2:$A$529,0),FALSE)*HLOOKUP($B$5,Věci!$R$2:$T$10,MATCH($B$2,Věci!$R$2:$R$10,0),FALSE)*L57*HLOOKUP(Věci!$Y$2,Věci!$W$2:$Y$7,MATCH(IF($N$11="Sebe",$B$3,$N$11),Věci!$W$2:$W$7,0),FALSE)</f>
        <v>0</v>
      </c>
      <c r="P57" s="157" t="s">
        <v>509</v>
      </c>
      <c r="Q57" s="157"/>
      <c r="R57" s="392">
        <f>HLOOKUP(Věci!$E$2,Věci!$A$2:$F$529,MATCH(P57,Věci!$A$2:$A$529,0),FALSE)*HLOOKUP($B$5,Věci!$R$2:$T$10,MATCH($B$2,Věci!$R$2:$R$10,0),FALSE)*Q57</f>
        <v>0</v>
      </c>
      <c r="T57" s="157" t="s">
        <v>4575</v>
      </c>
      <c r="U57" s="157"/>
      <c r="V57" s="392">
        <f>HLOOKUP(Věci!$E$2,Věci!$A$2:$F$529,MATCH(T57,Věci!$A$2:$A$529,0),FALSE)*HLOOKUP($B$5,Věci!$R$2:$T$10,MATCH($B$2,Věci!$R$2:$R$10,0),FALSE)*U57</f>
        <v>0</v>
      </c>
    </row>
    <row r="58" spans="1:22" ht="12.9" customHeight="1" x14ac:dyDescent="0.3">
      <c r="A58" s="157" t="s">
        <v>442</v>
      </c>
      <c r="B58" s="157"/>
      <c r="C58" s="392">
        <f>HLOOKUP(Věci!$E$2,Věci!$A$2:$F$529,MATCH(A58,Věci!$A$2:$A$529,0),FALSE)*HLOOKUP($B$5,Věci!$R$2:$T$10,MATCH($B$2,Věci!$R$2:$R$10,0),FALSE)*B58</f>
        <v>0</v>
      </c>
      <c r="K58" s="404" t="s">
        <v>1287</v>
      </c>
      <c r="L58" s="157"/>
      <c r="M58" s="392">
        <f>HLOOKUP(Věci!$E$2,Věci!$A$2:$F$529,MATCH(K58,Věci!$A$2:$A$529,0),FALSE)*HLOOKUP($B$5,Věci!$R$2:$T$10,MATCH($B$2,Věci!$R$2:$R$10,0),FALSE)*L58*HLOOKUP(Věci!$Y$2,Věci!$W$2:$Y$7,MATCH(IF($N$11="Sebe",$B$3,$N$11),Věci!$W$2:$W$7,0),FALSE)</f>
        <v>0</v>
      </c>
      <c r="P58" s="157" t="s">
        <v>512</v>
      </c>
      <c r="Q58" s="157"/>
      <c r="R58" s="392">
        <f>HLOOKUP(Věci!$E$2,Věci!$A$2:$F$529,MATCH(P58,Věci!$A$2:$A$529,0),FALSE)*HLOOKUP($B$5,Věci!$R$2:$T$10,MATCH($B$2,Věci!$R$2:$R$10,0),FALSE)*Q58</f>
        <v>0</v>
      </c>
      <c r="T58" s="157" t="s">
        <v>527</v>
      </c>
      <c r="U58" s="157"/>
      <c r="V58" s="392">
        <f>HLOOKUP(Věci!$E$2,Věci!$A$2:$F$529,MATCH(T58,Věci!$A$2:$A$529,0),FALSE)*HLOOKUP($B$5,Věci!$R$2:$T$10,MATCH($B$2,Věci!$R$2:$R$10,0),FALSE)*U58</f>
        <v>0</v>
      </c>
    </row>
    <row r="59" spans="1:22" ht="12.9" customHeight="1" x14ac:dyDescent="0.3">
      <c r="A59" s="157" t="s">
        <v>443</v>
      </c>
      <c r="B59" s="157"/>
      <c r="C59" s="392">
        <f>HLOOKUP(Věci!$E$2,Věci!$A$2:$F$529,MATCH(A59,Věci!$A$2:$A$529,0),FALSE)*HLOOKUP($B$5,Věci!$R$2:$T$10,MATCH($B$2,Věci!$R$2:$R$10,0),FALSE)*B59</f>
        <v>0</v>
      </c>
      <c r="K59" s="405" t="s">
        <v>338</v>
      </c>
      <c r="L59" s="157"/>
      <c r="M59" s="392">
        <f>HLOOKUP(Věci!$E$2,Věci!$A$2:$F$529,MATCH(K59,Věci!$A$2:$A$529,0),FALSE)*HLOOKUP($B$5,Věci!$R$2:$T$10,MATCH($B$2,Věci!$R$2:$R$10,0),FALSE)*L59*HLOOKUP(Věci!$Y$2,Věci!$W$2:$Y$7,MATCH(IF($N$11="Sebe",$B$3,$N$11),Věci!$W$2:$W$7,0),FALSE)</f>
        <v>0</v>
      </c>
      <c r="P59" s="157" t="s">
        <v>510</v>
      </c>
      <c r="Q59" s="157"/>
      <c r="R59" s="392">
        <f>HLOOKUP(Věci!$E$2,Věci!$A$2:$F$529,MATCH(P59,Věci!$A$2:$A$529,0),FALSE)*HLOOKUP($B$5,Věci!$R$2:$T$10,MATCH($B$2,Věci!$R$2:$R$10,0),FALSE)*Q59</f>
        <v>0</v>
      </c>
      <c r="T59" s="157" t="s">
        <v>4576</v>
      </c>
      <c r="U59" s="157"/>
      <c r="V59" s="392">
        <f>HLOOKUP(Věci!$E$2,Věci!$A$2:$F$529,MATCH(T59,Věci!$A$2:$A$529,0),FALSE)*HLOOKUP($B$5,Věci!$R$2:$T$10,MATCH($B$2,Věci!$R$2:$R$10,0),FALSE)*U59</f>
        <v>0</v>
      </c>
    </row>
    <row r="60" spans="1:22" ht="12.9" customHeight="1" x14ac:dyDescent="0.3">
      <c r="A60" s="157" t="s">
        <v>444</v>
      </c>
      <c r="B60" s="157"/>
      <c r="C60" s="392">
        <f>HLOOKUP(Věci!$E$2,Věci!$A$2:$F$529,MATCH(A60,Věci!$A$2:$A$529,0),FALSE)*HLOOKUP($B$5,Věci!$R$2:$T$10,MATCH($B$2,Věci!$R$2:$R$10,0),FALSE)*B60</f>
        <v>0</v>
      </c>
      <c r="K60" s="405" t="s">
        <v>1281</v>
      </c>
      <c r="L60" s="157"/>
      <c r="M60" s="392">
        <f>HLOOKUP(Věci!$E$2,Věci!$A$2:$F$529,MATCH(K60,Věci!$A$2:$A$529,0),FALSE)*HLOOKUP($B$5,Věci!$R$2:$T$10,MATCH($B$2,Věci!$R$2:$R$10,0),FALSE)*L60*HLOOKUP(Věci!$Y$2,Věci!$W$2:$Y$7,MATCH(IF($N$11="Sebe",$B$3,$N$11),Věci!$W$2:$W$7,0),FALSE)</f>
        <v>0</v>
      </c>
      <c r="P60" s="157" t="s">
        <v>511</v>
      </c>
      <c r="Q60" s="157"/>
      <c r="R60" s="392">
        <f>HLOOKUP(Věci!$E$2,Věci!$A$2:$F$529,MATCH(P60,Věci!$A$2:$A$529,0),FALSE)*HLOOKUP($B$5,Věci!$R$2:$T$10,MATCH($B$2,Věci!$R$2:$R$10,0),FALSE)*Q60</f>
        <v>0</v>
      </c>
      <c r="T60" s="157" t="s">
        <v>4564</v>
      </c>
      <c r="U60" s="157"/>
      <c r="V60" s="392">
        <f>HLOOKUP(Věci!$E$2,Věci!$A$2:$F$529,MATCH(T60,Věci!$A$2:$A$529,0),FALSE)*HLOOKUP($B$5,Věci!$R$2:$T$10,MATCH($B$2,Věci!$R$2:$R$10,0),FALSE)*U60</f>
        <v>0</v>
      </c>
    </row>
    <row r="61" spans="1:22" ht="12.9" customHeight="1" x14ac:dyDescent="0.3">
      <c r="A61" s="157" t="s">
        <v>439</v>
      </c>
      <c r="B61" s="157"/>
      <c r="C61" s="392">
        <f>HLOOKUP(Věci!$E$2,Věci!$A$2:$F$529,MATCH(A61,Věci!$A$2:$A$529,0),FALSE)*HLOOKUP($B$5,Věci!$R$2:$T$10,MATCH($B$2,Věci!$R$2:$R$10,0),FALSE)*B61</f>
        <v>0</v>
      </c>
      <c r="K61" s="405" t="s">
        <v>1174</v>
      </c>
      <c r="L61" s="157"/>
      <c r="M61" s="392">
        <f>HLOOKUP(Věci!$E$2,Věci!$A$2:$F$529,MATCH(K61,Věci!$A$2:$A$529,0),FALSE)*HLOOKUP($B$5,Věci!$R$2:$T$10,MATCH($B$2,Věci!$R$2:$R$10,0),FALSE)*L61*HLOOKUP(Věci!$Y$2,Věci!$W$2:$Y$7,MATCH(IF($N$11="Sebe",$B$3,$N$11),Věci!$W$2:$W$7,0),FALSE)</f>
        <v>0</v>
      </c>
      <c r="P61" s="157" t="s">
        <v>1147</v>
      </c>
      <c r="Q61" s="157"/>
      <c r="R61" s="392">
        <f>HLOOKUP(Věci!$E$2,Věci!$A$2:$F$529,MATCH(P61,Věci!$A$2:$A$529,0),FALSE)*HLOOKUP($B$5,Věci!$R$2:$T$10,MATCH($B$2,Věci!$R$2:$R$10,0),FALSE)*Q61</f>
        <v>0</v>
      </c>
      <c r="T61" s="157" t="s">
        <v>4565</v>
      </c>
      <c r="U61" s="157"/>
      <c r="V61" s="392">
        <f>HLOOKUP(Věci!$E$2,Věci!$A$2:$F$529,MATCH(T61,Věci!$A$2:$A$529,0),FALSE)*HLOOKUP($B$5,Věci!$R$2:$T$10,MATCH($B$2,Věci!$R$2:$R$10,0),FALSE)*U61</f>
        <v>0</v>
      </c>
    </row>
    <row r="62" spans="1:22" ht="12.9" customHeight="1" x14ac:dyDescent="0.3">
      <c r="A62" s="157" t="s">
        <v>440</v>
      </c>
      <c r="B62" s="157"/>
      <c r="C62" s="392">
        <f>HLOOKUP(Věci!$E$2,Věci!$A$2:$F$529,MATCH(A62,Věci!$A$2:$A$529,0),FALSE)*HLOOKUP($B$5,Věci!$R$2:$T$10,MATCH($B$2,Věci!$R$2:$R$10,0),FALSE)*B62</f>
        <v>0</v>
      </c>
      <c r="K62" s="405" t="s">
        <v>334</v>
      </c>
      <c r="L62" s="157"/>
      <c r="M62" s="392">
        <f>HLOOKUP(Věci!$E$2,Věci!$A$2:$F$529,MATCH(K62,Věci!$A$2:$A$529,0),FALSE)*HLOOKUP($B$5,Věci!$R$2:$T$10,MATCH($B$2,Věci!$R$2:$R$10,0),FALSE)*L62*HLOOKUP(Věci!$Y$2,Věci!$W$2:$Y$7,MATCH(IF($N$11="Sebe",$B$3,$N$11),Věci!$W$2:$W$7,0),FALSE)</f>
        <v>0</v>
      </c>
      <c r="P62" s="157" t="s">
        <v>973</v>
      </c>
      <c r="Q62" s="157"/>
      <c r="R62" s="392">
        <f>HLOOKUP(Věci!$E$2,Věci!$A$2:$F$529,MATCH(P62,Věci!$A$2:$A$529,0),FALSE)*HLOOKUP($B$5,Věci!$R$2:$T$10,MATCH($B$2,Věci!$R$2:$R$10,0),FALSE)*Q62</f>
        <v>0</v>
      </c>
      <c r="T62" s="157" t="s">
        <v>4563</v>
      </c>
      <c r="U62" s="157"/>
      <c r="V62" s="392">
        <f>HLOOKUP(Věci!$E$2,Věci!$A$2:$F$529,MATCH(T62,Věci!$A$2:$A$529,0),FALSE)*HLOOKUP($B$5,Věci!$R$2:$T$10,MATCH($B$2,Věci!$R$2:$R$10,0),FALSE)*U62</f>
        <v>0</v>
      </c>
    </row>
    <row r="63" spans="1:22" ht="12.9" customHeight="1" x14ac:dyDescent="0.3">
      <c r="A63" s="157" t="s">
        <v>1274</v>
      </c>
      <c r="B63" s="157"/>
      <c r="C63" s="392">
        <f>HLOOKUP(Věci!$E$2,Věci!$A$2:$F$529,MATCH(A63,Věci!$A$2:$A$529,0),FALSE)*HLOOKUP($B$5,Věci!$R$2:$T$10,MATCH($B$2,Věci!$R$2:$R$10,0),FALSE)*B63</f>
        <v>0</v>
      </c>
      <c r="K63" s="405" t="s">
        <v>327</v>
      </c>
      <c r="L63" s="157"/>
      <c r="M63" s="392">
        <f>HLOOKUP(Věci!$E$2,Věci!$A$2:$F$529,MATCH(K63,Věci!$A$2:$A$529,0),FALSE)*HLOOKUP($B$5,Věci!$R$2:$T$10,MATCH($B$2,Věci!$R$2:$R$10,0),FALSE)*L63*HLOOKUP(Věci!$Y$2,Věci!$W$2:$Y$7,MATCH(IF($N$11="Sebe",$B$3,$N$11),Věci!$W$2:$W$7,0),FALSE)</f>
        <v>0</v>
      </c>
      <c r="P63" s="157" t="s">
        <v>383</v>
      </c>
      <c r="Q63" s="157"/>
      <c r="R63" s="392">
        <f>HLOOKUP(Věci!$E$2,Věci!$A$2:$F$529,MATCH(P63,Věci!$A$2:$A$529,0),FALSE)*HLOOKUP($B$5,Věci!$R$2:$T$10,MATCH($B$2,Věci!$R$2:$R$10,0),FALSE)*Q63</f>
        <v>0</v>
      </c>
      <c r="T63" s="157" t="s">
        <v>4560</v>
      </c>
      <c r="U63" s="157"/>
      <c r="V63" s="392">
        <f>HLOOKUP(Věci!$E$2,Věci!$A$2:$F$529,MATCH(T63,Věci!$A$2:$A$529,0),FALSE)*HLOOKUP($B$5,Věci!$R$2:$T$10,MATCH($B$2,Věci!$R$2:$R$10,0),FALSE)*U63</f>
        <v>0</v>
      </c>
    </row>
    <row r="64" spans="1:22" ht="12.9" customHeight="1" x14ac:dyDescent="0.3">
      <c r="A64" s="157" t="s">
        <v>1275</v>
      </c>
      <c r="B64" s="157"/>
      <c r="C64" s="392">
        <f>HLOOKUP(Věci!$E$2,Věci!$A$2:$F$529,MATCH(A64,Věci!$A$2:$A$529,0),FALSE)*HLOOKUP($B$5,Věci!$R$2:$T$10,MATCH($B$2,Věci!$R$2:$R$10,0),FALSE)*B64</f>
        <v>0</v>
      </c>
      <c r="K64" s="404" t="s">
        <v>1288</v>
      </c>
      <c r="L64" s="157"/>
      <c r="M64" s="392">
        <f>HLOOKUP(Věci!$E$2,Věci!$A$2:$F$529,MATCH(K64,Věci!$A$2:$A$529,0),FALSE)*HLOOKUP($B$5,Věci!$R$2:$T$10,MATCH($B$2,Věci!$R$2:$R$10,0),FALSE)*L64*HLOOKUP(Věci!$Y$2,Věci!$W$2:$Y$7,MATCH(IF($N$11="Sebe",$B$3,$N$11),Věci!$W$2:$W$7,0),FALSE)</f>
        <v>0</v>
      </c>
      <c r="P64" s="157" t="s">
        <v>363</v>
      </c>
      <c r="Q64" s="157"/>
      <c r="R64" s="392">
        <f>HLOOKUP(Věci!$E$2,Věci!$A$2:$F$529,MATCH(P64,Věci!$A$2:$A$529,0),FALSE)*HLOOKUP($B$5,Věci!$R$2:$T$10,MATCH($B$2,Věci!$R$2:$R$10,0),FALSE)*Q64</f>
        <v>0</v>
      </c>
      <c r="T64" s="157" t="s">
        <v>4559</v>
      </c>
      <c r="U64" s="157"/>
      <c r="V64" s="392">
        <f>HLOOKUP(Věci!$E$2,Věci!$A$2:$F$529,MATCH(T64,Věci!$A$2:$A$529,0),FALSE)*HLOOKUP($B$5,Věci!$R$2:$T$10,MATCH($B$2,Věci!$R$2:$R$10,0),FALSE)*U64</f>
        <v>0</v>
      </c>
    </row>
    <row r="65" spans="1:22" ht="12.9" customHeight="1" x14ac:dyDescent="0.3">
      <c r="A65" s="157" t="s">
        <v>1266</v>
      </c>
      <c r="B65" s="157"/>
      <c r="C65" s="392">
        <f>HLOOKUP(Věci!$E$2,Věci!$A$2:$F$529,MATCH(A65,Věci!$A$2:$A$529,0),FALSE)*HLOOKUP($B$5,Věci!$R$2:$T$10,MATCH($B$2,Věci!$R$2:$R$10,0),FALSE)*B65</f>
        <v>0</v>
      </c>
      <c r="K65" s="405" t="s">
        <v>340</v>
      </c>
      <c r="L65" s="157"/>
      <c r="M65" s="392">
        <f>HLOOKUP(Věci!$E$2,Věci!$A$2:$F$529,MATCH(K65,Věci!$A$2:$A$529,0),FALSE)*HLOOKUP($B$5,Věci!$R$2:$T$10,MATCH($B$2,Věci!$R$2:$R$10,0),FALSE)*L65*HLOOKUP(Věci!$Y$2,Věci!$W$2:$Y$7,MATCH(IF($N$11="Sebe",$B$3,$N$11),Věci!$W$2:$W$7,0),FALSE)</f>
        <v>0</v>
      </c>
      <c r="P65" s="157" t="s">
        <v>375</v>
      </c>
      <c r="Q65" s="157"/>
      <c r="R65" s="392">
        <f>HLOOKUP(Věci!$E$2,Věci!$A$2:$F$529,MATCH(P65,Věci!$A$2:$A$529,0),FALSE)*HLOOKUP($B$5,Věci!$R$2:$T$10,MATCH($B$2,Věci!$R$2:$R$10,0),FALSE)*Q65</f>
        <v>0</v>
      </c>
      <c r="T65" s="157" t="s">
        <v>4566</v>
      </c>
      <c r="U65" s="157"/>
      <c r="V65" s="392">
        <f>HLOOKUP(Věci!$E$2,Věci!$A$2:$F$529,MATCH(T65,Věci!$A$2:$A$529,0),FALSE)*HLOOKUP($B$5,Věci!$R$2:$T$10,MATCH($B$2,Věci!$R$2:$R$10,0),FALSE)*U65</f>
        <v>0</v>
      </c>
    </row>
    <row r="66" spans="1:22" ht="12.9" customHeight="1" x14ac:dyDescent="0.3">
      <c r="A66" s="157" t="s">
        <v>4494</v>
      </c>
      <c r="B66" s="157"/>
      <c r="C66" s="392">
        <f>HLOOKUP(Věci!$E$2,Věci!$A$2:$F$529,MATCH(A66,Věci!$A$2:$A$529,0),FALSE)*HLOOKUP($B$5,Věci!$R$2:$T$10,MATCH($B$2,Věci!$R$2:$R$10,0),FALSE)*B66</f>
        <v>0</v>
      </c>
      <c r="K66" s="405" t="s">
        <v>1284</v>
      </c>
      <c r="L66" s="157"/>
      <c r="M66" s="392">
        <f>HLOOKUP(Věci!$E$2,Věci!$A$2:$F$529,MATCH(K66,Věci!$A$2:$A$529,0),FALSE)*HLOOKUP($B$5,Věci!$R$2:$T$10,MATCH($B$2,Věci!$R$2:$R$10,0),FALSE)*L66*HLOOKUP(Věci!$Y$2,Věci!$W$2:$Y$7,MATCH(IF($N$11="Sebe",$B$3,$N$11),Věci!$W$2:$W$7,0),FALSE)</f>
        <v>0</v>
      </c>
      <c r="P66" s="157" t="s">
        <v>382</v>
      </c>
      <c r="Q66" s="157"/>
      <c r="R66" s="392">
        <f>HLOOKUP(Věci!$E$2,Věci!$A$2:$F$529,MATCH(P66,Věci!$A$2:$A$529,0),FALSE)*HLOOKUP($B$5,Věci!$R$2:$T$10,MATCH($B$2,Věci!$R$2:$R$10,0),FALSE)*Q66</f>
        <v>0</v>
      </c>
      <c r="T66" s="157" t="s">
        <v>4561</v>
      </c>
      <c r="U66" s="157"/>
      <c r="V66" s="392">
        <f>HLOOKUP(Věci!$E$2,Věci!$A$2:$F$529,MATCH(T66,Věci!$A$2:$A$529,0),FALSE)*HLOOKUP($B$5,Věci!$R$2:$T$10,MATCH($B$2,Věci!$R$2:$R$10,0),FALSE)*U66</f>
        <v>0</v>
      </c>
    </row>
    <row r="67" spans="1:22" ht="12.9" customHeight="1" x14ac:dyDescent="0.3">
      <c r="A67" s="157" t="s">
        <v>1271</v>
      </c>
      <c r="B67" s="157"/>
      <c r="C67" s="392">
        <f>HLOOKUP(Věci!$E$2,Věci!$A$2:$F$529,MATCH(A67,Věci!$A$2:$A$529,0),FALSE)*HLOOKUP($B$5,Věci!$R$2:$T$10,MATCH($B$2,Věci!$R$2:$R$10,0),FALSE)*B67</f>
        <v>0</v>
      </c>
      <c r="K67" s="405" t="s">
        <v>1173</v>
      </c>
      <c r="L67" s="157"/>
      <c r="M67" s="392">
        <f>HLOOKUP(Věci!$E$2,Věci!$A$2:$F$529,MATCH(K67,Věci!$A$2:$A$529,0),FALSE)*HLOOKUP($B$5,Věci!$R$2:$T$10,MATCH($B$2,Věci!$R$2:$R$10,0),FALSE)*L67*HLOOKUP(Věci!$Y$2,Věci!$W$2:$Y$7,MATCH(IF($N$11="Sebe",$B$3,$N$11),Věci!$W$2:$W$7,0),FALSE)</f>
        <v>0</v>
      </c>
      <c r="P67" s="157" t="s">
        <v>380</v>
      </c>
      <c r="Q67" s="157"/>
      <c r="R67" s="392">
        <f>HLOOKUP(Věci!$E$2,Věci!$A$2:$F$529,MATCH(P67,Věci!$A$2:$A$529,0),FALSE)*HLOOKUP($B$5,Věci!$R$2:$T$10,MATCH($B$2,Věci!$R$2:$R$10,0),FALSE)*Q67</f>
        <v>0</v>
      </c>
      <c r="T67" s="157" t="s">
        <v>4562</v>
      </c>
      <c r="U67" s="157"/>
      <c r="V67" s="392">
        <f>HLOOKUP(Věci!$E$2,Věci!$A$2:$F$529,MATCH(T67,Věci!$A$2:$A$529,0),FALSE)*HLOOKUP($B$5,Věci!$R$2:$T$10,MATCH($B$2,Věci!$R$2:$R$10,0),FALSE)*U67</f>
        <v>0</v>
      </c>
    </row>
    <row r="68" spans="1:22" ht="12.9" customHeight="1" x14ac:dyDescent="0.3">
      <c r="A68" s="157" t="s">
        <v>528</v>
      </c>
      <c r="B68" s="157"/>
      <c r="C68" s="392">
        <f>HLOOKUP(Věci!$E$2,Věci!$A$2:$F$529,MATCH(A68,Věci!$A$2:$A$529,0),FALSE)*HLOOKUP($B$5,Věci!$R$2:$T$10,MATCH($B$2,Věci!$R$2:$R$10,0),FALSE)*B68</f>
        <v>0</v>
      </c>
      <c r="K68" s="405" t="s">
        <v>327</v>
      </c>
      <c r="L68" s="157"/>
      <c r="M68" s="392">
        <f>HLOOKUP(Věci!$E$2,Věci!$A$2:$F$529,MATCH(K68,Věci!$A$2:$A$529,0),FALSE)*HLOOKUP($B$5,Věci!$R$2:$T$10,MATCH($B$2,Věci!$R$2:$R$10,0),FALSE)*L68*HLOOKUP(Věci!$Y$2,Věci!$W$2:$Y$7,MATCH(IF($N$11="Sebe",$B$3,$N$11),Věci!$W$2:$W$7,0),FALSE)</f>
        <v>0</v>
      </c>
      <c r="P68" s="157" t="s">
        <v>976</v>
      </c>
      <c r="Q68" s="157"/>
      <c r="R68" s="392">
        <f>HLOOKUP(Věci!$E$2,Věci!$A$2:$F$529,MATCH(P68,Věci!$A$2:$A$529,0),FALSE)*HLOOKUP($B$5,Věci!$R$2:$T$10,MATCH($B$2,Věci!$R$2:$R$10,0),FALSE)*Q68</f>
        <v>0</v>
      </c>
      <c r="T68" s="157" t="s">
        <v>4567</v>
      </c>
      <c r="U68" s="157"/>
      <c r="V68" s="392">
        <f>HLOOKUP(Věci!$E$2,Věci!$A$2:$F$529,MATCH(T68,Věci!$A$2:$A$529,0),FALSE)*HLOOKUP($B$5,Věci!$R$2:$T$10,MATCH($B$2,Věci!$R$2:$R$10,0),FALSE)*U68</f>
        <v>0</v>
      </c>
    </row>
    <row r="69" spans="1:22" ht="12.9" customHeight="1" x14ac:dyDescent="0.3">
      <c r="A69" s="247" t="s">
        <v>4585</v>
      </c>
      <c r="B69" s="247"/>
      <c r="C69" s="247"/>
      <c r="K69" s="404" t="s">
        <v>1290</v>
      </c>
      <c r="L69" s="157"/>
      <c r="M69" s="392">
        <f>HLOOKUP(Věci!$E$2,Věci!$A$2:$F$529,MATCH(K69,Věci!$A$2:$A$529,0),FALSE)*HLOOKUP($B$5,Věci!$R$2:$T$10,MATCH($B$2,Věci!$R$2:$R$10,0),FALSE)*L69*HLOOKUP(Věci!$Y$2,Věci!$W$2:$Y$7,MATCH(IF($N$11="Sebe",$B$3,$N$11),Věci!$W$2:$W$7,0),FALSE)</f>
        <v>0</v>
      </c>
      <c r="P69" s="157" t="s">
        <v>384</v>
      </c>
      <c r="Q69" s="157"/>
      <c r="R69" s="392">
        <f>HLOOKUP(Věci!$E$2,Věci!$A$2:$F$529,MATCH(P69,Věci!$A$2:$A$529,0),FALSE)*HLOOKUP($B$5,Věci!$R$2:$T$10,MATCH($B$2,Věci!$R$2:$R$10,0),FALSE)*Q69</f>
        <v>0</v>
      </c>
      <c r="T69" s="157" t="s">
        <v>4568</v>
      </c>
      <c r="U69" s="157"/>
      <c r="V69" s="392">
        <f>HLOOKUP(Věci!$E$2,Věci!$A$2:$F$529,MATCH(T69,Věci!$A$2:$A$529,0),FALSE)*HLOOKUP($B$5,Věci!$R$2:$T$10,MATCH($B$2,Věci!$R$2:$R$10,0),FALSE)*U69</f>
        <v>0</v>
      </c>
    </row>
    <row r="70" spans="1:22" ht="12.9" customHeight="1" x14ac:dyDescent="0.3">
      <c r="A70" s="157" t="s">
        <v>1280</v>
      </c>
      <c r="B70" s="157"/>
      <c r="C70" s="392">
        <f>HLOOKUP(Věci!$E$2,Věci!$A$2:$F$529,MATCH(A70,Věci!$A$2:$A$529,0),FALSE)*HLOOKUP($B$5,Věci!$R$2:$T$10,MATCH($B$2,Věci!$R$2:$R$10,0),FALSE)*B70</f>
        <v>0</v>
      </c>
      <c r="K70" s="405" t="s">
        <v>339</v>
      </c>
      <c r="L70" s="157"/>
      <c r="M70" s="392">
        <f>HLOOKUP(Věci!$E$2,Věci!$A$2:$F$529,MATCH(K70,Věci!$A$2:$A$529,0),FALSE)*HLOOKUP($B$5,Věci!$R$2:$T$10,MATCH($B$2,Věci!$R$2:$R$10,0),FALSE)*L70*HLOOKUP(Věci!$Y$2,Věci!$W$2:$Y$7,MATCH(IF($N$11="Sebe",$B$3,$N$11),Věci!$W$2:$W$7,0),FALSE)</f>
        <v>0</v>
      </c>
      <c r="P70" s="157" t="s">
        <v>362</v>
      </c>
      <c r="Q70" s="157"/>
      <c r="R70" s="392">
        <f>HLOOKUP(Věci!$E$2,Věci!$A$2:$F$529,MATCH(P70,Věci!$A$2:$A$529,0),FALSE)*HLOOKUP($B$5,Věci!$R$2:$T$10,MATCH($B$2,Věci!$R$2:$R$10,0),FALSE)*Q70</f>
        <v>0</v>
      </c>
      <c r="T70" s="157" t="s">
        <v>1223</v>
      </c>
      <c r="U70" s="157"/>
      <c r="V70" s="392">
        <f>HLOOKUP(Věci!$E$2,Věci!$A$2:$F$529,MATCH(T70,Věci!$A$2:$A$529,0),FALSE)*HLOOKUP($B$5,Věci!$R$2:$T$10,MATCH($B$2,Věci!$R$2:$R$10,0),FALSE)*U70</f>
        <v>0</v>
      </c>
    </row>
    <row r="71" spans="1:22" ht="12.9" customHeight="1" x14ac:dyDescent="0.3">
      <c r="A71" s="157" t="s">
        <v>694</v>
      </c>
      <c r="B71" s="157"/>
      <c r="C71" s="392">
        <f>HLOOKUP(Věci!$E$2,Věci!$A$2:$F$529,MATCH(A71,Věci!$A$2:$A$529,0),FALSE)*HLOOKUP($B$5,Věci!$R$2:$T$10,MATCH($B$2,Věci!$R$2:$R$10,0),FALSE)*B71</f>
        <v>0</v>
      </c>
      <c r="K71" s="405" t="s">
        <v>532</v>
      </c>
      <c r="L71" s="157"/>
      <c r="M71" s="392">
        <f>HLOOKUP(Věci!$E$2,Věci!$A$2:$F$529,MATCH(K71,Věci!$A$2:$A$529,0),FALSE)*HLOOKUP($B$5,Věci!$R$2:$T$10,MATCH($B$2,Věci!$R$2:$R$10,0),FALSE)*L71*HLOOKUP(Věci!$Y$2,Věci!$W$2:$Y$7,MATCH(IF($N$11="Sebe",$B$3,$N$11),Věci!$W$2:$W$7,0),FALSE)</f>
        <v>0</v>
      </c>
      <c r="P71" s="157" t="s">
        <v>378</v>
      </c>
      <c r="Q71" s="157"/>
      <c r="R71" s="392">
        <f>HLOOKUP(Věci!$E$2,Věci!$A$2:$F$529,MATCH(P71,Věci!$A$2:$A$529,0),FALSE)*HLOOKUP($B$5,Věci!$R$2:$T$10,MATCH($B$2,Věci!$R$2:$R$10,0),FALSE)*Q71</f>
        <v>0</v>
      </c>
      <c r="T71" s="157" t="s">
        <v>1224</v>
      </c>
      <c r="U71" s="157"/>
      <c r="V71" s="392">
        <f>HLOOKUP(Věci!$E$2,Věci!$A$2:$F$529,MATCH(T71,Věci!$A$2:$A$529,0),FALSE)*HLOOKUP($B$5,Věci!$R$2:$T$10,MATCH($B$2,Věci!$R$2:$R$10,0),FALSE)*U71</f>
        <v>0</v>
      </c>
    </row>
    <row r="72" spans="1:22" ht="12.9" customHeight="1" x14ac:dyDescent="0.3">
      <c r="A72" s="157" t="s">
        <v>695</v>
      </c>
      <c r="B72" s="157"/>
      <c r="C72" s="392">
        <f>HLOOKUP(Věci!$E$2,Věci!$A$2:$F$529,MATCH(A72,Věci!$A$2:$A$529,0),FALSE)*HLOOKUP($B$5,Věci!$R$2:$T$10,MATCH($B$2,Věci!$R$2:$R$10,0),FALSE)*B72</f>
        <v>0</v>
      </c>
      <c r="K72" s="405" t="s">
        <v>334</v>
      </c>
      <c r="L72" s="157"/>
      <c r="M72" s="392">
        <f>HLOOKUP(Věci!$E$2,Věci!$A$2:$F$529,MATCH(K72,Věci!$A$2:$A$529,0),FALSE)*HLOOKUP($B$5,Věci!$R$2:$T$10,MATCH($B$2,Věci!$R$2:$R$10,0),FALSE)*L72*HLOOKUP(Věci!$Y$2,Věci!$W$2:$Y$7,MATCH(IF($N$11="Sebe",$B$3,$N$11),Věci!$W$2:$W$7,0),FALSE)</f>
        <v>0</v>
      </c>
      <c r="P72" s="157" t="s">
        <v>3906</v>
      </c>
      <c r="Q72" s="157"/>
      <c r="R72" s="392">
        <f>HLOOKUP(Věci!$E$2,Věci!$A$2:$F$529,MATCH(P72,Věci!$A$2:$A$529,0),FALSE)*HLOOKUP($B$5,Věci!$R$2:$T$10,MATCH($B$2,Věci!$R$2:$R$10,0),FALSE)*Q72</f>
        <v>0</v>
      </c>
      <c r="T72" s="157" t="s">
        <v>1225</v>
      </c>
      <c r="U72" s="157"/>
      <c r="V72" s="392">
        <f>HLOOKUP(Věci!$E$2,Věci!$A$2:$F$529,MATCH(T72,Věci!$A$2:$A$529,0),FALSE)*HLOOKUP($B$5,Věci!$R$2:$T$10,MATCH($B$2,Věci!$R$2:$R$10,0),FALSE)*U72</f>
        <v>0</v>
      </c>
    </row>
    <row r="73" spans="1:22" ht="12.9" customHeight="1" x14ac:dyDescent="0.3">
      <c r="A73" s="157" t="s">
        <v>3850</v>
      </c>
      <c r="B73" s="157"/>
      <c r="C73" s="392">
        <f>HLOOKUP(Věci!$E$2,Věci!$A$2:$F$529,MATCH(A73,Věci!$A$2:$A$529,0),FALSE)*HLOOKUP($B$5,Věci!$R$2:$T$10,MATCH($B$2,Věci!$R$2:$R$10,0),FALSE)*B73</f>
        <v>0</v>
      </c>
      <c r="K73" s="405" t="s">
        <v>345</v>
      </c>
      <c r="L73" s="157"/>
      <c r="M73" s="392">
        <f>HLOOKUP(Věci!$E$2,Věci!$A$2:$F$529,MATCH(K73,Věci!$A$2:$A$529,0),FALSE)*HLOOKUP($B$5,Věci!$R$2:$T$10,MATCH($B$2,Věci!$R$2:$R$10,0),FALSE)*L73*HLOOKUP(Věci!$Y$2,Věci!$W$2:$Y$7,MATCH(IF($N$11="Sebe",$B$3,$N$11),Věci!$W$2:$W$7,0),FALSE)</f>
        <v>0</v>
      </c>
      <c r="P73" s="157" t="s">
        <v>3781</v>
      </c>
      <c r="Q73" s="157"/>
      <c r="R73" s="392">
        <f>HLOOKUP(Věci!$E$2,Věci!$A$2:$F$529,MATCH(P73,Věci!$A$2:$A$529,0),FALSE)*HLOOKUP($B$5,Věci!$R$2:$T$10,MATCH($B$2,Věci!$R$2:$R$10,0),FALSE)*Q73</f>
        <v>0</v>
      </c>
      <c r="T73" s="157" t="s">
        <v>3794</v>
      </c>
      <c r="U73" s="157"/>
      <c r="V73" s="392">
        <f>HLOOKUP(Věci!$E$2,Věci!$A$2:$F$529,MATCH(T73,Věci!$A$2:$A$529,0),FALSE)*HLOOKUP($B$5,Věci!$R$2:$T$10,MATCH($B$2,Věci!$R$2:$R$10,0),FALSE)*U73</f>
        <v>0</v>
      </c>
    </row>
    <row r="74" spans="1:22" ht="12.9" customHeight="1" x14ac:dyDescent="0.3">
      <c r="A74" s="157" t="s">
        <v>3846</v>
      </c>
      <c r="B74" s="157"/>
      <c r="C74" s="392">
        <f>HLOOKUP(Věci!$E$2,Věci!$A$2:$F$529,MATCH(A74,Věci!$A$2:$A$529,0),FALSE)*HLOOKUP($B$5,Věci!$R$2:$T$10,MATCH($B$2,Věci!$R$2:$R$10,0),FALSE)*B74</f>
        <v>0</v>
      </c>
      <c r="K74" s="405" t="s">
        <v>1284</v>
      </c>
      <c r="L74" s="157"/>
      <c r="M74" s="392">
        <f>HLOOKUP(Věci!$E$2,Věci!$A$2:$F$529,MATCH(K74,Věci!$A$2:$A$529,0),FALSE)*HLOOKUP($B$5,Věci!$R$2:$T$10,MATCH($B$2,Věci!$R$2:$R$10,0),FALSE)*L74*HLOOKUP(Věci!$Y$2,Věci!$W$2:$Y$7,MATCH(IF($N$11="Sebe",$B$3,$N$11),Věci!$W$2:$W$7,0),FALSE)</f>
        <v>0</v>
      </c>
      <c r="P74" s="157" t="s">
        <v>3782</v>
      </c>
      <c r="Q74" s="157"/>
      <c r="R74" s="392">
        <f>HLOOKUP(Věci!$E$2,Věci!$A$2:$F$529,MATCH(P74,Věci!$A$2:$A$529,0),FALSE)*HLOOKUP($B$5,Věci!$R$2:$T$10,MATCH($B$2,Věci!$R$2:$R$10,0),FALSE)*Q74</f>
        <v>0</v>
      </c>
      <c r="T74" s="157" t="s">
        <v>3797</v>
      </c>
      <c r="U74" s="157"/>
      <c r="V74" s="392">
        <f>HLOOKUP(Věci!$E$2,Věci!$A$2:$F$529,MATCH(T74,Věci!$A$2:$A$529,0),FALSE)*HLOOKUP($B$5,Věci!$R$2:$T$10,MATCH($B$2,Věci!$R$2:$R$10,0),FALSE)*U74</f>
        <v>0</v>
      </c>
    </row>
    <row r="75" spans="1:22" ht="12.9" customHeight="1" x14ac:dyDescent="0.3">
      <c r="A75" s="157" t="s">
        <v>1278</v>
      </c>
      <c r="B75" s="157"/>
      <c r="C75" s="392">
        <f>HLOOKUP(Věci!$E$2,Věci!$A$2:$F$529,MATCH(A75,Věci!$A$2:$A$529,0),FALSE)*HLOOKUP($B$5,Věci!$R$2:$T$10,MATCH($B$2,Věci!$R$2:$R$10,0),FALSE)*B75</f>
        <v>0</v>
      </c>
      <c r="K75" s="405" t="s">
        <v>327</v>
      </c>
      <c r="L75" s="157"/>
      <c r="M75" s="392">
        <f>HLOOKUP(Věci!$E$2,Věci!$A$2:$F$529,MATCH(K75,Věci!$A$2:$A$529,0),FALSE)*HLOOKUP($B$5,Věci!$R$2:$T$10,MATCH($B$2,Věci!$R$2:$R$10,0),FALSE)*L75*HLOOKUP(Věci!$Y$2,Věci!$W$2:$Y$7,MATCH(IF($N$11="Sebe",$B$3,$N$11),Věci!$W$2:$W$7,0),FALSE)</f>
        <v>0</v>
      </c>
      <c r="P75" s="157" t="s">
        <v>379</v>
      </c>
      <c r="Q75" s="157"/>
      <c r="R75" s="392">
        <f>HLOOKUP(Věci!$E$2,Věci!$A$2:$F$529,MATCH(P75,Věci!$A$2:$A$529,0),FALSE)*HLOOKUP($B$5,Věci!$R$2:$T$10,MATCH($B$2,Věci!$R$2:$R$10,0),FALSE)*Q75</f>
        <v>0</v>
      </c>
      <c r="T75" s="157" t="s">
        <v>3795</v>
      </c>
      <c r="U75" s="157"/>
      <c r="V75" s="392">
        <f>HLOOKUP(Věci!$E$2,Věci!$A$2:$F$529,MATCH(T75,Věci!$A$2:$A$529,0),FALSE)*HLOOKUP($B$5,Věci!$R$2:$T$10,MATCH($B$2,Věci!$R$2:$R$10,0),FALSE)*U75</f>
        <v>0</v>
      </c>
    </row>
    <row r="76" spans="1:22" ht="12.9" customHeight="1" x14ac:dyDescent="0.3">
      <c r="A76" s="157" t="s">
        <v>3841</v>
      </c>
      <c r="B76" s="157"/>
      <c r="C76" s="392">
        <f>HLOOKUP(Věci!$E$2,Věci!$A$2:$F$529,MATCH(A76,Věci!$A$2:$A$529,0),FALSE)*HLOOKUP($B$5,Věci!$R$2:$T$10,MATCH($B$2,Věci!$R$2:$R$10,0),FALSE)*B76</f>
        <v>0</v>
      </c>
      <c r="K76" s="404" t="s">
        <v>1291</v>
      </c>
      <c r="L76" s="157"/>
      <c r="M76" s="392">
        <f>HLOOKUP(Věci!$E$2,Věci!$A$2:$F$529,MATCH(K76,Věci!$A$2:$A$529,0),FALSE)*HLOOKUP($B$5,Věci!$R$2:$T$10,MATCH($B$2,Věci!$R$2:$R$10,0),FALSE)*L76*HLOOKUP(Věci!$Y$2,Věci!$W$2:$Y$7,MATCH(IF($N$11="Sebe",$B$3,$N$11),Věci!$W$2:$W$7,0),FALSE)</f>
        <v>0</v>
      </c>
      <c r="P76" s="157" t="s">
        <v>977</v>
      </c>
      <c r="Q76" s="157"/>
      <c r="R76" s="392">
        <f>HLOOKUP(Věci!$E$2,Věci!$A$2:$F$529,MATCH(P76,Věci!$A$2:$A$529,0),FALSE)*HLOOKUP($B$5,Věci!$R$2:$T$10,MATCH($B$2,Věci!$R$2:$R$10,0),FALSE)*Q76</f>
        <v>0</v>
      </c>
      <c r="T76" s="157" t="s">
        <v>4571</v>
      </c>
      <c r="U76" s="157"/>
      <c r="V76" s="392">
        <f>HLOOKUP(Věci!$E$2,Věci!$A$2:$F$529,MATCH(T76,Věci!$A$2:$A$529,0),FALSE)*HLOOKUP($B$5,Věci!$R$2:$T$10,MATCH($B$2,Věci!$R$2:$R$10,0),FALSE)*U76</f>
        <v>0</v>
      </c>
    </row>
    <row r="77" spans="1:22" ht="12.9" customHeight="1" x14ac:dyDescent="0.3">
      <c r="A77" s="157" t="s">
        <v>3838</v>
      </c>
      <c r="B77" s="157"/>
      <c r="C77" s="392">
        <f>HLOOKUP(Věci!$E$2,Věci!$A$2:$F$529,MATCH(A77,Věci!$A$2:$A$529,0),FALSE)*HLOOKUP($B$5,Věci!$R$2:$T$10,MATCH($B$2,Věci!$R$2:$R$10,0),FALSE)*B77</f>
        <v>0</v>
      </c>
      <c r="K77" s="405" t="s">
        <v>341</v>
      </c>
      <c r="L77" s="157"/>
      <c r="M77" s="392">
        <f>HLOOKUP(Věci!$E$2,Věci!$A$2:$F$529,MATCH(K77,Věci!$A$2:$A$529,0),FALSE)*HLOOKUP($B$5,Věci!$R$2:$T$10,MATCH($B$2,Věci!$R$2:$R$10,0),FALSE)*L77*HLOOKUP(Věci!$Y$2,Věci!$W$2:$Y$7,MATCH(IF($N$11="Sebe",$B$3,$N$11),Věci!$W$2:$W$7,0),FALSE)</f>
        <v>0</v>
      </c>
      <c r="P77" s="157" t="s">
        <v>499</v>
      </c>
      <c r="Q77" s="157"/>
      <c r="R77" s="392">
        <f>HLOOKUP(Věci!$E$2,Věci!$A$2:$F$529,MATCH(P77,Věci!$A$2:$A$529,0),FALSE)*HLOOKUP($B$5,Věci!$R$2:$T$10,MATCH($B$2,Věci!$R$2:$R$10,0),FALSE)*Q77</f>
        <v>0</v>
      </c>
      <c r="T77" s="157" t="s">
        <v>4544</v>
      </c>
      <c r="U77" s="157"/>
      <c r="V77" s="392">
        <f>HLOOKUP(Věci!$E$2,Věci!$A$2:$F$529,MATCH(T77,Věci!$A$2:$A$529,0),FALSE)*HLOOKUP($B$5,Věci!$R$2:$T$10,MATCH($B$2,Věci!$R$2:$R$10,0),FALSE)*U77</f>
        <v>0</v>
      </c>
    </row>
    <row r="78" spans="1:22" ht="12.9" customHeight="1" x14ac:dyDescent="0.3">
      <c r="A78" s="157" t="s">
        <v>3840</v>
      </c>
      <c r="B78" s="157"/>
      <c r="C78" s="392">
        <f>HLOOKUP(Věci!$E$2,Věci!$A$2:$F$529,MATCH(A78,Věci!$A$2:$A$529,0),FALSE)*HLOOKUP($B$5,Věci!$R$2:$T$10,MATCH($B$2,Věci!$R$2:$R$10,0),FALSE)*B78</f>
        <v>0</v>
      </c>
      <c r="K78" s="405" t="s">
        <v>335</v>
      </c>
      <c r="L78" s="157"/>
      <c r="M78" s="392">
        <f>HLOOKUP(Věci!$E$2,Věci!$A$2:$F$529,MATCH(K78,Věci!$A$2:$A$529,0),FALSE)*HLOOKUP($B$5,Věci!$R$2:$T$10,MATCH($B$2,Věci!$R$2:$R$10,0),FALSE)*L78*HLOOKUP(Věci!$Y$2,Věci!$W$2:$Y$7,MATCH(IF($N$11="Sebe",$B$3,$N$11),Věci!$W$2:$W$7,0),FALSE)</f>
        <v>0</v>
      </c>
      <c r="P78" s="157" t="s">
        <v>502</v>
      </c>
      <c r="Q78" s="157"/>
      <c r="R78" s="392">
        <f>HLOOKUP(Věci!$E$2,Věci!$A$2:$F$529,MATCH(P78,Věci!$A$2:$A$529,0),FALSE)*HLOOKUP($B$5,Věci!$R$2:$T$10,MATCH($B$2,Věci!$R$2:$R$10,0),FALSE)*Q78</f>
        <v>0</v>
      </c>
    </row>
    <row r="79" spans="1:22" ht="12.9" customHeight="1" x14ac:dyDescent="0.3">
      <c r="A79" s="157" t="s">
        <v>3847</v>
      </c>
      <c r="B79" s="157"/>
      <c r="C79" s="392">
        <f>HLOOKUP(Věci!$E$2,Věci!$A$2:$F$529,MATCH(A79,Věci!$A$2:$A$529,0),FALSE)*HLOOKUP($B$5,Věci!$R$2:$T$10,MATCH($B$2,Věci!$R$2:$R$10,0),FALSE)*B79</f>
        <v>0</v>
      </c>
      <c r="K79" s="405" t="s">
        <v>3902</v>
      </c>
      <c r="L79" s="157"/>
      <c r="M79" s="392">
        <f>HLOOKUP(Věci!$E$2,Věci!$A$2:$F$529,MATCH(K79,Věci!$A$2:$A$529,0),FALSE)*HLOOKUP($B$5,Věci!$R$2:$T$10,MATCH($B$2,Věci!$R$2:$R$10,0),FALSE)*L79*HLOOKUP(Věci!$Y$2,Věci!$W$2:$Y$7,MATCH(IF($N$11="Sebe",$B$3,$N$11),Věci!$W$2:$W$7,0),FALSE)</f>
        <v>0</v>
      </c>
      <c r="P79" s="157" t="s">
        <v>472</v>
      </c>
      <c r="Q79" s="157"/>
      <c r="R79" s="392">
        <f>HLOOKUP(Věci!$E$2,Věci!$A$2:$F$529,MATCH(P79,Věci!$A$2:$A$529,0),FALSE)*HLOOKUP($B$5,Věci!$R$2:$T$10,MATCH($B$2,Věci!$R$2:$R$10,0),FALSE)*Q79</f>
        <v>0</v>
      </c>
      <c r="T79" s="247" t="s">
        <v>5652</v>
      </c>
      <c r="U79" t="s">
        <v>5658</v>
      </c>
    </row>
    <row r="80" spans="1:22" ht="12.9" customHeight="1" x14ac:dyDescent="0.3">
      <c r="A80" s="157" t="s">
        <v>3848</v>
      </c>
      <c r="B80" s="157"/>
      <c r="C80" s="392">
        <f>HLOOKUP(Věci!$E$2,Věci!$A$2:$F$529,MATCH(A80,Věci!$A$2:$A$529,0),FALSE)*HLOOKUP($B$5,Věci!$R$2:$T$10,MATCH($B$2,Věci!$R$2:$R$10,0),FALSE)*B80</f>
        <v>0</v>
      </c>
      <c r="K80" s="405" t="s">
        <v>953</v>
      </c>
      <c r="L80" s="157"/>
      <c r="M80" s="392">
        <f>HLOOKUP(Věci!$E$2,Věci!$A$2:$F$529,MATCH(K80,Věci!$A$2:$A$529,0),FALSE)*HLOOKUP($B$5,Věci!$R$2:$T$10,MATCH($B$2,Věci!$R$2:$R$10,0),FALSE)*L80*HLOOKUP(Věci!$Y$2,Věci!$W$2:$Y$7,MATCH(IF($N$11="Sebe",$B$3,$N$11),Věci!$W$2:$W$7,0),FALSE)</f>
        <v>0</v>
      </c>
      <c r="P80" s="157" t="s">
        <v>968</v>
      </c>
      <c r="Q80" s="157"/>
      <c r="R80" s="392">
        <f>HLOOKUP(Věci!$E$2,Věci!$A$2:$F$529,MATCH(P80,Věci!$A$2:$A$529,0),FALSE)*HLOOKUP($B$5,Věci!$R$2:$T$10,MATCH($B$2,Věci!$R$2:$R$10,0),FALSE)*Q80</f>
        <v>0</v>
      </c>
      <c r="T80" s="157" t="s">
        <v>5653</v>
      </c>
      <c r="U80" s="157"/>
      <c r="V80" s="392">
        <f>750*HLOOKUP($B$5,Věci!$R$2:$T$10,MATCH($B$2,Věci!$R$2:$R$10,0),FALSE)*U80</f>
        <v>0</v>
      </c>
    </row>
    <row r="81" spans="1:22" ht="12.9" customHeight="1" x14ac:dyDescent="0.3">
      <c r="A81" s="157" t="s">
        <v>3845</v>
      </c>
      <c r="B81" s="157"/>
      <c r="C81" s="392">
        <f>HLOOKUP(Věci!$E$2,Věci!$A$2:$F$529,MATCH(A81,Věci!$A$2:$A$529,0),FALSE)*HLOOKUP($B$5,Věci!$R$2:$T$10,MATCH($B$2,Věci!$R$2:$R$10,0),FALSE)*B81</f>
        <v>0</v>
      </c>
      <c r="K81" s="405" t="s">
        <v>334</v>
      </c>
      <c r="L81" s="157"/>
      <c r="M81" s="392">
        <f>HLOOKUP(Věci!$E$2,Věci!$A$2:$F$529,MATCH(K81,Věci!$A$2:$A$529,0),FALSE)*HLOOKUP($B$5,Věci!$R$2:$T$10,MATCH($B$2,Věci!$R$2:$R$10,0),FALSE)*L81*HLOOKUP(Věci!$Y$2,Věci!$W$2:$Y$7,MATCH(IF($N$11="Sebe",$B$3,$N$11),Věci!$W$2:$W$7,0),FALSE)</f>
        <v>0</v>
      </c>
      <c r="P81" s="157" t="s">
        <v>364</v>
      </c>
      <c r="Q81" s="157"/>
      <c r="R81" s="392">
        <f>HLOOKUP(Věci!$E$2,Věci!$A$2:$F$529,MATCH(P81,Věci!$A$2:$A$529,0),FALSE)*HLOOKUP($B$5,Věci!$R$2:$T$10,MATCH($B$2,Věci!$R$2:$R$10,0),FALSE)*Q81</f>
        <v>0</v>
      </c>
      <c r="T81" s="157" t="s">
        <v>5654</v>
      </c>
      <c r="U81" s="157"/>
      <c r="V81" s="392">
        <f>750*HLOOKUP($B$5,Věci!$R$2:$T$10,MATCH($B$2,Věci!$R$2:$R$10,0),FALSE)*U81</f>
        <v>0</v>
      </c>
    </row>
    <row r="82" spans="1:22" ht="12.9" customHeight="1" x14ac:dyDescent="0.3">
      <c r="A82" s="157" t="s">
        <v>3849</v>
      </c>
      <c r="B82" s="157"/>
      <c r="C82" s="392">
        <f>HLOOKUP(Věci!$E$2,Věci!$A$2:$F$529,MATCH(A82,Věci!$A$2:$A$529,0),FALSE)*HLOOKUP($B$5,Věci!$R$2:$T$10,MATCH($B$2,Věci!$R$2:$R$10,0),FALSE)*B82</f>
        <v>0</v>
      </c>
      <c r="K82" s="405" t="s">
        <v>327</v>
      </c>
      <c r="L82" s="157"/>
      <c r="M82" s="392">
        <f>HLOOKUP(Věci!$E$2,Věci!$A$2:$F$529,MATCH(K82,Věci!$A$2:$A$529,0),FALSE)*HLOOKUP($B$5,Věci!$R$2:$T$10,MATCH($B$2,Věci!$R$2:$R$10,0),FALSE)*L82*HLOOKUP(Věci!$Y$2,Věci!$W$2:$Y$7,MATCH(IF($N$11="Sebe",$B$3,$N$11),Věci!$W$2:$W$7,0),FALSE)</f>
        <v>0</v>
      </c>
      <c r="P82" s="157" t="s">
        <v>978</v>
      </c>
      <c r="Q82" s="157"/>
      <c r="R82" s="392">
        <f>HLOOKUP(Věci!$E$2,Věci!$A$2:$F$529,MATCH(P82,Věci!$A$2:$A$529,0),FALSE)*HLOOKUP($B$5,Věci!$R$2:$T$10,MATCH($B$2,Věci!$R$2:$R$10,0),FALSE)*Q82</f>
        <v>0</v>
      </c>
      <c r="T82" s="157" t="s">
        <v>5657</v>
      </c>
      <c r="U82" s="157"/>
      <c r="V82" s="392">
        <f>1500*HLOOKUP($B$5,Věci!$R$2:$T$10,MATCH($B$2,Věci!$R$2:$R$10,0),FALSE)*U82</f>
        <v>0</v>
      </c>
    </row>
    <row r="83" spans="1:22" ht="12.9" customHeight="1" x14ac:dyDescent="0.3">
      <c r="A83" s="157" t="s">
        <v>3839</v>
      </c>
      <c r="B83" s="157"/>
      <c r="C83" s="392">
        <f>HLOOKUP(Věci!$E$2,Věci!$A$2:$F$529,MATCH(A83,Věci!$A$2:$A$529,0),FALSE)*HLOOKUP($B$5,Věci!$R$2:$T$10,MATCH($B$2,Věci!$R$2:$R$10,0),FALSE)*B83</f>
        <v>0</v>
      </c>
      <c r="K83" s="404" t="s">
        <v>1292</v>
      </c>
      <c r="L83" s="157"/>
      <c r="M83" s="392">
        <f>HLOOKUP(Věci!$E$2,Věci!$A$2:$F$529,MATCH(K83,Věci!$A$2:$A$529,0),FALSE)*HLOOKUP($B$5,Věci!$R$2:$T$10,MATCH($B$2,Věci!$R$2:$R$10,0),FALSE)*L83*HLOOKUP(Věci!$Y$2,Věci!$W$2:$Y$7,MATCH(IF($N$11="Sebe",$B$3,$N$11),Věci!$W$2:$W$7,0),FALSE)</f>
        <v>0</v>
      </c>
      <c r="P83" s="157" t="s">
        <v>371</v>
      </c>
      <c r="Q83" s="157"/>
      <c r="R83" s="392">
        <f>HLOOKUP(Věci!$E$2,Věci!$A$2:$F$529,MATCH(P83,Věci!$A$2:$A$529,0),FALSE)*HLOOKUP($B$5,Věci!$R$2:$T$10,MATCH($B$2,Věci!$R$2:$R$10,0),FALSE)*Q83</f>
        <v>0</v>
      </c>
      <c r="T83" s="157" t="s">
        <v>5655</v>
      </c>
      <c r="U83" s="157"/>
      <c r="V83" s="392">
        <f>1500*HLOOKUP($B$5,Věci!$R$2:$T$10,MATCH($B$2,Věci!$R$2:$R$10,0),FALSE)*U83</f>
        <v>0</v>
      </c>
    </row>
    <row r="84" spans="1:22" ht="12.9" customHeight="1" x14ac:dyDescent="0.3">
      <c r="A84" s="247" t="s">
        <v>4586</v>
      </c>
      <c r="B84" s="673"/>
      <c r="K84" s="405" t="s">
        <v>342</v>
      </c>
      <c r="L84" s="157"/>
      <c r="M84" s="392">
        <f>HLOOKUP(Věci!$E$2,Věci!$A$2:$F$529,MATCH(K84,Věci!$A$2:$A$529,0),FALSE)*HLOOKUP($B$5,Věci!$R$2:$T$10,MATCH($B$2,Věci!$R$2:$R$10,0),FALSE)*L84*HLOOKUP(Věci!$Y$2,Věci!$W$2:$Y$7,MATCH(IF($N$11="Sebe",$B$3,$N$11),Věci!$W$2:$W$7,0),FALSE)</f>
        <v>0</v>
      </c>
      <c r="P84" s="157" t="s">
        <v>394</v>
      </c>
      <c r="Q84" s="157"/>
      <c r="R84" s="392">
        <f>HLOOKUP(Věci!$E$2,Věci!$A$2:$F$529,MATCH(P84,Věci!$A$2:$A$529,0),FALSE)*HLOOKUP($B$5,Věci!$R$2:$T$10,MATCH($B$2,Věci!$R$2:$R$10,0),FALSE)*Q84</f>
        <v>0</v>
      </c>
      <c r="T84" s="157" t="s">
        <v>5656</v>
      </c>
      <c r="U84" s="157"/>
      <c r="V84" s="392">
        <f>750*HLOOKUP($B$5,Věci!$R$2:$T$10,MATCH($B$2,Věci!$R$2:$R$10,0),FALSE)*U84</f>
        <v>0</v>
      </c>
    </row>
    <row r="85" spans="1:22" ht="12.9" customHeight="1" x14ac:dyDescent="0.3">
      <c r="A85" s="157" t="s">
        <v>1276</v>
      </c>
      <c r="B85" s="157"/>
      <c r="C85" s="392">
        <f>HLOOKUP(Věci!$E$2,Věci!$A$2:$F$529,MATCH(A85,Věci!$A$2:$A$529,0),FALSE)*HLOOKUP($B$5,Věci!$R$2:$T$10,MATCH($B$2,Věci!$R$2:$R$10,0),FALSE)*B85</f>
        <v>0</v>
      </c>
      <c r="K85" s="405" t="s">
        <v>328</v>
      </c>
      <c r="L85" s="157"/>
      <c r="M85" s="392">
        <f>HLOOKUP(Věci!$E$2,Věci!$A$2:$F$529,MATCH(K85,Věci!$A$2:$A$529,0),FALSE)*HLOOKUP($B$5,Věci!$R$2:$T$10,MATCH($B$2,Věci!$R$2:$R$10,0),FALSE)*L85*HLOOKUP(Věci!$Y$2,Věci!$W$2:$Y$7,MATCH(IF($N$11="Sebe",$B$3,$N$11),Věci!$W$2:$W$7,0),FALSE)</f>
        <v>0</v>
      </c>
      <c r="P85" s="157" t="s">
        <v>395</v>
      </c>
      <c r="Q85" s="157"/>
      <c r="R85" s="392">
        <f>HLOOKUP(Věci!$E$2,Věci!$A$2:$F$529,MATCH(P85,Věci!$A$2:$A$529,0),FALSE)*HLOOKUP($B$5,Věci!$R$2:$T$10,MATCH($B$2,Věci!$R$2:$R$10,0),FALSE)*Q85</f>
        <v>0</v>
      </c>
      <c r="T85" s="157"/>
      <c r="U85" s="157"/>
      <c r="V85" s="392"/>
    </row>
    <row r="86" spans="1:22" ht="12.9" customHeight="1" x14ac:dyDescent="0.3">
      <c r="A86" s="157" t="s">
        <v>447</v>
      </c>
      <c r="B86" s="157"/>
      <c r="C86" s="392">
        <f>HLOOKUP(Věci!$E$2,Věci!$A$2:$F$529,MATCH(A86,Věci!$A$2:$A$529,0),FALSE)*HLOOKUP($B$5,Věci!$R$2:$T$10,MATCH($B$2,Věci!$R$2:$R$10,0),FALSE)*B86</f>
        <v>0</v>
      </c>
      <c r="K86" s="405" t="s">
        <v>336</v>
      </c>
      <c r="L86" s="157"/>
      <c r="M86" s="392">
        <f>HLOOKUP(Věci!$E$2,Věci!$A$2:$F$529,MATCH(K86,Věci!$A$2:$A$529,0),FALSE)*HLOOKUP($B$5,Věci!$R$2:$T$10,MATCH($B$2,Věci!$R$2:$R$10,0),FALSE)*L86*HLOOKUP(Věci!$Y$2,Věci!$W$2:$Y$7,MATCH(IF($N$11="Sebe",$B$3,$N$11),Věci!$W$2:$W$7,0),FALSE)</f>
        <v>0</v>
      </c>
      <c r="P86" s="157" t="s">
        <v>396</v>
      </c>
      <c r="Q86" s="157"/>
      <c r="R86" s="392">
        <f>HLOOKUP(Věci!$E$2,Věci!$A$2:$F$529,MATCH(P86,Věci!$A$2:$A$529,0),FALSE)*HLOOKUP($B$5,Věci!$R$2:$T$10,MATCH($B$2,Věci!$R$2:$R$10,0),FALSE)*Q86</f>
        <v>0</v>
      </c>
      <c r="T86" s="157"/>
      <c r="U86" s="157"/>
      <c r="V86" s="392"/>
    </row>
    <row r="87" spans="1:22" ht="12.9" customHeight="1" x14ac:dyDescent="0.3">
      <c r="A87" s="157" t="s">
        <v>3937</v>
      </c>
      <c r="B87" s="157"/>
      <c r="C87" s="392">
        <f>HLOOKUP(Věci!$E$2,Věci!$A$2:$F$529,MATCH(A87,Věci!$A$2:$A$529,0),FALSE)*HLOOKUP($B$5,Věci!$R$2:$T$10,MATCH($B$2,Věci!$R$2:$R$10,0),FALSE)*B87</f>
        <v>0</v>
      </c>
      <c r="K87" s="405" t="s">
        <v>332</v>
      </c>
      <c r="L87" s="157"/>
      <c r="M87" s="392">
        <f>HLOOKUP(Věci!$E$2,Věci!$A$2:$F$529,MATCH(K87,Věci!$A$2:$A$529,0),FALSE)*HLOOKUP($B$5,Věci!$R$2:$T$10,MATCH($B$2,Věci!$R$2:$R$10,0),FALSE)*L87*HLOOKUP(Věci!$Y$2,Věci!$W$2:$Y$7,MATCH(IF($N$11="Sebe",$B$3,$N$11),Věci!$W$2:$W$7,0),FALSE)</f>
        <v>0</v>
      </c>
      <c r="P87" s="157" t="s">
        <v>367</v>
      </c>
      <c r="Q87" s="157"/>
      <c r="R87" s="392">
        <f>HLOOKUP(Věci!$E$2,Věci!$A$2:$F$529,MATCH(P87,Věci!$A$2:$A$529,0),FALSE)*HLOOKUP($B$5,Věci!$R$2:$T$10,MATCH($B$2,Věci!$R$2:$R$10,0),FALSE)*Q87</f>
        <v>0</v>
      </c>
      <c r="T87" s="157"/>
      <c r="U87" s="157"/>
      <c r="V87" s="392"/>
    </row>
    <row r="88" spans="1:22" ht="12.9" customHeight="1" x14ac:dyDescent="0.3">
      <c r="A88" s="157" t="s">
        <v>3914</v>
      </c>
      <c r="B88" s="157"/>
      <c r="C88" s="392">
        <f>HLOOKUP(Věci!$E$2,Věci!$A$2:$F$529,MATCH(A88,Věci!$A$2:$A$529,0),FALSE)*HLOOKUP($B$5,Věci!$R$2:$T$10,MATCH($B$2,Věci!$R$2:$R$10,0),FALSE)*B88</f>
        <v>0</v>
      </c>
      <c r="K88" s="404" t="s">
        <v>1293</v>
      </c>
      <c r="L88" s="157"/>
      <c r="M88" s="392">
        <f>HLOOKUP(Věci!$E$2,Věci!$A$2:$F$529,MATCH(K88,Věci!$A$2:$A$529,0),FALSE)*HLOOKUP($B$5,Věci!$R$2:$T$10,MATCH($B$2,Věci!$R$2:$R$10,0),FALSE)*L88*HLOOKUP(Věci!$Y$2,Věci!$W$2:$Y$7,MATCH(IF($N$11="Sebe",$B$3,$N$11),Věci!$W$2:$W$7,0),FALSE)</f>
        <v>0</v>
      </c>
      <c r="P88" s="157" t="s">
        <v>368</v>
      </c>
      <c r="Q88" s="157"/>
      <c r="R88" s="392">
        <f>HLOOKUP(Věci!$E$2,Věci!$A$2:$F$529,MATCH(P88,Věci!$A$2:$A$529,0),FALSE)*HLOOKUP($B$5,Věci!$R$2:$T$10,MATCH($B$2,Věci!$R$2:$R$10,0),FALSE)*Q88</f>
        <v>0</v>
      </c>
      <c r="T88" s="157"/>
      <c r="U88" s="157"/>
      <c r="V88" s="392"/>
    </row>
    <row r="89" spans="1:22" ht="12.9" customHeight="1" x14ac:dyDescent="0.3">
      <c r="A89" s="157" t="s">
        <v>448</v>
      </c>
      <c r="B89" s="157"/>
      <c r="C89" s="392">
        <f>HLOOKUP(Věci!$E$2,Věci!$A$2:$F$529,MATCH(A89,Věci!$A$2:$A$529,0),FALSE)*HLOOKUP($B$5,Věci!$R$2:$T$10,MATCH($B$2,Věci!$R$2:$R$10,0),FALSE)*B89</f>
        <v>0</v>
      </c>
      <c r="K89" s="405" t="s">
        <v>343</v>
      </c>
      <c r="L89" s="157"/>
      <c r="M89" s="392">
        <f>HLOOKUP(Věci!$E$2,Věci!$A$2:$F$529,MATCH(K89,Věci!$A$2:$A$529,0),FALSE)*HLOOKUP($B$5,Věci!$R$2:$T$10,MATCH($B$2,Věci!$R$2:$R$10,0),FALSE)*L89*HLOOKUP(Věci!$Y$2,Věci!$W$2:$Y$7,MATCH(IF($N$11="Sebe",$B$3,$N$11),Věci!$W$2:$W$7,0),FALSE)</f>
        <v>0</v>
      </c>
      <c r="P89" s="157" t="s">
        <v>366</v>
      </c>
      <c r="Q89" s="157"/>
      <c r="R89" s="392">
        <f>HLOOKUP(Věci!$E$2,Věci!$A$2:$F$529,MATCH(P89,Věci!$A$2:$A$529,0),FALSE)*HLOOKUP($B$5,Věci!$R$2:$T$10,MATCH($B$2,Věci!$R$2:$R$10,0),FALSE)*Q89</f>
        <v>0</v>
      </c>
      <c r="T89" s="157"/>
      <c r="U89" s="157"/>
      <c r="V89" s="392"/>
    </row>
    <row r="90" spans="1:22" ht="12.9" customHeight="1" x14ac:dyDescent="0.3">
      <c r="A90" s="157" t="s">
        <v>449</v>
      </c>
      <c r="B90" s="157"/>
      <c r="C90" s="392">
        <f>HLOOKUP(Věci!$E$2,Věci!$A$2:$F$529,MATCH(A90,Věci!$A$2:$A$529,0),FALSE)*HLOOKUP($B$5,Věci!$R$2:$T$10,MATCH($B$2,Věci!$R$2:$R$10,0),FALSE)*B90</f>
        <v>0</v>
      </c>
      <c r="K90" s="405" t="s">
        <v>951</v>
      </c>
      <c r="L90" s="157"/>
      <c r="M90" s="392">
        <f>HLOOKUP(Věci!$E$2,Věci!$A$2:$F$529,MATCH(K90,Věci!$A$2:$A$529,0),FALSE)*HLOOKUP($B$5,Věci!$R$2:$T$10,MATCH($B$2,Věci!$R$2:$R$10,0),FALSE)*L90*HLOOKUP(Věci!$Y$2,Věci!$W$2:$Y$7,MATCH(IF($N$11="Sebe",$B$3,$N$11),Věci!$W$2:$W$7,0),FALSE)</f>
        <v>0</v>
      </c>
      <c r="P90" s="157" t="s">
        <v>2455</v>
      </c>
      <c r="Q90" s="157"/>
      <c r="R90" s="392">
        <f>HLOOKUP(Věci!$E$2,Věci!$A$2:$F$529,MATCH(P90,Věci!$A$2:$A$529,0),FALSE)*HLOOKUP($B$5,Věci!$R$2:$T$10,MATCH($B$2,Věci!$R$2:$R$10,0),FALSE)*Q90</f>
        <v>0</v>
      </c>
    </row>
    <row r="91" spans="1:22" ht="12.9" customHeight="1" x14ac:dyDescent="0.3">
      <c r="A91" s="157" t="s">
        <v>4901</v>
      </c>
      <c r="B91" s="157"/>
      <c r="C91" s="392">
        <f>HLOOKUP(Věci!$E$2,Věci!$A$2:$F$529,MATCH(A91,Věci!$A$2:$A$529,0),FALSE)*HLOOKUP($B$5,Věci!$R$2:$T$10,MATCH($B$2,Věci!$R$2:$R$10,0),FALSE)*B91</f>
        <v>0</v>
      </c>
      <c r="K91" s="405" t="s">
        <v>328</v>
      </c>
      <c r="L91" s="157"/>
      <c r="M91" s="392">
        <f>HLOOKUP(Věci!$E$2,Věci!$A$2:$F$529,MATCH(K91,Věci!$A$2:$A$529,0),FALSE)*HLOOKUP($B$5,Věci!$R$2:$T$10,MATCH($B$2,Věci!$R$2:$R$10,0),FALSE)*L91*HLOOKUP(Věci!$Y$2,Věci!$W$2:$Y$7,MATCH(IF($N$11="Sebe",$B$3,$N$11),Věci!$W$2:$W$7,0),FALSE)</f>
        <v>0</v>
      </c>
      <c r="P91" s="247" t="s">
        <v>1294</v>
      </c>
    </row>
    <row r="92" spans="1:22" ht="12.9" customHeight="1" x14ac:dyDescent="0.3">
      <c r="A92" s="157" t="s">
        <v>445</v>
      </c>
      <c r="B92" s="157"/>
      <c r="C92" s="392">
        <f>HLOOKUP(Věci!$E$2,Věci!$A$2:$F$529,MATCH(A92,Věci!$A$2:$A$529,0),FALSE)*HLOOKUP($B$5,Věci!$R$2:$T$10,MATCH($B$2,Věci!$R$2:$R$10,0),FALSE)*B92</f>
        <v>0</v>
      </c>
      <c r="K92" s="405" t="s">
        <v>336</v>
      </c>
      <c r="L92" s="157"/>
      <c r="M92" s="392">
        <f>HLOOKUP(Věci!$E$2,Věci!$A$2:$F$529,MATCH(K92,Věci!$A$2:$A$529,0),FALSE)*HLOOKUP($B$5,Věci!$R$2:$T$10,MATCH($B$2,Věci!$R$2:$R$10,0),FALSE)*L92*HLOOKUP(Věci!$Y$2,Věci!$W$2:$Y$7,MATCH(IF($N$11="Sebe",$B$3,$N$11),Věci!$W$2:$W$7,0),FALSE)</f>
        <v>0</v>
      </c>
      <c r="P92" s="157" t="s">
        <v>494</v>
      </c>
      <c r="Q92" s="157"/>
      <c r="R92" s="392">
        <f>HLOOKUP(Věci!$E$2,Věci!$A$2:$F$529,MATCH(P92,Věci!$A$2:$A$529,0),FALSE)*HLOOKUP($B$5,Věci!$R$2:$T$10,MATCH($B$2,Věci!$R$2:$R$10,0),FALSE)*Q92</f>
        <v>0</v>
      </c>
    </row>
    <row r="93" spans="1:22" ht="12.9" customHeight="1" x14ac:dyDescent="0.3">
      <c r="A93" s="157" t="s">
        <v>450</v>
      </c>
      <c r="B93" s="157"/>
      <c r="C93" s="392">
        <f>HLOOKUP(Věci!$E$2,Věci!$A$2:$F$529,MATCH(A93,Věci!$A$2:$A$529,0),FALSE)*HLOOKUP($B$5,Věci!$R$2:$T$10,MATCH($B$2,Věci!$R$2:$R$10,0),FALSE)*B93</f>
        <v>0</v>
      </c>
      <c r="K93" s="404" t="s">
        <v>3890</v>
      </c>
      <c r="L93" s="157"/>
      <c r="M93" s="392">
        <f>HLOOKUP(Věci!$E$2,Věci!$A$2:$F$529,MATCH(K93,Věci!$A$2:$A$529,0),FALSE)*HLOOKUP($B$5,Věci!$R$2:$T$10,MATCH($B$2,Věci!$R$2:$R$10,0),FALSE)*L93*HLOOKUP(Věci!$Y$2,Věci!$W$2:$Y$7,MATCH(IF($N$11="Sebe",$B$3,$N$11),Věci!$W$2:$W$7,0),FALSE)</f>
        <v>0</v>
      </c>
      <c r="P93" s="157" t="s">
        <v>1301</v>
      </c>
      <c r="Q93" s="157"/>
      <c r="R93" s="392">
        <f>HLOOKUP(Věci!$E$2,Věci!$A$2:$F$529,MATCH(P93,Věci!$A$2:$A$529,0),FALSE)*HLOOKUP($B$5,Věci!$R$2:$T$10,MATCH($B$2,Věci!$R$2:$R$10,0),FALSE)*Q93</f>
        <v>0</v>
      </c>
    </row>
    <row r="94" spans="1:22" ht="12.9" customHeight="1" x14ac:dyDescent="0.3">
      <c r="A94" s="157" t="s">
        <v>451</v>
      </c>
      <c r="B94" s="157"/>
      <c r="C94" s="392">
        <f>HLOOKUP(Věci!$E$2,Věci!$A$2:$F$529,MATCH(A94,Věci!$A$2:$A$529,0),FALSE)*HLOOKUP($B$5,Věci!$R$2:$T$10,MATCH($B$2,Věci!$R$2:$R$10,0),FALSE)*B94</f>
        <v>0</v>
      </c>
      <c r="K94" s="405" t="s">
        <v>344</v>
      </c>
      <c r="L94" s="157"/>
      <c r="M94" s="392">
        <f>HLOOKUP(Věci!$E$2,Věci!$A$2:$F$529,MATCH(K94,Věci!$A$2:$A$529,0),FALSE)*HLOOKUP($B$5,Věci!$R$2:$T$10,MATCH($B$2,Věci!$R$2:$R$10,0),FALSE)*L94*HLOOKUP(Věci!$Y$2,Věci!$W$2:$Y$7,MATCH(IF($N$11="Sebe",$B$3,$N$11),Věci!$W$2:$W$7,0),FALSE)</f>
        <v>0</v>
      </c>
      <c r="P94" s="157" t="s">
        <v>1306</v>
      </c>
      <c r="Q94" s="157"/>
      <c r="R94" s="392">
        <f>HLOOKUP(Věci!$E$2,Věci!$A$2:$F$529,MATCH(P94,Věci!$A$2:$A$529,0),FALSE)*HLOOKUP($B$5,Věci!$R$2:$T$10,MATCH($B$2,Věci!$R$2:$R$10,0),FALSE)*Q94</f>
        <v>0</v>
      </c>
    </row>
    <row r="95" spans="1:22" ht="12.9" customHeight="1" x14ac:dyDescent="0.3">
      <c r="A95" s="157" t="s">
        <v>3915</v>
      </c>
      <c r="B95" s="157"/>
      <c r="C95" s="392">
        <f>HLOOKUP(Věci!$E$2,Věci!$A$2:$F$529,MATCH(A95,Věci!$A$2:$A$529,0),FALSE)*HLOOKUP($B$5,Věci!$R$2:$T$10,MATCH($B$2,Věci!$R$2:$R$10,0),FALSE)*B95</f>
        <v>0</v>
      </c>
      <c r="K95" s="405" t="s">
        <v>2964</v>
      </c>
      <c r="L95" s="157"/>
      <c r="M95" s="392">
        <f>HLOOKUP(Věci!$E$2,Věci!$A$2:$F$529,MATCH(K95,Věci!$A$2:$A$529,0),FALSE)*HLOOKUP($B$5,Věci!$R$2:$T$10,MATCH($B$2,Věci!$R$2:$R$10,0),FALSE)*L95*HLOOKUP(Věci!$Y$2,Věci!$W$2:$Y$7,MATCH(IF($N$11="Sebe",$B$3,$N$11),Věci!$W$2:$W$7,0),FALSE)</f>
        <v>0</v>
      </c>
      <c r="P95" s="157" t="s">
        <v>1305</v>
      </c>
      <c r="Q95" s="157"/>
      <c r="R95" s="392">
        <f>HLOOKUP(Věci!$E$2,Věci!$A$2:$F$529,MATCH(P95,Věci!$A$2:$A$529,0),FALSE)*HLOOKUP($B$5,Věci!$R$2:$T$10,MATCH($B$2,Věci!$R$2:$R$10,0),FALSE)*Q95</f>
        <v>0</v>
      </c>
    </row>
    <row r="96" spans="1:22" ht="12.9" customHeight="1" x14ac:dyDescent="0.3">
      <c r="A96" s="157" t="s">
        <v>3916</v>
      </c>
      <c r="B96" s="157"/>
      <c r="C96" s="392">
        <f>HLOOKUP(Věci!$E$2,Věci!$A$2:$F$529,MATCH(A96,Věci!$A$2:$A$529,0),FALSE)*HLOOKUP($B$5,Věci!$R$2:$T$10,MATCH($B$2,Věci!$R$2:$R$10,0),FALSE)*B96</f>
        <v>0</v>
      </c>
      <c r="K96" s="405" t="s">
        <v>2963</v>
      </c>
      <c r="L96" s="157"/>
      <c r="M96" s="392">
        <f>HLOOKUP(Věci!$E$2,Věci!$A$2:$F$529,MATCH(K96,Věci!$A$2:$A$529,0),FALSE)*HLOOKUP($B$5,Věci!$R$2:$T$10,MATCH($B$2,Věci!$R$2:$R$10,0),FALSE)*L96*HLOOKUP(Věci!$Y$2,Věci!$W$2:$Y$7,MATCH(IF($N$11="Sebe",$B$3,$N$11),Věci!$W$2:$W$7,0),FALSE)</f>
        <v>0</v>
      </c>
      <c r="P96" s="157" t="s">
        <v>1300</v>
      </c>
      <c r="Q96" s="157"/>
      <c r="R96" s="392">
        <f>HLOOKUP(Věci!$E$2,Věci!$A$2:$F$529,MATCH(P96,Věci!$A$2:$A$529,0),FALSE)*HLOOKUP($B$5,Věci!$R$2:$T$10,MATCH($B$2,Věci!$R$2:$R$10,0),FALSE)*Q96</f>
        <v>0</v>
      </c>
    </row>
    <row r="97" spans="1:18" ht="12.9" customHeight="1" x14ac:dyDescent="0.3">
      <c r="A97" s="157" t="s">
        <v>3917</v>
      </c>
      <c r="B97" s="157"/>
      <c r="C97" s="392">
        <f>HLOOKUP(Věci!$E$2,Věci!$A$2:$F$529,MATCH(A97,Věci!$A$2:$A$529,0),FALSE)*HLOOKUP($B$5,Věci!$R$2:$T$10,MATCH($B$2,Věci!$R$2:$R$10,0),FALSE)*B97</f>
        <v>0</v>
      </c>
      <c r="K97" s="405" t="s">
        <v>3903</v>
      </c>
      <c r="L97" s="157"/>
      <c r="M97" s="392">
        <f>HLOOKUP(Věci!$E$2,Věci!$A$2:$F$529,MATCH(K97,Věci!$A$2:$A$529,0),FALSE)*HLOOKUP($B$5,Věci!$R$2:$T$10,MATCH($B$2,Věci!$R$2:$R$10,0),FALSE)*L97*HLOOKUP(Věci!$Y$2,Věci!$W$2:$Y$7,MATCH(IF($N$11="Sebe",$B$3,$N$11),Věci!$W$2:$W$7,0),FALSE)</f>
        <v>0</v>
      </c>
      <c r="P97" s="157" t="s">
        <v>1302</v>
      </c>
      <c r="Q97" s="157"/>
      <c r="R97" s="392">
        <f>HLOOKUP(Věci!$E$2,Věci!$A$2:$F$529,MATCH(P97,Věci!$A$2:$A$529,0),FALSE)*HLOOKUP($B$5,Věci!$R$2:$T$10,MATCH($B$2,Věci!$R$2:$R$10,0),FALSE)*Q97</f>
        <v>0</v>
      </c>
    </row>
    <row r="98" spans="1:18" ht="12.9" customHeight="1" x14ac:dyDescent="0.3">
      <c r="A98" s="157" t="s">
        <v>3918</v>
      </c>
      <c r="B98" s="157"/>
      <c r="C98" s="392">
        <f>HLOOKUP(Věci!$E$2,Věci!$A$2:$F$529,MATCH(A98,Věci!$A$2:$A$529,0),FALSE)*HLOOKUP($B$5,Věci!$R$2:$T$10,MATCH($B$2,Věci!$R$2:$R$10,0),FALSE)*B98</f>
        <v>0</v>
      </c>
      <c r="K98" s="404" t="s">
        <v>1286</v>
      </c>
      <c r="L98" s="157"/>
      <c r="M98" s="392">
        <f>HLOOKUP(Věci!$E$2,Věci!$A$2:$F$529,MATCH(K98,Věci!$A$2:$A$529,0),FALSE)*HLOOKUP($B$5,Věci!$R$2:$T$10,MATCH($B$2,Věci!$R$2:$R$10,0),FALSE)*L98*HLOOKUP(Věci!$Y$2,Věci!$W$2:$Y$7,MATCH(IF($N$11="Sebe",$B$3,$N$11),Věci!$W$2:$W$7,0),FALSE)</f>
        <v>0</v>
      </c>
      <c r="P98" s="157" t="s">
        <v>1295</v>
      </c>
      <c r="Q98" s="157"/>
      <c r="R98" s="392">
        <f>HLOOKUP(Věci!$E$2,Věci!$A$2:$F$529,MATCH(P98,Věci!$A$2:$A$529,0),FALSE)*HLOOKUP($B$5,Věci!$R$2:$T$10,MATCH($B$2,Věci!$R$2:$R$10,0),FALSE)*Q98</f>
        <v>0</v>
      </c>
    </row>
    <row r="99" spans="1:18" ht="12.9" customHeight="1" x14ac:dyDescent="0.3">
      <c r="A99" s="247" t="s">
        <v>4587</v>
      </c>
      <c r="B99" s="673"/>
      <c r="K99" s="405" t="s">
        <v>962</v>
      </c>
      <c r="L99" s="157"/>
      <c r="M99" s="392">
        <f>HLOOKUP(Věci!$E$2,Věci!$A$2:$F$529,MATCH(K99,Věci!$A$2:$A$529,0),FALSE)*HLOOKUP($B$5,Věci!$R$2:$T$10,MATCH($B$2,Věci!$R$2:$R$10,0),FALSE)*L99*HLOOKUP(Věci!$Y$2,Věci!$W$2:$Y$7,MATCH(IF($N$11="Sebe",$B$3,$N$11),Věci!$W$2:$W$7,0),FALSE)</f>
        <v>0</v>
      </c>
      <c r="P99" s="157" t="s">
        <v>452</v>
      </c>
      <c r="Q99" s="157"/>
      <c r="R99" s="392">
        <f>HLOOKUP(Věci!$E$2,Věci!$A$2:$F$529,MATCH(P99,Věci!$A$2:$A$529,0),FALSE)*HLOOKUP($B$5,Věci!$R$2:$T$10,MATCH($B$2,Věci!$R$2:$R$10,0),FALSE)*Q99</f>
        <v>0</v>
      </c>
    </row>
    <row r="100" spans="1:18" ht="12.9" customHeight="1" x14ac:dyDescent="0.3">
      <c r="A100" s="157" t="s">
        <v>1261</v>
      </c>
      <c r="B100" s="157"/>
      <c r="C100" s="392">
        <f>HLOOKUP(Věci!$E$2,Věci!$A$2:$F$529,MATCH(A100,Věci!$A$2:$A$529,0),FALSE)*HLOOKUP($B$5,Věci!$R$2:$T$10,MATCH($B$2,Věci!$R$2:$R$10,0),FALSE)*B100</f>
        <v>0</v>
      </c>
      <c r="K100" s="405" t="s">
        <v>952</v>
      </c>
      <c r="L100" s="157"/>
      <c r="M100" s="392">
        <f>HLOOKUP(Věci!$E$2,Věci!$A$2:$F$529,MATCH(K100,Věci!$A$2:$A$529,0),FALSE)*HLOOKUP($B$5,Věci!$R$2:$T$10,MATCH($B$2,Věci!$R$2:$R$10,0),FALSE)*L100*HLOOKUP(Věci!$Y$2,Věci!$W$2:$Y$7,MATCH(IF($N$11="Sebe",$B$3,$N$11),Věci!$W$2:$W$7,0),FALSE)</f>
        <v>0</v>
      </c>
      <c r="P100" s="157" t="s">
        <v>1297</v>
      </c>
      <c r="Q100" s="157"/>
      <c r="R100" s="392">
        <f>HLOOKUP(Věci!$E$2,Věci!$A$2:$F$529,MATCH(P100,Věci!$A$2:$A$529,0),FALSE)*HLOOKUP($B$5,Věci!$R$2:$T$10,MATCH($B$2,Věci!$R$2:$R$10,0),FALSE)*Q100</f>
        <v>0</v>
      </c>
    </row>
    <row r="101" spans="1:18" ht="12.9" customHeight="1" x14ac:dyDescent="0.3">
      <c r="A101" s="157" t="s">
        <v>3919</v>
      </c>
      <c r="B101" s="157"/>
      <c r="C101" s="392">
        <f>HLOOKUP(Věci!$E$2,Věci!$A$2:$F$529,MATCH(A101,Věci!$A$2:$A$529,0),FALSE)*HLOOKUP($B$5,Věci!$R$2:$T$10,MATCH($B$2,Věci!$R$2:$R$10,0),FALSE)*B101</f>
        <v>0</v>
      </c>
      <c r="K101" s="405" t="s">
        <v>958</v>
      </c>
      <c r="L101" s="157"/>
      <c r="M101" s="392">
        <f>HLOOKUP(Věci!$E$2,Věci!$A$2:$F$529,MATCH(K101,Věci!$A$2:$A$529,0),FALSE)*HLOOKUP($B$5,Věci!$R$2:$T$10,MATCH($B$2,Věci!$R$2:$R$10,0),FALSE)*L101*HLOOKUP(Věci!$Y$2,Věci!$W$2:$Y$7,MATCH(IF($N$11="Sebe",$B$3,$N$11),Věci!$W$2:$W$7,0),FALSE)</f>
        <v>0</v>
      </c>
      <c r="P101" s="157" t="s">
        <v>1299</v>
      </c>
      <c r="Q101" s="157"/>
      <c r="R101" s="392">
        <f>HLOOKUP(Věci!$E$2,Věci!$A$2:$F$529,MATCH(P101,Věci!$A$2:$A$529,0),FALSE)*HLOOKUP($B$5,Věci!$R$2:$T$10,MATCH($B$2,Věci!$R$2:$R$10,0),FALSE)*Q101</f>
        <v>0</v>
      </c>
    </row>
    <row r="102" spans="1:18" ht="12.9" customHeight="1" x14ac:dyDescent="0.3">
      <c r="A102" s="157" t="s">
        <v>490</v>
      </c>
      <c r="B102" s="157"/>
      <c r="C102" s="392">
        <f>HLOOKUP(Věci!$E$2,Věci!$A$2:$F$529,MATCH(A102,Věci!$A$2:$A$529,0),FALSE)*HLOOKUP($B$5,Věci!$R$2:$T$10,MATCH($B$2,Věci!$R$2:$R$10,0),FALSE)*B102</f>
        <v>0</v>
      </c>
      <c r="K102" s="405" t="s">
        <v>950</v>
      </c>
      <c r="L102" s="157"/>
      <c r="M102" s="392">
        <f>HLOOKUP(Věci!$E$2,Věci!$A$2:$F$529,MATCH(K102,Věci!$A$2:$A$529,0),FALSE)*HLOOKUP($B$5,Věci!$R$2:$T$10,MATCH($B$2,Věci!$R$2:$R$10,0),FALSE)*L102*HLOOKUP(Věci!$Y$2,Věci!$W$2:$Y$7,MATCH(IF($N$11="Sebe",$B$3,$N$11),Věci!$W$2:$W$7,0),FALSE)</f>
        <v>0</v>
      </c>
      <c r="P102" s="157" t="s">
        <v>453</v>
      </c>
      <c r="Q102" s="157"/>
      <c r="R102" s="392">
        <f>HLOOKUP(Věci!$E$2,Věci!$A$2:$F$529,MATCH(P102,Věci!$A$2:$A$529,0),FALSE)*HLOOKUP($B$5,Věci!$R$2:$T$10,MATCH($B$2,Věci!$R$2:$R$10,0),FALSE)*Q102</f>
        <v>0</v>
      </c>
    </row>
    <row r="103" spans="1:18" ht="12.9" customHeight="1" x14ac:dyDescent="0.3">
      <c r="A103" s="157" t="s">
        <v>486</v>
      </c>
      <c r="B103" s="157"/>
      <c r="C103" s="392">
        <f>HLOOKUP(Věci!$E$2,Věci!$A$2:$F$529,MATCH(A103,Věci!$A$2:$A$529,0),FALSE)*HLOOKUP($B$5,Věci!$R$2:$T$10,MATCH($B$2,Věci!$R$2:$R$10,0),FALSE)*B103</f>
        <v>0</v>
      </c>
      <c r="K103" s="247" t="s">
        <v>3899</v>
      </c>
      <c r="P103" s="157" t="s">
        <v>1296</v>
      </c>
      <c r="Q103" s="157"/>
      <c r="R103" s="392">
        <f>HLOOKUP(Věci!$E$2,Věci!$A$2:$F$529,MATCH(P103,Věci!$A$2:$A$529,0),FALSE)*HLOOKUP($B$5,Věci!$R$2:$T$10,MATCH($B$2,Věci!$R$2:$R$10,0),FALSE)*Q103</f>
        <v>0</v>
      </c>
    </row>
    <row r="104" spans="1:18" ht="12.9" customHeight="1" x14ac:dyDescent="0.3">
      <c r="A104" s="157" t="s">
        <v>4902</v>
      </c>
      <c r="B104" s="157"/>
      <c r="C104" s="392">
        <f>HLOOKUP(Věci!$E$2,Věci!$A$2:$F$529,MATCH(A104,Věci!$A$2:$A$529,0),FALSE)*HLOOKUP($B$5,Věci!$R$2:$T$10,MATCH($B$2,Věci!$R$2:$R$10,0),FALSE)*B104</f>
        <v>0</v>
      </c>
      <c r="K104" s="405" t="s">
        <v>1177</v>
      </c>
      <c r="L104" s="157"/>
      <c r="M104" s="392">
        <f>HLOOKUP(Věci!$E$2,Věci!$A$2:$F$529,MATCH(K104,Věci!$A$2:$A$529,0),FALSE)*HLOOKUP($B$5,Věci!$R$2:$T$10,MATCH($B$2,Věci!$R$2:$R$10,0),FALSE)*L104*HLOOKUP(Věci!$Y$2,Věci!$W$2:$Y$7,MATCH(IF($N$11="Sebe",$B$3,$N$11),Věci!$W$2:$W$7,0),FALSE)</f>
        <v>0</v>
      </c>
      <c r="P104" s="157" t="s">
        <v>1298</v>
      </c>
      <c r="Q104" s="157"/>
      <c r="R104" s="392">
        <f>HLOOKUP(Věci!$E$2,Věci!$A$2:$F$529,MATCH(P104,Věci!$A$2:$A$529,0),FALSE)*HLOOKUP($B$5,Věci!$R$2:$T$10,MATCH($B$2,Věci!$R$2:$R$10,0),FALSE)*Q104</f>
        <v>0</v>
      </c>
    </row>
    <row r="105" spans="1:18" ht="12.9" customHeight="1" x14ac:dyDescent="0.3">
      <c r="A105" s="157" t="s">
        <v>478</v>
      </c>
      <c r="B105" s="157"/>
      <c r="C105" s="392">
        <f>HLOOKUP(Věci!$E$2,Věci!$A$2:$F$529,MATCH(A105,Věci!$A$2:$A$529,0),FALSE)*HLOOKUP($B$5,Věci!$R$2:$T$10,MATCH($B$2,Věci!$R$2:$R$10,0),FALSE)*B105</f>
        <v>0</v>
      </c>
      <c r="K105" s="405" t="s">
        <v>3896</v>
      </c>
      <c r="L105" s="157"/>
      <c r="M105" s="392">
        <f>HLOOKUP(Věci!$E$2,Věci!$A$2:$F$529,MATCH(K105,Věci!$A$2:$A$529,0),FALSE)*HLOOKUP($B$5,Věci!$R$2:$T$10,MATCH($B$2,Věci!$R$2:$R$10,0),FALSE)*L105*HLOOKUP(Věci!$Y$2,Věci!$W$2:$Y$7,MATCH(IF($N$11="Sebe",$B$3,$N$11),Věci!$W$2:$W$7,0),FALSE)</f>
        <v>0</v>
      </c>
      <c r="P105" s="157" t="s">
        <v>942</v>
      </c>
      <c r="Q105" s="157"/>
      <c r="R105" s="392">
        <f>HLOOKUP(Věci!$E$2,Věci!$A$2:$F$529,MATCH(P105,Věci!$A$2:$A$529,0),FALSE)*HLOOKUP($B$5,Věci!$R$2:$T$10,MATCH($B$2,Věci!$R$2:$R$10,0),FALSE)*Q105</f>
        <v>0</v>
      </c>
    </row>
    <row r="106" spans="1:18" ht="12.9" customHeight="1" x14ac:dyDescent="0.3">
      <c r="A106" s="157" t="s">
        <v>481</v>
      </c>
      <c r="B106" s="157"/>
      <c r="C106" s="392">
        <f>HLOOKUP(Věci!$E$2,Věci!$A$2:$F$529,MATCH(A106,Věci!$A$2:$A$529,0),FALSE)*HLOOKUP($B$5,Věci!$R$2:$T$10,MATCH($B$2,Věci!$R$2:$R$10,0),FALSE)*B106</f>
        <v>0</v>
      </c>
      <c r="K106" s="405" t="s">
        <v>1281</v>
      </c>
      <c r="L106" s="157"/>
      <c r="M106" s="392">
        <f>HLOOKUP(Věci!$E$2,Věci!$A$2:$F$529,MATCH(K106,Věci!$A$2:$A$529,0),FALSE)*HLOOKUP($B$5,Věci!$R$2:$T$10,MATCH($B$2,Věci!$R$2:$R$10,0),FALSE)*L106*HLOOKUP(Věci!$Y$2,Věci!$W$2:$Y$7,MATCH(IF($N$11="Sebe",$B$3,$N$11),Věci!$W$2:$W$7,0),FALSE)</f>
        <v>0</v>
      </c>
      <c r="P106" s="157" t="s">
        <v>454</v>
      </c>
      <c r="Q106" s="157"/>
      <c r="R106" s="392">
        <f>HLOOKUP(Věci!$E$2,Věci!$A$2:$F$529,MATCH(P106,Věci!$A$2:$A$529,0),FALSE)*HLOOKUP($B$5,Věci!$R$2:$T$10,MATCH($B$2,Věci!$R$2:$R$10,0),FALSE)*Q106</f>
        <v>0</v>
      </c>
    </row>
    <row r="107" spans="1:18" ht="12.9" customHeight="1" x14ac:dyDescent="0.3">
      <c r="A107" s="157" t="s">
        <v>1217</v>
      </c>
      <c r="B107" s="157"/>
      <c r="C107" s="392">
        <f>HLOOKUP(Věci!$E$2,Věci!$A$2:$F$529,MATCH(A107,Věci!$A$2:$A$529,0),FALSE)*HLOOKUP($B$5,Věci!$R$2:$T$10,MATCH($B$2,Věci!$R$2:$R$10,0),FALSE)*B107</f>
        <v>0</v>
      </c>
      <c r="K107" s="405" t="s">
        <v>332</v>
      </c>
      <c r="L107" s="157"/>
      <c r="M107" s="392">
        <f>HLOOKUP(Věci!$E$2,Věci!$A$2:$F$529,MATCH(K107,Věci!$A$2:$A$529,0),FALSE)*HLOOKUP($B$5,Věci!$R$2:$T$10,MATCH($B$2,Věci!$R$2:$R$10,0),FALSE)*L107*HLOOKUP(Věci!$Y$2,Věci!$W$2:$Y$7,MATCH(IF($N$11="Sebe",$B$3,$N$11),Věci!$W$2:$W$7,0),FALSE)</f>
        <v>0</v>
      </c>
      <c r="P107" s="157" t="s">
        <v>1304</v>
      </c>
      <c r="Q107" s="157"/>
      <c r="R107" s="392">
        <f>HLOOKUP(Věci!$E$2,Věci!$A$2:$F$529,MATCH(P107,Věci!$A$2:$A$529,0),FALSE)*HLOOKUP($B$5,Věci!$R$2:$T$10,MATCH($B$2,Věci!$R$2:$R$10,0),FALSE)*Q107</f>
        <v>0</v>
      </c>
    </row>
    <row r="108" spans="1:18" ht="12.9" customHeight="1" x14ac:dyDescent="0.3">
      <c r="A108" s="157" t="s">
        <v>468</v>
      </c>
      <c r="B108" s="157"/>
      <c r="C108" s="392">
        <f>HLOOKUP(Věci!$E$2,Věci!$A$2:$F$529,MATCH(A108,Věci!$A$2:$A$529,0),FALSE)*HLOOKUP($B$5,Věci!$R$2:$T$10,MATCH($B$2,Věci!$R$2:$R$10,0),FALSE)*B108</f>
        <v>0</v>
      </c>
      <c r="K108" s="405" t="s">
        <v>952</v>
      </c>
      <c r="L108" s="157"/>
      <c r="M108" s="392">
        <f>HLOOKUP(Věci!$E$2,Věci!$A$2:$F$529,MATCH(K108,Věci!$A$2:$A$529,0),FALSE)*HLOOKUP($B$5,Věci!$R$2:$T$10,MATCH($B$2,Věci!$R$2:$R$10,0),FALSE)*L108*HLOOKUP(Věci!$Y$2,Věci!$W$2:$Y$7,MATCH(IF($N$11="Sebe",$B$3,$N$11),Věci!$W$2:$W$7,0),FALSE)</f>
        <v>0</v>
      </c>
      <c r="P108" s="157" t="s">
        <v>455</v>
      </c>
      <c r="Q108" s="157"/>
      <c r="R108" s="392">
        <f>HLOOKUP(Věci!$E$2,Věci!$A$2:$F$529,MATCH(P108,Věci!$A$2:$A$529,0),FALSE)*HLOOKUP($B$5,Věci!$R$2:$T$10,MATCH($B$2,Věci!$R$2:$R$10,0),FALSE)*Q108</f>
        <v>0</v>
      </c>
    </row>
    <row r="109" spans="1:18" ht="12.9" customHeight="1" x14ac:dyDescent="0.3">
      <c r="A109" s="157" t="s">
        <v>487</v>
      </c>
      <c r="B109" s="157"/>
      <c r="C109" s="392">
        <f>HLOOKUP(Věci!$E$2,Věci!$A$2:$F$529,MATCH(A109,Věci!$A$2:$A$529,0),FALSE)*HLOOKUP($B$5,Věci!$R$2:$T$10,MATCH($B$2,Věci!$R$2:$R$10,0),FALSE)*B109</f>
        <v>0</v>
      </c>
      <c r="K109" s="405" t="s">
        <v>951</v>
      </c>
      <c r="L109" s="157"/>
      <c r="M109" s="392">
        <f>HLOOKUP(Věci!$E$2,Věci!$A$2:$F$529,MATCH(K109,Věci!$A$2:$A$529,0),FALSE)*HLOOKUP($B$5,Věci!$R$2:$T$10,MATCH($B$2,Věci!$R$2:$R$10,0),FALSE)*L109*HLOOKUP(Věci!$Y$2,Věci!$W$2:$Y$7,MATCH(IF($N$11="Sebe",$B$3,$N$11),Věci!$W$2:$W$7,0),FALSE)</f>
        <v>0</v>
      </c>
      <c r="P109" s="157" t="s">
        <v>1303</v>
      </c>
      <c r="Q109" s="157"/>
      <c r="R109" s="392">
        <f>HLOOKUP(Věci!$E$2,Věci!$A$2:$F$529,MATCH(P109,Věci!$A$2:$A$529,0),FALSE)*HLOOKUP($B$5,Věci!$R$2:$T$10,MATCH($B$2,Věci!$R$2:$R$10,0),FALSE)*Q109</f>
        <v>0</v>
      </c>
    </row>
    <row r="110" spans="1:18" ht="12.9" customHeight="1" x14ac:dyDescent="0.3">
      <c r="A110" s="157" t="s">
        <v>482</v>
      </c>
      <c r="B110" s="157"/>
      <c r="C110" s="392">
        <f>HLOOKUP(Věci!$E$2,Věci!$A$2:$F$529,MATCH(A110,Věci!$A$2:$A$529,0),FALSE)*HLOOKUP($B$5,Věci!$R$2:$T$10,MATCH($B$2,Věci!$R$2:$R$10,0),FALSE)*B110</f>
        <v>0</v>
      </c>
      <c r="K110" s="405" t="s">
        <v>1169</v>
      </c>
      <c r="L110" s="157"/>
      <c r="M110" s="392">
        <f>HLOOKUP(Věci!$E$2,Věci!$A$2:$F$529,MATCH(K110,Věci!$A$2:$A$529,0),FALSE)*HLOOKUP($B$5,Věci!$R$2:$T$10,MATCH($B$2,Věci!$R$2:$R$10,0),FALSE)*L110*HLOOKUP(Věci!$Y$2,Věci!$W$2:$Y$7,MATCH(IF($N$11="Sebe",$B$3,$N$11),Věci!$W$2:$W$7,0),FALSE)</f>
        <v>0</v>
      </c>
      <c r="P110" s="157" t="s">
        <v>457</v>
      </c>
      <c r="Q110" s="157"/>
      <c r="R110" s="392">
        <f>HLOOKUP(Věci!$E$2,Věci!$A$2:$F$529,MATCH(P110,Věci!$A$2:$A$529,0),FALSE)*HLOOKUP($B$5,Věci!$R$2:$T$10,MATCH($B$2,Věci!$R$2:$R$10,0),FALSE)*Q110</f>
        <v>0</v>
      </c>
    </row>
    <row r="111" spans="1:18" ht="12.9" customHeight="1" x14ac:dyDescent="0.3">
      <c r="A111" s="157" t="s">
        <v>3920</v>
      </c>
      <c r="B111" s="157"/>
      <c r="C111" s="392">
        <f>HLOOKUP(Věci!$E$2,Věci!$A$2:$F$529,MATCH(A111,Věci!$A$2:$A$529,0),FALSE)*HLOOKUP($B$5,Věci!$R$2:$T$10,MATCH($B$2,Věci!$R$2:$R$10,0),FALSE)*B111</f>
        <v>0</v>
      </c>
      <c r="K111" s="405" t="s">
        <v>953</v>
      </c>
      <c r="L111" s="157"/>
      <c r="M111" s="392">
        <f>HLOOKUP(Věci!$E$2,Věci!$A$2:$F$529,MATCH(K111,Věci!$A$2:$A$529,0),FALSE)*HLOOKUP($B$5,Věci!$R$2:$T$10,MATCH($B$2,Věci!$R$2:$R$10,0),FALSE)*L111*HLOOKUP(Věci!$Y$2,Věci!$W$2:$Y$7,MATCH(IF($N$11="Sebe",$B$3,$N$11),Věci!$W$2:$W$7,0),FALSE)</f>
        <v>0</v>
      </c>
      <c r="P111" s="157" t="s">
        <v>458</v>
      </c>
      <c r="Q111" s="157"/>
      <c r="R111" s="392">
        <f>HLOOKUP(Věci!$E$2,Věci!$A$2:$F$529,MATCH(P111,Věci!$A$2:$A$529,0),FALSE)*HLOOKUP($B$5,Věci!$R$2:$T$10,MATCH($B$2,Věci!$R$2:$R$10,0),FALSE)*Q111</f>
        <v>0</v>
      </c>
    </row>
    <row r="112" spans="1:18" ht="12.9" customHeight="1" x14ac:dyDescent="0.3">
      <c r="A112" s="157" t="s">
        <v>3851</v>
      </c>
      <c r="B112" s="157"/>
      <c r="C112" s="392">
        <f>HLOOKUP(Věci!$E$2,Věci!$A$2:$F$529,MATCH(A112,Věci!$A$2:$A$529,0),FALSE)*HLOOKUP($B$5,Věci!$R$2:$T$10,MATCH($B$2,Věci!$R$2:$R$10,0),FALSE)*B112</f>
        <v>0</v>
      </c>
      <c r="K112" s="405" t="s">
        <v>2964</v>
      </c>
      <c r="L112" s="157"/>
      <c r="M112" s="392">
        <f>HLOOKUP(Věci!$E$2,Věci!$A$2:$F$529,MATCH(K112,Věci!$A$2:$A$529,0),FALSE)*HLOOKUP($B$5,Věci!$R$2:$T$10,MATCH($B$2,Věci!$R$2:$R$10,0),FALSE)*L112*HLOOKUP(Věci!$Y$2,Věci!$W$2:$Y$7,MATCH(IF($N$11="Sebe",$B$3,$N$11),Věci!$W$2:$W$7,0),FALSE)</f>
        <v>0</v>
      </c>
      <c r="P112" s="157" t="s">
        <v>456</v>
      </c>
      <c r="Q112" s="157"/>
      <c r="R112" s="392">
        <f>HLOOKUP(Věci!$E$2,Věci!$A$2:$F$529,MATCH(P112,Věci!$A$2:$A$529,0),FALSE)*HLOOKUP($B$5,Věci!$R$2:$T$10,MATCH($B$2,Věci!$R$2:$R$10,0),FALSE)*Q112</f>
        <v>0</v>
      </c>
    </row>
    <row r="113" spans="1:18" ht="12.9" customHeight="1" x14ac:dyDescent="0.3">
      <c r="A113" s="157" t="s">
        <v>446</v>
      </c>
      <c r="B113" s="157"/>
      <c r="C113" s="392">
        <f>HLOOKUP(Věci!$E$2,Věci!$A$2:$F$529,MATCH(A113,Věci!$A$2:$A$529,0),FALSE)*HLOOKUP($B$5,Věci!$R$2:$T$10,MATCH($B$2,Věci!$R$2:$R$10,0),FALSE)*B113</f>
        <v>0</v>
      </c>
      <c r="K113" s="405" t="s">
        <v>954</v>
      </c>
      <c r="L113" s="157"/>
      <c r="M113" s="392">
        <f>HLOOKUP(Věci!$E$2,Věci!$A$2:$F$529,MATCH(K113,Věci!$A$2:$A$529,0),FALSE)*HLOOKUP($B$5,Věci!$R$2:$T$10,MATCH($B$2,Věci!$R$2:$R$10,0),FALSE)*L113*HLOOKUP(Věci!$Y$2,Věci!$W$2:$Y$7,MATCH(IF($N$11="Sebe",$B$3,$N$11),Věci!$W$2:$W$7,0),FALSE)</f>
        <v>0</v>
      </c>
      <c r="P113" s="157" t="s">
        <v>521</v>
      </c>
      <c r="Q113" s="157"/>
      <c r="R113" s="392">
        <f>HLOOKUP(Věci!$E$2,Věci!$A$2:$F$529,MATCH(P113,Věci!$A$2:$A$529,0),FALSE)*HLOOKUP($B$5,Věci!$R$2:$T$10,MATCH($B$2,Věci!$R$2:$R$10,0),FALSE)*Q113</f>
        <v>0</v>
      </c>
    </row>
    <row r="114" spans="1:18" ht="12.9" customHeight="1" x14ac:dyDescent="0.3">
      <c r="A114" s="157" t="s">
        <v>485</v>
      </c>
      <c r="B114" s="157"/>
      <c r="C114" s="392">
        <f>HLOOKUP(Věci!$E$2,Věci!$A$2:$F$529,MATCH(A114,Věci!$A$2:$A$529,0),FALSE)*HLOOKUP($B$5,Věci!$R$2:$T$10,MATCH($B$2,Věci!$R$2:$R$10,0),FALSE)*B114</f>
        <v>0</v>
      </c>
      <c r="K114" s="405" t="s">
        <v>3898</v>
      </c>
      <c r="L114" s="157"/>
      <c r="M114" s="392">
        <f>HLOOKUP(Věci!$E$2,Věci!$A$2:$F$529,MATCH(K114,Věci!$A$2:$A$529,0),FALSE)*HLOOKUP($B$5,Věci!$R$2:$T$10,MATCH($B$2,Věci!$R$2:$R$10,0),FALSE)*L114*HLOOKUP(Věci!$Y$2,Věci!$W$2:$Y$7,MATCH(IF($N$11="Sebe",$B$3,$N$11),Věci!$W$2:$W$7,0),FALSE)</f>
        <v>0</v>
      </c>
    </row>
    <row r="115" spans="1:18" ht="12.9" customHeight="1" x14ac:dyDescent="0.3">
      <c r="A115" s="157" t="s">
        <v>484</v>
      </c>
      <c r="B115" s="157"/>
      <c r="C115" s="392">
        <f>HLOOKUP(Věci!$E$2,Věci!$A$2:$F$529,MATCH(A115,Věci!$A$2:$A$529,0),FALSE)*HLOOKUP($B$5,Věci!$R$2:$T$10,MATCH($B$2,Věci!$R$2:$R$10,0),FALSE)*B115</f>
        <v>0</v>
      </c>
      <c r="K115" s="405" t="s">
        <v>1284</v>
      </c>
      <c r="L115" s="157"/>
      <c r="M115" s="392">
        <f>HLOOKUP(Věci!$E$2,Věci!$A$2:$F$529,MATCH(K115,Věci!$A$2:$A$529,0),FALSE)*HLOOKUP($B$5,Věci!$R$2:$T$10,MATCH($B$2,Věci!$R$2:$R$10,0),FALSE)*L115*HLOOKUP(Věci!$Y$2,Věci!$W$2:$Y$7,MATCH(IF($N$11="Sebe",$B$3,$N$11),Věci!$W$2:$W$7,0),FALSE)</f>
        <v>0</v>
      </c>
    </row>
    <row r="116" spans="1:18" ht="12.9" customHeight="1" x14ac:dyDescent="0.3">
      <c r="A116" s="157" t="s">
        <v>480</v>
      </c>
      <c r="B116" s="157"/>
      <c r="C116" s="392">
        <f>HLOOKUP(Věci!$E$2,Věci!$A$2:$F$529,MATCH(A116,Věci!$A$2:$A$529,0),FALSE)*HLOOKUP($B$5,Věci!$R$2:$T$10,MATCH($B$2,Věci!$R$2:$R$10,0),FALSE)*B116</f>
        <v>0</v>
      </c>
      <c r="K116" s="405" t="s">
        <v>2410</v>
      </c>
      <c r="L116" s="157"/>
      <c r="M116" s="392">
        <f>HLOOKUP(Věci!$E$2,Věci!$A$2:$F$529,MATCH(K116,Věci!$A$2:$A$529,0),FALSE)*HLOOKUP($B$5,Věci!$R$2:$T$10,MATCH($B$2,Věci!$R$2:$R$10,0),FALSE)*L116*HLOOKUP(Věci!$Y$2,Věci!$W$2:$Y$7,MATCH(IF($N$11="Sebe",$B$3,$N$11),Věci!$W$2:$W$7,0),FALSE)</f>
        <v>0</v>
      </c>
    </row>
    <row r="117" spans="1:18" ht="12.9" customHeight="1" x14ac:dyDescent="0.3">
      <c r="A117" s="247" t="s">
        <v>4588</v>
      </c>
      <c r="K117" s="405" t="s">
        <v>3897</v>
      </c>
      <c r="L117" s="157"/>
      <c r="M117" s="392">
        <f>HLOOKUP(Věci!$E$2,Věci!$A$2:$F$529,MATCH(K117,Věci!$A$2:$A$529,0),FALSE)*HLOOKUP($B$5,Věci!$R$2:$T$10,MATCH($B$2,Věci!$R$2:$R$10,0),FALSE)*L117*HLOOKUP(Věci!$Y$2,Věci!$W$2:$Y$7,MATCH(IF($N$11="Sebe",$B$3,$N$11),Věci!$W$2:$W$7,0),FALSE)</f>
        <v>0</v>
      </c>
    </row>
    <row r="118" spans="1:18" ht="12.9" customHeight="1" x14ac:dyDescent="0.3">
      <c r="A118" s="157" t="s">
        <v>2104</v>
      </c>
      <c r="B118" s="157"/>
      <c r="C118" s="392">
        <f>HLOOKUP(Věci!$E$2,Věci!$A$2:$F$529,MATCH(A118,Věci!$A$2:$A$529,0),FALSE)*HLOOKUP($B$5,Věci!$R$2:$T$10,MATCH($B$2,Věci!$R$2:$R$10,0),FALSE)*B118</f>
        <v>0</v>
      </c>
      <c r="K118" s="405" t="s">
        <v>3895</v>
      </c>
      <c r="L118" s="157"/>
      <c r="M118" s="392">
        <f>HLOOKUP(Věci!$E$2,Věci!$A$2:$F$529,MATCH(K118,Věci!$A$2:$A$529,0),FALSE)*HLOOKUP($B$5,Věci!$R$2:$T$10,MATCH($B$2,Věci!$R$2:$R$10,0),FALSE)*L118*HLOOKUP(Věci!$Y$2,Věci!$W$2:$Y$7,MATCH(IF($N$11="Sebe",$B$3,$N$11),Věci!$W$2:$W$7,0),FALSE)</f>
        <v>0</v>
      </c>
    </row>
    <row r="119" spans="1:18" ht="12.9" customHeight="1" x14ac:dyDescent="0.3">
      <c r="A119" s="157" t="s">
        <v>4903</v>
      </c>
      <c r="B119" s="157"/>
      <c r="C119" s="392">
        <f>HLOOKUP(Věci!$E$2,Věci!$A$2:$F$529,MATCH(A119,Věci!$A$2:$A$529,0),FALSE)*HLOOKUP($B$5,Věci!$R$2:$T$10,MATCH($B$2,Věci!$R$2:$R$10,0),FALSE)*B119</f>
        <v>0</v>
      </c>
      <c r="K119" s="247" t="s">
        <v>3904</v>
      </c>
    </row>
    <row r="120" spans="1:18" ht="12.9" customHeight="1" x14ac:dyDescent="0.3">
      <c r="A120" s="157" t="s">
        <v>462</v>
      </c>
      <c r="B120" s="157"/>
      <c r="C120" s="392">
        <f>HLOOKUP(Věci!$E$2,Věci!$A$2:$F$529,MATCH(A120,Věci!$A$2:$A$529,0),FALSE)*HLOOKUP($B$5,Věci!$R$2:$T$10,MATCH($B$2,Věci!$R$2:$R$10,0),FALSE)*B120</f>
        <v>0</v>
      </c>
      <c r="K120" s="405" t="s">
        <v>333</v>
      </c>
      <c r="L120" s="157"/>
      <c r="M120" s="392">
        <f>HLOOKUP(Věci!$E$2,Věci!$A$2:$F$529,MATCH(K120,Věci!$A$2:$A$529,0),FALSE)*HLOOKUP($B$5,Věci!$R$2:$T$10,MATCH($B$2,Věci!$R$2:$R$10,0),FALSE)*L120*HLOOKUP(Věci!$Y$2,Věci!$W$2:$Y$7,MATCH(IF($N$11="Sebe",$B$3,$N$11),Věci!$W$2:$W$7,0),FALSE)</f>
        <v>0</v>
      </c>
    </row>
    <row r="121" spans="1:18" ht="12.9" customHeight="1" x14ac:dyDescent="0.3">
      <c r="A121" s="157" t="s">
        <v>520</v>
      </c>
      <c r="B121" s="157"/>
      <c r="C121" s="392">
        <f>HLOOKUP(Věci!$E$2,Věci!$A$2:$F$529,MATCH(A121,Věci!$A$2:$A$529,0),FALSE)*HLOOKUP($B$5,Věci!$R$2:$T$10,MATCH($B$2,Věci!$R$2:$R$10,0),FALSE)*B121</f>
        <v>0</v>
      </c>
      <c r="K121" s="405" t="s">
        <v>1175</v>
      </c>
      <c r="L121" s="157"/>
      <c r="M121" s="392">
        <f>HLOOKUP(Věci!$E$2,Věci!$A$2:$F$529,MATCH(K121,Věci!$A$2:$A$529,0),FALSE)*HLOOKUP($B$5,Věci!$R$2:$T$10,MATCH($B$2,Věci!$R$2:$R$10,0),FALSE)*L121*HLOOKUP(Věci!$Y$2,Věci!$W$2:$Y$7,MATCH(IF($N$11="Sebe",$B$3,$N$11),Věci!$W$2:$W$7,0),FALSE)</f>
        <v>0</v>
      </c>
    </row>
    <row r="122" spans="1:18" ht="12.9" customHeight="1" x14ac:dyDescent="0.3">
      <c r="A122" s="157" t="s">
        <v>476</v>
      </c>
      <c r="B122" s="157"/>
      <c r="C122" s="392">
        <f>HLOOKUP(Věci!$E$2,Věci!$A$2:$F$529,MATCH(A122,Věci!$A$2:$A$529,0),FALSE)*HLOOKUP($B$5,Věci!$R$2:$T$10,MATCH($B$2,Věci!$R$2:$R$10,0),FALSE)*B122</f>
        <v>0</v>
      </c>
      <c r="K122" s="405" t="s">
        <v>334</v>
      </c>
      <c r="L122" s="157"/>
      <c r="M122" s="392">
        <f>HLOOKUP(Věci!$E$2,Věci!$A$2:$F$529,MATCH(K122,Věci!$A$2:$A$529,0),FALSE)*HLOOKUP($B$5,Věci!$R$2:$T$10,MATCH($B$2,Věci!$R$2:$R$10,0),FALSE)*L122*HLOOKUP(Věci!$Y$2,Věci!$W$2:$Y$7,MATCH(IF($N$11="Sebe",$B$3,$N$11),Věci!$W$2:$W$7,0),FALSE)</f>
        <v>0</v>
      </c>
    </row>
    <row r="123" spans="1:18" ht="12.9" customHeight="1" x14ac:dyDescent="0.3">
      <c r="A123" s="157" t="s">
        <v>3925</v>
      </c>
      <c r="B123" s="157"/>
      <c r="C123" s="392">
        <f>HLOOKUP(Věci!$E$2,Věci!$A$2:$F$529,MATCH(A123,Věci!$A$2:$A$529,0),FALSE)*HLOOKUP($B$5,Věci!$R$2:$T$10,MATCH($B$2,Věci!$R$2:$R$10,0),FALSE)*B123</f>
        <v>0</v>
      </c>
      <c r="K123" s="405" t="s">
        <v>1174</v>
      </c>
      <c r="L123" s="157"/>
      <c r="M123" s="392">
        <f>HLOOKUP(Věci!$E$2,Věci!$A$2:$F$529,MATCH(K123,Věci!$A$2:$A$529,0),FALSE)*HLOOKUP($B$5,Věci!$R$2:$T$10,MATCH($B$2,Věci!$R$2:$R$10,0),FALSE)*L123*HLOOKUP(Věci!$Y$2,Věci!$W$2:$Y$7,MATCH(IF($N$11="Sebe",$B$3,$N$11),Věci!$W$2:$W$7,0),FALSE)</f>
        <v>0</v>
      </c>
    </row>
    <row r="124" spans="1:18" ht="12.9" customHeight="1" x14ac:dyDescent="0.3">
      <c r="A124" s="157" t="s">
        <v>561</v>
      </c>
      <c r="B124" s="157"/>
      <c r="C124" s="392">
        <f>HLOOKUP(Věci!$E$2,Věci!$A$2:$F$529,MATCH(A124,Věci!$A$2:$A$529,0),FALSE)*HLOOKUP($B$5,Věci!$R$2:$T$10,MATCH($B$2,Věci!$R$2:$R$10,0),FALSE)*B124</f>
        <v>0</v>
      </c>
      <c r="K124" s="405" t="s">
        <v>335</v>
      </c>
      <c r="L124" s="157"/>
      <c r="M124" s="392">
        <f>HLOOKUP(Věci!$E$2,Věci!$A$2:$F$529,MATCH(K124,Věci!$A$2:$A$529,0),FALSE)*HLOOKUP($B$5,Věci!$R$2:$T$10,MATCH($B$2,Věci!$R$2:$R$10,0),FALSE)*L124*HLOOKUP(Věci!$Y$2,Věci!$W$2:$Y$7,MATCH(IF($N$11="Sebe",$B$3,$N$11),Věci!$W$2:$W$7,0),FALSE)</f>
        <v>0</v>
      </c>
    </row>
    <row r="125" spans="1:18" ht="12.9" customHeight="1" x14ac:dyDescent="0.3">
      <c r="A125" s="157" t="s">
        <v>3924</v>
      </c>
      <c r="B125" s="157"/>
      <c r="C125" s="392">
        <f>HLOOKUP(Věci!$E$2,Věci!$A$2:$F$529,MATCH(A125,Věci!$A$2:$A$529,0),FALSE)*HLOOKUP($B$5,Věci!$R$2:$T$10,MATCH($B$2,Věci!$R$2:$R$10,0),FALSE)*B125</f>
        <v>0</v>
      </c>
      <c r="K125" s="405" t="s">
        <v>532</v>
      </c>
      <c r="L125" s="157"/>
      <c r="M125" s="392">
        <f>HLOOKUP(Věci!$E$2,Věci!$A$2:$F$529,MATCH(K125,Věci!$A$2:$A$529,0),FALSE)*HLOOKUP($B$5,Věci!$R$2:$T$10,MATCH($B$2,Věci!$R$2:$R$10,0),FALSE)*L125*HLOOKUP(Věci!$Y$2,Věci!$W$2:$Y$7,MATCH(IF($N$11="Sebe",$B$3,$N$11),Věci!$W$2:$W$7,0),FALSE)</f>
        <v>0</v>
      </c>
    </row>
    <row r="126" spans="1:18" ht="12.9" customHeight="1" x14ac:dyDescent="0.3">
      <c r="A126" s="157" t="s">
        <v>1279</v>
      </c>
      <c r="B126" s="157"/>
      <c r="C126" s="392">
        <f>HLOOKUP(Věci!$E$2,Věci!$A$2:$F$529,MATCH(A126,Věci!$A$2:$A$529,0),FALSE)*HLOOKUP($B$5,Věci!$R$2:$T$10,MATCH($B$2,Věci!$R$2:$R$10,0),FALSE)*B126</f>
        <v>0</v>
      </c>
      <c r="K126" s="405" t="s">
        <v>336</v>
      </c>
      <c r="L126" s="157"/>
      <c r="M126" s="392">
        <f>HLOOKUP(Věci!$E$2,Věci!$A$2:$F$529,MATCH(K126,Věci!$A$2:$A$529,0),FALSE)*HLOOKUP($B$5,Věci!$R$2:$T$10,MATCH($B$2,Věci!$R$2:$R$10,0),FALSE)*L126*HLOOKUP(Věci!$Y$2,Věci!$W$2:$Y$7,MATCH(IF($N$11="Sebe",$B$3,$N$11),Věci!$W$2:$W$7,0),FALSE)</f>
        <v>0</v>
      </c>
    </row>
    <row r="127" spans="1:18" ht="12.9" customHeight="1" x14ac:dyDescent="0.3">
      <c r="A127" s="157" t="s">
        <v>3927</v>
      </c>
      <c r="B127" s="157"/>
      <c r="C127" s="392">
        <f>HLOOKUP(Věci!$E$2,Věci!$A$2:$F$529,MATCH(A127,Věci!$A$2:$A$529,0),FALSE)*HLOOKUP($B$5,Věci!$R$2:$T$10,MATCH($B$2,Věci!$R$2:$R$10,0),FALSE)*B127</f>
        <v>0</v>
      </c>
      <c r="K127" s="405" t="s">
        <v>2963</v>
      </c>
      <c r="L127" s="157"/>
      <c r="M127" s="392">
        <f>HLOOKUP(Věci!$E$2,Věci!$A$2:$F$529,MATCH(K127,Věci!$A$2:$A$529,0),FALSE)*HLOOKUP($B$5,Věci!$R$2:$T$10,MATCH($B$2,Věci!$R$2:$R$10,0),FALSE)*L127*HLOOKUP(Věci!$Y$2,Věci!$W$2:$Y$7,MATCH(IF($N$11="Sebe",$B$3,$N$11),Věci!$W$2:$W$7,0),FALSE)</f>
        <v>0</v>
      </c>
    </row>
    <row r="128" spans="1:18" ht="12.9" customHeight="1" x14ac:dyDescent="0.3">
      <c r="A128" s="157" t="s">
        <v>475</v>
      </c>
      <c r="B128" s="157"/>
      <c r="C128" s="392">
        <f>HLOOKUP(Věci!$E$2,Věci!$A$2:$F$529,MATCH(A128,Věci!$A$2:$A$529,0),FALSE)*HLOOKUP($B$5,Věci!$R$2:$T$10,MATCH($B$2,Věci!$R$2:$R$10,0),FALSE)*B128</f>
        <v>0</v>
      </c>
      <c r="K128" s="405" t="s">
        <v>958</v>
      </c>
      <c r="L128" s="157"/>
      <c r="M128" s="392">
        <f>HLOOKUP(Věci!$E$2,Věci!$A$2:$F$529,MATCH(K128,Věci!$A$2:$A$529,0),FALSE)*HLOOKUP($B$5,Věci!$R$2:$T$10,MATCH($B$2,Věci!$R$2:$R$10,0),FALSE)*L128*HLOOKUP(Věci!$Y$2,Věci!$W$2:$Y$7,MATCH(IF($N$11="Sebe",$B$3,$N$11),Věci!$W$2:$W$7,0),FALSE)</f>
        <v>0</v>
      </c>
    </row>
    <row r="129" spans="1:13" ht="12.9" customHeight="1" x14ac:dyDescent="0.3">
      <c r="A129" s="157" t="s">
        <v>665</v>
      </c>
      <c r="B129" s="157"/>
      <c r="C129" s="392">
        <f>HLOOKUP(Věci!$E$2,Věci!$A$2:$F$529,MATCH(A129,Věci!$A$2:$A$529,0),FALSE)*HLOOKUP($B$5,Věci!$R$2:$T$10,MATCH($B$2,Věci!$R$2:$R$10,0),FALSE)*B129</f>
        <v>0</v>
      </c>
      <c r="K129" s="247" t="s">
        <v>3905</v>
      </c>
    </row>
    <row r="130" spans="1:13" ht="12.9" customHeight="1" x14ac:dyDescent="0.3">
      <c r="A130" s="157" t="s">
        <v>492</v>
      </c>
      <c r="B130" s="157"/>
      <c r="C130" s="392">
        <f>HLOOKUP(Věci!$E$2,Věci!$A$2:$F$529,MATCH(A130,Věci!$A$2:$A$529,0),FALSE)*HLOOKUP($B$5,Věci!$R$2:$T$10,MATCH($B$2,Věci!$R$2:$R$10,0),FALSE)*B130</f>
        <v>0</v>
      </c>
      <c r="K130" s="405" t="s">
        <v>330</v>
      </c>
      <c r="L130" s="157"/>
      <c r="M130" s="392">
        <f>HLOOKUP(Věci!$E$2,Věci!$A$2:$F$529,MATCH(K130,Věci!$A$2:$A$529,0),FALSE)*HLOOKUP($B$5,Věci!$R$2:$T$10,MATCH($B$2,Věci!$R$2:$R$10,0),FALSE)*L130*HLOOKUP(Věci!$Y$2,Věci!$W$2:$Y$7,MATCH(IF($N$11="Sebe",$B$3,$N$11),Věci!$W$2:$W$7,0),FALSE)</f>
        <v>0</v>
      </c>
    </row>
    <row r="131" spans="1:13" ht="12.9" customHeight="1" x14ac:dyDescent="0.3">
      <c r="A131" s="157" t="s">
        <v>491</v>
      </c>
      <c r="B131" s="157"/>
      <c r="C131" s="392">
        <f>HLOOKUP(Věci!$E$2,Věci!$A$2:$F$529,MATCH(A131,Věci!$A$2:$A$529,0),FALSE)*HLOOKUP($B$5,Věci!$R$2:$T$10,MATCH($B$2,Věci!$R$2:$R$10,0),FALSE)*B131</f>
        <v>0</v>
      </c>
      <c r="K131" s="405" t="s">
        <v>1172</v>
      </c>
      <c r="L131" s="157"/>
      <c r="M131" s="392">
        <f>HLOOKUP(Věci!$E$2,Věci!$A$2:$F$529,MATCH(K131,Věci!$A$2:$A$529,0),FALSE)*HLOOKUP($B$5,Věci!$R$2:$T$10,MATCH($B$2,Věci!$R$2:$R$10,0),FALSE)*L131*HLOOKUP(Věci!$Y$2,Věci!$W$2:$Y$7,MATCH(IF($N$11="Sebe",$B$3,$N$11),Věci!$W$2:$W$7,0),FALSE)</f>
        <v>0</v>
      </c>
    </row>
    <row r="132" spans="1:13" ht="12.9" customHeight="1" x14ac:dyDescent="0.3">
      <c r="A132" s="157" t="s">
        <v>4912</v>
      </c>
      <c r="B132" s="157"/>
      <c r="C132" s="392">
        <f>HLOOKUP(Věci!$E$2,Věci!$A$2:$F$529,MATCH(A132,Věci!$A$2:$A$529,0),FALSE)*HLOOKUP($B$5,Věci!$R$2:$T$10,MATCH($B$2,Věci!$R$2:$R$10,0),FALSE)*B132</f>
        <v>0</v>
      </c>
      <c r="K132" s="405" t="s">
        <v>1171</v>
      </c>
      <c r="L132" s="157"/>
      <c r="M132" s="392">
        <f>HLOOKUP(Věci!$E$2,Věci!$A$2:$F$529,MATCH(K132,Věci!$A$2:$A$529,0),FALSE)*HLOOKUP($B$5,Věci!$R$2:$T$10,MATCH($B$2,Věci!$R$2:$R$10,0),FALSE)*L132*HLOOKUP(Věci!$Y$2,Věci!$W$2:$Y$7,MATCH(IF($N$11="Sebe",$B$3,$N$11),Věci!$W$2:$W$7,0),FALSE)</f>
        <v>0</v>
      </c>
    </row>
    <row r="133" spans="1:13" ht="12.9" customHeight="1" x14ac:dyDescent="0.3">
      <c r="A133" s="157" t="s">
        <v>4904</v>
      </c>
      <c r="B133" s="157"/>
      <c r="C133" s="392">
        <f>HLOOKUP(Věci!$E$2,Věci!$A$2:$F$529,MATCH(A133,Věci!$A$2:$A$529,0),FALSE)*HLOOKUP($B$5,Věci!$R$2:$T$10,MATCH($B$2,Věci!$R$2:$R$10,0),FALSE)*B133</f>
        <v>0</v>
      </c>
      <c r="K133" s="405" t="s">
        <v>331</v>
      </c>
      <c r="L133" s="157"/>
      <c r="M133" s="392">
        <f>HLOOKUP(Věci!$E$2,Věci!$A$2:$F$529,MATCH(K133,Věci!$A$2:$A$529,0),FALSE)*HLOOKUP($B$5,Věci!$R$2:$T$10,MATCH($B$2,Věci!$R$2:$R$10,0),FALSE)*L133*HLOOKUP(Věci!$Y$2,Věci!$W$2:$Y$7,MATCH(IF($N$11="Sebe",$B$3,$N$11),Věci!$W$2:$W$7,0),FALSE)</f>
        <v>0</v>
      </c>
    </row>
    <row r="134" spans="1:13" ht="12.9" customHeight="1" x14ac:dyDescent="0.3">
      <c r="A134" s="157" t="s">
        <v>474</v>
      </c>
      <c r="B134" s="157"/>
      <c r="C134" s="392">
        <f>HLOOKUP(Věci!$E$2,Věci!$A$2:$F$529,MATCH(A134,Věci!$A$2:$A$529,0),FALSE)*HLOOKUP($B$5,Věci!$R$2:$T$10,MATCH($B$2,Věci!$R$2:$R$10,0),FALSE)*B134</f>
        <v>0</v>
      </c>
      <c r="K134" s="405" t="s">
        <v>1176</v>
      </c>
      <c r="L134" s="157"/>
      <c r="M134" s="392">
        <f>HLOOKUP(Věci!$E$2,Věci!$A$2:$F$529,MATCH(K134,Věci!$A$2:$A$529,0),FALSE)*HLOOKUP($B$5,Věci!$R$2:$T$10,MATCH($B$2,Věci!$R$2:$R$10,0),FALSE)*L134*HLOOKUP(Věci!$Y$2,Věci!$W$2:$Y$7,MATCH(IF($N$11="Sebe",$B$3,$N$11),Věci!$W$2:$W$7,0),FALSE)</f>
        <v>0</v>
      </c>
    </row>
    <row r="135" spans="1:13" ht="12.9" customHeight="1" x14ac:dyDescent="0.3">
      <c r="A135" s="157" t="s">
        <v>483</v>
      </c>
      <c r="B135" s="157"/>
      <c r="C135" s="392">
        <f>HLOOKUP(Věci!$E$2,Věci!$A$2:$F$529,MATCH(A135,Věci!$A$2:$A$529,0),FALSE)*HLOOKUP($B$5,Věci!$R$2:$T$10,MATCH($B$2,Věci!$R$2:$R$10,0),FALSE)*B135</f>
        <v>0</v>
      </c>
      <c r="K135" s="405" t="s">
        <v>1285</v>
      </c>
      <c r="L135" s="157"/>
      <c r="M135" s="392">
        <f>HLOOKUP(Věci!$E$2,Věci!$A$2:$F$529,MATCH(K135,Věci!$A$2:$A$529,0),FALSE)*HLOOKUP($B$5,Věci!$R$2:$T$10,MATCH($B$2,Věci!$R$2:$R$10,0),FALSE)*L135*HLOOKUP(Věci!$Y$2,Věci!$W$2:$Y$7,MATCH(IF($N$11="Sebe",$B$3,$N$11),Věci!$W$2:$W$7,0),FALSE)</f>
        <v>0</v>
      </c>
    </row>
    <row r="136" spans="1:13" ht="12.9" customHeight="1" x14ac:dyDescent="0.3">
      <c r="A136" s="157" t="s">
        <v>470</v>
      </c>
      <c r="B136" s="157"/>
      <c r="C136" s="392">
        <f>HLOOKUP(Věci!$E$2,Věci!$A$2:$F$529,MATCH(A136,Věci!$A$2:$A$529,0),FALSE)*HLOOKUP($B$5,Věci!$R$2:$T$10,MATCH($B$2,Věci!$R$2:$R$10,0),FALSE)*B136</f>
        <v>0</v>
      </c>
      <c r="K136" s="405" t="s">
        <v>327</v>
      </c>
      <c r="L136" s="157"/>
      <c r="M136" s="392">
        <f>HLOOKUP(Věci!$E$2,Věci!$A$2:$F$529,MATCH(K136,Věci!$A$2:$A$529,0),FALSE)*HLOOKUP($B$5,Věci!$R$2:$T$10,MATCH($B$2,Věci!$R$2:$R$10,0),FALSE)*L136*HLOOKUP(Věci!$Y$2,Věci!$W$2:$Y$7,MATCH(IF($N$11="Sebe",$B$3,$N$11),Věci!$W$2:$W$7,0),FALSE)</f>
        <v>0</v>
      </c>
    </row>
    <row r="137" spans="1:13" ht="12.9" customHeight="1" x14ac:dyDescent="0.3">
      <c r="A137" s="157" t="s">
        <v>4905</v>
      </c>
      <c r="B137" s="157"/>
      <c r="C137" s="392">
        <f>HLOOKUP(Věci!$E$2,Věci!$A$2:$F$529,MATCH(A137,Věci!$A$2:$A$529,0),FALSE)*HLOOKUP($B$5,Věci!$R$2:$T$10,MATCH($B$2,Věci!$R$2:$R$10,0),FALSE)*B137</f>
        <v>0</v>
      </c>
      <c r="K137" s="405" t="s">
        <v>3902</v>
      </c>
      <c r="L137" s="157"/>
      <c r="M137" s="392">
        <f>HLOOKUP(Věci!$E$2,Věci!$A$2:$F$529,MATCH(K137,Věci!$A$2:$A$529,0),FALSE)*HLOOKUP($B$5,Věci!$R$2:$T$10,MATCH($B$2,Věci!$R$2:$R$10,0),FALSE)*L137*HLOOKUP(Věci!$Y$2,Věci!$W$2:$Y$7,MATCH(IF($N$11="Sebe",$B$3,$N$11),Věci!$W$2:$W$7,0),FALSE)</f>
        <v>0</v>
      </c>
    </row>
    <row r="138" spans="1:13" ht="12.9" customHeight="1" x14ac:dyDescent="0.3">
      <c r="A138" s="157" t="s">
        <v>463</v>
      </c>
      <c r="B138" s="157"/>
      <c r="C138" s="392">
        <f>HLOOKUP(Věci!$E$2,Věci!$A$2:$F$529,MATCH(A138,Věci!$A$2:$A$529,0),FALSE)*HLOOKUP($B$5,Věci!$R$2:$T$10,MATCH($B$2,Věci!$R$2:$R$10,0),FALSE)*B138</f>
        <v>0</v>
      </c>
      <c r="K138" s="405" t="s">
        <v>345</v>
      </c>
      <c r="L138" s="157"/>
      <c r="M138" s="392">
        <f>HLOOKUP(Věci!$E$2,Věci!$A$2:$F$529,MATCH(K138,Věci!$A$2:$A$529,0),FALSE)*HLOOKUP($B$5,Věci!$R$2:$T$10,MATCH($B$2,Věci!$R$2:$R$10,0),FALSE)*L138*HLOOKUP(Věci!$Y$2,Věci!$W$2:$Y$7,MATCH(IF($N$11="Sebe",$B$3,$N$11),Věci!$W$2:$W$7,0),FALSE)</f>
        <v>0</v>
      </c>
    </row>
    <row r="139" spans="1:13" ht="12.9" customHeight="1" x14ac:dyDescent="0.3">
      <c r="A139" s="157" t="s">
        <v>464</v>
      </c>
      <c r="B139" s="157"/>
      <c r="C139" s="392">
        <f>HLOOKUP(Věci!$E$2,Věci!$A$2:$F$529,MATCH(A139,Věci!$A$2:$A$529,0),FALSE)*HLOOKUP($B$5,Věci!$R$2:$T$10,MATCH($B$2,Věci!$R$2:$R$10,0),FALSE)*B139</f>
        <v>0</v>
      </c>
      <c r="K139" s="405" t="s">
        <v>3903</v>
      </c>
      <c r="L139" s="157"/>
      <c r="M139" s="392">
        <f>HLOOKUP(Věci!$E$2,Věci!$A$2:$F$529,MATCH(K139,Věci!$A$2:$A$529,0),FALSE)*HLOOKUP($B$5,Věci!$R$2:$T$10,MATCH($B$2,Věci!$R$2:$R$10,0),FALSE)*L139*HLOOKUP(Věci!$Y$2,Věci!$W$2:$Y$7,MATCH(IF($N$11="Sebe",$B$3,$N$11),Věci!$W$2:$W$7,0),FALSE)</f>
        <v>0</v>
      </c>
    </row>
    <row r="140" spans="1:13" ht="12.9" customHeight="1" x14ac:dyDescent="0.3">
      <c r="A140" s="157" t="s">
        <v>3772</v>
      </c>
      <c r="B140" s="157"/>
      <c r="C140" s="392">
        <f>HLOOKUP(Věci!$E$2,Věci!$A$2:$F$529,MATCH(A140,Věci!$A$2:$A$529,0),FALSE)*HLOOKUP($B$5,Věci!$R$2:$T$10,MATCH($B$2,Věci!$R$2:$R$10,0),FALSE)*B140</f>
        <v>0</v>
      </c>
      <c r="K140" s="405" t="s">
        <v>328</v>
      </c>
      <c r="L140" s="157"/>
      <c r="M140" s="392">
        <f>HLOOKUP(Věci!$E$2,Věci!$A$2:$F$529,MATCH(K140,Věci!$A$2:$A$529,0),FALSE)*HLOOKUP($B$5,Věci!$R$2:$T$10,MATCH($B$2,Věci!$R$2:$R$10,0),FALSE)*L140*HLOOKUP(Věci!$Y$2,Věci!$W$2:$Y$7,MATCH(IF($N$11="Sebe",$B$3,$N$11),Věci!$W$2:$W$7,0),FALSE)</f>
        <v>0</v>
      </c>
    </row>
    <row r="141" spans="1:13" ht="12.9" customHeight="1" x14ac:dyDescent="0.3">
      <c r="A141" s="157" t="s">
        <v>3773</v>
      </c>
      <c r="B141" s="157"/>
      <c r="C141" s="392">
        <f>HLOOKUP(Věci!$E$2,Věci!$A$2:$F$529,MATCH(A141,Věci!$A$2:$A$529,0),FALSE)*HLOOKUP($B$5,Věci!$R$2:$T$10,MATCH($B$2,Věci!$R$2:$R$10,0),FALSE)*B141</f>
        <v>0</v>
      </c>
      <c r="K141" s="405" t="s">
        <v>962</v>
      </c>
      <c r="L141" s="157"/>
      <c r="M141" s="392">
        <f>HLOOKUP(Věci!$E$2,Věci!$A$2:$F$529,MATCH(K141,Věci!$A$2:$A$529,0),FALSE)*HLOOKUP($B$5,Věci!$R$2:$T$10,MATCH($B$2,Věci!$R$2:$R$10,0),FALSE)*L141*HLOOKUP(Věci!$Y$2,Věci!$W$2:$Y$7,MATCH(IF($N$11="Sebe",$B$3,$N$11),Věci!$W$2:$W$7,0),FALSE)</f>
        <v>0</v>
      </c>
    </row>
    <row r="142" spans="1:13" ht="12.9" customHeight="1" x14ac:dyDescent="0.3">
      <c r="A142" s="157" t="s">
        <v>4906</v>
      </c>
      <c r="B142" s="157"/>
      <c r="C142" s="392">
        <f>HLOOKUP(Věci!$E$2,Věci!$A$2:$F$529,MATCH(A142,Věci!$A$2:$A$529,0),FALSE)*HLOOKUP($B$5,Věci!$R$2:$T$10,MATCH($B$2,Věci!$R$2:$R$10,0),FALSE)*B142</f>
        <v>0</v>
      </c>
    </row>
    <row r="143" spans="1:13" ht="12.9" customHeight="1" x14ac:dyDescent="0.3">
      <c r="A143" s="157" t="s">
        <v>469</v>
      </c>
      <c r="B143" s="157"/>
      <c r="C143" s="392">
        <f>HLOOKUP(Věci!$E$2,Věci!$A$2:$F$529,MATCH(A143,Věci!$A$2:$A$529,0),FALSE)*HLOOKUP($B$5,Věci!$R$2:$T$10,MATCH($B$2,Věci!$R$2:$R$10,0),FALSE)*B143</f>
        <v>0</v>
      </c>
    </row>
    <row r="144" spans="1:13" ht="12.9" customHeight="1" x14ac:dyDescent="0.3">
      <c r="A144" s="157" t="s">
        <v>2387</v>
      </c>
      <c r="B144" s="157"/>
      <c r="C144" s="392">
        <f>HLOOKUP(Věci!$E$2,Věci!$A$2:$F$529,MATCH(A144,Věci!$A$2:$A$529,0),FALSE)*HLOOKUP($B$5,Věci!$R$2:$T$10,MATCH($B$2,Věci!$R$2:$R$10,0),FALSE)*B144</f>
        <v>0</v>
      </c>
    </row>
    <row r="145" spans="1:3" ht="12.9" customHeight="1" x14ac:dyDescent="0.3">
      <c r="A145" s="157" t="s">
        <v>460</v>
      </c>
      <c r="B145" s="157"/>
      <c r="C145" s="392">
        <f>HLOOKUP(Věci!$E$2,Věci!$A$2:$F$529,MATCH(A145,Věci!$A$2:$A$529,0),FALSE)*HLOOKUP($B$5,Věci!$R$2:$T$10,MATCH($B$2,Věci!$R$2:$R$10,0),FALSE)*B145</f>
        <v>0</v>
      </c>
    </row>
    <row r="146" spans="1:3" ht="12.9" customHeight="1" x14ac:dyDescent="0.3">
      <c r="A146" s="157" t="s">
        <v>4907</v>
      </c>
      <c r="B146" s="157"/>
      <c r="C146" s="392">
        <f>HLOOKUP(Věci!$E$2,Věci!$A$2:$F$529,MATCH(A146,Věci!$A$2:$A$529,0),FALSE)*HLOOKUP($B$5,Věci!$R$2:$T$10,MATCH($B$2,Věci!$R$2:$R$10,0),FALSE)*B146</f>
        <v>0</v>
      </c>
    </row>
    <row r="147" spans="1:3" ht="12.9" customHeight="1" x14ac:dyDescent="0.3">
      <c r="A147" s="157" t="s">
        <v>2405</v>
      </c>
      <c r="B147" s="157"/>
      <c r="C147" s="392">
        <f>HLOOKUP(Věci!$E$2,Věci!$A$2:$F$529,MATCH(A147,Věci!$A$2:$A$529,0),FALSE)*HLOOKUP($B$5,Věci!$R$2:$T$10,MATCH($B$2,Věci!$R$2:$R$10,0),FALSE)*B147</f>
        <v>0</v>
      </c>
    </row>
    <row r="148" spans="1:3" ht="12.9" customHeight="1" x14ac:dyDescent="0.3">
      <c r="A148" s="157" t="s">
        <v>477</v>
      </c>
      <c r="B148" s="157"/>
      <c r="C148" s="392">
        <f>HLOOKUP(Věci!$E$2,Věci!$A$2:$F$529,MATCH(A148,Věci!$A$2:$A$529,0),FALSE)*HLOOKUP($B$5,Věci!$R$2:$T$10,MATCH($B$2,Věci!$R$2:$R$10,0),FALSE)*B148</f>
        <v>0</v>
      </c>
    </row>
    <row r="149" spans="1:3" ht="12.9" customHeight="1" x14ac:dyDescent="0.3">
      <c r="A149" s="157" t="s">
        <v>461</v>
      </c>
      <c r="B149" s="157"/>
      <c r="C149" s="392">
        <f>HLOOKUP(Věci!$E$2,Věci!$A$2:$F$529,MATCH(A149,Věci!$A$2:$A$529,0),FALSE)*HLOOKUP($B$5,Věci!$R$2:$T$10,MATCH($B$2,Věci!$R$2:$R$10,0),FALSE)*B149</f>
        <v>0</v>
      </c>
    </row>
    <row r="150" spans="1:3" ht="12.9" customHeight="1" x14ac:dyDescent="0.3">
      <c r="A150" s="157" t="s">
        <v>4911</v>
      </c>
      <c r="B150" s="157"/>
      <c r="C150" s="392">
        <f>HLOOKUP(Věci!$E$2,Věci!$A$2:$F$529,MATCH(A150,Věci!$A$2:$A$529,0),FALSE)*HLOOKUP($B$5,Věci!$R$2:$T$10,MATCH($B$2,Věci!$R$2:$R$10,0),FALSE)*B150</f>
        <v>0</v>
      </c>
    </row>
    <row r="151" spans="1:3" ht="12.9" customHeight="1" x14ac:dyDescent="0.3">
      <c r="A151" s="157" t="s">
        <v>3929</v>
      </c>
      <c r="B151" s="157"/>
      <c r="C151" s="392">
        <f>HLOOKUP(Věci!$E$2,Věci!$A$2:$F$529,MATCH(A151,Věci!$A$2:$A$529,0),FALSE)*HLOOKUP($B$5,Věci!$R$2:$T$10,MATCH($B$2,Věci!$R$2:$R$10,0),FALSE)*B151</f>
        <v>0</v>
      </c>
    </row>
    <row r="152" spans="1:3" ht="12.9" customHeight="1" x14ac:dyDescent="0.3">
      <c r="A152" s="157" t="s">
        <v>3930</v>
      </c>
      <c r="B152" s="157"/>
      <c r="C152" s="392">
        <f>HLOOKUP(Věci!$E$2,Věci!$A$2:$F$529,MATCH(A152,Věci!$A$2:$A$529,0),FALSE)*HLOOKUP($B$5,Věci!$R$2:$T$10,MATCH($B$2,Věci!$R$2:$R$10,0),FALSE)*B152</f>
        <v>0</v>
      </c>
    </row>
    <row r="153" spans="1:3" ht="12.9" customHeight="1" x14ac:dyDescent="0.3">
      <c r="A153" s="157" t="s">
        <v>3932</v>
      </c>
      <c r="B153" s="157"/>
      <c r="C153" s="392">
        <f>HLOOKUP(Věci!$E$2,Věci!$A$2:$F$529,MATCH(A153,Věci!$A$2:$A$529,0),FALSE)*HLOOKUP($B$5,Věci!$R$2:$T$10,MATCH($B$2,Věci!$R$2:$R$10,0),FALSE)*B153</f>
        <v>0</v>
      </c>
    </row>
    <row r="154" spans="1:3" ht="12.9" customHeight="1" x14ac:dyDescent="0.3">
      <c r="A154" s="157" t="s">
        <v>3774</v>
      </c>
      <c r="B154" s="157"/>
      <c r="C154" s="392">
        <f>HLOOKUP(Věci!$E$2,Věci!$A$2:$F$529,MATCH(A154,Věci!$A$2:$A$529,0),FALSE)*HLOOKUP($B$5,Věci!$R$2:$T$10,MATCH($B$2,Věci!$R$2:$R$10,0),FALSE)*B154</f>
        <v>0</v>
      </c>
    </row>
    <row r="155" spans="1:3" ht="12.9" customHeight="1" x14ac:dyDescent="0.3">
      <c r="A155" s="157" t="s">
        <v>4908</v>
      </c>
      <c r="B155" s="157"/>
      <c r="C155" s="392">
        <f>HLOOKUP(Věci!$E$2,Věci!$A$2:$F$529,MATCH(A155,Věci!$A$2:$A$529,0),FALSE)*HLOOKUP($B$5,Věci!$R$2:$T$10,MATCH($B$2,Věci!$R$2:$R$10,0),FALSE)*B155</f>
        <v>0</v>
      </c>
    </row>
    <row r="156" spans="1:3" ht="12.9" customHeight="1" x14ac:dyDescent="0.3">
      <c r="A156" s="157" t="s">
        <v>664</v>
      </c>
      <c r="B156" s="157"/>
      <c r="C156" s="392">
        <f>HLOOKUP(Věci!$E$2,Věci!$A$2:$F$529,MATCH(A156,Věci!$A$2:$A$529,0),FALSE)*HLOOKUP($B$5,Věci!$R$2:$T$10,MATCH($B$2,Věci!$R$2:$R$10,0),FALSE)*B156</f>
        <v>0</v>
      </c>
    </row>
    <row r="157" spans="1:3" ht="12.9" customHeight="1" x14ac:dyDescent="0.3">
      <c r="A157" s="157" t="s">
        <v>488</v>
      </c>
      <c r="B157" s="157"/>
      <c r="C157" s="392">
        <f>HLOOKUP(Věci!$E$2,Věci!$A$2:$F$529,MATCH(A157,Věci!$A$2:$A$529,0),FALSE)*HLOOKUP($B$5,Věci!$R$2:$T$10,MATCH($B$2,Věci!$R$2:$R$10,0),FALSE)*B157</f>
        <v>0</v>
      </c>
    </row>
    <row r="158" spans="1:3" ht="12.9" customHeight="1" x14ac:dyDescent="0.3">
      <c r="A158" s="157" t="s">
        <v>489</v>
      </c>
      <c r="B158" s="157"/>
      <c r="C158" s="392">
        <f>HLOOKUP(Věci!$E$2,Věci!$A$2:$F$529,MATCH(A158,Věci!$A$2:$A$529,0),FALSE)*HLOOKUP($B$5,Věci!$R$2:$T$10,MATCH($B$2,Věci!$R$2:$R$10,0),FALSE)*B158</f>
        <v>0</v>
      </c>
    </row>
    <row r="159" spans="1:3" ht="12.9" customHeight="1" x14ac:dyDescent="0.3">
      <c r="A159" s="157" t="s">
        <v>459</v>
      </c>
      <c r="B159" s="157"/>
      <c r="C159" s="392">
        <f>HLOOKUP(Věci!$E$2,Věci!$A$2:$F$529,MATCH(A159,Věci!$A$2:$A$529,0),FALSE)*HLOOKUP($B$5,Věci!$R$2:$T$10,MATCH($B$2,Věci!$R$2:$R$10,0),FALSE)*B159</f>
        <v>0</v>
      </c>
    </row>
    <row r="160" spans="1:3" ht="12.9" customHeight="1" x14ac:dyDescent="0.3"/>
    <row r="161" ht="12.9" customHeight="1" x14ac:dyDescent="0.3"/>
    <row r="162" ht="12.9" customHeight="1" x14ac:dyDescent="0.3"/>
    <row r="163" ht="12.9" customHeight="1" x14ac:dyDescent="0.3"/>
    <row r="164" ht="12.9" customHeight="1" x14ac:dyDescent="0.3"/>
    <row r="165" ht="12.9" customHeight="1" x14ac:dyDescent="0.3"/>
    <row r="166" ht="12.9" customHeight="1" x14ac:dyDescent="0.3"/>
    <row r="167" ht="12.9" customHeight="1" x14ac:dyDescent="0.3"/>
    <row r="168" ht="12.9" customHeight="1" x14ac:dyDescent="0.3"/>
    <row r="169" ht="12.9" customHeight="1" x14ac:dyDescent="0.3"/>
    <row r="170" ht="12.9" customHeight="1" x14ac:dyDescent="0.3"/>
    <row r="171" ht="12.9" customHeight="1" x14ac:dyDescent="0.3"/>
    <row r="172" ht="12.9" customHeight="1" x14ac:dyDescent="0.3"/>
    <row r="173" ht="12.9" customHeight="1" x14ac:dyDescent="0.3"/>
    <row r="174" ht="12.9" customHeight="1" x14ac:dyDescent="0.3"/>
    <row r="175" ht="12.9" customHeight="1" x14ac:dyDescent="0.3"/>
    <row r="176" ht="12.9" customHeight="1" x14ac:dyDescent="0.3"/>
  </sheetData>
  <sortState ref="T12:V77">
    <sortCondition ref="T12:T77"/>
  </sortState>
  <dataValidations count="2">
    <dataValidation type="list" allowBlank="1" showInputMessage="1" showErrorMessage="1" sqref="N11">
      <formula1>$N$2:$N$7</formula1>
    </dataValidation>
    <dataValidation type="list" allowBlank="1" showInputMessage="1" showErrorMessage="1" sqref="B5">
      <formula1>$M$2:$M$3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8" filterMode="1">
    <tabColor theme="0" tint="-0.249977111117893"/>
  </sheetPr>
  <dimension ref="A1:Y529"/>
  <sheetViews>
    <sheetView workbookViewId="0">
      <pane ySplit="2" topLeftCell="A3" activePane="bottomLeft" state="frozen"/>
      <selection pane="bottomLeft" activeCell="A525" sqref="A3:A525"/>
    </sheetView>
  </sheetViews>
  <sheetFormatPr defaultRowHeight="14.4" x14ac:dyDescent="0.3"/>
  <cols>
    <col min="1" max="1" width="29.109375" customWidth="1"/>
    <col min="2" max="2" width="21.109375" customWidth="1"/>
    <col min="6" max="6" width="16.5546875" customWidth="1"/>
    <col min="7" max="16" width="4.6640625" style="670" customWidth="1"/>
    <col min="18" max="18" width="12" bestFit="1" customWidth="1"/>
    <col min="23" max="23" width="8.6640625" customWidth="1"/>
  </cols>
  <sheetData>
    <row r="1" spans="1:25" ht="18" x14ac:dyDescent="0.35">
      <c r="A1" s="156" t="s">
        <v>427</v>
      </c>
      <c r="R1" s="1" t="s">
        <v>1243</v>
      </c>
      <c r="W1" s="1" t="s">
        <v>1263</v>
      </c>
    </row>
    <row r="2" spans="1:25" x14ac:dyDescent="0.3">
      <c r="A2" s="149" t="s">
        <v>428</v>
      </c>
      <c r="B2" s="149" t="s">
        <v>255</v>
      </c>
      <c r="C2" s="149" t="s">
        <v>156</v>
      </c>
      <c r="D2" s="190" t="s">
        <v>5696</v>
      </c>
      <c r="E2" s="190" t="s">
        <v>1240</v>
      </c>
      <c r="F2" s="668" t="s">
        <v>3788</v>
      </c>
      <c r="G2" s="190" t="s">
        <v>260</v>
      </c>
      <c r="H2" s="190" t="s">
        <v>95</v>
      </c>
      <c r="I2" s="190" t="s">
        <v>96</v>
      </c>
      <c r="J2" s="190" t="s">
        <v>97</v>
      </c>
      <c r="K2" s="190" t="s">
        <v>98</v>
      </c>
      <c r="L2" s="190" t="s">
        <v>99</v>
      </c>
      <c r="M2" s="190" t="s">
        <v>3934</v>
      </c>
      <c r="N2" s="190" t="s">
        <v>279</v>
      </c>
      <c r="O2" s="190" t="s">
        <v>402</v>
      </c>
      <c r="P2" s="190" t="s">
        <v>3935</v>
      </c>
      <c r="R2" s="190" t="s">
        <v>200</v>
      </c>
      <c r="S2" s="190" t="s">
        <v>1241</v>
      </c>
      <c r="T2" s="190" t="s">
        <v>1242</v>
      </c>
      <c r="U2" s="190" t="s">
        <v>3784</v>
      </c>
      <c r="W2" s="190" t="s">
        <v>1264</v>
      </c>
      <c r="X2" s="190" t="s">
        <v>152</v>
      </c>
      <c r="Y2" s="190" t="s">
        <v>1239</v>
      </c>
    </row>
    <row r="3" spans="1:25" ht="13.5" customHeight="1" x14ac:dyDescent="0.3">
      <c r="A3" s="394" t="s">
        <v>1261</v>
      </c>
      <c r="B3" s="394" t="s">
        <v>519</v>
      </c>
      <c r="C3" s="395">
        <v>0.5</v>
      </c>
      <c r="D3" s="395">
        <v>2</v>
      </c>
      <c r="E3" s="396">
        <v>3</v>
      </c>
      <c r="F3" s="682" t="s">
        <v>1259</v>
      </c>
      <c r="G3" s="697" t="s">
        <v>2399</v>
      </c>
      <c r="H3" s="697" t="s">
        <v>2399</v>
      </c>
      <c r="I3" s="697" t="s">
        <v>2399</v>
      </c>
      <c r="J3" s="697" t="s">
        <v>2399</v>
      </c>
      <c r="K3" s="697" t="s">
        <v>260</v>
      </c>
      <c r="L3" s="697" t="s">
        <v>2399</v>
      </c>
      <c r="M3" s="697" t="s">
        <v>2399</v>
      </c>
      <c r="N3" s="697" t="s">
        <v>2399</v>
      </c>
      <c r="O3" s="697" t="s">
        <v>2399</v>
      </c>
      <c r="P3" s="697" t="s">
        <v>2399</v>
      </c>
      <c r="R3" s="161" t="s">
        <v>115</v>
      </c>
      <c r="S3" s="155">
        <v>1</v>
      </c>
      <c r="T3" s="362">
        <v>0.1</v>
      </c>
      <c r="U3" s="644">
        <f>S3/T3</f>
        <v>10</v>
      </c>
      <c r="W3" s="33" t="s">
        <v>93</v>
      </c>
      <c r="X3" s="362">
        <v>0.33</v>
      </c>
      <c r="Y3" s="362">
        <v>0.33</v>
      </c>
    </row>
    <row r="4" spans="1:25" hidden="1" x14ac:dyDescent="0.3">
      <c r="A4" s="163" t="s">
        <v>4498</v>
      </c>
      <c r="B4" s="163" t="s">
        <v>519</v>
      </c>
      <c r="C4" s="281">
        <v>0.1</v>
      </c>
      <c r="D4" s="281">
        <v>1</v>
      </c>
      <c r="E4" s="391">
        <v>3</v>
      </c>
      <c r="F4" s="680" t="s">
        <v>1262</v>
      </c>
      <c r="G4" s="695" t="s">
        <v>2399</v>
      </c>
      <c r="H4" s="695" t="s">
        <v>2399</v>
      </c>
      <c r="I4" s="695" t="s">
        <v>2399</v>
      </c>
      <c r="J4" s="695" t="s">
        <v>2399</v>
      </c>
      <c r="K4" s="695" t="s">
        <v>260</v>
      </c>
      <c r="L4" s="695" t="s">
        <v>2399</v>
      </c>
      <c r="M4" s="695" t="s">
        <v>260</v>
      </c>
      <c r="N4" s="695" t="s">
        <v>2399</v>
      </c>
      <c r="O4" s="695" t="s">
        <v>2399</v>
      </c>
      <c r="P4" s="695" t="s">
        <v>2399</v>
      </c>
      <c r="R4" s="1027" t="s">
        <v>4892</v>
      </c>
      <c r="S4" s="1028">
        <v>0.9</v>
      </c>
      <c r="T4" s="1028">
        <v>0.15</v>
      </c>
      <c r="U4" s="644">
        <f t="shared" ref="U4:U13" si="0">S4/T4</f>
        <v>6</v>
      </c>
      <c r="W4" s="33" t="s">
        <v>94</v>
      </c>
      <c r="X4" s="362">
        <v>0.67</v>
      </c>
      <c r="Y4" s="362">
        <v>0.67</v>
      </c>
    </row>
    <row r="5" spans="1:25" x14ac:dyDescent="0.3">
      <c r="A5" s="647" t="s">
        <v>1238</v>
      </c>
      <c r="B5" s="647" t="s">
        <v>519</v>
      </c>
      <c r="C5" s="648">
        <v>0.1</v>
      </c>
      <c r="D5" s="648">
        <v>1</v>
      </c>
      <c r="E5" s="649">
        <f>6/20</f>
        <v>0.3</v>
      </c>
      <c r="F5" s="677" t="s">
        <v>206</v>
      </c>
      <c r="G5" s="692" t="s">
        <v>260</v>
      </c>
      <c r="H5" s="692" t="s">
        <v>2399</v>
      </c>
      <c r="I5" s="692" t="s">
        <v>2399</v>
      </c>
      <c r="J5" s="692" t="s">
        <v>2399</v>
      </c>
      <c r="K5" s="692" t="s">
        <v>260</v>
      </c>
      <c r="L5" s="692" t="s">
        <v>2399</v>
      </c>
      <c r="M5" s="692" t="s">
        <v>260</v>
      </c>
      <c r="N5" s="692" t="s">
        <v>2399</v>
      </c>
      <c r="O5" s="692" t="s">
        <v>2399</v>
      </c>
      <c r="P5" s="692" t="s">
        <v>2399</v>
      </c>
      <c r="R5" s="33" t="s">
        <v>83</v>
      </c>
      <c r="S5" s="362">
        <v>0.9</v>
      </c>
      <c r="T5" s="362">
        <v>0.2</v>
      </c>
      <c r="U5" s="644">
        <f t="shared" si="0"/>
        <v>4.5</v>
      </c>
      <c r="W5" s="33" t="s">
        <v>95</v>
      </c>
      <c r="X5" s="362">
        <v>1</v>
      </c>
      <c r="Y5" s="362">
        <v>1</v>
      </c>
    </row>
    <row r="6" spans="1:25" x14ac:dyDescent="0.3">
      <c r="A6" s="647" t="s">
        <v>1237</v>
      </c>
      <c r="B6" s="647" t="s">
        <v>519</v>
      </c>
      <c r="C6" s="648">
        <v>0.1</v>
      </c>
      <c r="D6" s="648">
        <v>1</v>
      </c>
      <c r="E6" s="649">
        <v>3</v>
      </c>
      <c r="F6" s="677" t="s">
        <v>206</v>
      </c>
      <c r="G6" s="692" t="s">
        <v>260</v>
      </c>
      <c r="H6" s="692" t="s">
        <v>2399</v>
      </c>
      <c r="I6" s="692" t="s">
        <v>2399</v>
      </c>
      <c r="J6" s="692" t="s">
        <v>2399</v>
      </c>
      <c r="K6" s="692" t="s">
        <v>260</v>
      </c>
      <c r="L6" s="692" t="s">
        <v>2399</v>
      </c>
      <c r="M6" s="692" t="s">
        <v>260</v>
      </c>
      <c r="N6" s="692" t="s">
        <v>2399</v>
      </c>
      <c r="O6" s="692" t="s">
        <v>2399</v>
      </c>
      <c r="P6" s="692" t="s">
        <v>2399</v>
      </c>
      <c r="R6" s="33" t="s">
        <v>84</v>
      </c>
      <c r="S6" s="362">
        <v>0.75</v>
      </c>
      <c r="T6" s="362">
        <v>0.25</v>
      </c>
      <c r="U6" s="644">
        <f t="shared" si="0"/>
        <v>3</v>
      </c>
      <c r="W6" s="33" t="s">
        <v>96</v>
      </c>
      <c r="X6" s="362">
        <v>1.33</v>
      </c>
      <c r="Y6" s="362">
        <v>1.33</v>
      </c>
    </row>
    <row r="7" spans="1:25" x14ac:dyDescent="0.3">
      <c r="A7" s="394" t="s">
        <v>3919</v>
      </c>
      <c r="B7" s="394" t="s">
        <v>519</v>
      </c>
      <c r="C7" s="395">
        <v>0.15</v>
      </c>
      <c r="D7" s="395">
        <v>1</v>
      </c>
      <c r="E7" s="396">
        <v>2</v>
      </c>
      <c r="F7" s="682" t="s">
        <v>1259</v>
      </c>
      <c r="G7" s="697" t="s">
        <v>260</v>
      </c>
      <c r="H7" s="697" t="s">
        <v>2399</v>
      </c>
      <c r="I7" s="697" t="s">
        <v>2399</v>
      </c>
      <c r="J7" s="697" t="s">
        <v>2399</v>
      </c>
      <c r="K7" s="697" t="s">
        <v>260</v>
      </c>
      <c r="L7" s="697" t="s">
        <v>2399</v>
      </c>
      <c r="M7" s="697" t="s">
        <v>260</v>
      </c>
      <c r="N7" s="697" t="s">
        <v>2399</v>
      </c>
      <c r="O7" s="697" t="s">
        <v>2399</v>
      </c>
      <c r="P7" s="697" t="s">
        <v>2399</v>
      </c>
      <c r="R7" s="33" t="s">
        <v>85</v>
      </c>
      <c r="S7" s="362">
        <v>0.7</v>
      </c>
      <c r="T7" s="362">
        <v>0.35</v>
      </c>
      <c r="U7" s="644">
        <f t="shared" si="0"/>
        <v>2</v>
      </c>
      <c r="W7" s="33" t="s">
        <v>97</v>
      </c>
      <c r="X7" s="362">
        <v>2</v>
      </c>
      <c r="Y7" s="362">
        <v>2</v>
      </c>
    </row>
    <row r="8" spans="1:25" hidden="1" x14ac:dyDescent="0.3">
      <c r="A8" s="163" t="s">
        <v>4497</v>
      </c>
      <c r="B8" s="163" t="s">
        <v>519</v>
      </c>
      <c r="C8" s="281">
        <v>0.8</v>
      </c>
      <c r="D8" s="281">
        <v>1</v>
      </c>
      <c r="E8" s="391">
        <v>2</v>
      </c>
      <c r="F8" s="680" t="s">
        <v>1262</v>
      </c>
      <c r="G8" s="695" t="s">
        <v>2399</v>
      </c>
      <c r="H8" s="695" t="s">
        <v>2399</v>
      </c>
      <c r="I8" s="695" t="s">
        <v>2399</v>
      </c>
      <c r="J8" s="695" t="s">
        <v>2399</v>
      </c>
      <c r="K8" s="695" t="s">
        <v>260</v>
      </c>
      <c r="L8" s="695" t="s">
        <v>2399</v>
      </c>
      <c r="M8" s="695" t="s">
        <v>260</v>
      </c>
      <c r="N8" s="695" t="s">
        <v>2399</v>
      </c>
      <c r="O8" s="695" t="s">
        <v>2399</v>
      </c>
      <c r="P8" s="695" t="s">
        <v>2399</v>
      </c>
      <c r="R8" s="33" t="s">
        <v>86</v>
      </c>
      <c r="S8" s="362">
        <v>0.6</v>
      </c>
      <c r="T8" s="362">
        <v>0.4</v>
      </c>
      <c r="U8" s="644">
        <f t="shared" si="0"/>
        <v>1.4999999999999998</v>
      </c>
    </row>
    <row r="9" spans="1:25" hidden="1" x14ac:dyDescent="0.3">
      <c r="A9" s="163" t="s">
        <v>1268</v>
      </c>
      <c r="B9" s="163" t="s">
        <v>519</v>
      </c>
      <c r="C9" s="281">
        <v>0.3</v>
      </c>
      <c r="D9" s="281">
        <v>1</v>
      </c>
      <c r="E9" s="391">
        <v>2</v>
      </c>
      <c r="F9" s="680" t="s">
        <v>1262</v>
      </c>
      <c r="G9" s="695" t="s">
        <v>2399</v>
      </c>
      <c r="H9" s="695" t="s">
        <v>2399</v>
      </c>
      <c r="I9" s="695" t="s">
        <v>2399</v>
      </c>
      <c r="J9" s="695" t="s">
        <v>2399</v>
      </c>
      <c r="K9" s="695" t="s">
        <v>260</v>
      </c>
      <c r="L9" s="695" t="s">
        <v>2399</v>
      </c>
      <c r="M9" s="695" t="s">
        <v>260</v>
      </c>
      <c r="N9" s="695" t="s">
        <v>2399</v>
      </c>
      <c r="O9" s="695" t="s">
        <v>2399</v>
      </c>
      <c r="P9" s="695" t="s">
        <v>2399</v>
      </c>
      <c r="R9" s="161" t="s">
        <v>158</v>
      </c>
      <c r="S9" s="155">
        <v>0.5</v>
      </c>
      <c r="T9" s="155">
        <v>0.5</v>
      </c>
      <c r="U9" s="645">
        <f t="shared" si="0"/>
        <v>1</v>
      </c>
    </row>
    <row r="10" spans="1:25" x14ac:dyDescent="0.3">
      <c r="A10" s="394" t="s">
        <v>490</v>
      </c>
      <c r="B10" s="394" t="s">
        <v>519</v>
      </c>
      <c r="C10" s="395">
        <v>0.05</v>
      </c>
      <c r="D10" s="395">
        <v>1</v>
      </c>
      <c r="E10" s="396">
        <v>1</v>
      </c>
      <c r="F10" s="682" t="s">
        <v>1259</v>
      </c>
      <c r="G10" s="697" t="s">
        <v>260</v>
      </c>
      <c r="H10" s="697" t="s">
        <v>2399</v>
      </c>
      <c r="I10" s="697" t="s">
        <v>2399</v>
      </c>
      <c r="J10" s="697" t="s">
        <v>2399</v>
      </c>
      <c r="K10" s="697" t="s">
        <v>260</v>
      </c>
      <c r="L10" s="697" t="s">
        <v>2399</v>
      </c>
      <c r="M10" s="697" t="s">
        <v>260</v>
      </c>
      <c r="N10" s="697" t="s">
        <v>2399</v>
      </c>
      <c r="O10" s="697" t="s">
        <v>2399</v>
      </c>
      <c r="P10" s="697" t="s">
        <v>2399</v>
      </c>
      <c r="R10" s="33" t="s">
        <v>194</v>
      </c>
      <c r="S10" s="362">
        <v>0.4</v>
      </c>
      <c r="T10" s="362">
        <v>0.6</v>
      </c>
      <c r="U10" s="646">
        <f t="shared" si="0"/>
        <v>0.66666666666666674</v>
      </c>
    </row>
    <row r="11" spans="1:25" x14ac:dyDescent="0.3">
      <c r="A11" s="647" t="s">
        <v>3787</v>
      </c>
      <c r="B11" s="647" t="s">
        <v>519</v>
      </c>
      <c r="C11" s="648">
        <v>0.4</v>
      </c>
      <c r="D11" s="648">
        <v>2</v>
      </c>
      <c r="E11" s="649">
        <v>120</v>
      </c>
      <c r="F11" s="677" t="s">
        <v>206</v>
      </c>
      <c r="G11" s="692" t="s">
        <v>260</v>
      </c>
      <c r="H11" s="692" t="s">
        <v>2399</v>
      </c>
      <c r="I11" s="692" t="s">
        <v>2399</v>
      </c>
      <c r="J11" s="692" t="s">
        <v>260</v>
      </c>
      <c r="K11" s="692" t="s">
        <v>260</v>
      </c>
      <c r="L11" s="692" t="s">
        <v>260</v>
      </c>
      <c r="M11" s="692" t="s">
        <v>260</v>
      </c>
      <c r="N11" s="692" t="s">
        <v>2399</v>
      </c>
      <c r="O11" s="692" t="s">
        <v>2399</v>
      </c>
      <c r="P11" s="692" t="s">
        <v>2399</v>
      </c>
      <c r="R11" s="190" t="s">
        <v>200</v>
      </c>
      <c r="S11" s="190" t="s">
        <v>1241</v>
      </c>
      <c r="T11" s="190" t="s">
        <v>1242</v>
      </c>
      <c r="U11" s="190" t="s">
        <v>3784</v>
      </c>
    </row>
    <row r="12" spans="1:25" hidden="1" x14ac:dyDescent="0.3">
      <c r="A12" s="163" t="s">
        <v>1267</v>
      </c>
      <c r="B12" s="163" t="s">
        <v>519</v>
      </c>
      <c r="C12" s="281">
        <v>0.4</v>
      </c>
      <c r="D12" s="281">
        <v>4</v>
      </c>
      <c r="E12" s="391">
        <v>0.5</v>
      </c>
      <c r="F12" s="680" t="s">
        <v>1262</v>
      </c>
      <c r="G12" s="695" t="s">
        <v>2399</v>
      </c>
      <c r="H12" s="695" t="s">
        <v>2399</v>
      </c>
      <c r="I12" s="695" t="s">
        <v>2399</v>
      </c>
      <c r="J12" s="695" t="s">
        <v>260</v>
      </c>
      <c r="K12" s="695" t="s">
        <v>2399</v>
      </c>
      <c r="L12" s="695" t="s">
        <v>260</v>
      </c>
      <c r="M12" s="695" t="s">
        <v>2399</v>
      </c>
      <c r="N12" s="695" t="s">
        <v>2399</v>
      </c>
      <c r="O12" s="695" t="s">
        <v>2399</v>
      </c>
      <c r="P12" s="695" t="s">
        <v>2399</v>
      </c>
      <c r="R12" s="33" t="s">
        <v>3785</v>
      </c>
      <c r="S12" s="641">
        <v>0.35</v>
      </c>
      <c r="T12" s="641">
        <v>0.7</v>
      </c>
      <c r="U12" s="644">
        <f t="shared" si="0"/>
        <v>0.5</v>
      </c>
    </row>
    <row r="13" spans="1:25" x14ac:dyDescent="0.3">
      <c r="A13" s="394" t="s">
        <v>486</v>
      </c>
      <c r="B13" s="394" t="s">
        <v>519</v>
      </c>
      <c r="C13" s="395">
        <v>1.5</v>
      </c>
      <c r="D13" s="395">
        <v>4</v>
      </c>
      <c r="E13" s="396">
        <v>9</v>
      </c>
      <c r="F13" s="682" t="s">
        <v>1259</v>
      </c>
      <c r="G13" s="697" t="s">
        <v>2399</v>
      </c>
      <c r="H13" s="697" t="s">
        <v>2399</v>
      </c>
      <c r="I13" s="697" t="s">
        <v>2399</v>
      </c>
      <c r="J13" s="697" t="s">
        <v>2399</v>
      </c>
      <c r="K13" s="697" t="s">
        <v>260</v>
      </c>
      <c r="L13" s="697" t="s">
        <v>2399</v>
      </c>
      <c r="M13" s="697" t="s">
        <v>2399</v>
      </c>
      <c r="N13" s="697" t="s">
        <v>2399</v>
      </c>
      <c r="O13" s="697" t="s">
        <v>2399</v>
      </c>
      <c r="P13" s="697" t="s">
        <v>2399</v>
      </c>
      <c r="R13" s="33" t="s">
        <v>3786</v>
      </c>
      <c r="S13" s="641">
        <v>0.25</v>
      </c>
      <c r="T13" s="641">
        <v>0.75</v>
      </c>
      <c r="U13" s="646">
        <f t="shared" si="0"/>
        <v>0.33333333333333331</v>
      </c>
    </row>
    <row r="14" spans="1:25" x14ac:dyDescent="0.3">
      <c r="A14" s="394" t="s">
        <v>4902</v>
      </c>
      <c r="B14" s="394" t="s">
        <v>519</v>
      </c>
      <c r="C14" s="395">
        <v>0.25</v>
      </c>
      <c r="D14" s="395">
        <v>1</v>
      </c>
      <c r="E14" s="396">
        <v>5</v>
      </c>
      <c r="F14" s="682" t="s">
        <v>1259</v>
      </c>
      <c r="G14" s="697" t="s">
        <v>2399</v>
      </c>
      <c r="H14" s="697" t="s">
        <v>2399</v>
      </c>
      <c r="I14" s="697" t="s">
        <v>2399</v>
      </c>
      <c r="J14" s="697" t="s">
        <v>260</v>
      </c>
      <c r="K14" s="697" t="s">
        <v>260</v>
      </c>
      <c r="L14" s="697" t="s">
        <v>260</v>
      </c>
      <c r="M14" s="697" t="s">
        <v>260</v>
      </c>
      <c r="N14" s="697" t="s">
        <v>2399</v>
      </c>
      <c r="O14" s="697" t="s">
        <v>2399</v>
      </c>
      <c r="P14" s="697" t="s">
        <v>2399</v>
      </c>
    </row>
    <row r="15" spans="1:25" hidden="1" x14ac:dyDescent="0.3">
      <c r="A15" s="394" t="s">
        <v>478</v>
      </c>
      <c r="B15" s="394" t="s">
        <v>519</v>
      </c>
      <c r="C15" s="395">
        <v>0.02</v>
      </c>
      <c r="D15" s="395">
        <v>0</v>
      </c>
      <c r="E15" s="396">
        <v>0.1</v>
      </c>
      <c r="F15" s="682" t="s">
        <v>1259</v>
      </c>
      <c r="G15" s="697" t="s">
        <v>260</v>
      </c>
      <c r="H15" s="697" t="s">
        <v>2399</v>
      </c>
      <c r="I15" s="697" t="s">
        <v>2399</v>
      </c>
      <c r="J15" s="697" t="s">
        <v>2399</v>
      </c>
      <c r="K15" s="697" t="s">
        <v>260</v>
      </c>
      <c r="L15" s="697" t="s">
        <v>2399</v>
      </c>
      <c r="M15" s="697" t="s">
        <v>260</v>
      </c>
      <c r="N15" s="697" t="s">
        <v>2399</v>
      </c>
      <c r="O15" s="697" t="s">
        <v>2399</v>
      </c>
      <c r="P15" s="697" t="s">
        <v>2399</v>
      </c>
    </row>
    <row r="16" spans="1:25" x14ac:dyDescent="0.3">
      <c r="A16" s="997" t="s">
        <v>523</v>
      </c>
      <c r="B16" s="997" t="s">
        <v>519</v>
      </c>
      <c r="C16" s="155">
        <v>0.8</v>
      </c>
      <c r="D16" s="155">
        <v>1</v>
      </c>
      <c r="E16" s="387"/>
      <c r="F16" s="254" t="s">
        <v>1256</v>
      </c>
      <c r="G16" s="998" t="s">
        <v>2399</v>
      </c>
      <c r="H16" s="998" t="s">
        <v>2399</v>
      </c>
      <c r="I16" s="998" t="s">
        <v>2399</v>
      </c>
      <c r="J16" s="998" t="s">
        <v>2399</v>
      </c>
      <c r="K16" s="998" t="s">
        <v>260</v>
      </c>
      <c r="L16" s="998" t="s">
        <v>2399</v>
      </c>
      <c r="M16" s="998" t="s">
        <v>2399</v>
      </c>
      <c r="N16" s="998" t="s">
        <v>2399</v>
      </c>
      <c r="O16" s="998" t="s">
        <v>2399</v>
      </c>
      <c r="P16" s="998" t="s">
        <v>2399</v>
      </c>
    </row>
    <row r="17" spans="1:16" x14ac:dyDescent="0.3">
      <c r="A17" s="394" t="s">
        <v>481</v>
      </c>
      <c r="B17" s="394" t="s">
        <v>519</v>
      </c>
      <c r="C17" s="395">
        <v>1</v>
      </c>
      <c r="D17" s="395">
        <v>2</v>
      </c>
      <c r="E17" s="396">
        <v>6</v>
      </c>
      <c r="F17" s="682" t="s">
        <v>1259</v>
      </c>
      <c r="G17" s="697" t="s">
        <v>2399</v>
      </c>
      <c r="H17" s="697" t="s">
        <v>2399</v>
      </c>
      <c r="I17" s="697" t="s">
        <v>2399</v>
      </c>
      <c r="J17" s="697" t="s">
        <v>2399</v>
      </c>
      <c r="K17" s="697" t="s">
        <v>260</v>
      </c>
      <c r="L17" s="697" t="s">
        <v>2399</v>
      </c>
      <c r="M17" s="697" t="s">
        <v>260</v>
      </c>
      <c r="N17" s="697" t="s">
        <v>2399</v>
      </c>
      <c r="O17" s="697" t="s">
        <v>2399</v>
      </c>
      <c r="P17" s="697" t="s">
        <v>2399</v>
      </c>
    </row>
    <row r="18" spans="1:16" x14ac:dyDescent="0.3">
      <c r="A18" s="394" t="s">
        <v>1217</v>
      </c>
      <c r="B18" s="394" t="s">
        <v>519</v>
      </c>
      <c r="C18" s="395">
        <v>0.2</v>
      </c>
      <c r="D18" s="395">
        <v>1</v>
      </c>
      <c r="E18" s="396">
        <v>6</v>
      </c>
      <c r="F18" s="682" t="s">
        <v>1259</v>
      </c>
      <c r="G18" s="697" t="s">
        <v>260</v>
      </c>
      <c r="H18" s="697" t="s">
        <v>2399</v>
      </c>
      <c r="I18" s="697" t="s">
        <v>2399</v>
      </c>
      <c r="J18" s="697" t="s">
        <v>2399</v>
      </c>
      <c r="K18" s="697" t="s">
        <v>260</v>
      </c>
      <c r="L18" s="697" t="s">
        <v>2399</v>
      </c>
      <c r="M18" s="697" t="s">
        <v>260</v>
      </c>
      <c r="N18" s="697" t="s">
        <v>2399</v>
      </c>
      <c r="O18" s="697" t="s">
        <v>2399</v>
      </c>
      <c r="P18" s="697" t="s">
        <v>2399</v>
      </c>
    </row>
    <row r="19" spans="1:16" x14ac:dyDescent="0.3">
      <c r="A19" s="394" t="s">
        <v>4533</v>
      </c>
      <c r="B19" s="394" t="s">
        <v>519</v>
      </c>
      <c r="C19" s="395">
        <v>0.2</v>
      </c>
      <c r="D19" s="395">
        <v>1</v>
      </c>
      <c r="E19" s="396">
        <v>6</v>
      </c>
      <c r="F19" s="682" t="s">
        <v>1259</v>
      </c>
      <c r="G19" s="697" t="s">
        <v>260</v>
      </c>
      <c r="H19" s="697" t="s">
        <v>2399</v>
      </c>
      <c r="I19" s="697" t="s">
        <v>2399</v>
      </c>
      <c r="J19" s="697" t="s">
        <v>2399</v>
      </c>
      <c r="K19" s="697" t="s">
        <v>260</v>
      </c>
      <c r="L19" s="697" t="s">
        <v>2399</v>
      </c>
      <c r="M19" s="697" t="s">
        <v>260</v>
      </c>
      <c r="N19" s="697" t="s">
        <v>2399</v>
      </c>
      <c r="O19" s="697" t="s">
        <v>2399</v>
      </c>
      <c r="P19" s="697" t="s">
        <v>2399</v>
      </c>
    </row>
    <row r="20" spans="1:16" x14ac:dyDescent="0.3">
      <c r="A20" s="394" t="s">
        <v>468</v>
      </c>
      <c r="B20" s="394" t="s">
        <v>519</v>
      </c>
      <c r="C20" s="395">
        <v>1</v>
      </c>
      <c r="D20" s="395">
        <v>4</v>
      </c>
      <c r="E20" s="396">
        <v>5</v>
      </c>
      <c r="F20" s="682" t="s">
        <v>1259</v>
      </c>
      <c r="G20" s="697" t="s">
        <v>2399</v>
      </c>
      <c r="H20" s="697" t="s">
        <v>2399</v>
      </c>
      <c r="I20" s="697" t="s">
        <v>2399</v>
      </c>
      <c r="J20" s="697" t="s">
        <v>2399</v>
      </c>
      <c r="K20" s="697" t="s">
        <v>260</v>
      </c>
      <c r="L20" s="697" t="s">
        <v>2399</v>
      </c>
      <c r="M20" s="697" t="s">
        <v>2399</v>
      </c>
      <c r="N20" s="697" t="s">
        <v>2399</v>
      </c>
      <c r="O20" s="697" t="s">
        <v>2399</v>
      </c>
      <c r="P20" s="697" t="s">
        <v>2399</v>
      </c>
    </row>
    <row r="21" spans="1:16" hidden="1" x14ac:dyDescent="0.3">
      <c r="A21" s="163" t="s">
        <v>3835</v>
      </c>
      <c r="B21" s="163" t="s">
        <v>519</v>
      </c>
      <c r="C21" s="281">
        <v>0.4</v>
      </c>
      <c r="D21" s="281">
        <v>2</v>
      </c>
      <c r="E21" s="391">
        <v>10</v>
      </c>
      <c r="F21" s="680" t="s">
        <v>1262</v>
      </c>
      <c r="G21" s="695" t="s">
        <v>2399</v>
      </c>
      <c r="H21" s="695" t="s">
        <v>2399</v>
      </c>
      <c r="I21" s="695" t="s">
        <v>2399</v>
      </c>
      <c r="J21" s="695" t="s">
        <v>2399</v>
      </c>
      <c r="K21" s="695" t="s">
        <v>260</v>
      </c>
      <c r="L21" s="695" t="s">
        <v>2399</v>
      </c>
      <c r="M21" s="695" t="s">
        <v>2399</v>
      </c>
      <c r="N21" s="695" t="s">
        <v>2399</v>
      </c>
      <c r="O21" s="695" t="s">
        <v>2399</v>
      </c>
      <c r="P21" s="695" t="s">
        <v>2399</v>
      </c>
    </row>
    <row r="22" spans="1:16" x14ac:dyDescent="0.3">
      <c r="A22" s="394" t="s">
        <v>487</v>
      </c>
      <c r="B22" s="394" t="s">
        <v>519</v>
      </c>
      <c r="C22" s="395">
        <v>0.1</v>
      </c>
      <c r="D22" s="395">
        <v>1</v>
      </c>
      <c r="E22" s="396">
        <v>0.5</v>
      </c>
      <c r="F22" s="682" t="s">
        <v>1259</v>
      </c>
      <c r="G22" s="697" t="s">
        <v>260</v>
      </c>
      <c r="H22" s="697" t="s">
        <v>2399</v>
      </c>
      <c r="I22" s="697" t="s">
        <v>2399</v>
      </c>
      <c r="J22" s="697" t="s">
        <v>2399</v>
      </c>
      <c r="K22" s="697" t="s">
        <v>260</v>
      </c>
      <c r="L22" s="697" t="s">
        <v>2399</v>
      </c>
      <c r="M22" s="697" t="s">
        <v>2399</v>
      </c>
      <c r="N22" s="697" t="s">
        <v>2399</v>
      </c>
      <c r="O22" s="697" t="s">
        <v>2399</v>
      </c>
      <c r="P22" s="697" t="s">
        <v>2399</v>
      </c>
    </row>
    <row r="23" spans="1:16" hidden="1" x14ac:dyDescent="0.3">
      <c r="A23" s="647" t="s">
        <v>3789</v>
      </c>
      <c r="B23" s="647" t="s">
        <v>519</v>
      </c>
      <c r="C23" s="648">
        <v>0.09</v>
      </c>
      <c r="D23" s="648">
        <v>0</v>
      </c>
      <c r="E23" s="649">
        <v>2</v>
      </c>
      <c r="F23" s="677" t="s">
        <v>206</v>
      </c>
      <c r="G23" s="692" t="s">
        <v>260</v>
      </c>
      <c r="H23" s="692" t="s">
        <v>2399</v>
      </c>
      <c r="I23" s="692" t="s">
        <v>2399</v>
      </c>
      <c r="J23" s="692" t="s">
        <v>2399</v>
      </c>
      <c r="K23" s="692" t="s">
        <v>260</v>
      </c>
      <c r="L23" s="692" t="s">
        <v>2399</v>
      </c>
      <c r="M23" s="692" t="s">
        <v>260</v>
      </c>
      <c r="N23" s="692" t="s">
        <v>2399</v>
      </c>
      <c r="O23" s="692" t="s">
        <v>2399</v>
      </c>
      <c r="P23" s="692" t="s">
        <v>2399</v>
      </c>
    </row>
    <row r="24" spans="1:16" hidden="1" x14ac:dyDescent="0.3">
      <c r="A24" s="163" t="s">
        <v>1272</v>
      </c>
      <c r="B24" s="163" t="s">
        <v>519</v>
      </c>
      <c r="C24" s="281">
        <v>0.15</v>
      </c>
      <c r="D24" s="281">
        <v>2</v>
      </c>
      <c r="E24" s="391">
        <v>7</v>
      </c>
      <c r="F24" s="680" t="s">
        <v>1262</v>
      </c>
      <c r="G24" s="695" t="s">
        <v>2399</v>
      </c>
      <c r="H24" s="695" t="s">
        <v>2399</v>
      </c>
      <c r="I24" s="695" t="s">
        <v>2399</v>
      </c>
      <c r="J24" s="695" t="s">
        <v>2399</v>
      </c>
      <c r="K24" s="695" t="s">
        <v>260</v>
      </c>
      <c r="L24" s="695" t="s">
        <v>2399</v>
      </c>
      <c r="M24" s="695" t="s">
        <v>260</v>
      </c>
      <c r="N24" s="695" t="s">
        <v>2399</v>
      </c>
      <c r="O24" s="695" t="s">
        <v>2399</v>
      </c>
      <c r="P24" s="695" t="s">
        <v>2399</v>
      </c>
    </row>
    <row r="25" spans="1:16" x14ac:dyDescent="0.3">
      <c r="A25" s="394" t="s">
        <v>482</v>
      </c>
      <c r="B25" s="394" t="s">
        <v>519</v>
      </c>
      <c r="C25" s="395">
        <v>0.2</v>
      </c>
      <c r="D25" s="395">
        <v>1</v>
      </c>
      <c r="E25" s="396">
        <v>0.35</v>
      </c>
      <c r="F25" s="682" t="s">
        <v>1259</v>
      </c>
      <c r="G25" s="697" t="s">
        <v>260</v>
      </c>
      <c r="H25" s="697" t="s">
        <v>2399</v>
      </c>
      <c r="I25" s="697" t="s">
        <v>2399</v>
      </c>
      <c r="J25" s="697" t="s">
        <v>2399</v>
      </c>
      <c r="K25" s="697" t="s">
        <v>260</v>
      </c>
      <c r="L25" s="697" t="s">
        <v>2399</v>
      </c>
      <c r="M25" s="697" t="s">
        <v>260</v>
      </c>
      <c r="N25" s="697" t="s">
        <v>2399</v>
      </c>
      <c r="O25" s="697" t="s">
        <v>2399</v>
      </c>
      <c r="P25" s="697" t="s">
        <v>2399</v>
      </c>
    </row>
    <row r="26" spans="1:16" hidden="1" x14ac:dyDescent="0.3">
      <c r="A26" s="163" t="s">
        <v>1269</v>
      </c>
      <c r="B26" s="163" t="s">
        <v>519</v>
      </c>
      <c r="C26" s="281">
        <v>0.08</v>
      </c>
      <c r="D26" s="281">
        <v>1</v>
      </c>
      <c r="E26" s="391">
        <v>1</v>
      </c>
      <c r="F26" s="680" t="s">
        <v>1262</v>
      </c>
      <c r="G26" s="695" t="s">
        <v>2399</v>
      </c>
      <c r="H26" s="695" t="s">
        <v>2399</v>
      </c>
      <c r="I26" s="695" t="s">
        <v>2399</v>
      </c>
      <c r="J26" s="695" t="s">
        <v>2399</v>
      </c>
      <c r="K26" s="695" t="s">
        <v>260</v>
      </c>
      <c r="L26" s="695" t="s">
        <v>2399</v>
      </c>
      <c r="M26" s="695" t="s">
        <v>260</v>
      </c>
      <c r="N26" s="695" t="s">
        <v>2399</v>
      </c>
      <c r="O26" s="695" t="s">
        <v>2399</v>
      </c>
      <c r="P26" s="695" t="s">
        <v>2399</v>
      </c>
    </row>
    <row r="27" spans="1:16" x14ac:dyDescent="0.3">
      <c r="A27" s="394" t="s">
        <v>3920</v>
      </c>
      <c r="B27" s="394" t="s">
        <v>519</v>
      </c>
      <c r="C27" s="395">
        <v>0.2</v>
      </c>
      <c r="D27" s="395">
        <v>4</v>
      </c>
      <c r="E27" s="396">
        <v>5</v>
      </c>
      <c r="F27" s="682" t="s">
        <v>1259</v>
      </c>
      <c r="G27" s="697" t="s">
        <v>2399</v>
      </c>
      <c r="H27" s="697" t="s">
        <v>2399</v>
      </c>
      <c r="I27" s="697" t="s">
        <v>2399</v>
      </c>
      <c r="J27" s="697" t="s">
        <v>2399</v>
      </c>
      <c r="K27" s="697" t="s">
        <v>260</v>
      </c>
      <c r="L27" s="697" t="s">
        <v>2399</v>
      </c>
      <c r="M27" s="697" t="s">
        <v>2399</v>
      </c>
      <c r="N27" s="697" t="s">
        <v>2399</v>
      </c>
      <c r="O27" s="697" t="s">
        <v>2399</v>
      </c>
      <c r="P27" s="697" t="s">
        <v>2399</v>
      </c>
    </row>
    <row r="28" spans="1:16" hidden="1" x14ac:dyDescent="0.3">
      <c r="A28" s="163" t="s">
        <v>5697</v>
      </c>
      <c r="B28" s="163" t="s">
        <v>519</v>
      </c>
      <c r="C28" s="281">
        <v>4</v>
      </c>
      <c r="D28" s="281">
        <v>4</v>
      </c>
      <c r="E28" s="391">
        <v>10</v>
      </c>
      <c r="F28" s="680" t="s">
        <v>1262</v>
      </c>
      <c r="G28" s="695" t="s">
        <v>2399</v>
      </c>
      <c r="H28" s="695" t="s">
        <v>2399</v>
      </c>
      <c r="I28" s="695" t="s">
        <v>2399</v>
      </c>
      <c r="J28" s="695" t="s">
        <v>2399</v>
      </c>
      <c r="K28" s="695" t="s">
        <v>260</v>
      </c>
      <c r="L28" s="695" t="s">
        <v>2399</v>
      </c>
      <c r="M28" s="695" t="s">
        <v>2399</v>
      </c>
      <c r="N28" s="695" t="s">
        <v>2399</v>
      </c>
      <c r="O28" s="695" t="s">
        <v>2399</v>
      </c>
      <c r="P28" s="695" t="s">
        <v>2399</v>
      </c>
    </row>
    <row r="29" spans="1:16" hidden="1" x14ac:dyDescent="0.3">
      <c r="A29" s="163" t="s">
        <v>4496</v>
      </c>
      <c r="B29" s="163" t="s">
        <v>519</v>
      </c>
      <c r="C29" s="281">
        <v>1</v>
      </c>
      <c r="D29" s="281">
        <v>4</v>
      </c>
      <c r="E29" s="391">
        <v>10</v>
      </c>
      <c r="F29" s="680" t="s">
        <v>1262</v>
      </c>
      <c r="G29" s="695" t="s">
        <v>2399</v>
      </c>
      <c r="H29" s="695" t="s">
        <v>2399</v>
      </c>
      <c r="I29" s="695" t="s">
        <v>2399</v>
      </c>
      <c r="J29" s="695" t="s">
        <v>2399</v>
      </c>
      <c r="K29" s="695" t="s">
        <v>260</v>
      </c>
      <c r="L29" s="695" t="s">
        <v>2399</v>
      </c>
      <c r="M29" s="695" t="s">
        <v>2399</v>
      </c>
      <c r="N29" s="695" t="s">
        <v>2399</v>
      </c>
      <c r="O29" s="695" t="s">
        <v>2399</v>
      </c>
      <c r="P29" s="695" t="s">
        <v>2399</v>
      </c>
    </row>
    <row r="30" spans="1:16" hidden="1" x14ac:dyDescent="0.3">
      <c r="A30" s="163" t="s">
        <v>4499</v>
      </c>
      <c r="B30" s="163" t="s">
        <v>519</v>
      </c>
      <c r="C30" s="281">
        <v>12</v>
      </c>
      <c r="D30" s="281">
        <v>4</v>
      </c>
      <c r="E30" s="391">
        <v>15</v>
      </c>
      <c r="F30" s="680" t="s">
        <v>1262</v>
      </c>
      <c r="G30" s="695" t="s">
        <v>2399</v>
      </c>
      <c r="H30" s="695" t="s">
        <v>2399</v>
      </c>
      <c r="I30" s="695" t="s">
        <v>2399</v>
      </c>
      <c r="J30" s="695" t="s">
        <v>2399</v>
      </c>
      <c r="K30" s="695" t="s">
        <v>260</v>
      </c>
      <c r="L30" s="695" t="s">
        <v>2399</v>
      </c>
      <c r="M30" s="695" t="s">
        <v>2399</v>
      </c>
      <c r="N30" s="695" t="s">
        <v>2399</v>
      </c>
      <c r="O30" s="695" t="s">
        <v>2399</v>
      </c>
      <c r="P30" s="695" t="s">
        <v>2399</v>
      </c>
    </row>
    <row r="31" spans="1:16" hidden="1" x14ac:dyDescent="0.3">
      <c r="A31" s="163" t="s">
        <v>4532</v>
      </c>
      <c r="B31" s="163" t="s">
        <v>519</v>
      </c>
      <c r="C31" s="281">
        <v>2</v>
      </c>
      <c r="D31" s="281">
        <v>4</v>
      </c>
      <c r="E31" s="391">
        <v>15</v>
      </c>
      <c r="F31" s="680" t="s">
        <v>1262</v>
      </c>
      <c r="G31" s="695" t="s">
        <v>2399</v>
      </c>
      <c r="H31" s="695" t="s">
        <v>2399</v>
      </c>
      <c r="I31" s="695" t="s">
        <v>2399</v>
      </c>
      <c r="J31" s="695" t="s">
        <v>2399</v>
      </c>
      <c r="K31" s="695" t="s">
        <v>260</v>
      </c>
      <c r="L31" s="695" t="s">
        <v>2399</v>
      </c>
      <c r="M31" s="695" t="s">
        <v>2399</v>
      </c>
      <c r="N31" s="695" t="s">
        <v>2399</v>
      </c>
      <c r="O31" s="695" t="s">
        <v>2399</v>
      </c>
      <c r="P31" s="695" t="s">
        <v>2399</v>
      </c>
    </row>
    <row r="32" spans="1:16" x14ac:dyDescent="0.3">
      <c r="A32" s="707" t="s">
        <v>5698</v>
      </c>
      <c r="B32" s="707" t="s">
        <v>519</v>
      </c>
      <c r="C32" s="708">
        <v>4</v>
      </c>
      <c r="D32" s="708">
        <v>4</v>
      </c>
      <c r="E32" s="709">
        <v>19</v>
      </c>
      <c r="F32" s="710" t="s">
        <v>282</v>
      </c>
      <c r="G32" s="711" t="s">
        <v>2399</v>
      </c>
      <c r="H32" s="711" t="s">
        <v>2399</v>
      </c>
      <c r="I32" s="711" t="s">
        <v>2399</v>
      </c>
      <c r="J32" s="711" t="s">
        <v>2399</v>
      </c>
      <c r="K32" s="711" t="s">
        <v>260</v>
      </c>
      <c r="L32" s="711" t="s">
        <v>2399</v>
      </c>
      <c r="M32" s="711" t="s">
        <v>2399</v>
      </c>
      <c r="N32" s="711" t="s">
        <v>2399</v>
      </c>
      <c r="O32" s="711" t="s">
        <v>2399</v>
      </c>
      <c r="P32" s="711" t="s">
        <v>2399</v>
      </c>
    </row>
    <row r="33" spans="1:16" x14ac:dyDescent="0.3">
      <c r="A33" s="394" t="s">
        <v>3851</v>
      </c>
      <c r="B33" s="394" t="s">
        <v>519</v>
      </c>
      <c r="C33" s="395">
        <v>0.3</v>
      </c>
      <c r="D33" s="395">
        <v>1</v>
      </c>
      <c r="E33" s="396">
        <v>0.25</v>
      </c>
      <c r="F33" s="682" t="s">
        <v>1259</v>
      </c>
      <c r="G33" s="697" t="s">
        <v>2399</v>
      </c>
      <c r="H33" s="697" t="s">
        <v>2399</v>
      </c>
      <c r="I33" s="697" t="s">
        <v>2399</v>
      </c>
      <c r="J33" s="697" t="s">
        <v>2399</v>
      </c>
      <c r="K33" s="697" t="s">
        <v>260</v>
      </c>
      <c r="L33" s="697" t="s">
        <v>2399</v>
      </c>
      <c r="M33" s="697" t="s">
        <v>2399</v>
      </c>
      <c r="N33" s="697" t="s">
        <v>2399</v>
      </c>
      <c r="O33" s="697" t="s">
        <v>2399</v>
      </c>
      <c r="P33" s="697" t="s">
        <v>2399</v>
      </c>
    </row>
    <row r="34" spans="1:16" hidden="1" x14ac:dyDescent="0.3">
      <c r="A34" s="163" t="s">
        <v>436</v>
      </c>
      <c r="B34" s="163" t="s">
        <v>519</v>
      </c>
      <c r="C34" s="281">
        <v>33</v>
      </c>
      <c r="D34" s="281">
        <v>9</v>
      </c>
      <c r="E34" s="391">
        <v>20</v>
      </c>
      <c r="F34" s="680" t="s">
        <v>1262</v>
      </c>
      <c r="G34" s="695" t="s">
        <v>2399</v>
      </c>
      <c r="H34" s="695" t="s">
        <v>2399</v>
      </c>
      <c r="I34" s="695" t="s">
        <v>2399</v>
      </c>
      <c r="J34" s="695" t="s">
        <v>2399</v>
      </c>
      <c r="K34" s="695" t="s">
        <v>2399</v>
      </c>
      <c r="L34" s="695" t="s">
        <v>2399</v>
      </c>
      <c r="M34" s="695" t="s">
        <v>2399</v>
      </c>
      <c r="N34" s="695" t="s">
        <v>2399</v>
      </c>
      <c r="O34" s="695" t="s">
        <v>2399</v>
      </c>
      <c r="P34" s="695" t="s">
        <v>2399</v>
      </c>
    </row>
    <row r="35" spans="1:16" hidden="1" x14ac:dyDescent="0.3">
      <c r="A35" s="163" t="s">
        <v>4500</v>
      </c>
      <c r="B35" s="163" t="s">
        <v>519</v>
      </c>
      <c r="C35" s="281">
        <v>3</v>
      </c>
      <c r="D35" s="281">
        <v>9</v>
      </c>
      <c r="E35" s="391">
        <v>20</v>
      </c>
      <c r="F35" s="680" t="s">
        <v>1262</v>
      </c>
      <c r="G35" s="695" t="s">
        <v>2399</v>
      </c>
      <c r="H35" s="695" t="s">
        <v>2399</v>
      </c>
      <c r="I35" s="695" t="s">
        <v>2399</v>
      </c>
      <c r="J35" s="695" t="s">
        <v>2399</v>
      </c>
      <c r="K35" s="695" t="s">
        <v>2399</v>
      </c>
      <c r="L35" s="695" t="s">
        <v>2399</v>
      </c>
      <c r="M35" s="695" t="s">
        <v>2399</v>
      </c>
      <c r="N35" s="695" t="s">
        <v>2399</v>
      </c>
      <c r="O35" s="695" t="s">
        <v>2399</v>
      </c>
      <c r="P35" s="695" t="s">
        <v>2399</v>
      </c>
    </row>
    <row r="36" spans="1:16" hidden="1" x14ac:dyDescent="0.3">
      <c r="A36" s="707" t="s">
        <v>438</v>
      </c>
      <c r="B36" s="707" t="s">
        <v>519</v>
      </c>
      <c r="C36" s="708">
        <v>33</v>
      </c>
      <c r="D36" s="708">
        <v>9</v>
      </c>
      <c r="E36" s="709">
        <v>38</v>
      </c>
      <c r="F36" s="710" t="s">
        <v>282</v>
      </c>
      <c r="G36" s="711" t="s">
        <v>2399</v>
      </c>
      <c r="H36" s="711" t="s">
        <v>2399</v>
      </c>
      <c r="I36" s="711" t="s">
        <v>2399</v>
      </c>
      <c r="J36" s="711" t="s">
        <v>2399</v>
      </c>
      <c r="K36" s="711" t="s">
        <v>2399</v>
      </c>
      <c r="L36" s="711" t="s">
        <v>2399</v>
      </c>
      <c r="M36" s="711" t="s">
        <v>2399</v>
      </c>
      <c r="N36" s="711" t="s">
        <v>2399</v>
      </c>
      <c r="O36" s="711" t="s">
        <v>2399</v>
      </c>
      <c r="P36" s="711" t="s">
        <v>2399</v>
      </c>
    </row>
    <row r="37" spans="1:16" hidden="1" x14ac:dyDescent="0.3">
      <c r="A37" s="707" t="s">
        <v>437</v>
      </c>
      <c r="B37" s="707" t="s">
        <v>519</v>
      </c>
      <c r="C37" s="708">
        <v>33</v>
      </c>
      <c r="D37" s="708">
        <v>9</v>
      </c>
      <c r="E37" s="709">
        <v>21</v>
      </c>
      <c r="F37" s="710" t="s">
        <v>282</v>
      </c>
      <c r="G37" s="711" t="s">
        <v>2399</v>
      </c>
      <c r="H37" s="711" t="s">
        <v>2399</v>
      </c>
      <c r="I37" s="711" t="s">
        <v>2399</v>
      </c>
      <c r="J37" s="711" t="s">
        <v>2399</v>
      </c>
      <c r="K37" s="711" t="s">
        <v>2399</v>
      </c>
      <c r="L37" s="711" t="s">
        <v>2399</v>
      </c>
      <c r="M37" s="711" t="s">
        <v>2399</v>
      </c>
      <c r="N37" s="711" t="s">
        <v>2399</v>
      </c>
      <c r="O37" s="711" t="s">
        <v>2399</v>
      </c>
      <c r="P37" s="711" t="s">
        <v>2399</v>
      </c>
    </row>
    <row r="38" spans="1:16" hidden="1" x14ac:dyDescent="0.3">
      <c r="A38" s="163" t="s">
        <v>1273</v>
      </c>
      <c r="B38" s="163" t="s">
        <v>519</v>
      </c>
      <c r="C38" s="281">
        <v>12</v>
      </c>
      <c r="D38" s="281">
        <v>16</v>
      </c>
      <c r="E38" s="391">
        <v>50</v>
      </c>
      <c r="F38" s="680" t="s">
        <v>1262</v>
      </c>
      <c r="G38" s="695" t="s">
        <v>2399</v>
      </c>
      <c r="H38" s="695" t="s">
        <v>2399</v>
      </c>
      <c r="I38" s="695" t="s">
        <v>2399</v>
      </c>
      <c r="J38" s="695" t="s">
        <v>2399</v>
      </c>
      <c r="K38" s="695" t="s">
        <v>2399</v>
      </c>
      <c r="L38" s="695" t="s">
        <v>2399</v>
      </c>
      <c r="M38" s="695" t="s">
        <v>2399</v>
      </c>
      <c r="N38" s="695" t="s">
        <v>2399</v>
      </c>
      <c r="O38" s="695" t="s">
        <v>2399</v>
      </c>
      <c r="P38" s="695" t="s">
        <v>2399</v>
      </c>
    </row>
    <row r="39" spans="1:16" x14ac:dyDescent="0.3">
      <c r="A39" s="394" t="s">
        <v>1913</v>
      </c>
      <c r="B39" s="394" t="s">
        <v>519</v>
      </c>
      <c r="C39" s="395">
        <v>0.2</v>
      </c>
      <c r="D39" s="395">
        <v>1</v>
      </c>
      <c r="E39" s="396">
        <v>1</v>
      </c>
      <c r="F39" s="682" t="s">
        <v>1259</v>
      </c>
      <c r="G39" s="697" t="s">
        <v>260</v>
      </c>
      <c r="H39" s="697" t="s">
        <v>2399</v>
      </c>
      <c r="I39" s="697" t="s">
        <v>2399</v>
      </c>
      <c r="J39" s="697" t="s">
        <v>2399</v>
      </c>
      <c r="K39" s="697" t="s">
        <v>260</v>
      </c>
      <c r="L39" s="697" t="s">
        <v>2399</v>
      </c>
      <c r="M39" s="697" t="s">
        <v>260</v>
      </c>
      <c r="N39" s="697" t="s">
        <v>2399</v>
      </c>
      <c r="O39" s="697" t="s">
        <v>2399</v>
      </c>
      <c r="P39" s="697" t="s">
        <v>2399</v>
      </c>
    </row>
    <row r="40" spans="1:16" x14ac:dyDescent="0.3">
      <c r="A40" s="394" t="s">
        <v>446</v>
      </c>
      <c r="B40" s="394" t="s">
        <v>519</v>
      </c>
      <c r="C40" s="395">
        <v>0.3</v>
      </c>
      <c r="D40" s="395">
        <v>1</v>
      </c>
      <c r="E40" s="396">
        <v>1</v>
      </c>
      <c r="F40" s="682" t="s">
        <v>1259</v>
      </c>
      <c r="G40" s="697" t="s">
        <v>260</v>
      </c>
      <c r="H40" s="697" t="s">
        <v>2399</v>
      </c>
      <c r="I40" s="697" t="s">
        <v>2399</v>
      </c>
      <c r="J40" s="697" t="s">
        <v>2399</v>
      </c>
      <c r="K40" s="697" t="s">
        <v>260</v>
      </c>
      <c r="L40" s="697" t="s">
        <v>2399</v>
      </c>
      <c r="M40" s="697" t="s">
        <v>260</v>
      </c>
      <c r="N40" s="697" t="s">
        <v>2399</v>
      </c>
      <c r="O40" s="697" t="s">
        <v>2399</v>
      </c>
      <c r="P40" s="697" t="s">
        <v>2399</v>
      </c>
    </row>
    <row r="41" spans="1:16" hidden="1" x14ac:dyDescent="0.3">
      <c r="A41" s="163" t="s">
        <v>1270</v>
      </c>
      <c r="B41" s="163" t="s">
        <v>519</v>
      </c>
      <c r="C41" s="281">
        <v>1</v>
      </c>
      <c r="D41" s="281">
        <v>4</v>
      </c>
      <c r="E41" s="391">
        <v>20</v>
      </c>
      <c r="F41" s="680" t="s">
        <v>1262</v>
      </c>
      <c r="G41" s="695" t="s">
        <v>2399</v>
      </c>
      <c r="H41" s="695" t="s">
        <v>2399</v>
      </c>
      <c r="I41" s="695" t="s">
        <v>2399</v>
      </c>
      <c r="J41" s="695" t="s">
        <v>2399</v>
      </c>
      <c r="K41" s="695" t="s">
        <v>260</v>
      </c>
      <c r="L41" s="695" t="s">
        <v>2399</v>
      </c>
      <c r="M41" s="695" t="s">
        <v>2399</v>
      </c>
      <c r="N41" s="695" t="s">
        <v>2399</v>
      </c>
      <c r="O41" s="695" t="s">
        <v>2399</v>
      </c>
      <c r="P41" s="695" t="s">
        <v>2399</v>
      </c>
    </row>
    <row r="42" spans="1:16" hidden="1" x14ac:dyDescent="0.3">
      <c r="A42" s="163" t="s">
        <v>441</v>
      </c>
      <c r="B42" s="163" t="s">
        <v>519</v>
      </c>
      <c r="C42" s="281">
        <v>15</v>
      </c>
      <c r="D42" s="281">
        <v>9</v>
      </c>
      <c r="E42" s="391">
        <v>70</v>
      </c>
      <c r="F42" s="680" t="s">
        <v>1262</v>
      </c>
      <c r="G42" s="695" t="s">
        <v>2399</v>
      </c>
      <c r="H42" s="695" t="s">
        <v>2399</v>
      </c>
      <c r="I42" s="695" t="s">
        <v>2399</v>
      </c>
      <c r="J42" s="695" t="s">
        <v>2399</v>
      </c>
      <c r="K42" s="695" t="s">
        <v>2399</v>
      </c>
      <c r="L42" s="695" t="s">
        <v>2399</v>
      </c>
      <c r="M42" s="695" t="s">
        <v>2399</v>
      </c>
      <c r="N42" s="695" t="s">
        <v>2399</v>
      </c>
      <c r="O42" s="695" t="s">
        <v>2399</v>
      </c>
      <c r="P42" s="695" t="s">
        <v>2399</v>
      </c>
    </row>
    <row r="43" spans="1:16" hidden="1" x14ac:dyDescent="0.3">
      <c r="A43" s="163" t="s">
        <v>442</v>
      </c>
      <c r="B43" s="163" t="s">
        <v>519</v>
      </c>
      <c r="C43" s="281">
        <v>18</v>
      </c>
      <c r="D43" s="281">
        <v>9</v>
      </c>
      <c r="E43" s="391">
        <v>80</v>
      </c>
      <c r="F43" s="680" t="s">
        <v>1262</v>
      </c>
      <c r="G43" s="695" t="s">
        <v>2399</v>
      </c>
      <c r="H43" s="695" t="s">
        <v>2399</v>
      </c>
      <c r="I43" s="695" t="s">
        <v>2399</v>
      </c>
      <c r="J43" s="695" t="s">
        <v>2399</v>
      </c>
      <c r="K43" s="695" t="s">
        <v>2399</v>
      </c>
      <c r="L43" s="695" t="s">
        <v>2399</v>
      </c>
      <c r="M43" s="695" t="s">
        <v>2399</v>
      </c>
      <c r="N43" s="695" t="s">
        <v>2399</v>
      </c>
      <c r="O43" s="695" t="s">
        <v>2399</v>
      </c>
      <c r="P43" s="695" t="s">
        <v>2399</v>
      </c>
    </row>
    <row r="44" spans="1:16" hidden="1" x14ac:dyDescent="0.3">
      <c r="A44" s="163" t="s">
        <v>443</v>
      </c>
      <c r="B44" s="163" t="s">
        <v>519</v>
      </c>
      <c r="C44" s="281">
        <v>25</v>
      </c>
      <c r="D44" s="281">
        <v>9</v>
      </c>
      <c r="E44" s="391">
        <v>110</v>
      </c>
      <c r="F44" s="680" t="s">
        <v>1262</v>
      </c>
      <c r="G44" s="695" t="s">
        <v>2399</v>
      </c>
      <c r="H44" s="695" t="s">
        <v>2399</v>
      </c>
      <c r="I44" s="695" t="s">
        <v>2399</v>
      </c>
      <c r="J44" s="695" t="s">
        <v>2399</v>
      </c>
      <c r="K44" s="695" t="s">
        <v>2399</v>
      </c>
      <c r="L44" s="695" t="s">
        <v>2399</v>
      </c>
      <c r="M44" s="695" t="s">
        <v>2399</v>
      </c>
      <c r="N44" s="695" t="s">
        <v>2399</v>
      </c>
      <c r="O44" s="695" t="s">
        <v>2399</v>
      </c>
      <c r="P44" s="695" t="s">
        <v>2399</v>
      </c>
    </row>
    <row r="45" spans="1:16" hidden="1" x14ac:dyDescent="0.3">
      <c r="A45" s="163" t="s">
        <v>444</v>
      </c>
      <c r="B45" s="163" t="s">
        <v>519</v>
      </c>
      <c r="C45" s="281">
        <v>100</v>
      </c>
      <c r="D45" s="281">
        <v>9</v>
      </c>
      <c r="E45" s="391">
        <v>200</v>
      </c>
      <c r="F45" s="680" t="s">
        <v>1262</v>
      </c>
      <c r="G45" s="695" t="s">
        <v>2399</v>
      </c>
      <c r="H45" s="695" t="s">
        <v>2399</v>
      </c>
      <c r="I45" s="695" t="s">
        <v>2399</v>
      </c>
      <c r="J45" s="695" t="s">
        <v>2399</v>
      </c>
      <c r="K45" s="695" t="s">
        <v>2399</v>
      </c>
      <c r="L45" s="695" t="s">
        <v>2399</v>
      </c>
      <c r="M45" s="695" t="s">
        <v>2399</v>
      </c>
      <c r="N45" s="695" t="s">
        <v>2399</v>
      </c>
      <c r="O45" s="695" t="s">
        <v>2399</v>
      </c>
      <c r="P45" s="695" t="s">
        <v>2399</v>
      </c>
    </row>
    <row r="46" spans="1:16" hidden="1" x14ac:dyDescent="0.3">
      <c r="A46" s="163" t="s">
        <v>439</v>
      </c>
      <c r="B46" s="163" t="s">
        <v>519</v>
      </c>
      <c r="C46" s="281">
        <v>0.5</v>
      </c>
      <c r="D46" s="281">
        <v>2</v>
      </c>
      <c r="E46" s="391">
        <v>30</v>
      </c>
      <c r="F46" s="680" t="s">
        <v>1262</v>
      </c>
      <c r="G46" s="695" t="s">
        <v>2399</v>
      </c>
      <c r="H46" s="695" t="s">
        <v>2399</v>
      </c>
      <c r="I46" s="695" t="s">
        <v>2399</v>
      </c>
      <c r="J46" s="695" t="s">
        <v>2399</v>
      </c>
      <c r="K46" s="695" t="s">
        <v>260</v>
      </c>
      <c r="L46" s="695" t="s">
        <v>2399</v>
      </c>
      <c r="M46" s="695" t="s">
        <v>2399</v>
      </c>
      <c r="N46" s="695" t="s">
        <v>2399</v>
      </c>
      <c r="O46" s="695" t="s">
        <v>2399</v>
      </c>
      <c r="P46" s="695" t="s">
        <v>2399</v>
      </c>
    </row>
    <row r="47" spans="1:16" hidden="1" x14ac:dyDescent="0.3">
      <c r="A47" s="163" t="s">
        <v>440</v>
      </c>
      <c r="B47" s="163" t="s">
        <v>519</v>
      </c>
      <c r="C47" s="281">
        <v>0.75</v>
      </c>
      <c r="D47" s="281">
        <v>2</v>
      </c>
      <c r="E47" s="391">
        <v>50</v>
      </c>
      <c r="F47" s="680" t="s">
        <v>1262</v>
      </c>
      <c r="G47" s="695" t="s">
        <v>2399</v>
      </c>
      <c r="H47" s="695" t="s">
        <v>2399</v>
      </c>
      <c r="I47" s="695" t="s">
        <v>2399</v>
      </c>
      <c r="J47" s="695" t="s">
        <v>2399</v>
      </c>
      <c r="K47" s="695" t="s">
        <v>260</v>
      </c>
      <c r="L47" s="695" t="s">
        <v>2399</v>
      </c>
      <c r="M47" s="695" t="s">
        <v>2399</v>
      </c>
      <c r="N47" s="695" t="s">
        <v>2399</v>
      </c>
      <c r="O47" s="695" t="s">
        <v>2399</v>
      </c>
      <c r="P47" s="695" t="s">
        <v>2399</v>
      </c>
    </row>
    <row r="48" spans="1:16" hidden="1" x14ac:dyDescent="0.3">
      <c r="A48" s="38" t="s">
        <v>2091</v>
      </c>
      <c r="B48" s="38" t="s">
        <v>519</v>
      </c>
      <c r="C48" s="927">
        <v>0.02</v>
      </c>
      <c r="D48" s="927">
        <v>0</v>
      </c>
      <c r="E48" s="393"/>
      <c r="F48" s="691" t="s">
        <v>1256</v>
      </c>
      <c r="G48" s="996" t="s">
        <v>260</v>
      </c>
      <c r="H48" s="998" t="s">
        <v>2399</v>
      </c>
      <c r="I48" s="998" t="s">
        <v>2399</v>
      </c>
      <c r="J48" s="998" t="s">
        <v>2399</v>
      </c>
      <c r="K48" s="998" t="s">
        <v>260</v>
      </c>
      <c r="L48" s="998" t="s">
        <v>2399</v>
      </c>
      <c r="M48" s="998" t="s">
        <v>260</v>
      </c>
      <c r="N48" s="998" t="s">
        <v>2399</v>
      </c>
      <c r="O48" s="998" t="s">
        <v>2399</v>
      </c>
      <c r="P48" s="998" t="s">
        <v>2399</v>
      </c>
    </row>
    <row r="49" spans="1:16" hidden="1" x14ac:dyDescent="0.3">
      <c r="A49" s="163" t="s">
        <v>1274</v>
      </c>
      <c r="B49" s="163" t="s">
        <v>519</v>
      </c>
      <c r="C49" s="281">
        <v>0.04</v>
      </c>
      <c r="D49" s="281">
        <v>1</v>
      </c>
      <c r="E49" s="391">
        <v>1.5</v>
      </c>
      <c r="F49" s="680" t="s">
        <v>1262</v>
      </c>
      <c r="G49" s="695" t="s">
        <v>260</v>
      </c>
      <c r="H49" s="695" t="s">
        <v>2399</v>
      </c>
      <c r="I49" s="695" t="s">
        <v>260</v>
      </c>
      <c r="J49" s="695" t="s">
        <v>2399</v>
      </c>
      <c r="K49" s="695" t="s">
        <v>260</v>
      </c>
      <c r="L49" s="695" t="s">
        <v>2399</v>
      </c>
      <c r="M49" s="695" t="s">
        <v>260</v>
      </c>
      <c r="N49" s="695" t="s">
        <v>260</v>
      </c>
      <c r="O49" s="695" t="s">
        <v>2399</v>
      </c>
      <c r="P49" s="695" t="s">
        <v>2399</v>
      </c>
    </row>
    <row r="50" spans="1:16" hidden="1" x14ac:dyDescent="0.3">
      <c r="A50" s="163" t="s">
        <v>1275</v>
      </c>
      <c r="B50" s="163" t="s">
        <v>519</v>
      </c>
      <c r="C50" s="281">
        <v>7.0000000000000007E-2</v>
      </c>
      <c r="D50" s="281">
        <v>1</v>
      </c>
      <c r="E50" s="391">
        <v>3</v>
      </c>
      <c r="F50" s="680" t="s">
        <v>1262</v>
      </c>
      <c r="G50" s="695" t="s">
        <v>260</v>
      </c>
      <c r="H50" s="695" t="s">
        <v>2399</v>
      </c>
      <c r="I50" s="695" t="s">
        <v>260</v>
      </c>
      <c r="J50" s="695" t="s">
        <v>2399</v>
      </c>
      <c r="K50" s="695" t="s">
        <v>260</v>
      </c>
      <c r="L50" s="695" t="s">
        <v>2399</v>
      </c>
      <c r="M50" s="695" t="s">
        <v>260</v>
      </c>
      <c r="N50" s="695" t="s">
        <v>2399</v>
      </c>
      <c r="O50" s="695" t="s">
        <v>2399</v>
      </c>
      <c r="P50" s="695" t="s">
        <v>2399</v>
      </c>
    </row>
    <row r="51" spans="1:16" x14ac:dyDescent="0.3">
      <c r="A51" s="707" t="s">
        <v>3923</v>
      </c>
      <c r="B51" s="707" t="s">
        <v>519</v>
      </c>
      <c r="C51" s="708">
        <v>0.1</v>
      </c>
      <c r="D51" s="708">
        <v>1</v>
      </c>
      <c r="E51" s="709">
        <v>7</v>
      </c>
      <c r="F51" s="710" t="s">
        <v>282</v>
      </c>
      <c r="G51" s="711" t="s">
        <v>260</v>
      </c>
      <c r="H51" s="711" t="s">
        <v>2399</v>
      </c>
      <c r="I51" s="711" t="s">
        <v>260</v>
      </c>
      <c r="J51" s="711" t="s">
        <v>2399</v>
      </c>
      <c r="K51" s="711" t="s">
        <v>260</v>
      </c>
      <c r="L51" s="711" t="s">
        <v>2399</v>
      </c>
      <c r="M51" s="711" t="s">
        <v>260</v>
      </c>
      <c r="N51" s="711" t="s">
        <v>2399</v>
      </c>
      <c r="O51" s="711" t="s">
        <v>2399</v>
      </c>
      <c r="P51" s="711" t="s">
        <v>2399</v>
      </c>
    </row>
    <row r="52" spans="1:16" hidden="1" x14ac:dyDescent="0.3">
      <c r="A52" s="163" t="s">
        <v>4493</v>
      </c>
      <c r="B52" s="163" t="s">
        <v>519</v>
      </c>
      <c r="C52" s="281">
        <v>1.2</v>
      </c>
      <c r="D52" s="281">
        <v>2</v>
      </c>
      <c r="E52" s="391">
        <v>4</v>
      </c>
      <c r="F52" s="680" t="s">
        <v>1262</v>
      </c>
      <c r="G52" s="695" t="s">
        <v>2399</v>
      </c>
      <c r="H52" s="695" t="s">
        <v>2399</v>
      </c>
      <c r="I52" s="695" t="s">
        <v>2399</v>
      </c>
      <c r="J52" s="695" t="s">
        <v>2399</v>
      </c>
      <c r="K52" s="695" t="s">
        <v>260</v>
      </c>
      <c r="L52" s="695" t="s">
        <v>2399</v>
      </c>
      <c r="M52" s="695" t="s">
        <v>260</v>
      </c>
      <c r="N52" s="695" t="s">
        <v>2399</v>
      </c>
      <c r="O52" s="695" t="s">
        <v>2399</v>
      </c>
      <c r="P52" s="695" t="s">
        <v>2399</v>
      </c>
    </row>
    <row r="53" spans="1:16" hidden="1" x14ac:dyDescent="0.3">
      <c r="A53" s="163" t="s">
        <v>1266</v>
      </c>
      <c r="B53" s="163" t="s">
        <v>519</v>
      </c>
      <c r="C53" s="281">
        <v>0.35</v>
      </c>
      <c r="D53" s="281">
        <v>2</v>
      </c>
      <c r="E53" s="391">
        <v>6</v>
      </c>
      <c r="F53" s="680" t="s">
        <v>1262</v>
      </c>
      <c r="G53" s="695" t="s">
        <v>2399</v>
      </c>
      <c r="H53" s="695" t="s">
        <v>2399</v>
      </c>
      <c r="I53" s="695" t="s">
        <v>2399</v>
      </c>
      <c r="J53" s="695" t="s">
        <v>2399</v>
      </c>
      <c r="K53" s="695" t="s">
        <v>260</v>
      </c>
      <c r="L53" s="695" t="s">
        <v>2399</v>
      </c>
      <c r="M53" s="695" t="s">
        <v>2399</v>
      </c>
      <c r="N53" s="695" t="s">
        <v>2399</v>
      </c>
      <c r="O53" s="695" t="s">
        <v>2399</v>
      </c>
      <c r="P53" s="695" t="s">
        <v>2399</v>
      </c>
    </row>
    <row r="54" spans="1:16" hidden="1" x14ac:dyDescent="0.3">
      <c r="A54" s="163" t="s">
        <v>4494</v>
      </c>
      <c r="B54" s="163" t="s">
        <v>519</v>
      </c>
      <c r="C54" s="281">
        <v>0.2</v>
      </c>
      <c r="D54" s="281">
        <v>1</v>
      </c>
      <c r="E54" s="391">
        <v>4</v>
      </c>
      <c r="F54" s="680" t="s">
        <v>1262</v>
      </c>
      <c r="G54" s="695" t="s">
        <v>2399</v>
      </c>
      <c r="H54" s="695" t="s">
        <v>2399</v>
      </c>
      <c r="I54" s="695" t="s">
        <v>2399</v>
      </c>
      <c r="J54" s="695" t="s">
        <v>2399</v>
      </c>
      <c r="K54" s="695" t="s">
        <v>260</v>
      </c>
      <c r="L54" s="695" t="s">
        <v>2399</v>
      </c>
      <c r="M54" s="695" t="s">
        <v>260</v>
      </c>
      <c r="N54" s="695" t="s">
        <v>2399</v>
      </c>
      <c r="O54" s="695" t="s">
        <v>2399</v>
      </c>
      <c r="P54" s="695" t="s">
        <v>2399</v>
      </c>
    </row>
    <row r="55" spans="1:16" x14ac:dyDescent="0.3">
      <c r="A55" s="707" t="s">
        <v>5699</v>
      </c>
      <c r="B55" s="707" t="s">
        <v>519</v>
      </c>
      <c r="C55" s="708">
        <v>1</v>
      </c>
      <c r="D55" s="708">
        <v>2</v>
      </c>
      <c r="E55" s="709">
        <v>5.6</v>
      </c>
      <c r="F55" s="710" t="s">
        <v>282</v>
      </c>
      <c r="G55" s="711" t="s">
        <v>2399</v>
      </c>
      <c r="H55" s="711" t="s">
        <v>2399</v>
      </c>
      <c r="I55" s="711" t="s">
        <v>2399</v>
      </c>
      <c r="J55" s="711" t="s">
        <v>2399</v>
      </c>
      <c r="K55" s="711" t="s">
        <v>260</v>
      </c>
      <c r="L55" s="711" t="s">
        <v>2399</v>
      </c>
      <c r="M55" s="711" t="s">
        <v>260</v>
      </c>
      <c r="N55" s="711" t="s">
        <v>2399</v>
      </c>
      <c r="O55" s="711" t="s">
        <v>2399</v>
      </c>
      <c r="P55" s="711" t="s">
        <v>2399</v>
      </c>
    </row>
    <row r="56" spans="1:16" x14ac:dyDescent="0.3">
      <c r="A56" s="707" t="s">
        <v>5700</v>
      </c>
      <c r="B56" s="707" t="s">
        <v>519</v>
      </c>
      <c r="C56" s="708">
        <v>1</v>
      </c>
      <c r="D56" s="708">
        <v>2</v>
      </c>
      <c r="E56" s="709">
        <v>8</v>
      </c>
      <c r="F56" s="710" t="s">
        <v>282</v>
      </c>
      <c r="G56" s="711" t="s">
        <v>2399</v>
      </c>
      <c r="H56" s="711" t="s">
        <v>2399</v>
      </c>
      <c r="I56" s="711" t="s">
        <v>2399</v>
      </c>
      <c r="J56" s="711" t="s">
        <v>2399</v>
      </c>
      <c r="K56" s="711" t="s">
        <v>260</v>
      </c>
      <c r="L56" s="711" t="s">
        <v>2399</v>
      </c>
      <c r="M56" s="711" t="s">
        <v>260</v>
      </c>
      <c r="N56" s="711" t="s">
        <v>2399</v>
      </c>
      <c r="O56" s="711" t="s">
        <v>2399</v>
      </c>
      <c r="P56" s="711" t="s">
        <v>2399</v>
      </c>
    </row>
    <row r="57" spans="1:16" x14ac:dyDescent="0.3">
      <c r="A57" s="707" t="s">
        <v>5701</v>
      </c>
      <c r="B57" s="707" t="s">
        <v>519</v>
      </c>
      <c r="C57" s="708">
        <v>1</v>
      </c>
      <c r="D57" s="708">
        <v>2</v>
      </c>
      <c r="E57" s="709">
        <v>6.4</v>
      </c>
      <c r="F57" s="710" t="s">
        <v>282</v>
      </c>
      <c r="G57" s="711" t="s">
        <v>2399</v>
      </c>
      <c r="H57" s="711" t="s">
        <v>2399</v>
      </c>
      <c r="I57" s="711" t="s">
        <v>2399</v>
      </c>
      <c r="J57" s="711" t="s">
        <v>2399</v>
      </c>
      <c r="K57" s="711" t="s">
        <v>260</v>
      </c>
      <c r="L57" s="711" t="s">
        <v>2399</v>
      </c>
      <c r="M57" s="711" t="s">
        <v>260</v>
      </c>
      <c r="N57" s="711" t="s">
        <v>2399</v>
      </c>
      <c r="O57" s="711" t="s">
        <v>2399</v>
      </c>
      <c r="P57" s="711" t="s">
        <v>2399</v>
      </c>
    </row>
    <row r="58" spans="1:16" x14ac:dyDescent="0.3">
      <c r="A58" s="707" t="s">
        <v>435</v>
      </c>
      <c r="B58" s="707" t="s">
        <v>519</v>
      </c>
      <c r="C58" s="708">
        <v>1.2</v>
      </c>
      <c r="D58" s="708">
        <v>2</v>
      </c>
      <c r="E58" s="709">
        <f>4</f>
        <v>4</v>
      </c>
      <c r="F58" s="710" t="s">
        <v>282</v>
      </c>
      <c r="G58" s="711" t="s">
        <v>2399</v>
      </c>
      <c r="H58" s="711" t="s">
        <v>2399</v>
      </c>
      <c r="I58" s="711" t="s">
        <v>2399</v>
      </c>
      <c r="J58" s="711" t="s">
        <v>2399</v>
      </c>
      <c r="K58" s="711" t="s">
        <v>260</v>
      </c>
      <c r="L58" s="711" t="s">
        <v>2399</v>
      </c>
      <c r="M58" s="711" t="s">
        <v>260</v>
      </c>
      <c r="N58" s="711" t="s">
        <v>2399</v>
      </c>
      <c r="O58" s="711" t="s">
        <v>2399</v>
      </c>
      <c r="P58" s="711" t="s">
        <v>2399</v>
      </c>
    </row>
    <row r="59" spans="1:16" hidden="1" x14ac:dyDescent="0.3">
      <c r="A59" s="163" t="s">
        <v>1271</v>
      </c>
      <c r="B59" s="163" t="s">
        <v>519</v>
      </c>
      <c r="C59" s="281">
        <v>0.6</v>
      </c>
      <c r="D59" s="281">
        <v>4</v>
      </c>
      <c r="E59" s="391">
        <v>12</v>
      </c>
      <c r="F59" s="680" t="s">
        <v>1262</v>
      </c>
      <c r="G59" s="695" t="s">
        <v>2399</v>
      </c>
      <c r="H59" s="695" t="s">
        <v>2399</v>
      </c>
      <c r="I59" s="695" t="s">
        <v>2399</v>
      </c>
      <c r="J59" s="695" t="s">
        <v>2399</v>
      </c>
      <c r="K59" s="695" t="s">
        <v>260</v>
      </c>
      <c r="L59" s="695" t="s">
        <v>2399</v>
      </c>
      <c r="M59" s="695" t="s">
        <v>2399</v>
      </c>
      <c r="N59" s="695" t="s">
        <v>2399</v>
      </c>
      <c r="O59" s="695" t="s">
        <v>2399</v>
      </c>
      <c r="P59" s="695" t="s">
        <v>2399</v>
      </c>
    </row>
    <row r="60" spans="1:16" hidden="1" x14ac:dyDescent="0.3">
      <c r="A60" s="394" t="s">
        <v>485</v>
      </c>
      <c r="B60" s="394" t="s">
        <v>519</v>
      </c>
      <c r="C60" s="395">
        <v>0.05</v>
      </c>
      <c r="D60" s="395">
        <v>0</v>
      </c>
      <c r="E60" s="396">
        <v>0.5</v>
      </c>
      <c r="F60" s="682" t="s">
        <v>1259</v>
      </c>
      <c r="G60" s="697" t="s">
        <v>260</v>
      </c>
      <c r="H60" s="697" t="s">
        <v>2399</v>
      </c>
      <c r="I60" s="697" t="s">
        <v>2399</v>
      </c>
      <c r="J60" s="697" t="s">
        <v>2399</v>
      </c>
      <c r="K60" s="697" t="s">
        <v>260</v>
      </c>
      <c r="L60" s="697" t="s">
        <v>2399</v>
      </c>
      <c r="M60" s="697" t="s">
        <v>260</v>
      </c>
      <c r="N60" s="697" t="s">
        <v>2399</v>
      </c>
      <c r="O60" s="697" t="s">
        <v>2399</v>
      </c>
      <c r="P60" s="697" t="s">
        <v>2399</v>
      </c>
    </row>
    <row r="61" spans="1:16" hidden="1" x14ac:dyDescent="0.3">
      <c r="A61" s="163" t="s">
        <v>528</v>
      </c>
      <c r="B61" s="163" t="s">
        <v>519</v>
      </c>
      <c r="C61" s="281">
        <v>0.3</v>
      </c>
      <c r="D61" s="281">
        <v>1</v>
      </c>
      <c r="E61" s="391">
        <v>10</v>
      </c>
      <c r="F61" s="680" t="s">
        <v>1262</v>
      </c>
      <c r="G61" s="695" t="s">
        <v>2399</v>
      </c>
      <c r="H61" s="695" t="s">
        <v>2399</v>
      </c>
      <c r="I61" s="695" t="s">
        <v>2399</v>
      </c>
      <c r="J61" s="695" t="s">
        <v>2399</v>
      </c>
      <c r="K61" s="695" t="s">
        <v>260</v>
      </c>
      <c r="L61" s="695" t="s">
        <v>2399</v>
      </c>
      <c r="M61" s="695" t="s">
        <v>2399</v>
      </c>
      <c r="N61" s="695" t="s">
        <v>2399</v>
      </c>
      <c r="O61" s="695" t="s">
        <v>2399</v>
      </c>
      <c r="P61" s="695" t="s">
        <v>2399</v>
      </c>
    </row>
    <row r="62" spans="1:16" x14ac:dyDescent="0.3">
      <c r="A62" s="394" t="s">
        <v>484</v>
      </c>
      <c r="B62" s="394" t="s">
        <v>519</v>
      </c>
      <c r="C62" s="395">
        <v>3</v>
      </c>
      <c r="D62" s="395">
        <v>4</v>
      </c>
      <c r="E62" s="396">
        <v>12</v>
      </c>
      <c r="F62" s="682" t="s">
        <v>1259</v>
      </c>
      <c r="G62" s="697" t="s">
        <v>2399</v>
      </c>
      <c r="H62" s="697" t="s">
        <v>2399</v>
      </c>
      <c r="I62" s="697" t="s">
        <v>2399</v>
      </c>
      <c r="J62" s="697" t="s">
        <v>2399</v>
      </c>
      <c r="K62" s="697" t="s">
        <v>260</v>
      </c>
      <c r="L62" s="697" t="s">
        <v>2399</v>
      </c>
      <c r="M62" s="697" t="s">
        <v>2399</v>
      </c>
      <c r="N62" s="697" t="s">
        <v>2399</v>
      </c>
      <c r="O62" s="697" t="s">
        <v>2399</v>
      </c>
      <c r="P62" s="697" t="s">
        <v>2399</v>
      </c>
    </row>
    <row r="63" spans="1:16" x14ac:dyDescent="0.3">
      <c r="A63" s="394" t="s">
        <v>480</v>
      </c>
      <c r="B63" s="394" t="s">
        <v>519</v>
      </c>
      <c r="C63" s="395">
        <v>0.1</v>
      </c>
      <c r="D63" s="395">
        <v>1</v>
      </c>
      <c r="E63" s="396">
        <v>1.5</v>
      </c>
      <c r="F63" s="682" t="s">
        <v>1259</v>
      </c>
      <c r="G63" s="697" t="s">
        <v>260</v>
      </c>
      <c r="H63" s="697" t="s">
        <v>2399</v>
      </c>
      <c r="I63" s="697" t="s">
        <v>2399</v>
      </c>
      <c r="J63" s="697" t="s">
        <v>2399</v>
      </c>
      <c r="K63" s="697" t="s">
        <v>260</v>
      </c>
      <c r="L63" s="697" t="s">
        <v>2399</v>
      </c>
      <c r="M63" s="697" t="s">
        <v>260</v>
      </c>
      <c r="N63" s="697" t="s">
        <v>2399</v>
      </c>
      <c r="O63" s="697" t="s">
        <v>2399</v>
      </c>
      <c r="P63" s="697" t="s">
        <v>2399</v>
      </c>
    </row>
    <row r="64" spans="1:16" hidden="1" x14ac:dyDescent="0.3">
      <c r="A64" s="650" t="s">
        <v>3804</v>
      </c>
      <c r="B64" s="650" t="s">
        <v>3799</v>
      </c>
      <c r="C64" s="280"/>
      <c r="D64" s="280"/>
      <c r="E64" s="651">
        <v>700</v>
      </c>
      <c r="F64" s="678" t="s">
        <v>3798</v>
      </c>
      <c r="G64" s="693" t="s">
        <v>2399</v>
      </c>
      <c r="H64" s="693" t="s">
        <v>2399</v>
      </c>
      <c r="I64" s="693" t="s">
        <v>2399</v>
      </c>
      <c r="J64" s="693" t="s">
        <v>2399</v>
      </c>
      <c r="K64" s="693" t="s">
        <v>2399</v>
      </c>
      <c r="L64" s="693" t="s">
        <v>2399</v>
      </c>
      <c r="M64" s="693" t="s">
        <v>2399</v>
      </c>
      <c r="N64" s="693" t="s">
        <v>2399</v>
      </c>
      <c r="O64" s="693" t="s">
        <v>2399</v>
      </c>
      <c r="P64" s="693" t="s">
        <v>2399</v>
      </c>
    </row>
    <row r="65" spans="1:16" hidden="1" x14ac:dyDescent="0.3">
      <c r="A65" s="650" t="s">
        <v>3805</v>
      </c>
      <c r="B65" s="650" t="s">
        <v>3799</v>
      </c>
      <c r="C65" s="280"/>
      <c r="D65" s="280"/>
      <c r="E65" s="651">
        <v>1000</v>
      </c>
      <c r="F65" s="678" t="s">
        <v>3798</v>
      </c>
      <c r="G65" s="693" t="s">
        <v>2399</v>
      </c>
      <c r="H65" s="693" t="s">
        <v>2399</v>
      </c>
      <c r="I65" s="693" t="s">
        <v>2399</v>
      </c>
      <c r="J65" s="693" t="s">
        <v>2399</v>
      </c>
      <c r="K65" s="693" t="s">
        <v>2399</v>
      </c>
      <c r="L65" s="693" t="s">
        <v>2399</v>
      </c>
      <c r="M65" s="693" t="s">
        <v>2399</v>
      </c>
      <c r="N65" s="693" t="s">
        <v>2399</v>
      </c>
      <c r="O65" s="693" t="s">
        <v>2399</v>
      </c>
      <c r="P65" s="693" t="s">
        <v>2399</v>
      </c>
    </row>
    <row r="66" spans="1:16" hidden="1" x14ac:dyDescent="0.3">
      <c r="A66" s="650" t="s">
        <v>3803</v>
      </c>
      <c r="B66" s="650" t="s">
        <v>3799</v>
      </c>
      <c r="C66" s="280"/>
      <c r="D66" s="280"/>
      <c r="E66" s="651">
        <v>500</v>
      </c>
      <c r="F66" s="678" t="s">
        <v>3798</v>
      </c>
      <c r="G66" s="693" t="s">
        <v>2399</v>
      </c>
      <c r="H66" s="693" t="s">
        <v>2399</v>
      </c>
      <c r="I66" s="693" t="s">
        <v>2399</v>
      </c>
      <c r="J66" s="693" t="s">
        <v>2399</v>
      </c>
      <c r="K66" s="693" t="s">
        <v>2399</v>
      </c>
      <c r="L66" s="693" t="s">
        <v>2399</v>
      </c>
      <c r="M66" s="693" t="s">
        <v>2399</v>
      </c>
      <c r="N66" s="693" t="s">
        <v>2399</v>
      </c>
      <c r="O66" s="693" t="s">
        <v>2399</v>
      </c>
      <c r="P66" s="693" t="s">
        <v>2399</v>
      </c>
    </row>
    <row r="67" spans="1:16" hidden="1" x14ac:dyDescent="0.3">
      <c r="A67" s="650" t="s">
        <v>3808</v>
      </c>
      <c r="B67" s="650" t="s">
        <v>3799</v>
      </c>
      <c r="C67" s="280">
        <v>2</v>
      </c>
      <c r="D67" s="280"/>
      <c r="E67" s="651">
        <v>40</v>
      </c>
      <c r="F67" s="678" t="s">
        <v>3798</v>
      </c>
      <c r="G67" s="693" t="s">
        <v>2399</v>
      </c>
      <c r="H67" s="693" t="s">
        <v>2399</v>
      </c>
      <c r="I67" s="693" t="s">
        <v>2399</v>
      </c>
      <c r="J67" s="693" t="s">
        <v>2399</v>
      </c>
      <c r="K67" s="693" t="s">
        <v>2399</v>
      </c>
      <c r="L67" s="693" t="s">
        <v>2399</v>
      </c>
      <c r="M67" s="693" t="s">
        <v>2399</v>
      </c>
      <c r="N67" s="693" t="s">
        <v>2399</v>
      </c>
      <c r="O67" s="693" t="s">
        <v>2399</v>
      </c>
      <c r="P67" s="693" t="s">
        <v>2399</v>
      </c>
    </row>
    <row r="68" spans="1:16" hidden="1" x14ac:dyDescent="0.3">
      <c r="A68" s="650" t="s">
        <v>3809</v>
      </c>
      <c r="B68" s="650" t="s">
        <v>3799</v>
      </c>
      <c r="C68" s="280">
        <v>2.5</v>
      </c>
      <c r="D68" s="280"/>
      <c r="E68" s="651">
        <v>120</v>
      </c>
      <c r="F68" s="678" t="s">
        <v>3798</v>
      </c>
      <c r="G68" s="693" t="s">
        <v>2399</v>
      </c>
      <c r="H68" s="693" t="s">
        <v>2399</v>
      </c>
      <c r="I68" s="693" t="s">
        <v>2399</v>
      </c>
      <c r="J68" s="693" t="s">
        <v>2399</v>
      </c>
      <c r="K68" s="693" t="s">
        <v>2399</v>
      </c>
      <c r="L68" s="693" t="s">
        <v>2399</v>
      </c>
      <c r="M68" s="693" t="s">
        <v>2399</v>
      </c>
      <c r="N68" s="693" t="s">
        <v>2399</v>
      </c>
      <c r="O68" s="693" t="s">
        <v>2399</v>
      </c>
      <c r="P68" s="693" t="s">
        <v>2399</v>
      </c>
    </row>
    <row r="69" spans="1:16" hidden="1" x14ac:dyDescent="0.3">
      <c r="A69" s="650" t="s">
        <v>3806</v>
      </c>
      <c r="B69" s="650" t="s">
        <v>3799</v>
      </c>
      <c r="C69" s="280">
        <v>2</v>
      </c>
      <c r="D69" s="280"/>
      <c r="E69" s="651">
        <v>30</v>
      </c>
      <c r="F69" s="678" t="s">
        <v>3798</v>
      </c>
      <c r="G69" s="693" t="s">
        <v>2399</v>
      </c>
      <c r="H69" s="693" t="s">
        <v>2399</v>
      </c>
      <c r="I69" s="693" t="s">
        <v>2399</v>
      </c>
      <c r="J69" s="693" t="s">
        <v>2399</v>
      </c>
      <c r="K69" s="693" t="s">
        <v>2399</v>
      </c>
      <c r="L69" s="693" t="s">
        <v>2399</v>
      </c>
      <c r="M69" s="693" t="s">
        <v>2399</v>
      </c>
      <c r="N69" s="693" t="s">
        <v>2399</v>
      </c>
      <c r="O69" s="693" t="s">
        <v>2399</v>
      </c>
      <c r="P69" s="693" t="s">
        <v>2399</v>
      </c>
    </row>
    <row r="70" spans="1:16" hidden="1" x14ac:dyDescent="0.3">
      <c r="A70" s="650" t="s">
        <v>3807</v>
      </c>
      <c r="B70" s="650" t="s">
        <v>3799</v>
      </c>
      <c r="C70" s="280">
        <v>2.5</v>
      </c>
      <c r="D70" s="280"/>
      <c r="E70" s="651">
        <v>100</v>
      </c>
      <c r="F70" s="678" t="s">
        <v>3798</v>
      </c>
      <c r="G70" s="693" t="s">
        <v>2399</v>
      </c>
      <c r="H70" s="693" t="s">
        <v>2399</v>
      </c>
      <c r="I70" s="693" t="s">
        <v>2399</v>
      </c>
      <c r="J70" s="693" t="s">
        <v>2399</v>
      </c>
      <c r="K70" s="693" t="s">
        <v>2399</v>
      </c>
      <c r="L70" s="693" t="s">
        <v>2399</v>
      </c>
      <c r="M70" s="693" t="s">
        <v>2399</v>
      </c>
      <c r="N70" s="693" t="s">
        <v>2399</v>
      </c>
      <c r="O70" s="693" t="s">
        <v>2399</v>
      </c>
      <c r="P70" s="693" t="s">
        <v>2399</v>
      </c>
    </row>
    <row r="71" spans="1:16" hidden="1" x14ac:dyDescent="0.3">
      <c r="A71" s="650" t="s">
        <v>3801</v>
      </c>
      <c r="B71" s="650" t="s">
        <v>3799</v>
      </c>
      <c r="C71" s="280"/>
      <c r="D71" s="280"/>
      <c r="E71" s="651">
        <v>200</v>
      </c>
      <c r="F71" s="678" t="s">
        <v>3798</v>
      </c>
      <c r="G71" s="693" t="s">
        <v>2399</v>
      </c>
      <c r="H71" s="693" t="s">
        <v>2399</v>
      </c>
      <c r="I71" s="693" t="s">
        <v>2399</v>
      </c>
      <c r="J71" s="693" t="s">
        <v>2399</v>
      </c>
      <c r="K71" s="693" t="s">
        <v>2399</v>
      </c>
      <c r="L71" s="693" t="s">
        <v>2399</v>
      </c>
      <c r="M71" s="693" t="s">
        <v>2399</v>
      </c>
      <c r="N71" s="693" t="s">
        <v>2399</v>
      </c>
      <c r="O71" s="693" t="s">
        <v>2399</v>
      </c>
      <c r="P71" s="693" t="s">
        <v>2399</v>
      </c>
    </row>
    <row r="72" spans="1:16" hidden="1" x14ac:dyDescent="0.3">
      <c r="A72" s="650" t="s">
        <v>3802</v>
      </c>
      <c r="B72" s="650" t="s">
        <v>3799</v>
      </c>
      <c r="C72" s="280"/>
      <c r="D72" s="280"/>
      <c r="E72" s="651">
        <v>300</v>
      </c>
      <c r="F72" s="678" t="s">
        <v>3798</v>
      </c>
      <c r="G72" s="693" t="s">
        <v>2399</v>
      </c>
      <c r="H72" s="693" t="s">
        <v>2399</v>
      </c>
      <c r="I72" s="693" t="s">
        <v>2399</v>
      </c>
      <c r="J72" s="693" t="s">
        <v>2399</v>
      </c>
      <c r="K72" s="693" t="s">
        <v>2399</v>
      </c>
      <c r="L72" s="693" t="s">
        <v>2399</v>
      </c>
      <c r="M72" s="693" t="s">
        <v>2399</v>
      </c>
      <c r="N72" s="693" t="s">
        <v>2399</v>
      </c>
      <c r="O72" s="693" t="s">
        <v>2399</v>
      </c>
      <c r="P72" s="693" t="s">
        <v>2399</v>
      </c>
    </row>
    <row r="73" spans="1:16" hidden="1" x14ac:dyDescent="0.3">
      <c r="A73" s="650" t="s">
        <v>3800</v>
      </c>
      <c r="B73" s="650" t="s">
        <v>3799</v>
      </c>
      <c r="C73" s="280"/>
      <c r="D73" s="280"/>
      <c r="E73" s="651">
        <v>100</v>
      </c>
      <c r="F73" s="678" t="s">
        <v>3798</v>
      </c>
      <c r="G73" s="693" t="s">
        <v>2399</v>
      </c>
      <c r="H73" s="693" t="s">
        <v>2399</v>
      </c>
      <c r="I73" s="693" t="s">
        <v>2399</v>
      </c>
      <c r="J73" s="693" t="s">
        <v>2399</v>
      </c>
      <c r="K73" s="693" t="s">
        <v>2399</v>
      </c>
      <c r="L73" s="693" t="s">
        <v>2399</v>
      </c>
      <c r="M73" s="693" t="s">
        <v>2399</v>
      </c>
      <c r="N73" s="693" t="s">
        <v>2399</v>
      </c>
      <c r="O73" s="693" t="s">
        <v>2399</v>
      </c>
      <c r="P73" s="693" t="s">
        <v>2399</v>
      </c>
    </row>
    <row r="74" spans="1:16" hidden="1" x14ac:dyDescent="0.3">
      <c r="A74" s="661" t="s">
        <v>3878</v>
      </c>
      <c r="B74" s="661" t="s">
        <v>1183</v>
      </c>
      <c r="C74" s="662">
        <v>0.2</v>
      </c>
      <c r="D74" s="662">
        <v>0</v>
      </c>
      <c r="E74" s="663">
        <v>1000</v>
      </c>
      <c r="F74" s="684" t="s">
        <v>3887</v>
      </c>
      <c r="G74" s="699" t="s">
        <v>260</v>
      </c>
      <c r="H74" s="699" t="s">
        <v>2399</v>
      </c>
      <c r="I74" s="699" t="s">
        <v>2399</v>
      </c>
      <c r="J74" s="699" t="s">
        <v>2399</v>
      </c>
      <c r="K74" s="699" t="s">
        <v>260</v>
      </c>
      <c r="L74" s="699" t="s">
        <v>2399</v>
      </c>
      <c r="M74" s="699" t="s">
        <v>2399</v>
      </c>
      <c r="N74" s="699" t="s">
        <v>2399</v>
      </c>
      <c r="O74" s="699" t="s">
        <v>2399</v>
      </c>
      <c r="P74" s="699" t="s">
        <v>2399</v>
      </c>
    </row>
    <row r="75" spans="1:16" x14ac:dyDescent="0.3">
      <c r="A75" s="661" t="s">
        <v>1637</v>
      </c>
      <c r="B75" s="661" t="s">
        <v>1183</v>
      </c>
      <c r="C75" s="662">
        <v>1</v>
      </c>
      <c r="D75" s="662">
        <v>4</v>
      </c>
      <c r="E75" s="663">
        <v>300</v>
      </c>
      <c r="F75" s="684" t="s">
        <v>1259</v>
      </c>
      <c r="G75" s="699" t="s">
        <v>2399</v>
      </c>
      <c r="H75" s="699" t="s">
        <v>2399</v>
      </c>
      <c r="I75" s="699" t="s">
        <v>2399</v>
      </c>
      <c r="J75" s="699" t="s">
        <v>260</v>
      </c>
      <c r="K75" s="699" t="s">
        <v>260</v>
      </c>
      <c r="L75" s="699" t="s">
        <v>260</v>
      </c>
      <c r="M75" s="699" t="s">
        <v>2399</v>
      </c>
      <c r="N75" s="699" t="s">
        <v>2399</v>
      </c>
      <c r="O75" s="699" t="s">
        <v>2399</v>
      </c>
      <c r="P75" s="699" t="s">
        <v>2399</v>
      </c>
    </row>
    <row r="76" spans="1:16" hidden="1" x14ac:dyDescent="0.3">
      <c r="A76" s="661" t="s">
        <v>3872</v>
      </c>
      <c r="B76" s="661" t="s">
        <v>1183</v>
      </c>
      <c r="C76" s="662">
        <v>1</v>
      </c>
      <c r="D76" s="662">
        <v>2</v>
      </c>
      <c r="E76" s="663">
        <v>100</v>
      </c>
      <c r="F76" s="684" t="s">
        <v>3888</v>
      </c>
      <c r="G76" s="699" t="s">
        <v>2399</v>
      </c>
      <c r="H76" s="699" t="s">
        <v>2399</v>
      </c>
      <c r="I76" s="699" t="s">
        <v>2399</v>
      </c>
      <c r="J76" s="699" t="s">
        <v>2399</v>
      </c>
      <c r="K76" s="699" t="s">
        <v>260</v>
      </c>
      <c r="L76" s="699" t="s">
        <v>2399</v>
      </c>
      <c r="M76" s="699" t="s">
        <v>2399</v>
      </c>
      <c r="N76" s="699" t="s">
        <v>2399</v>
      </c>
      <c r="O76" s="699" t="s">
        <v>2399</v>
      </c>
      <c r="P76" s="699" t="s">
        <v>2399</v>
      </c>
    </row>
    <row r="77" spans="1:16" x14ac:dyDescent="0.3">
      <c r="A77" s="661" t="s">
        <v>3876</v>
      </c>
      <c r="B77" s="661" t="s">
        <v>1183</v>
      </c>
      <c r="C77" s="662">
        <v>0.05</v>
      </c>
      <c r="D77" s="662">
        <v>1</v>
      </c>
      <c r="E77" s="663">
        <v>3</v>
      </c>
      <c r="F77" s="684" t="s">
        <v>1259</v>
      </c>
      <c r="G77" s="699" t="s">
        <v>260</v>
      </c>
      <c r="H77" s="699" t="s">
        <v>2399</v>
      </c>
      <c r="I77" s="699" t="s">
        <v>2399</v>
      </c>
      <c r="J77" s="699" t="s">
        <v>2399</v>
      </c>
      <c r="K77" s="699" t="s">
        <v>260</v>
      </c>
      <c r="L77" s="699" t="s">
        <v>2399</v>
      </c>
      <c r="M77" s="699" t="s">
        <v>2399</v>
      </c>
      <c r="N77" s="699" t="s">
        <v>2399</v>
      </c>
      <c r="O77" s="699" t="s">
        <v>2399</v>
      </c>
      <c r="P77" s="699" t="s">
        <v>2399</v>
      </c>
    </row>
    <row r="78" spans="1:16" x14ac:dyDescent="0.3">
      <c r="A78" s="661" t="s">
        <v>1170</v>
      </c>
      <c r="B78" s="661" t="s">
        <v>1183</v>
      </c>
      <c r="C78" s="662">
        <v>0.5</v>
      </c>
      <c r="D78" s="662">
        <v>1</v>
      </c>
      <c r="E78" s="663">
        <v>7</v>
      </c>
      <c r="F78" s="684" t="s">
        <v>1259</v>
      </c>
      <c r="G78" s="699" t="s">
        <v>2399</v>
      </c>
      <c r="H78" s="699" t="s">
        <v>260</v>
      </c>
      <c r="I78" s="699" t="s">
        <v>2399</v>
      </c>
      <c r="J78" s="699" t="s">
        <v>2399</v>
      </c>
      <c r="K78" s="699" t="s">
        <v>260</v>
      </c>
      <c r="L78" s="699" t="s">
        <v>2399</v>
      </c>
      <c r="M78" s="699" t="s">
        <v>2399</v>
      </c>
      <c r="N78" s="699" t="s">
        <v>2399</v>
      </c>
      <c r="O78" s="699" t="s">
        <v>2399</v>
      </c>
      <c r="P78" s="699" t="s">
        <v>2399</v>
      </c>
    </row>
    <row r="79" spans="1:16" hidden="1" x14ac:dyDescent="0.3">
      <c r="A79" s="661" t="s">
        <v>3877</v>
      </c>
      <c r="B79" s="661" t="s">
        <v>1183</v>
      </c>
      <c r="C79" s="662">
        <v>0.2</v>
      </c>
      <c r="D79" s="662">
        <v>0</v>
      </c>
      <c r="E79" s="663">
        <v>7</v>
      </c>
      <c r="F79" s="684" t="s">
        <v>1259</v>
      </c>
      <c r="G79" s="699" t="s">
        <v>260</v>
      </c>
      <c r="H79" s="699" t="s">
        <v>2399</v>
      </c>
      <c r="I79" s="699" t="s">
        <v>2399</v>
      </c>
      <c r="J79" s="699" t="s">
        <v>2399</v>
      </c>
      <c r="K79" s="699" t="s">
        <v>260</v>
      </c>
      <c r="L79" s="699" t="s">
        <v>2399</v>
      </c>
      <c r="M79" s="699" t="s">
        <v>2399</v>
      </c>
      <c r="N79" s="699" t="s">
        <v>2399</v>
      </c>
      <c r="O79" s="699" t="s">
        <v>2399</v>
      </c>
      <c r="P79" s="699" t="s">
        <v>2399</v>
      </c>
    </row>
    <row r="80" spans="1:16" x14ac:dyDescent="0.3">
      <c r="A80" s="661" t="s">
        <v>1185</v>
      </c>
      <c r="B80" s="661" t="s">
        <v>1183</v>
      </c>
      <c r="C80" s="662">
        <v>0.1</v>
      </c>
      <c r="D80" s="662">
        <v>1</v>
      </c>
      <c r="E80" s="663">
        <v>110</v>
      </c>
      <c r="F80" s="684" t="s">
        <v>206</v>
      </c>
      <c r="G80" s="699" t="s">
        <v>260</v>
      </c>
      <c r="H80" s="699" t="s">
        <v>2399</v>
      </c>
      <c r="I80" s="699" t="s">
        <v>2399</v>
      </c>
      <c r="J80" s="699" t="s">
        <v>2399</v>
      </c>
      <c r="K80" s="699" t="s">
        <v>260</v>
      </c>
      <c r="L80" s="699" t="s">
        <v>2399</v>
      </c>
      <c r="M80" s="699" t="s">
        <v>260</v>
      </c>
      <c r="N80" s="699" t="s">
        <v>2399</v>
      </c>
      <c r="O80" s="699" t="s">
        <v>2399</v>
      </c>
      <c r="P80" s="699" t="s">
        <v>2399</v>
      </c>
    </row>
    <row r="81" spans="1:16" x14ac:dyDescent="0.3">
      <c r="A81" s="661" t="s">
        <v>1189</v>
      </c>
      <c r="B81" s="661" t="s">
        <v>1183</v>
      </c>
      <c r="C81" s="662">
        <v>0.1</v>
      </c>
      <c r="D81" s="662">
        <v>1</v>
      </c>
      <c r="E81" s="663">
        <v>330</v>
      </c>
      <c r="F81" s="684" t="s">
        <v>206</v>
      </c>
      <c r="G81" s="699" t="s">
        <v>260</v>
      </c>
      <c r="H81" s="699" t="s">
        <v>2399</v>
      </c>
      <c r="I81" s="699" t="s">
        <v>2399</v>
      </c>
      <c r="J81" s="699" t="s">
        <v>2399</v>
      </c>
      <c r="K81" s="699" t="s">
        <v>260</v>
      </c>
      <c r="L81" s="699" t="s">
        <v>2399</v>
      </c>
      <c r="M81" s="699" t="s">
        <v>260</v>
      </c>
      <c r="N81" s="699" t="s">
        <v>2399</v>
      </c>
      <c r="O81" s="699" t="s">
        <v>2399</v>
      </c>
      <c r="P81" s="699" t="s">
        <v>2399</v>
      </c>
    </row>
    <row r="82" spans="1:16" x14ac:dyDescent="0.3">
      <c r="A82" s="661" t="s">
        <v>3879</v>
      </c>
      <c r="B82" s="661" t="s">
        <v>1183</v>
      </c>
      <c r="C82" s="662">
        <v>0.1</v>
      </c>
      <c r="D82" s="662">
        <v>1</v>
      </c>
      <c r="E82" s="663">
        <v>120</v>
      </c>
      <c r="F82" s="684" t="s">
        <v>206</v>
      </c>
      <c r="G82" s="699" t="s">
        <v>260</v>
      </c>
      <c r="H82" s="699" t="s">
        <v>2399</v>
      </c>
      <c r="I82" s="699" t="s">
        <v>2399</v>
      </c>
      <c r="J82" s="699" t="s">
        <v>2399</v>
      </c>
      <c r="K82" s="699" t="s">
        <v>260</v>
      </c>
      <c r="L82" s="699" t="s">
        <v>2399</v>
      </c>
      <c r="M82" s="699" t="s">
        <v>260</v>
      </c>
      <c r="N82" s="699" t="s">
        <v>2399</v>
      </c>
      <c r="O82" s="699" t="s">
        <v>2399</v>
      </c>
      <c r="P82" s="699" t="s">
        <v>2399</v>
      </c>
    </row>
    <row r="83" spans="1:16" x14ac:dyDescent="0.3">
      <c r="A83" s="661" t="s">
        <v>1188</v>
      </c>
      <c r="B83" s="661" t="s">
        <v>1183</v>
      </c>
      <c r="C83" s="662">
        <v>0.1</v>
      </c>
      <c r="D83" s="662">
        <v>1</v>
      </c>
      <c r="E83" s="663">
        <v>130</v>
      </c>
      <c r="F83" s="684" t="s">
        <v>206</v>
      </c>
      <c r="G83" s="699" t="s">
        <v>260</v>
      </c>
      <c r="H83" s="699" t="s">
        <v>2399</v>
      </c>
      <c r="I83" s="699" t="s">
        <v>2399</v>
      </c>
      <c r="J83" s="699" t="s">
        <v>2399</v>
      </c>
      <c r="K83" s="699" t="s">
        <v>260</v>
      </c>
      <c r="L83" s="699" t="s">
        <v>2399</v>
      </c>
      <c r="M83" s="699" t="s">
        <v>260</v>
      </c>
      <c r="N83" s="699" t="s">
        <v>2399</v>
      </c>
      <c r="O83" s="699" t="s">
        <v>2399</v>
      </c>
      <c r="P83" s="699" t="s">
        <v>2399</v>
      </c>
    </row>
    <row r="84" spans="1:16" x14ac:dyDescent="0.3">
      <c r="A84" s="661" t="s">
        <v>1186</v>
      </c>
      <c r="B84" s="661" t="s">
        <v>1183</v>
      </c>
      <c r="C84" s="662">
        <v>0.1</v>
      </c>
      <c r="D84" s="662">
        <v>1</v>
      </c>
      <c r="E84" s="663">
        <v>450</v>
      </c>
      <c r="F84" s="684" t="s">
        <v>206</v>
      </c>
      <c r="G84" s="699" t="s">
        <v>260</v>
      </c>
      <c r="H84" s="699" t="s">
        <v>2399</v>
      </c>
      <c r="I84" s="699" t="s">
        <v>2399</v>
      </c>
      <c r="J84" s="699" t="s">
        <v>2399</v>
      </c>
      <c r="K84" s="699" t="s">
        <v>260</v>
      </c>
      <c r="L84" s="699" t="s">
        <v>2399</v>
      </c>
      <c r="M84" s="699" t="s">
        <v>260</v>
      </c>
      <c r="N84" s="699" t="s">
        <v>2399</v>
      </c>
      <c r="O84" s="699" t="s">
        <v>2399</v>
      </c>
      <c r="P84" s="699" t="s">
        <v>2399</v>
      </c>
    </row>
    <row r="85" spans="1:16" x14ac:dyDescent="0.3">
      <c r="A85" s="661" t="s">
        <v>1187</v>
      </c>
      <c r="B85" s="661" t="s">
        <v>1183</v>
      </c>
      <c r="C85" s="662">
        <v>0.1</v>
      </c>
      <c r="D85" s="662">
        <v>1</v>
      </c>
      <c r="E85" s="663">
        <v>220</v>
      </c>
      <c r="F85" s="684" t="s">
        <v>206</v>
      </c>
      <c r="G85" s="699" t="s">
        <v>260</v>
      </c>
      <c r="H85" s="699" t="s">
        <v>2399</v>
      </c>
      <c r="I85" s="699" t="s">
        <v>2399</v>
      </c>
      <c r="J85" s="699" t="s">
        <v>2399</v>
      </c>
      <c r="K85" s="699" t="s">
        <v>260</v>
      </c>
      <c r="L85" s="699" t="s">
        <v>2399</v>
      </c>
      <c r="M85" s="699" t="s">
        <v>260</v>
      </c>
      <c r="N85" s="699" t="s">
        <v>2399</v>
      </c>
      <c r="O85" s="699" t="s">
        <v>2399</v>
      </c>
      <c r="P85" s="699" t="s">
        <v>2399</v>
      </c>
    </row>
    <row r="86" spans="1:16" x14ac:dyDescent="0.3">
      <c r="A86" s="661" t="s">
        <v>1184</v>
      </c>
      <c r="B86" s="661" t="s">
        <v>1183</v>
      </c>
      <c r="C86" s="662">
        <v>0.1</v>
      </c>
      <c r="D86" s="662">
        <v>1</v>
      </c>
      <c r="E86" s="663">
        <v>160</v>
      </c>
      <c r="F86" s="684" t="s">
        <v>206</v>
      </c>
      <c r="G86" s="699" t="s">
        <v>260</v>
      </c>
      <c r="H86" s="699" t="s">
        <v>2399</v>
      </c>
      <c r="I86" s="699" t="s">
        <v>2399</v>
      </c>
      <c r="J86" s="699" t="s">
        <v>2399</v>
      </c>
      <c r="K86" s="699" t="s">
        <v>260</v>
      </c>
      <c r="L86" s="699" t="s">
        <v>2399</v>
      </c>
      <c r="M86" s="699" t="s">
        <v>260</v>
      </c>
      <c r="N86" s="699" t="s">
        <v>2399</v>
      </c>
      <c r="O86" s="699" t="s">
        <v>2399</v>
      </c>
      <c r="P86" s="699" t="s">
        <v>2399</v>
      </c>
    </row>
    <row r="87" spans="1:16" hidden="1" x14ac:dyDescent="0.3">
      <c r="A87" s="661" t="s">
        <v>927</v>
      </c>
      <c r="B87" s="661" t="s">
        <v>1183</v>
      </c>
      <c r="C87" s="662">
        <v>0</v>
      </c>
      <c r="D87" s="662">
        <v>0</v>
      </c>
      <c r="E87" s="663">
        <v>25</v>
      </c>
      <c r="F87" s="684" t="s">
        <v>1259</v>
      </c>
      <c r="G87" s="699" t="s">
        <v>2399</v>
      </c>
      <c r="H87" s="699" t="s">
        <v>2399</v>
      </c>
      <c r="I87" s="699" t="s">
        <v>2399</v>
      </c>
      <c r="J87" s="699" t="s">
        <v>2399</v>
      </c>
      <c r="K87" s="699" t="s">
        <v>2399</v>
      </c>
      <c r="L87" s="699" t="s">
        <v>2399</v>
      </c>
      <c r="M87" s="699" t="s">
        <v>2399</v>
      </c>
      <c r="N87" s="699" t="s">
        <v>2399</v>
      </c>
      <c r="O87" s="699" t="s">
        <v>2399</v>
      </c>
      <c r="P87" s="699" t="s">
        <v>2399</v>
      </c>
    </row>
    <row r="88" spans="1:16" hidden="1" x14ac:dyDescent="0.3">
      <c r="A88" s="661" t="s">
        <v>3880</v>
      </c>
      <c r="B88" s="661" t="s">
        <v>1183</v>
      </c>
      <c r="C88" s="662">
        <v>0</v>
      </c>
      <c r="D88" s="662">
        <v>0</v>
      </c>
      <c r="E88" s="663">
        <v>0</v>
      </c>
      <c r="F88" s="684" t="s">
        <v>1259</v>
      </c>
      <c r="G88" s="699" t="s">
        <v>2399</v>
      </c>
      <c r="H88" s="699" t="s">
        <v>2399</v>
      </c>
      <c r="I88" s="699" t="s">
        <v>2399</v>
      </c>
      <c r="J88" s="699" t="s">
        <v>2399</v>
      </c>
      <c r="K88" s="699" t="s">
        <v>2399</v>
      </c>
      <c r="L88" s="699" t="s">
        <v>2399</v>
      </c>
      <c r="M88" s="699" t="s">
        <v>2399</v>
      </c>
      <c r="N88" s="699" t="s">
        <v>2399</v>
      </c>
      <c r="O88" s="699" t="s">
        <v>2399</v>
      </c>
      <c r="P88" s="699" t="s">
        <v>2399</v>
      </c>
    </row>
    <row r="89" spans="1:16" hidden="1" x14ac:dyDescent="0.3">
      <c r="A89" s="661" t="s">
        <v>3871</v>
      </c>
      <c r="B89" s="661" t="s">
        <v>1183</v>
      </c>
      <c r="C89" s="662">
        <v>1</v>
      </c>
      <c r="D89" s="662">
        <v>0</v>
      </c>
      <c r="E89" s="663">
        <v>5</v>
      </c>
      <c r="F89" s="684" t="s">
        <v>3888</v>
      </c>
      <c r="G89" s="699" t="s">
        <v>2399</v>
      </c>
      <c r="H89" s="699" t="s">
        <v>2399</v>
      </c>
      <c r="I89" s="699" t="s">
        <v>2399</v>
      </c>
      <c r="J89" s="699" t="s">
        <v>2399</v>
      </c>
      <c r="K89" s="699" t="s">
        <v>260</v>
      </c>
      <c r="L89" s="699" t="s">
        <v>2399</v>
      </c>
      <c r="M89" s="699" t="s">
        <v>2399</v>
      </c>
      <c r="N89" s="699" t="s">
        <v>2399</v>
      </c>
      <c r="O89" s="699" t="s">
        <v>2399</v>
      </c>
      <c r="P89" s="699" t="s">
        <v>2399</v>
      </c>
    </row>
    <row r="90" spans="1:16" hidden="1" x14ac:dyDescent="0.3">
      <c r="A90" s="661" t="s">
        <v>3873</v>
      </c>
      <c r="B90" s="661" t="s">
        <v>1183</v>
      </c>
      <c r="C90" s="662">
        <v>0.4</v>
      </c>
      <c r="D90" s="662">
        <v>1</v>
      </c>
      <c r="E90" s="663">
        <v>1500</v>
      </c>
      <c r="F90" s="684" t="s">
        <v>3887</v>
      </c>
      <c r="G90" s="699" t="s">
        <v>2399</v>
      </c>
      <c r="H90" s="699" t="s">
        <v>260</v>
      </c>
      <c r="I90" s="699" t="s">
        <v>2399</v>
      </c>
      <c r="J90" s="699" t="s">
        <v>2399</v>
      </c>
      <c r="K90" s="699" t="s">
        <v>260</v>
      </c>
      <c r="L90" s="699" t="s">
        <v>2399</v>
      </c>
      <c r="M90" s="699" t="s">
        <v>2399</v>
      </c>
      <c r="N90" s="699" t="s">
        <v>2399</v>
      </c>
      <c r="O90" s="699" t="s">
        <v>2399</v>
      </c>
      <c r="P90" s="699" t="s">
        <v>2399</v>
      </c>
    </row>
    <row r="91" spans="1:16" hidden="1" x14ac:dyDescent="0.3">
      <c r="A91" s="661" t="s">
        <v>3874</v>
      </c>
      <c r="B91" s="661" t="s">
        <v>1183</v>
      </c>
      <c r="C91" s="662">
        <v>0.2</v>
      </c>
      <c r="D91" s="662">
        <v>0</v>
      </c>
      <c r="E91" s="663">
        <v>400</v>
      </c>
      <c r="F91" s="684" t="s">
        <v>3887</v>
      </c>
      <c r="G91" s="699" t="s">
        <v>2399</v>
      </c>
      <c r="H91" s="699" t="s">
        <v>2399</v>
      </c>
      <c r="I91" s="699" t="s">
        <v>260</v>
      </c>
      <c r="J91" s="699" t="s">
        <v>2399</v>
      </c>
      <c r="K91" s="699" t="s">
        <v>260</v>
      </c>
      <c r="L91" s="699" t="s">
        <v>2399</v>
      </c>
      <c r="M91" s="699" t="s">
        <v>2399</v>
      </c>
      <c r="N91" s="699" t="s">
        <v>2399</v>
      </c>
      <c r="O91" s="699" t="s">
        <v>2399</v>
      </c>
      <c r="P91" s="699" t="s">
        <v>2399</v>
      </c>
    </row>
    <row r="92" spans="1:16" hidden="1" x14ac:dyDescent="0.3">
      <c r="A92" s="661" t="s">
        <v>3875</v>
      </c>
      <c r="B92" s="661" t="s">
        <v>1183</v>
      </c>
      <c r="C92" s="662">
        <v>0.3</v>
      </c>
      <c r="D92" s="662">
        <v>2</v>
      </c>
      <c r="E92" s="663">
        <v>1000</v>
      </c>
      <c r="F92" s="684" t="s">
        <v>3887</v>
      </c>
      <c r="G92" s="699" t="s">
        <v>2399</v>
      </c>
      <c r="H92" s="699" t="s">
        <v>2399</v>
      </c>
      <c r="I92" s="699" t="s">
        <v>2399</v>
      </c>
      <c r="J92" s="699" t="s">
        <v>2399</v>
      </c>
      <c r="K92" s="699" t="s">
        <v>260</v>
      </c>
      <c r="L92" s="699" t="s">
        <v>2399</v>
      </c>
      <c r="M92" s="699" t="s">
        <v>260</v>
      </c>
      <c r="N92" s="699" t="s">
        <v>2399</v>
      </c>
      <c r="O92" s="699" t="s">
        <v>2399</v>
      </c>
      <c r="P92" s="699" t="s">
        <v>2399</v>
      </c>
    </row>
    <row r="93" spans="1:16" hidden="1" x14ac:dyDescent="0.3">
      <c r="A93" s="655" t="s">
        <v>1280</v>
      </c>
      <c r="B93" s="655" t="s">
        <v>3836</v>
      </c>
      <c r="C93" s="656">
        <v>0.1</v>
      </c>
      <c r="D93" s="656">
        <v>0</v>
      </c>
      <c r="E93" s="657">
        <v>0.05</v>
      </c>
      <c r="F93" s="681" t="s">
        <v>3837</v>
      </c>
      <c r="G93" s="696" t="s">
        <v>2399</v>
      </c>
      <c r="H93" s="696" t="s">
        <v>2399</v>
      </c>
      <c r="I93" s="696" t="s">
        <v>2399</v>
      </c>
      <c r="J93" s="696" t="s">
        <v>2399</v>
      </c>
      <c r="K93" s="696" t="s">
        <v>260</v>
      </c>
      <c r="L93" s="696" t="s">
        <v>2399</v>
      </c>
      <c r="M93" s="696" t="s">
        <v>2399</v>
      </c>
      <c r="N93" s="696" t="s">
        <v>2399</v>
      </c>
      <c r="O93" s="696" t="s">
        <v>2399</v>
      </c>
      <c r="P93" s="696" t="s">
        <v>2399</v>
      </c>
    </row>
    <row r="94" spans="1:16" hidden="1" x14ac:dyDescent="0.3">
      <c r="A94" s="655" t="s">
        <v>694</v>
      </c>
      <c r="B94" s="655" t="s">
        <v>3836</v>
      </c>
      <c r="C94" s="656">
        <v>1.5</v>
      </c>
      <c r="D94" s="656">
        <v>1</v>
      </c>
      <c r="E94" s="657">
        <v>1</v>
      </c>
      <c r="F94" s="681" t="s">
        <v>3837</v>
      </c>
      <c r="G94" s="696" t="s">
        <v>2399</v>
      </c>
      <c r="H94" s="696" t="s">
        <v>2399</v>
      </c>
      <c r="I94" s="696" t="s">
        <v>2399</v>
      </c>
      <c r="J94" s="696" t="s">
        <v>2399</v>
      </c>
      <c r="K94" s="696" t="s">
        <v>260</v>
      </c>
      <c r="L94" s="696" t="s">
        <v>2399</v>
      </c>
      <c r="M94" s="696" t="s">
        <v>2399</v>
      </c>
      <c r="N94" s="696" t="s">
        <v>2399</v>
      </c>
      <c r="O94" s="696" t="s">
        <v>2399</v>
      </c>
      <c r="P94" s="696" t="s">
        <v>2399</v>
      </c>
    </row>
    <row r="95" spans="1:16" hidden="1" x14ac:dyDescent="0.3">
      <c r="A95" s="655" t="s">
        <v>695</v>
      </c>
      <c r="B95" s="655" t="s">
        <v>3836</v>
      </c>
      <c r="C95" s="656">
        <v>0.5</v>
      </c>
      <c r="D95" s="656">
        <v>1</v>
      </c>
      <c r="E95" s="657">
        <v>3</v>
      </c>
      <c r="F95" s="681" t="s">
        <v>3837</v>
      </c>
      <c r="G95" s="696" t="s">
        <v>2399</v>
      </c>
      <c r="H95" s="696" t="s">
        <v>2399</v>
      </c>
      <c r="I95" s="696" t="s">
        <v>2399</v>
      </c>
      <c r="J95" s="696" t="s">
        <v>2399</v>
      </c>
      <c r="K95" s="696" t="s">
        <v>260</v>
      </c>
      <c r="L95" s="696" t="s">
        <v>2399</v>
      </c>
      <c r="M95" s="696" t="s">
        <v>2399</v>
      </c>
      <c r="N95" s="696" t="s">
        <v>2399</v>
      </c>
      <c r="O95" s="696" t="s">
        <v>2399</v>
      </c>
      <c r="P95" s="696" t="s">
        <v>2399</v>
      </c>
    </row>
    <row r="96" spans="1:16" hidden="1" x14ac:dyDescent="0.3">
      <c r="A96" s="655" t="s">
        <v>3850</v>
      </c>
      <c r="B96" s="655" t="s">
        <v>3836</v>
      </c>
      <c r="C96" s="656">
        <v>0.01</v>
      </c>
      <c r="D96" s="656">
        <v>0</v>
      </c>
      <c r="E96" s="657">
        <v>0.5</v>
      </c>
      <c r="F96" s="681" t="s">
        <v>3837</v>
      </c>
      <c r="G96" s="696" t="s">
        <v>2399</v>
      </c>
      <c r="H96" s="696" t="s">
        <v>2399</v>
      </c>
      <c r="I96" s="696" t="s">
        <v>2399</v>
      </c>
      <c r="J96" s="696" t="s">
        <v>2399</v>
      </c>
      <c r="K96" s="696" t="s">
        <v>260</v>
      </c>
      <c r="L96" s="696" t="s">
        <v>2399</v>
      </c>
      <c r="M96" s="696" t="s">
        <v>2399</v>
      </c>
      <c r="N96" s="696" t="s">
        <v>2399</v>
      </c>
      <c r="O96" s="696" t="s">
        <v>2399</v>
      </c>
      <c r="P96" s="696" t="s">
        <v>2399</v>
      </c>
    </row>
    <row r="97" spans="1:16" hidden="1" x14ac:dyDescent="0.3">
      <c r="A97" s="655" t="s">
        <v>3846</v>
      </c>
      <c r="B97" s="655" t="s">
        <v>3836</v>
      </c>
      <c r="C97" s="656">
        <v>1</v>
      </c>
      <c r="D97" s="656">
        <v>0</v>
      </c>
      <c r="E97" s="657">
        <v>4</v>
      </c>
      <c r="F97" s="681" t="s">
        <v>3837</v>
      </c>
      <c r="G97" s="696" t="s">
        <v>2399</v>
      </c>
      <c r="H97" s="696" t="s">
        <v>2399</v>
      </c>
      <c r="I97" s="696" t="s">
        <v>2399</v>
      </c>
      <c r="J97" s="696" t="s">
        <v>2399</v>
      </c>
      <c r="K97" s="696" t="s">
        <v>260</v>
      </c>
      <c r="L97" s="696" t="s">
        <v>2399</v>
      </c>
      <c r="M97" s="696" t="s">
        <v>2399</v>
      </c>
      <c r="N97" s="696" t="s">
        <v>2399</v>
      </c>
      <c r="O97" s="696" t="s">
        <v>2399</v>
      </c>
      <c r="P97" s="696" t="s">
        <v>2399</v>
      </c>
    </row>
    <row r="98" spans="1:16" hidden="1" x14ac:dyDescent="0.3">
      <c r="A98" s="655" t="s">
        <v>1278</v>
      </c>
      <c r="B98" s="655" t="s">
        <v>3836</v>
      </c>
      <c r="C98" s="656">
        <v>0.1</v>
      </c>
      <c r="D98" s="656">
        <v>1</v>
      </c>
      <c r="E98" s="657">
        <v>12</v>
      </c>
      <c r="F98" s="681" t="s">
        <v>3837</v>
      </c>
      <c r="G98" s="696" t="s">
        <v>2399</v>
      </c>
      <c r="H98" s="696" t="s">
        <v>2399</v>
      </c>
      <c r="I98" s="696" t="s">
        <v>2399</v>
      </c>
      <c r="J98" s="696" t="s">
        <v>2399</v>
      </c>
      <c r="K98" s="696" t="s">
        <v>260</v>
      </c>
      <c r="L98" s="696" t="s">
        <v>2399</v>
      </c>
      <c r="M98" s="696" t="s">
        <v>2399</v>
      </c>
      <c r="N98" s="696" t="s">
        <v>2399</v>
      </c>
      <c r="O98" s="696" t="s">
        <v>2399</v>
      </c>
      <c r="P98" s="696" t="s">
        <v>2399</v>
      </c>
    </row>
    <row r="99" spans="1:16" hidden="1" x14ac:dyDescent="0.3">
      <c r="A99" s="655" t="s">
        <v>3841</v>
      </c>
      <c r="B99" s="655" t="s">
        <v>3836</v>
      </c>
      <c r="C99" s="656">
        <v>1</v>
      </c>
      <c r="D99" s="656">
        <v>0</v>
      </c>
      <c r="E99" s="657">
        <v>2</v>
      </c>
      <c r="F99" s="681" t="s">
        <v>3837</v>
      </c>
      <c r="G99" s="696" t="s">
        <v>2399</v>
      </c>
      <c r="H99" s="696" t="s">
        <v>2399</v>
      </c>
      <c r="I99" s="696" t="s">
        <v>2399</v>
      </c>
      <c r="J99" s="696" t="s">
        <v>2399</v>
      </c>
      <c r="K99" s="696" t="s">
        <v>260</v>
      </c>
      <c r="L99" s="696" t="s">
        <v>2399</v>
      </c>
      <c r="M99" s="696" t="s">
        <v>2399</v>
      </c>
      <c r="N99" s="696" t="s">
        <v>2399</v>
      </c>
      <c r="O99" s="696" t="s">
        <v>2399</v>
      </c>
      <c r="P99" s="696" t="s">
        <v>2399</v>
      </c>
    </row>
    <row r="100" spans="1:16" hidden="1" x14ac:dyDescent="0.3">
      <c r="A100" s="655" t="s">
        <v>3838</v>
      </c>
      <c r="B100" s="655" t="s">
        <v>3836</v>
      </c>
      <c r="C100" s="656">
        <v>1</v>
      </c>
      <c r="D100" s="656">
        <v>0</v>
      </c>
      <c r="E100" s="657">
        <v>5</v>
      </c>
      <c r="F100" s="681" t="s">
        <v>3837</v>
      </c>
      <c r="G100" s="696" t="s">
        <v>2399</v>
      </c>
      <c r="H100" s="696" t="s">
        <v>2399</v>
      </c>
      <c r="I100" s="696" t="s">
        <v>2399</v>
      </c>
      <c r="J100" s="696" t="s">
        <v>2399</v>
      </c>
      <c r="K100" s="696" t="s">
        <v>260</v>
      </c>
      <c r="L100" s="696" t="s">
        <v>2399</v>
      </c>
      <c r="M100" s="696" t="s">
        <v>2399</v>
      </c>
      <c r="N100" s="696" t="s">
        <v>2399</v>
      </c>
      <c r="O100" s="696" t="s">
        <v>2399</v>
      </c>
      <c r="P100" s="696" t="s">
        <v>2399</v>
      </c>
    </row>
    <row r="101" spans="1:16" hidden="1" x14ac:dyDescent="0.3">
      <c r="A101" s="655" t="s">
        <v>3840</v>
      </c>
      <c r="B101" s="655" t="s">
        <v>3836</v>
      </c>
      <c r="C101" s="656">
        <v>1</v>
      </c>
      <c r="D101" s="656">
        <v>0</v>
      </c>
      <c r="E101" s="657">
        <v>0.4</v>
      </c>
      <c r="F101" s="681" t="s">
        <v>3837</v>
      </c>
      <c r="G101" s="696" t="s">
        <v>2399</v>
      </c>
      <c r="H101" s="696" t="s">
        <v>2399</v>
      </c>
      <c r="I101" s="696" t="s">
        <v>2399</v>
      </c>
      <c r="J101" s="696" t="s">
        <v>2399</v>
      </c>
      <c r="K101" s="696" t="s">
        <v>260</v>
      </c>
      <c r="L101" s="696" t="s">
        <v>2399</v>
      </c>
      <c r="M101" s="696" t="s">
        <v>2399</v>
      </c>
      <c r="N101" s="696" t="s">
        <v>2399</v>
      </c>
      <c r="O101" s="696" t="s">
        <v>2399</v>
      </c>
      <c r="P101" s="696" t="s">
        <v>2399</v>
      </c>
    </row>
    <row r="102" spans="1:16" hidden="1" x14ac:dyDescent="0.3">
      <c r="A102" s="655" t="s">
        <v>3847</v>
      </c>
      <c r="B102" s="655" t="s">
        <v>3836</v>
      </c>
      <c r="C102" s="656">
        <v>1</v>
      </c>
      <c r="D102" s="656">
        <v>0</v>
      </c>
      <c r="E102" s="657">
        <v>8</v>
      </c>
      <c r="F102" s="681" t="s">
        <v>3837</v>
      </c>
      <c r="G102" s="696" t="s">
        <v>2399</v>
      </c>
      <c r="H102" s="696" t="s">
        <v>2399</v>
      </c>
      <c r="I102" s="696" t="s">
        <v>2399</v>
      </c>
      <c r="J102" s="696" t="s">
        <v>2399</v>
      </c>
      <c r="K102" s="696" t="s">
        <v>260</v>
      </c>
      <c r="L102" s="696" t="s">
        <v>2399</v>
      </c>
      <c r="M102" s="696" t="s">
        <v>2399</v>
      </c>
      <c r="N102" s="696" t="s">
        <v>2399</v>
      </c>
      <c r="O102" s="696" t="s">
        <v>2399</v>
      </c>
      <c r="P102" s="696" t="s">
        <v>2399</v>
      </c>
    </row>
    <row r="103" spans="1:16" hidden="1" x14ac:dyDescent="0.3">
      <c r="A103" s="655" t="s">
        <v>3848</v>
      </c>
      <c r="B103" s="655" t="s">
        <v>3836</v>
      </c>
      <c r="C103" s="656">
        <v>1</v>
      </c>
      <c r="D103" s="656">
        <v>0</v>
      </c>
      <c r="E103" s="657">
        <v>20</v>
      </c>
      <c r="F103" s="681" t="s">
        <v>3837</v>
      </c>
      <c r="G103" s="696" t="s">
        <v>2399</v>
      </c>
      <c r="H103" s="696" t="s">
        <v>2399</v>
      </c>
      <c r="I103" s="696" t="s">
        <v>2399</v>
      </c>
      <c r="J103" s="696" t="s">
        <v>2399</v>
      </c>
      <c r="K103" s="696" t="s">
        <v>260</v>
      </c>
      <c r="L103" s="696" t="s">
        <v>2399</v>
      </c>
      <c r="M103" s="696" t="s">
        <v>2399</v>
      </c>
      <c r="N103" s="696" t="s">
        <v>2399</v>
      </c>
      <c r="O103" s="696" t="s">
        <v>2399</v>
      </c>
      <c r="P103" s="696" t="s">
        <v>2399</v>
      </c>
    </row>
    <row r="104" spans="1:16" hidden="1" x14ac:dyDescent="0.3">
      <c r="A104" s="655" t="s">
        <v>3849</v>
      </c>
      <c r="B104" s="655" t="s">
        <v>3836</v>
      </c>
      <c r="C104" s="656">
        <v>1</v>
      </c>
      <c r="D104" s="656">
        <v>0</v>
      </c>
      <c r="E104" s="657">
        <v>3</v>
      </c>
      <c r="F104" s="681" t="s">
        <v>3837</v>
      </c>
      <c r="G104" s="696" t="s">
        <v>2399</v>
      </c>
      <c r="H104" s="696" t="s">
        <v>2399</v>
      </c>
      <c r="I104" s="696" t="s">
        <v>2399</v>
      </c>
      <c r="J104" s="696" t="s">
        <v>2399</v>
      </c>
      <c r="K104" s="696" t="s">
        <v>260</v>
      </c>
      <c r="L104" s="696" t="s">
        <v>2399</v>
      </c>
      <c r="M104" s="696" t="s">
        <v>2399</v>
      </c>
      <c r="N104" s="696" t="s">
        <v>2399</v>
      </c>
      <c r="O104" s="696" t="s">
        <v>2399</v>
      </c>
      <c r="P104" s="696" t="s">
        <v>2399</v>
      </c>
    </row>
    <row r="105" spans="1:16" hidden="1" x14ac:dyDescent="0.3">
      <c r="A105" s="655" t="s">
        <v>3845</v>
      </c>
      <c r="B105" s="655" t="s">
        <v>3836</v>
      </c>
      <c r="C105" s="656">
        <v>1</v>
      </c>
      <c r="D105" s="656">
        <v>0</v>
      </c>
      <c r="E105" s="657">
        <v>25</v>
      </c>
      <c r="F105" s="681" t="s">
        <v>3837</v>
      </c>
      <c r="G105" s="696" t="s">
        <v>2399</v>
      </c>
      <c r="H105" s="696" t="s">
        <v>2399</v>
      </c>
      <c r="I105" s="696" t="s">
        <v>2399</v>
      </c>
      <c r="J105" s="696" t="s">
        <v>2399</v>
      </c>
      <c r="K105" s="696" t="s">
        <v>260</v>
      </c>
      <c r="L105" s="696" t="s">
        <v>2399</v>
      </c>
      <c r="M105" s="696" t="s">
        <v>2399</v>
      </c>
      <c r="N105" s="696" t="s">
        <v>2399</v>
      </c>
      <c r="O105" s="696" t="s">
        <v>2399</v>
      </c>
      <c r="P105" s="696" t="s">
        <v>2399</v>
      </c>
    </row>
    <row r="106" spans="1:16" hidden="1" x14ac:dyDescent="0.3">
      <c r="A106" s="655" t="s">
        <v>3839</v>
      </c>
      <c r="B106" s="655" t="s">
        <v>3836</v>
      </c>
      <c r="C106" s="656">
        <v>1</v>
      </c>
      <c r="D106" s="656">
        <v>0</v>
      </c>
      <c r="E106" s="657">
        <v>0.05</v>
      </c>
      <c r="F106" s="681" t="s">
        <v>3837</v>
      </c>
      <c r="G106" s="696" t="s">
        <v>2399</v>
      </c>
      <c r="H106" s="696" t="s">
        <v>2399</v>
      </c>
      <c r="I106" s="696" t="s">
        <v>2399</v>
      </c>
      <c r="J106" s="696" t="s">
        <v>2399</v>
      </c>
      <c r="K106" s="696" t="s">
        <v>260</v>
      </c>
      <c r="L106" s="696" t="s">
        <v>2399</v>
      </c>
      <c r="M106" s="696" t="s">
        <v>2399</v>
      </c>
      <c r="N106" s="696" t="s">
        <v>2399</v>
      </c>
      <c r="O106" s="696" t="s">
        <v>2399</v>
      </c>
      <c r="P106" s="696" t="s">
        <v>2399</v>
      </c>
    </row>
    <row r="107" spans="1:16" hidden="1" x14ac:dyDescent="0.3">
      <c r="A107" s="652" t="s">
        <v>3816</v>
      </c>
      <c r="B107" s="652" t="s">
        <v>3812</v>
      </c>
      <c r="C107" s="653"/>
      <c r="D107" s="653"/>
      <c r="E107" s="654">
        <v>500</v>
      </c>
      <c r="F107" s="679" t="s">
        <v>3810</v>
      </c>
      <c r="G107" s="694" t="s">
        <v>2399</v>
      </c>
      <c r="H107" s="694" t="s">
        <v>2399</v>
      </c>
      <c r="I107" s="694" t="s">
        <v>2399</v>
      </c>
      <c r="J107" s="694" t="s">
        <v>2399</v>
      </c>
      <c r="K107" s="694" t="s">
        <v>2399</v>
      </c>
      <c r="L107" s="694" t="s">
        <v>2399</v>
      </c>
      <c r="M107" s="694" t="s">
        <v>2399</v>
      </c>
      <c r="N107" s="694" t="s">
        <v>2399</v>
      </c>
      <c r="O107" s="694" t="s">
        <v>2399</v>
      </c>
      <c r="P107" s="694" t="s">
        <v>2399</v>
      </c>
    </row>
    <row r="108" spans="1:16" hidden="1" x14ac:dyDescent="0.3">
      <c r="A108" s="652" t="s">
        <v>3823</v>
      </c>
      <c r="B108" s="652" t="s">
        <v>3812</v>
      </c>
      <c r="C108" s="653"/>
      <c r="D108" s="653"/>
      <c r="E108" s="654">
        <v>200</v>
      </c>
      <c r="F108" s="679" t="s">
        <v>3810</v>
      </c>
      <c r="G108" s="694" t="s">
        <v>2399</v>
      </c>
      <c r="H108" s="694" t="s">
        <v>2399</v>
      </c>
      <c r="I108" s="694" t="s">
        <v>2399</v>
      </c>
      <c r="J108" s="694" t="s">
        <v>2399</v>
      </c>
      <c r="K108" s="694" t="s">
        <v>2399</v>
      </c>
      <c r="L108" s="694" t="s">
        <v>2399</v>
      </c>
      <c r="M108" s="694" t="s">
        <v>2399</v>
      </c>
      <c r="N108" s="694" t="s">
        <v>2399</v>
      </c>
      <c r="O108" s="694" t="s">
        <v>2399</v>
      </c>
      <c r="P108" s="694" t="s">
        <v>2399</v>
      </c>
    </row>
    <row r="109" spans="1:16" hidden="1" x14ac:dyDescent="0.3">
      <c r="A109" s="652" t="s">
        <v>3811</v>
      </c>
      <c r="B109" s="652" t="s">
        <v>3812</v>
      </c>
      <c r="C109" s="653"/>
      <c r="D109" s="653"/>
      <c r="E109" s="654">
        <v>50</v>
      </c>
      <c r="F109" s="679" t="s">
        <v>3810</v>
      </c>
      <c r="G109" s="694" t="s">
        <v>2399</v>
      </c>
      <c r="H109" s="694" t="s">
        <v>2399</v>
      </c>
      <c r="I109" s="694" t="s">
        <v>2399</v>
      </c>
      <c r="J109" s="694" t="s">
        <v>2399</v>
      </c>
      <c r="K109" s="694" t="s">
        <v>2399</v>
      </c>
      <c r="L109" s="694" t="s">
        <v>2399</v>
      </c>
      <c r="M109" s="694" t="s">
        <v>2399</v>
      </c>
      <c r="N109" s="694" t="s">
        <v>2399</v>
      </c>
      <c r="O109" s="694" t="s">
        <v>2399</v>
      </c>
      <c r="P109" s="694" t="s">
        <v>2399</v>
      </c>
    </row>
    <row r="110" spans="1:16" hidden="1" x14ac:dyDescent="0.3">
      <c r="A110" s="652" t="s">
        <v>3833</v>
      </c>
      <c r="B110" s="652" t="s">
        <v>3812</v>
      </c>
      <c r="C110" s="653"/>
      <c r="D110" s="653"/>
      <c r="E110" s="654">
        <v>3400</v>
      </c>
      <c r="F110" s="679" t="s">
        <v>3810</v>
      </c>
      <c r="G110" s="694" t="s">
        <v>2399</v>
      </c>
      <c r="H110" s="694" t="s">
        <v>2399</v>
      </c>
      <c r="I110" s="694" t="s">
        <v>2399</v>
      </c>
      <c r="J110" s="694" t="s">
        <v>2399</v>
      </c>
      <c r="K110" s="694" t="s">
        <v>2399</v>
      </c>
      <c r="L110" s="694" t="s">
        <v>2399</v>
      </c>
      <c r="M110" s="694" t="s">
        <v>2399</v>
      </c>
      <c r="N110" s="694" t="s">
        <v>2399</v>
      </c>
      <c r="O110" s="694" t="s">
        <v>2399</v>
      </c>
      <c r="P110" s="694" t="s">
        <v>2399</v>
      </c>
    </row>
    <row r="111" spans="1:16" hidden="1" x14ac:dyDescent="0.3">
      <c r="A111" s="652" t="s">
        <v>3827</v>
      </c>
      <c r="B111" s="652" t="s">
        <v>3812</v>
      </c>
      <c r="C111" s="653"/>
      <c r="D111" s="653"/>
      <c r="E111" s="654">
        <v>850</v>
      </c>
      <c r="F111" s="679" t="s">
        <v>3810</v>
      </c>
      <c r="G111" s="694" t="s">
        <v>2399</v>
      </c>
      <c r="H111" s="694" t="s">
        <v>2399</v>
      </c>
      <c r="I111" s="694" t="s">
        <v>2399</v>
      </c>
      <c r="J111" s="694" t="s">
        <v>2399</v>
      </c>
      <c r="K111" s="694" t="s">
        <v>2399</v>
      </c>
      <c r="L111" s="694" t="s">
        <v>2399</v>
      </c>
      <c r="M111" s="694" t="s">
        <v>2399</v>
      </c>
      <c r="N111" s="694" t="s">
        <v>2399</v>
      </c>
      <c r="O111" s="694" t="s">
        <v>2399</v>
      </c>
      <c r="P111" s="694" t="s">
        <v>2399</v>
      </c>
    </row>
    <row r="112" spans="1:16" hidden="1" x14ac:dyDescent="0.3">
      <c r="A112" s="652" t="s">
        <v>3828</v>
      </c>
      <c r="B112" s="652" t="s">
        <v>3812</v>
      </c>
      <c r="C112" s="653"/>
      <c r="D112" s="653"/>
      <c r="E112" s="654">
        <v>1100</v>
      </c>
      <c r="F112" s="679" t="s">
        <v>3810</v>
      </c>
      <c r="G112" s="694" t="s">
        <v>2399</v>
      </c>
      <c r="H112" s="694" t="s">
        <v>2399</v>
      </c>
      <c r="I112" s="694" t="s">
        <v>2399</v>
      </c>
      <c r="J112" s="694" t="s">
        <v>2399</v>
      </c>
      <c r="K112" s="694" t="s">
        <v>2399</v>
      </c>
      <c r="L112" s="694" t="s">
        <v>2399</v>
      </c>
      <c r="M112" s="694" t="s">
        <v>2399</v>
      </c>
      <c r="N112" s="694" t="s">
        <v>2399</v>
      </c>
      <c r="O112" s="694" t="s">
        <v>2399</v>
      </c>
      <c r="P112" s="694" t="s">
        <v>2399</v>
      </c>
    </row>
    <row r="113" spans="1:16" hidden="1" x14ac:dyDescent="0.3">
      <c r="A113" s="652" t="s">
        <v>3822</v>
      </c>
      <c r="B113" s="652" t="s">
        <v>3812</v>
      </c>
      <c r="C113" s="653"/>
      <c r="D113" s="653"/>
      <c r="E113" s="654">
        <v>2000</v>
      </c>
      <c r="F113" s="679" t="s">
        <v>3810</v>
      </c>
      <c r="G113" s="694" t="s">
        <v>2399</v>
      </c>
      <c r="H113" s="694" t="s">
        <v>2399</v>
      </c>
      <c r="I113" s="694" t="s">
        <v>2399</v>
      </c>
      <c r="J113" s="694" t="s">
        <v>2399</v>
      </c>
      <c r="K113" s="694" t="s">
        <v>2399</v>
      </c>
      <c r="L113" s="694" t="s">
        <v>2399</v>
      </c>
      <c r="M113" s="694" t="s">
        <v>2399</v>
      </c>
      <c r="N113" s="694" t="s">
        <v>2399</v>
      </c>
      <c r="O113" s="694" t="s">
        <v>2399</v>
      </c>
      <c r="P113" s="694" t="s">
        <v>2399</v>
      </c>
    </row>
    <row r="114" spans="1:16" hidden="1" x14ac:dyDescent="0.3">
      <c r="A114" s="652" t="s">
        <v>3817</v>
      </c>
      <c r="B114" s="652" t="s">
        <v>3812</v>
      </c>
      <c r="C114" s="653"/>
      <c r="D114" s="653"/>
      <c r="E114" s="654">
        <v>600</v>
      </c>
      <c r="F114" s="679" t="s">
        <v>3810</v>
      </c>
      <c r="G114" s="694" t="s">
        <v>2399</v>
      </c>
      <c r="H114" s="694" t="s">
        <v>2399</v>
      </c>
      <c r="I114" s="694" t="s">
        <v>2399</v>
      </c>
      <c r="J114" s="694" t="s">
        <v>2399</v>
      </c>
      <c r="K114" s="694" t="s">
        <v>2399</v>
      </c>
      <c r="L114" s="694" t="s">
        <v>2399</v>
      </c>
      <c r="M114" s="694" t="s">
        <v>2399</v>
      </c>
      <c r="N114" s="694" t="s">
        <v>2399</v>
      </c>
      <c r="O114" s="694" t="s">
        <v>2399</v>
      </c>
      <c r="P114" s="694" t="s">
        <v>2399</v>
      </c>
    </row>
    <row r="115" spans="1:16" hidden="1" x14ac:dyDescent="0.3">
      <c r="A115" s="652" t="s">
        <v>3831</v>
      </c>
      <c r="B115" s="652" t="s">
        <v>3812</v>
      </c>
      <c r="C115" s="653"/>
      <c r="D115" s="653"/>
      <c r="E115" s="654">
        <v>2000</v>
      </c>
      <c r="F115" s="679" t="s">
        <v>3810</v>
      </c>
      <c r="G115" s="694" t="s">
        <v>2399</v>
      </c>
      <c r="H115" s="694" t="s">
        <v>2399</v>
      </c>
      <c r="I115" s="694" t="s">
        <v>2399</v>
      </c>
      <c r="J115" s="694" t="s">
        <v>2399</v>
      </c>
      <c r="K115" s="694" t="s">
        <v>2399</v>
      </c>
      <c r="L115" s="694" t="s">
        <v>2399</v>
      </c>
      <c r="M115" s="694" t="s">
        <v>2399</v>
      </c>
      <c r="N115" s="694" t="s">
        <v>2399</v>
      </c>
      <c r="O115" s="694" t="s">
        <v>2399</v>
      </c>
      <c r="P115" s="694" t="s">
        <v>2399</v>
      </c>
    </row>
    <row r="116" spans="1:16" hidden="1" x14ac:dyDescent="0.3">
      <c r="A116" s="652" t="s">
        <v>3832</v>
      </c>
      <c r="B116" s="652" t="s">
        <v>3812</v>
      </c>
      <c r="C116" s="653"/>
      <c r="D116" s="653"/>
      <c r="E116" s="654">
        <v>1600</v>
      </c>
      <c r="F116" s="679" t="s">
        <v>3810</v>
      </c>
      <c r="G116" s="694" t="s">
        <v>2399</v>
      </c>
      <c r="H116" s="694" t="s">
        <v>2399</v>
      </c>
      <c r="I116" s="694" t="s">
        <v>2399</v>
      </c>
      <c r="J116" s="694" t="s">
        <v>2399</v>
      </c>
      <c r="K116" s="694" t="s">
        <v>2399</v>
      </c>
      <c r="L116" s="694" t="s">
        <v>2399</v>
      </c>
      <c r="M116" s="694" t="s">
        <v>2399</v>
      </c>
      <c r="N116" s="694" t="s">
        <v>2399</v>
      </c>
      <c r="O116" s="694" t="s">
        <v>2399</v>
      </c>
      <c r="P116" s="694" t="s">
        <v>2399</v>
      </c>
    </row>
    <row r="117" spans="1:16" hidden="1" x14ac:dyDescent="0.3">
      <c r="A117" s="652" t="s">
        <v>3813</v>
      </c>
      <c r="B117" s="652" t="s">
        <v>3812</v>
      </c>
      <c r="C117" s="653"/>
      <c r="D117" s="653"/>
      <c r="E117" s="654">
        <v>180</v>
      </c>
      <c r="F117" s="679" t="s">
        <v>3810</v>
      </c>
      <c r="G117" s="694" t="s">
        <v>2399</v>
      </c>
      <c r="H117" s="694" t="s">
        <v>2399</v>
      </c>
      <c r="I117" s="694" t="s">
        <v>2399</v>
      </c>
      <c r="J117" s="694" t="s">
        <v>2399</v>
      </c>
      <c r="K117" s="694" t="s">
        <v>2399</v>
      </c>
      <c r="L117" s="694" t="s">
        <v>2399</v>
      </c>
      <c r="M117" s="694" t="s">
        <v>2399</v>
      </c>
      <c r="N117" s="694" t="s">
        <v>2399</v>
      </c>
      <c r="O117" s="694" t="s">
        <v>2399</v>
      </c>
      <c r="P117" s="694" t="s">
        <v>2399</v>
      </c>
    </row>
    <row r="118" spans="1:16" hidden="1" x14ac:dyDescent="0.3">
      <c r="A118" s="652" t="s">
        <v>3814</v>
      </c>
      <c r="B118" s="652" t="s">
        <v>3812</v>
      </c>
      <c r="C118" s="653"/>
      <c r="D118" s="653"/>
      <c r="E118" s="654">
        <v>150</v>
      </c>
      <c r="F118" s="679" t="s">
        <v>3810</v>
      </c>
      <c r="G118" s="694" t="s">
        <v>2399</v>
      </c>
      <c r="H118" s="694" t="s">
        <v>2399</v>
      </c>
      <c r="I118" s="694" t="s">
        <v>2399</v>
      </c>
      <c r="J118" s="694" t="s">
        <v>2399</v>
      </c>
      <c r="K118" s="694" t="s">
        <v>2399</v>
      </c>
      <c r="L118" s="694" t="s">
        <v>2399</v>
      </c>
      <c r="M118" s="694" t="s">
        <v>2399</v>
      </c>
      <c r="N118" s="694" t="s">
        <v>2399</v>
      </c>
      <c r="O118" s="694" t="s">
        <v>2399</v>
      </c>
      <c r="P118" s="694" t="s">
        <v>2399</v>
      </c>
    </row>
    <row r="119" spans="1:16" hidden="1" x14ac:dyDescent="0.3">
      <c r="A119" s="652" t="s">
        <v>3820</v>
      </c>
      <c r="B119" s="652" t="s">
        <v>3812</v>
      </c>
      <c r="C119" s="653"/>
      <c r="D119" s="653"/>
      <c r="E119" s="654">
        <v>700</v>
      </c>
      <c r="F119" s="679" t="s">
        <v>3810</v>
      </c>
      <c r="G119" s="694" t="s">
        <v>2399</v>
      </c>
      <c r="H119" s="694" t="s">
        <v>2399</v>
      </c>
      <c r="I119" s="694" t="s">
        <v>2399</v>
      </c>
      <c r="J119" s="694" t="s">
        <v>2399</v>
      </c>
      <c r="K119" s="694" t="s">
        <v>2399</v>
      </c>
      <c r="L119" s="694" t="s">
        <v>2399</v>
      </c>
      <c r="M119" s="694" t="s">
        <v>2399</v>
      </c>
      <c r="N119" s="694" t="s">
        <v>2399</v>
      </c>
      <c r="O119" s="694" t="s">
        <v>2399</v>
      </c>
      <c r="P119" s="694" t="s">
        <v>2399</v>
      </c>
    </row>
    <row r="120" spans="1:16" hidden="1" x14ac:dyDescent="0.3">
      <c r="A120" s="652" t="s">
        <v>3829</v>
      </c>
      <c r="B120" s="652" t="s">
        <v>3812</v>
      </c>
      <c r="C120" s="653"/>
      <c r="D120" s="653"/>
      <c r="E120" s="654">
        <v>2800</v>
      </c>
      <c r="F120" s="679" t="s">
        <v>3810</v>
      </c>
      <c r="G120" s="694" t="s">
        <v>2399</v>
      </c>
      <c r="H120" s="694" t="s">
        <v>2399</v>
      </c>
      <c r="I120" s="694" t="s">
        <v>2399</v>
      </c>
      <c r="J120" s="694" t="s">
        <v>2399</v>
      </c>
      <c r="K120" s="694" t="s">
        <v>2399</v>
      </c>
      <c r="L120" s="694" t="s">
        <v>2399</v>
      </c>
      <c r="M120" s="694" t="s">
        <v>2399</v>
      </c>
      <c r="N120" s="694" t="s">
        <v>2399</v>
      </c>
      <c r="O120" s="694" t="s">
        <v>2399</v>
      </c>
      <c r="P120" s="694" t="s">
        <v>2399</v>
      </c>
    </row>
    <row r="121" spans="1:16" hidden="1" x14ac:dyDescent="0.3">
      <c r="A121" s="652" t="s">
        <v>3824</v>
      </c>
      <c r="B121" s="652" t="s">
        <v>3812</v>
      </c>
      <c r="C121" s="653"/>
      <c r="D121" s="653"/>
      <c r="E121" s="654">
        <v>100</v>
      </c>
      <c r="F121" s="679" t="s">
        <v>3810</v>
      </c>
      <c r="G121" s="694" t="s">
        <v>2399</v>
      </c>
      <c r="H121" s="694" t="s">
        <v>2399</v>
      </c>
      <c r="I121" s="694" t="s">
        <v>2399</v>
      </c>
      <c r="J121" s="694" t="s">
        <v>2399</v>
      </c>
      <c r="K121" s="694" t="s">
        <v>2399</v>
      </c>
      <c r="L121" s="694" t="s">
        <v>2399</v>
      </c>
      <c r="M121" s="694" t="s">
        <v>2399</v>
      </c>
      <c r="N121" s="694" t="s">
        <v>2399</v>
      </c>
      <c r="O121" s="694" t="s">
        <v>2399</v>
      </c>
      <c r="P121" s="694" t="s">
        <v>2399</v>
      </c>
    </row>
    <row r="122" spans="1:16" hidden="1" x14ac:dyDescent="0.3">
      <c r="A122" s="652" t="s">
        <v>3834</v>
      </c>
      <c r="B122" s="652" t="s">
        <v>3812</v>
      </c>
      <c r="C122" s="653"/>
      <c r="D122" s="653"/>
      <c r="E122" s="654">
        <v>3000</v>
      </c>
      <c r="F122" s="679" t="s">
        <v>3810</v>
      </c>
      <c r="G122" s="694" t="s">
        <v>2399</v>
      </c>
      <c r="H122" s="694" t="s">
        <v>2399</v>
      </c>
      <c r="I122" s="694" t="s">
        <v>2399</v>
      </c>
      <c r="J122" s="694" t="s">
        <v>2399</v>
      </c>
      <c r="K122" s="694" t="s">
        <v>2399</v>
      </c>
      <c r="L122" s="694" t="s">
        <v>2399</v>
      </c>
      <c r="M122" s="694" t="s">
        <v>2399</v>
      </c>
      <c r="N122" s="694" t="s">
        <v>2399</v>
      </c>
      <c r="O122" s="694" t="s">
        <v>2399</v>
      </c>
      <c r="P122" s="694" t="s">
        <v>2399</v>
      </c>
    </row>
    <row r="123" spans="1:16" hidden="1" x14ac:dyDescent="0.3">
      <c r="A123" s="652" t="s">
        <v>3815</v>
      </c>
      <c r="B123" s="652" t="s">
        <v>3812</v>
      </c>
      <c r="C123" s="653"/>
      <c r="D123" s="653"/>
      <c r="E123" s="654">
        <v>300</v>
      </c>
      <c r="F123" s="679" t="s">
        <v>3810</v>
      </c>
      <c r="G123" s="694" t="s">
        <v>2399</v>
      </c>
      <c r="H123" s="694" t="s">
        <v>2399</v>
      </c>
      <c r="I123" s="694" t="s">
        <v>2399</v>
      </c>
      <c r="J123" s="694" t="s">
        <v>2399</v>
      </c>
      <c r="K123" s="694" t="s">
        <v>2399</v>
      </c>
      <c r="L123" s="694" t="s">
        <v>2399</v>
      </c>
      <c r="M123" s="694" t="s">
        <v>2399</v>
      </c>
      <c r="N123" s="694" t="s">
        <v>2399</v>
      </c>
      <c r="O123" s="694" t="s">
        <v>2399</v>
      </c>
      <c r="P123" s="694" t="s">
        <v>2399</v>
      </c>
    </row>
    <row r="124" spans="1:16" hidden="1" x14ac:dyDescent="0.3">
      <c r="A124" s="652" t="s">
        <v>3819</v>
      </c>
      <c r="B124" s="652" t="s">
        <v>3812</v>
      </c>
      <c r="C124" s="653"/>
      <c r="D124" s="653"/>
      <c r="E124" s="654">
        <v>400</v>
      </c>
      <c r="F124" s="679" t="s">
        <v>3810</v>
      </c>
      <c r="G124" s="694" t="s">
        <v>2399</v>
      </c>
      <c r="H124" s="694" t="s">
        <v>2399</v>
      </c>
      <c r="I124" s="694" t="s">
        <v>2399</v>
      </c>
      <c r="J124" s="694" t="s">
        <v>2399</v>
      </c>
      <c r="K124" s="694" t="s">
        <v>2399</v>
      </c>
      <c r="L124" s="694" t="s">
        <v>2399</v>
      </c>
      <c r="M124" s="694" t="s">
        <v>2399</v>
      </c>
      <c r="N124" s="694" t="s">
        <v>2399</v>
      </c>
      <c r="O124" s="694" t="s">
        <v>2399</v>
      </c>
      <c r="P124" s="694" t="s">
        <v>2399</v>
      </c>
    </row>
    <row r="125" spans="1:16" hidden="1" x14ac:dyDescent="0.3">
      <c r="A125" s="652" t="s">
        <v>3825</v>
      </c>
      <c r="B125" s="652" t="s">
        <v>3812</v>
      </c>
      <c r="C125" s="653"/>
      <c r="D125" s="653"/>
      <c r="E125" s="654">
        <v>2000</v>
      </c>
      <c r="F125" s="679" t="s">
        <v>3810</v>
      </c>
      <c r="G125" s="694" t="s">
        <v>2399</v>
      </c>
      <c r="H125" s="694" t="s">
        <v>2399</v>
      </c>
      <c r="I125" s="694" t="s">
        <v>2399</v>
      </c>
      <c r="J125" s="694" t="s">
        <v>2399</v>
      </c>
      <c r="K125" s="694" t="s">
        <v>2399</v>
      </c>
      <c r="L125" s="694" t="s">
        <v>2399</v>
      </c>
      <c r="M125" s="694" t="s">
        <v>2399</v>
      </c>
      <c r="N125" s="694" t="s">
        <v>2399</v>
      </c>
      <c r="O125" s="694" t="s">
        <v>2399</v>
      </c>
      <c r="P125" s="694" t="s">
        <v>2399</v>
      </c>
    </row>
    <row r="126" spans="1:16" hidden="1" x14ac:dyDescent="0.3">
      <c r="A126" s="652" t="s">
        <v>3818</v>
      </c>
      <c r="B126" s="652" t="s">
        <v>3812</v>
      </c>
      <c r="C126" s="653"/>
      <c r="D126" s="653"/>
      <c r="E126" s="654">
        <v>800</v>
      </c>
      <c r="F126" s="679" t="s">
        <v>3810</v>
      </c>
      <c r="G126" s="694" t="s">
        <v>2399</v>
      </c>
      <c r="H126" s="694" t="s">
        <v>2399</v>
      </c>
      <c r="I126" s="694" t="s">
        <v>2399</v>
      </c>
      <c r="J126" s="694" t="s">
        <v>2399</v>
      </c>
      <c r="K126" s="694" t="s">
        <v>2399</v>
      </c>
      <c r="L126" s="694" t="s">
        <v>2399</v>
      </c>
      <c r="M126" s="694" t="s">
        <v>2399</v>
      </c>
      <c r="N126" s="694" t="s">
        <v>2399</v>
      </c>
      <c r="O126" s="694" t="s">
        <v>2399</v>
      </c>
      <c r="P126" s="694" t="s">
        <v>2399</v>
      </c>
    </row>
    <row r="127" spans="1:16" hidden="1" x14ac:dyDescent="0.3">
      <c r="A127" s="652" t="s">
        <v>3821</v>
      </c>
      <c r="B127" s="652" t="s">
        <v>3812</v>
      </c>
      <c r="C127" s="653"/>
      <c r="D127" s="653"/>
      <c r="E127" s="654">
        <v>4000</v>
      </c>
      <c r="F127" s="679" t="s">
        <v>3810</v>
      </c>
      <c r="G127" s="694" t="s">
        <v>2399</v>
      </c>
      <c r="H127" s="694" t="s">
        <v>2399</v>
      </c>
      <c r="I127" s="694" t="s">
        <v>2399</v>
      </c>
      <c r="J127" s="694" t="s">
        <v>2399</v>
      </c>
      <c r="K127" s="694" t="s">
        <v>2399</v>
      </c>
      <c r="L127" s="694" t="s">
        <v>2399</v>
      </c>
      <c r="M127" s="694" t="s">
        <v>2399</v>
      </c>
      <c r="N127" s="694" t="s">
        <v>2399</v>
      </c>
      <c r="O127" s="694" t="s">
        <v>2399</v>
      </c>
      <c r="P127" s="694" t="s">
        <v>2399</v>
      </c>
    </row>
    <row r="128" spans="1:16" hidden="1" x14ac:dyDescent="0.3">
      <c r="A128" s="652" t="s">
        <v>3826</v>
      </c>
      <c r="B128" s="652" t="s">
        <v>3812</v>
      </c>
      <c r="C128" s="653"/>
      <c r="D128" s="653"/>
      <c r="E128" s="654">
        <v>600</v>
      </c>
      <c r="F128" s="679" t="s">
        <v>3810</v>
      </c>
      <c r="G128" s="694" t="s">
        <v>2399</v>
      </c>
      <c r="H128" s="694" t="s">
        <v>2399</v>
      </c>
      <c r="I128" s="694" t="s">
        <v>2399</v>
      </c>
      <c r="J128" s="694" t="s">
        <v>2399</v>
      </c>
      <c r="K128" s="694" t="s">
        <v>2399</v>
      </c>
      <c r="L128" s="694" t="s">
        <v>2399</v>
      </c>
      <c r="M128" s="694" t="s">
        <v>2399</v>
      </c>
      <c r="N128" s="694" t="s">
        <v>2399</v>
      </c>
      <c r="O128" s="694" t="s">
        <v>2399</v>
      </c>
      <c r="P128" s="694" t="s">
        <v>2399</v>
      </c>
    </row>
    <row r="129" spans="1:16" hidden="1" x14ac:dyDescent="0.3">
      <c r="A129" s="652" t="s">
        <v>3830</v>
      </c>
      <c r="B129" s="652" t="s">
        <v>3812</v>
      </c>
      <c r="C129" s="653"/>
      <c r="D129" s="653"/>
      <c r="E129" s="654">
        <v>2500</v>
      </c>
      <c r="F129" s="679" t="s">
        <v>3810</v>
      </c>
      <c r="G129" s="694" t="s">
        <v>2399</v>
      </c>
      <c r="H129" s="694" t="s">
        <v>2399</v>
      </c>
      <c r="I129" s="694" t="s">
        <v>2399</v>
      </c>
      <c r="J129" s="694" t="s">
        <v>2399</v>
      </c>
      <c r="K129" s="694" t="s">
        <v>2399</v>
      </c>
      <c r="L129" s="694" t="s">
        <v>2399</v>
      </c>
      <c r="M129" s="694" t="s">
        <v>2399</v>
      </c>
      <c r="N129" s="694" t="s">
        <v>2399</v>
      </c>
      <c r="O129" s="694" t="s">
        <v>2399</v>
      </c>
      <c r="P129" s="694" t="s">
        <v>2399</v>
      </c>
    </row>
    <row r="130" spans="1:16" x14ac:dyDescent="0.3">
      <c r="A130" s="160" t="s">
        <v>3932</v>
      </c>
      <c r="B130" s="160" t="s">
        <v>3933</v>
      </c>
      <c r="C130" s="398">
        <v>0.25</v>
      </c>
      <c r="D130" s="398">
        <v>1</v>
      </c>
      <c r="E130" s="399">
        <v>1</v>
      </c>
      <c r="F130" s="690" t="s">
        <v>3921</v>
      </c>
      <c r="G130" s="705" t="s">
        <v>2399</v>
      </c>
      <c r="H130" s="705" t="s">
        <v>2399</v>
      </c>
      <c r="I130" s="705" t="s">
        <v>2399</v>
      </c>
      <c r="J130" s="705" t="s">
        <v>2399</v>
      </c>
      <c r="K130" s="705" t="s">
        <v>260</v>
      </c>
      <c r="L130" s="705" t="s">
        <v>2399</v>
      </c>
      <c r="M130" s="705" t="s">
        <v>260</v>
      </c>
      <c r="N130" s="705" t="s">
        <v>2399</v>
      </c>
      <c r="O130" s="705" t="s">
        <v>2399</v>
      </c>
      <c r="P130" s="705" t="s">
        <v>2399</v>
      </c>
    </row>
    <row r="131" spans="1:16" x14ac:dyDescent="0.3">
      <c r="A131" s="160" t="s">
        <v>459</v>
      </c>
      <c r="B131" s="160" t="s">
        <v>3933</v>
      </c>
      <c r="C131" s="398">
        <v>0.75</v>
      </c>
      <c r="D131" s="398">
        <v>2</v>
      </c>
      <c r="E131" s="399">
        <v>8</v>
      </c>
      <c r="F131" s="690" t="s">
        <v>3921</v>
      </c>
      <c r="G131" s="705" t="s">
        <v>2399</v>
      </c>
      <c r="H131" s="705" t="s">
        <v>2399</v>
      </c>
      <c r="I131" s="705" t="s">
        <v>2399</v>
      </c>
      <c r="J131" s="705" t="s">
        <v>2399</v>
      </c>
      <c r="K131" s="705" t="s">
        <v>260</v>
      </c>
      <c r="L131" s="705" t="s">
        <v>2399</v>
      </c>
      <c r="M131" s="705" t="s">
        <v>2399</v>
      </c>
      <c r="N131" s="705" t="s">
        <v>2399</v>
      </c>
      <c r="O131" s="705" t="s">
        <v>2399</v>
      </c>
      <c r="P131" s="705" t="s">
        <v>2399</v>
      </c>
    </row>
    <row r="132" spans="1:16" hidden="1" x14ac:dyDescent="0.3">
      <c r="A132" s="397" t="s">
        <v>494</v>
      </c>
      <c r="B132" s="397" t="s">
        <v>3912</v>
      </c>
      <c r="C132" s="995">
        <v>0.05</v>
      </c>
      <c r="D132" s="1125">
        <v>0</v>
      </c>
      <c r="E132" s="361">
        <v>0.05</v>
      </c>
      <c r="F132" s="688" t="s">
        <v>569</v>
      </c>
      <c r="G132" s="703" t="s">
        <v>2399</v>
      </c>
      <c r="H132" s="703" t="s">
        <v>2399</v>
      </c>
      <c r="I132" s="703" t="s">
        <v>2399</v>
      </c>
      <c r="J132" s="703" t="s">
        <v>2399</v>
      </c>
      <c r="K132" s="703" t="s">
        <v>260</v>
      </c>
      <c r="L132" s="703" t="s">
        <v>2399</v>
      </c>
      <c r="M132" s="703" t="s">
        <v>260</v>
      </c>
      <c r="N132" s="703" t="s">
        <v>2399</v>
      </c>
      <c r="O132" s="703" t="s">
        <v>2399</v>
      </c>
      <c r="P132" s="703" t="s">
        <v>2399</v>
      </c>
    </row>
    <row r="133" spans="1:16" x14ac:dyDescent="0.3">
      <c r="A133" s="397" t="s">
        <v>1301</v>
      </c>
      <c r="B133" s="397" t="s">
        <v>3912</v>
      </c>
      <c r="C133" s="995">
        <v>3</v>
      </c>
      <c r="D133" s="1125">
        <v>2</v>
      </c>
      <c r="E133" s="361">
        <v>20</v>
      </c>
      <c r="F133" s="688" t="s">
        <v>569</v>
      </c>
      <c r="G133" s="703" t="s">
        <v>2399</v>
      </c>
      <c r="H133" s="703" t="s">
        <v>2399</v>
      </c>
      <c r="I133" s="703" t="s">
        <v>2399</v>
      </c>
      <c r="J133" s="703" t="s">
        <v>2399</v>
      </c>
      <c r="K133" s="703" t="s">
        <v>260</v>
      </c>
      <c r="L133" s="703" t="s">
        <v>2399</v>
      </c>
      <c r="M133" s="703" t="s">
        <v>2399</v>
      </c>
      <c r="N133" s="703" t="s">
        <v>2399</v>
      </c>
      <c r="O133" s="703" t="s">
        <v>2399</v>
      </c>
      <c r="P133" s="703" t="s">
        <v>2399</v>
      </c>
    </row>
    <row r="134" spans="1:16" x14ac:dyDescent="0.3">
      <c r="A134" s="397" t="s">
        <v>1306</v>
      </c>
      <c r="B134" s="397" t="s">
        <v>3912</v>
      </c>
      <c r="C134" s="995">
        <v>1.5</v>
      </c>
      <c r="D134" s="1125">
        <v>1</v>
      </c>
      <c r="E134" s="361">
        <v>10</v>
      </c>
      <c r="F134" s="688" t="s">
        <v>569</v>
      </c>
      <c r="G134" s="703" t="s">
        <v>2399</v>
      </c>
      <c r="H134" s="703" t="s">
        <v>2399</v>
      </c>
      <c r="I134" s="703" t="s">
        <v>2399</v>
      </c>
      <c r="J134" s="703" t="s">
        <v>2399</v>
      </c>
      <c r="K134" s="703" t="s">
        <v>260</v>
      </c>
      <c r="L134" s="703" t="s">
        <v>2399</v>
      </c>
      <c r="M134" s="703" t="s">
        <v>2399</v>
      </c>
      <c r="N134" s="703" t="s">
        <v>2399</v>
      </c>
      <c r="O134" s="703" t="s">
        <v>2399</v>
      </c>
      <c r="P134" s="703" t="s">
        <v>2399</v>
      </c>
    </row>
    <row r="135" spans="1:16" x14ac:dyDescent="0.3">
      <c r="A135" s="397" t="s">
        <v>1305</v>
      </c>
      <c r="B135" s="397" t="s">
        <v>3912</v>
      </c>
      <c r="C135" s="995">
        <v>1</v>
      </c>
      <c r="D135" s="1125">
        <v>1</v>
      </c>
      <c r="E135" s="361">
        <v>1</v>
      </c>
      <c r="F135" s="688" t="s">
        <v>569</v>
      </c>
      <c r="G135" s="703" t="s">
        <v>2399</v>
      </c>
      <c r="H135" s="703" t="s">
        <v>2399</v>
      </c>
      <c r="I135" s="703" t="s">
        <v>2399</v>
      </c>
      <c r="J135" s="703" t="s">
        <v>2399</v>
      </c>
      <c r="K135" s="703" t="s">
        <v>260</v>
      </c>
      <c r="L135" s="703" t="s">
        <v>2399</v>
      </c>
      <c r="M135" s="703" t="s">
        <v>2399</v>
      </c>
      <c r="N135" s="703" t="s">
        <v>2399</v>
      </c>
      <c r="O135" s="703" t="s">
        <v>2399</v>
      </c>
      <c r="P135" s="703" t="s">
        <v>2399</v>
      </c>
    </row>
    <row r="136" spans="1:16" hidden="1" x14ac:dyDescent="0.3">
      <c r="A136" s="397" t="s">
        <v>3909</v>
      </c>
      <c r="B136" s="397" t="s">
        <v>3912</v>
      </c>
      <c r="C136" s="995">
        <v>0.1</v>
      </c>
      <c r="D136" s="1125">
        <v>0</v>
      </c>
      <c r="E136" s="361">
        <v>4</v>
      </c>
      <c r="F136" s="688" t="s">
        <v>569</v>
      </c>
      <c r="G136" s="703" t="s">
        <v>2399</v>
      </c>
      <c r="H136" s="703" t="s">
        <v>2399</v>
      </c>
      <c r="I136" s="703" t="s">
        <v>2399</v>
      </c>
      <c r="J136" s="703" t="s">
        <v>2399</v>
      </c>
      <c r="K136" s="703" t="s">
        <v>260</v>
      </c>
      <c r="L136" s="703" t="s">
        <v>2399</v>
      </c>
      <c r="M136" s="703" t="s">
        <v>260</v>
      </c>
      <c r="N136" s="703" t="s">
        <v>2399</v>
      </c>
      <c r="O136" s="703" t="s">
        <v>2399</v>
      </c>
      <c r="P136" s="703" t="s">
        <v>2399</v>
      </c>
    </row>
    <row r="137" spans="1:16" hidden="1" x14ac:dyDescent="0.3">
      <c r="A137" s="397" t="s">
        <v>3911</v>
      </c>
      <c r="B137" s="397" t="s">
        <v>3912</v>
      </c>
      <c r="C137" s="995">
        <v>0.15</v>
      </c>
      <c r="D137" s="1125">
        <v>0</v>
      </c>
      <c r="E137" s="361">
        <v>8</v>
      </c>
      <c r="F137" s="688" t="s">
        <v>569</v>
      </c>
      <c r="G137" s="703" t="s">
        <v>2399</v>
      </c>
      <c r="H137" s="703" t="s">
        <v>2399</v>
      </c>
      <c r="I137" s="703" t="s">
        <v>2399</v>
      </c>
      <c r="J137" s="703" t="s">
        <v>2399</v>
      </c>
      <c r="K137" s="703" t="s">
        <v>260</v>
      </c>
      <c r="L137" s="703" t="s">
        <v>2399</v>
      </c>
      <c r="M137" s="703" t="s">
        <v>260</v>
      </c>
      <c r="N137" s="703" t="s">
        <v>2399</v>
      </c>
      <c r="O137" s="703" t="s">
        <v>2399</v>
      </c>
      <c r="P137" s="703" t="s">
        <v>2399</v>
      </c>
    </row>
    <row r="138" spans="1:16" hidden="1" x14ac:dyDescent="0.3">
      <c r="A138" s="397" t="s">
        <v>3910</v>
      </c>
      <c r="B138" s="397" t="s">
        <v>3912</v>
      </c>
      <c r="C138" s="995">
        <v>0.05</v>
      </c>
      <c r="D138" s="1125">
        <v>0</v>
      </c>
      <c r="E138" s="361">
        <v>10</v>
      </c>
      <c r="F138" s="688" t="s">
        <v>569</v>
      </c>
      <c r="G138" s="703" t="s">
        <v>2399</v>
      </c>
      <c r="H138" s="703" t="s">
        <v>2399</v>
      </c>
      <c r="I138" s="703" t="s">
        <v>2399</v>
      </c>
      <c r="J138" s="703" t="s">
        <v>2399</v>
      </c>
      <c r="K138" s="703" t="s">
        <v>260</v>
      </c>
      <c r="L138" s="703" t="s">
        <v>2399</v>
      </c>
      <c r="M138" s="703" t="s">
        <v>260</v>
      </c>
      <c r="N138" s="703" t="s">
        <v>2399</v>
      </c>
      <c r="O138" s="703" t="s">
        <v>2399</v>
      </c>
      <c r="P138" s="703" t="s">
        <v>2399</v>
      </c>
    </row>
    <row r="139" spans="1:16" hidden="1" x14ac:dyDescent="0.3">
      <c r="A139" s="397" t="s">
        <v>1300</v>
      </c>
      <c r="B139" s="397" t="s">
        <v>3912</v>
      </c>
      <c r="C139" s="995">
        <v>0.05</v>
      </c>
      <c r="D139" s="1125">
        <v>0</v>
      </c>
      <c r="E139" s="361">
        <v>0.4</v>
      </c>
      <c r="F139" s="688" t="s">
        <v>569</v>
      </c>
      <c r="G139" s="703" t="s">
        <v>2399</v>
      </c>
      <c r="H139" s="703" t="s">
        <v>2399</v>
      </c>
      <c r="I139" s="703" t="s">
        <v>2399</v>
      </c>
      <c r="J139" s="703" t="s">
        <v>2399</v>
      </c>
      <c r="K139" s="703" t="s">
        <v>260</v>
      </c>
      <c r="L139" s="703" t="s">
        <v>2399</v>
      </c>
      <c r="M139" s="703" t="s">
        <v>260</v>
      </c>
      <c r="N139" s="703" t="s">
        <v>2399</v>
      </c>
      <c r="O139" s="703" t="s">
        <v>2399</v>
      </c>
      <c r="P139" s="703" t="s">
        <v>2399</v>
      </c>
    </row>
    <row r="140" spans="1:16" hidden="1" x14ac:dyDescent="0.3">
      <c r="A140" s="397" t="s">
        <v>1302</v>
      </c>
      <c r="B140" s="397" t="s">
        <v>3912</v>
      </c>
      <c r="C140" s="995">
        <v>0.06</v>
      </c>
      <c r="D140" s="1125">
        <v>0</v>
      </c>
      <c r="E140" s="361">
        <v>0.5</v>
      </c>
      <c r="F140" s="688" t="s">
        <v>569</v>
      </c>
      <c r="G140" s="703" t="s">
        <v>2399</v>
      </c>
      <c r="H140" s="703" t="s">
        <v>2399</v>
      </c>
      <c r="I140" s="703" t="s">
        <v>2399</v>
      </c>
      <c r="J140" s="703" t="s">
        <v>2399</v>
      </c>
      <c r="K140" s="703" t="s">
        <v>260</v>
      </c>
      <c r="L140" s="703" t="s">
        <v>2399</v>
      </c>
      <c r="M140" s="703" t="s">
        <v>260</v>
      </c>
      <c r="N140" s="703" t="s">
        <v>2399</v>
      </c>
      <c r="O140" s="703" t="s">
        <v>2399</v>
      </c>
      <c r="P140" s="703" t="s">
        <v>2399</v>
      </c>
    </row>
    <row r="141" spans="1:16" hidden="1" x14ac:dyDescent="0.3">
      <c r="A141" s="397" t="s">
        <v>1295</v>
      </c>
      <c r="B141" s="397" t="s">
        <v>3912</v>
      </c>
      <c r="C141" s="995">
        <v>0.04</v>
      </c>
      <c r="D141" s="1125">
        <v>0</v>
      </c>
      <c r="E141" s="361">
        <v>0.5</v>
      </c>
      <c r="F141" s="688" t="s">
        <v>569</v>
      </c>
      <c r="G141" s="703" t="s">
        <v>2399</v>
      </c>
      <c r="H141" s="703" t="s">
        <v>2399</v>
      </c>
      <c r="I141" s="703" t="s">
        <v>2399</v>
      </c>
      <c r="J141" s="703" t="s">
        <v>2399</v>
      </c>
      <c r="K141" s="703" t="s">
        <v>260</v>
      </c>
      <c r="L141" s="703" t="s">
        <v>2399</v>
      </c>
      <c r="M141" s="703" t="s">
        <v>260</v>
      </c>
      <c r="N141" s="703" t="s">
        <v>2399</v>
      </c>
      <c r="O141" s="703" t="s">
        <v>2399</v>
      </c>
      <c r="P141" s="703" t="s">
        <v>2399</v>
      </c>
    </row>
    <row r="142" spans="1:16" hidden="1" x14ac:dyDescent="0.3">
      <c r="A142" s="397" t="s">
        <v>452</v>
      </c>
      <c r="B142" s="397" t="s">
        <v>3912</v>
      </c>
      <c r="C142" s="995">
        <v>0.05</v>
      </c>
      <c r="D142" s="1125">
        <v>0</v>
      </c>
      <c r="E142" s="361">
        <v>0.1</v>
      </c>
      <c r="F142" s="688" t="s">
        <v>569</v>
      </c>
      <c r="G142" s="703" t="s">
        <v>2399</v>
      </c>
      <c r="H142" s="703" t="s">
        <v>2399</v>
      </c>
      <c r="I142" s="703" t="s">
        <v>2399</v>
      </c>
      <c r="J142" s="703" t="s">
        <v>2399</v>
      </c>
      <c r="K142" s="703" t="s">
        <v>260</v>
      </c>
      <c r="L142" s="703" t="s">
        <v>2399</v>
      </c>
      <c r="M142" s="703" t="s">
        <v>260</v>
      </c>
      <c r="N142" s="703" t="s">
        <v>2399</v>
      </c>
      <c r="O142" s="703" t="s">
        <v>2399</v>
      </c>
      <c r="P142" s="703" t="s">
        <v>2399</v>
      </c>
    </row>
    <row r="143" spans="1:16" hidden="1" x14ac:dyDescent="0.3">
      <c r="A143" s="397" t="s">
        <v>1297</v>
      </c>
      <c r="B143" s="397" t="s">
        <v>3912</v>
      </c>
      <c r="C143" s="995">
        <v>0.1</v>
      </c>
      <c r="D143" s="1125">
        <v>0</v>
      </c>
      <c r="E143" s="361">
        <v>1</v>
      </c>
      <c r="F143" s="688" t="s">
        <v>569</v>
      </c>
      <c r="G143" s="703" t="s">
        <v>2399</v>
      </c>
      <c r="H143" s="703" t="s">
        <v>2399</v>
      </c>
      <c r="I143" s="703" t="s">
        <v>2399</v>
      </c>
      <c r="J143" s="703" t="s">
        <v>2399</v>
      </c>
      <c r="K143" s="703" t="s">
        <v>260</v>
      </c>
      <c r="L143" s="703" t="s">
        <v>2399</v>
      </c>
      <c r="M143" s="703" t="s">
        <v>260</v>
      </c>
      <c r="N143" s="703" t="s">
        <v>2399</v>
      </c>
      <c r="O143" s="703" t="s">
        <v>2399</v>
      </c>
      <c r="P143" s="703" t="s">
        <v>2399</v>
      </c>
    </row>
    <row r="144" spans="1:16" hidden="1" x14ac:dyDescent="0.3">
      <c r="A144" s="397" t="s">
        <v>1299</v>
      </c>
      <c r="B144" s="397" t="s">
        <v>3912</v>
      </c>
      <c r="C144" s="995">
        <v>7.0000000000000007E-2</v>
      </c>
      <c r="D144" s="1125">
        <v>0</v>
      </c>
      <c r="E144" s="361">
        <v>0.25</v>
      </c>
      <c r="F144" s="688" t="s">
        <v>569</v>
      </c>
      <c r="G144" s="703" t="s">
        <v>2399</v>
      </c>
      <c r="H144" s="703" t="s">
        <v>2399</v>
      </c>
      <c r="I144" s="703" t="s">
        <v>2399</v>
      </c>
      <c r="J144" s="703" t="s">
        <v>2399</v>
      </c>
      <c r="K144" s="703" t="s">
        <v>260</v>
      </c>
      <c r="L144" s="703" t="s">
        <v>2399</v>
      </c>
      <c r="M144" s="703" t="s">
        <v>260</v>
      </c>
      <c r="N144" s="703" t="s">
        <v>2399</v>
      </c>
      <c r="O144" s="703" t="s">
        <v>2399</v>
      </c>
      <c r="P144" s="703" t="s">
        <v>2399</v>
      </c>
    </row>
    <row r="145" spans="1:16" hidden="1" x14ac:dyDescent="0.3">
      <c r="A145" s="397" t="s">
        <v>453</v>
      </c>
      <c r="B145" s="397" t="s">
        <v>3912</v>
      </c>
      <c r="C145" s="995">
        <v>0.05</v>
      </c>
      <c r="D145" s="1125">
        <v>0</v>
      </c>
      <c r="E145" s="361">
        <v>2</v>
      </c>
      <c r="F145" s="688" t="s">
        <v>569</v>
      </c>
      <c r="G145" s="703" t="s">
        <v>2399</v>
      </c>
      <c r="H145" s="703" t="s">
        <v>2399</v>
      </c>
      <c r="I145" s="703" t="s">
        <v>2399</v>
      </c>
      <c r="J145" s="703" t="s">
        <v>2399</v>
      </c>
      <c r="K145" s="703" t="s">
        <v>260</v>
      </c>
      <c r="L145" s="703" t="s">
        <v>2399</v>
      </c>
      <c r="M145" s="703" t="s">
        <v>260</v>
      </c>
      <c r="N145" s="703" t="s">
        <v>2399</v>
      </c>
      <c r="O145" s="703" t="s">
        <v>2399</v>
      </c>
      <c r="P145" s="703" t="s">
        <v>2399</v>
      </c>
    </row>
    <row r="146" spans="1:16" hidden="1" x14ac:dyDescent="0.3">
      <c r="A146" s="397" t="s">
        <v>1296</v>
      </c>
      <c r="B146" s="397" t="s">
        <v>3912</v>
      </c>
      <c r="C146" s="995">
        <v>0.1</v>
      </c>
      <c r="D146" s="1125">
        <v>0</v>
      </c>
      <c r="E146" s="361">
        <v>1</v>
      </c>
      <c r="F146" s="688" t="s">
        <v>569</v>
      </c>
      <c r="G146" s="703" t="s">
        <v>2399</v>
      </c>
      <c r="H146" s="703" t="s">
        <v>2399</v>
      </c>
      <c r="I146" s="703" t="s">
        <v>2399</v>
      </c>
      <c r="J146" s="703" t="s">
        <v>2399</v>
      </c>
      <c r="K146" s="703" t="s">
        <v>260</v>
      </c>
      <c r="L146" s="703" t="s">
        <v>2399</v>
      </c>
      <c r="M146" s="703" t="s">
        <v>260</v>
      </c>
      <c r="N146" s="703" t="s">
        <v>2399</v>
      </c>
      <c r="O146" s="703" t="s">
        <v>2399</v>
      </c>
      <c r="P146" s="703" t="s">
        <v>2399</v>
      </c>
    </row>
    <row r="147" spans="1:16" hidden="1" x14ac:dyDescent="0.3">
      <c r="A147" s="397" t="s">
        <v>1298</v>
      </c>
      <c r="B147" s="397" t="s">
        <v>3912</v>
      </c>
      <c r="C147" s="995">
        <v>0.15</v>
      </c>
      <c r="D147" s="1125">
        <v>0</v>
      </c>
      <c r="E147" s="361">
        <v>1.5</v>
      </c>
      <c r="F147" s="688" t="s">
        <v>569</v>
      </c>
      <c r="G147" s="703" t="s">
        <v>2399</v>
      </c>
      <c r="H147" s="703" t="s">
        <v>2399</v>
      </c>
      <c r="I147" s="703" t="s">
        <v>2399</v>
      </c>
      <c r="J147" s="703" t="s">
        <v>2399</v>
      </c>
      <c r="K147" s="703" t="s">
        <v>260</v>
      </c>
      <c r="L147" s="703" t="s">
        <v>2399</v>
      </c>
      <c r="M147" s="703" t="s">
        <v>260</v>
      </c>
      <c r="N147" s="703" t="s">
        <v>2399</v>
      </c>
      <c r="O147" s="703" t="s">
        <v>2399</v>
      </c>
      <c r="P147" s="703" t="s">
        <v>2399</v>
      </c>
    </row>
    <row r="148" spans="1:16" hidden="1" x14ac:dyDescent="0.3">
      <c r="A148" s="397" t="s">
        <v>942</v>
      </c>
      <c r="B148" s="397" t="s">
        <v>3912</v>
      </c>
      <c r="C148" s="995">
        <v>0.01</v>
      </c>
      <c r="D148" s="1125">
        <v>0</v>
      </c>
      <c r="E148" s="361">
        <v>0.1</v>
      </c>
      <c r="F148" s="688" t="s">
        <v>569</v>
      </c>
      <c r="G148" s="703" t="s">
        <v>2399</v>
      </c>
      <c r="H148" s="703" t="s">
        <v>2399</v>
      </c>
      <c r="I148" s="703" t="s">
        <v>2399</v>
      </c>
      <c r="J148" s="703" t="s">
        <v>2399</v>
      </c>
      <c r="K148" s="703" t="s">
        <v>260</v>
      </c>
      <c r="L148" s="703" t="s">
        <v>2399</v>
      </c>
      <c r="M148" s="703" t="s">
        <v>260</v>
      </c>
      <c r="N148" s="703" t="s">
        <v>2399</v>
      </c>
      <c r="O148" s="703" t="s">
        <v>2399</v>
      </c>
      <c r="P148" s="703" t="s">
        <v>2399</v>
      </c>
    </row>
    <row r="149" spans="1:16" hidden="1" x14ac:dyDescent="0.3">
      <c r="A149" s="397" t="s">
        <v>454</v>
      </c>
      <c r="B149" s="397" t="s">
        <v>3912</v>
      </c>
      <c r="C149" s="995">
        <v>0.1</v>
      </c>
      <c r="D149" s="1125">
        <v>0</v>
      </c>
      <c r="E149" s="361">
        <v>0.3</v>
      </c>
      <c r="F149" s="688" t="s">
        <v>569</v>
      </c>
      <c r="G149" s="703" t="s">
        <v>2399</v>
      </c>
      <c r="H149" s="703" t="s">
        <v>2399</v>
      </c>
      <c r="I149" s="703" t="s">
        <v>2399</v>
      </c>
      <c r="J149" s="703" t="s">
        <v>2399</v>
      </c>
      <c r="K149" s="703" t="s">
        <v>260</v>
      </c>
      <c r="L149" s="703" t="s">
        <v>2399</v>
      </c>
      <c r="M149" s="703" t="s">
        <v>260</v>
      </c>
      <c r="N149" s="703" t="s">
        <v>2399</v>
      </c>
      <c r="O149" s="703" t="s">
        <v>2399</v>
      </c>
      <c r="P149" s="703" t="s">
        <v>2399</v>
      </c>
    </row>
    <row r="150" spans="1:16" hidden="1" x14ac:dyDescent="0.3">
      <c r="A150" s="397" t="s">
        <v>1304</v>
      </c>
      <c r="B150" s="397" t="s">
        <v>3912</v>
      </c>
      <c r="C150" s="995">
        <v>0.2</v>
      </c>
      <c r="D150" s="1125">
        <v>0</v>
      </c>
      <c r="E150" s="361">
        <v>1.5</v>
      </c>
      <c r="F150" s="688" t="s">
        <v>569</v>
      </c>
      <c r="G150" s="703" t="s">
        <v>2399</v>
      </c>
      <c r="H150" s="703" t="s">
        <v>2399</v>
      </c>
      <c r="I150" s="703" t="s">
        <v>2399</v>
      </c>
      <c r="J150" s="703" t="s">
        <v>2399</v>
      </c>
      <c r="K150" s="703" t="s">
        <v>260</v>
      </c>
      <c r="L150" s="703" t="s">
        <v>2399</v>
      </c>
      <c r="M150" s="703" t="s">
        <v>260</v>
      </c>
      <c r="N150" s="703" t="s">
        <v>2399</v>
      </c>
      <c r="O150" s="703" t="s">
        <v>2399</v>
      </c>
      <c r="P150" s="703" t="s">
        <v>2399</v>
      </c>
    </row>
    <row r="151" spans="1:16" hidden="1" x14ac:dyDescent="0.3">
      <c r="A151" s="397" t="s">
        <v>455</v>
      </c>
      <c r="B151" s="397" t="s">
        <v>3912</v>
      </c>
      <c r="C151" s="995">
        <v>0.1</v>
      </c>
      <c r="D151" s="1125">
        <v>0</v>
      </c>
      <c r="E151" s="361">
        <v>3</v>
      </c>
      <c r="F151" s="688" t="s">
        <v>569</v>
      </c>
      <c r="G151" s="703" t="s">
        <v>2399</v>
      </c>
      <c r="H151" s="703" t="s">
        <v>2399</v>
      </c>
      <c r="I151" s="703" t="s">
        <v>2399</v>
      </c>
      <c r="J151" s="703" t="s">
        <v>2399</v>
      </c>
      <c r="K151" s="703" t="s">
        <v>260</v>
      </c>
      <c r="L151" s="703" t="s">
        <v>2399</v>
      </c>
      <c r="M151" s="703" t="s">
        <v>260</v>
      </c>
      <c r="N151" s="703" t="s">
        <v>2399</v>
      </c>
      <c r="O151" s="703" t="s">
        <v>2399</v>
      </c>
      <c r="P151" s="703" t="s">
        <v>2399</v>
      </c>
    </row>
    <row r="152" spans="1:16" hidden="1" x14ac:dyDescent="0.3">
      <c r="A152" s="397" t="s">
        <v>1303</v>
      </c>
      <c r="B152" s="397" t="s">
        <v>3912</v>
      </c>
      <c r="C152" s="995">
        <v>0.2</v>
      </c>
      <c r="D152" s="1125">
        <v>0</v>
      </c>
      <c r="E152" s="361">
        <v>1.5</v>
      </c>
      <c r="F152" s="688" t="s">
        <v>569</v>
      </c>
      <c r="G152" s="703" t="s">
        <v>2399</v>
      </c>
      <c r="H152" s="703" t="s">
        <v>2399</v>
      </c>
      <c r="I152" s="703" t="s">
        <v>2399</v>
      </c>
      <c r="J152" s="703" t="s">
        <v>2399</v>
      </c>
      <c r="K152" s="703" t="s">
        <v>260</v>
      </c>
      <c r="L152" s="703" t="s">
        <v>2399</v>
      </c>
      <c r="M152" s="703" t="s">
        <v>260</v>
      </c>
      <c r="N152" s="703" t="s">
        <v>2399</v>
      </c>
      <c r="O152" s="703" t="s">
        <v>2399</v>
      </c>
      <c r="P152" s="703" t="s">
        <v>2399</v>
      </c>
    </row>
    <row r="153" spans="1:16" x14ac:dyDescent="0.3">
      <c r="A153" s="397" t="s">
        <v>457</v>
      </c>
      <c r="B153" s="397" t="s">
        <v>3912</v>
      </c>
      <c r="C153" s="995">
        <v>0.25</v>
      </c>
      <c r="D153" s="1125">
        <v>2</v>
      </c>
      <c r="E153" s="361">
        <v>2</v>
      </c>
      <c r="F153" s="688" t="s">
        <v>569</v>
      </c>
      <c r="G153" s="703" t="s">
        <v>2399</v>
      </c>
      <c r="H153" s="703" t="s">
        <v>2399</v>
      </c>
      <c r="I153" s="703" t="s">
        <v>2399</v>
      </c>
      <c r="J153" s="703" t="s">
        <v>2399</v>
      </c>
      <c r="K153" s="703" t="s">
        <v>260</v>
      </c>
      <c r="L153" s="703" t="s">
        <v>2399</v>
      </c>
      <c r="M153" s="703" t="s">
        <v>260</v>
      </c>
      <c r="N153" s="703" t="s">
        <v>2399</v>
      </c>
      <c r="O153" s="703" t="s">
        <v>2399</v>
      </c>
      <c r="P153" s="703" t="s">
        <v>2399</v>
      </c>
    </row>
    <row r="154" spans="1:16" x14ac:dyDescent="0.3">
      <c r="A154" s="397" t="s">
        <v>458</v>
      </c>
      <c r="B154" s="397" t="s">
        <v>3912</v>
      </c>
      <c r="C154" s="995">
        <v>0.5</v>
      </c>
      <c r="D154" s="1125">
        <v>4</v>
      </c>
      <c r="E154" s="361">
        <v>3</v>
      </c>
      <c r="F154" s="688" t="s">
        <v>569</v>
      </c>
      <c r="G154" s="703" t="s">
        <v>2399</v>
      </c>
      <c r="H154" s="703" t="s">
        <v>2399</v>
      </c>
      <c r="I154" s="703" t="s">
        <v>2399</v>
      </c>
      <c r="J154" s="703" t="s">
        <v>2399</v>
      </c>
      <c r="K154" s="703" t="s">
        <v>260</v>
      </c>
      <c r="L154" s="703" t="s">
        <v>2399</v>
      </c>
      <c r="M154" s="703" t="s">
        <v>260</v>
      </c>
      <c r="N154" s="703" t="s">
        <v>2399</v>
      </c>
      <c r="O154" s="703" t="s">
        <v>2399</v>
      </c>
      <c r="P154" s="703" t="s">
        <v>2399</v>
      </c>
    </row>
    <row r="155" spans="1:16" x14ac:dyDescent="0.3">
      <c r="A155" s="397" t="s">
        <v>456</v>
      </c>
      <c r="B155" s="397" t="s">
        <v>3912</v>
      </c>
      <c r="C155" s="995">
        <v>0.25</v>
      </c>
      <c r="D155" s="1125">
        <v>2</v>
      </c>
      <c r="E155" s="361">
        <v>2</v>
      </c>
      <c r="F155" s="688" t="s">
        <v>569</v>
      </c>
      <c r="G155" s="703" t="s">
        <v>2399</v>
      </c>
      <c r="H155" s="703" t="s">
        <v>2399</v>
      </c>
      <c r="I155" s="703" t="s">
        <v>2399</v>
      </c>
      <c r="J155" s="703" t="s">
        <v>2399</v>
      </c>
      <c r="K155" s="703" t="s">
        <v>260</v>
      </c>
      <c r="L155" s="703" t="s">
        <v>2399</v>
      </c>
      <c r="M155" s="703" t="s">
        <v>260</v>
      </c>
      <c r="N155" s="703" t="s">
        <v>2399</v>
      </c>
      <c r="O155" s="703" t="s">
        <v>2399</v>
      </c>
      <c r="P155" s="703" t="s">
        <v>2399</v>
      </c>
    </row>
    <row r="156" spans="1:16" x14ac:dyDescent="0.3">
      <c r="A156" s="397" t="s">
        <v>521</v>
      </c>
      <c r="B156" s="397" t="s">
        <v>3912</v>
      </c>
      <c r="C156" s="995">
        <v>0.5</v>
      </c>
      <c r="D156" s="1125">
        <v>4</v>
      </c>
      <c r="E156" s="361">
        <v>3</v>
      </c>
      <c r="F156" s="688" t="s">
        <v>569</v>
      </c>
      <c r="G156" s="703" t="s">
        <v>2399</v>
      </c>
      <c r="H156" s="703" t="s">
        <v>2399</v>
      </c>
      <c r="I156" s="703" t="s">
        <v>2399</v>
      </c>
      <c r="J156" s="703" t="s">
        <v>2399</v>
      </c>
      <c r="K156" s="703" t="s">
        <v>260</v>
      </c>
      <c r="L156" s="703" t="s">
        <v>2399</v>
      </c>
      <c r="M156" s="703" t="s">
        <v>260</v>
      </c>
      <c r="N156" s="703" t="s">
        <v>2399</v>
      </c>
      <c r="O156" s="703" t="s">
        <v>2399</v>
      </c>
      <c r="P156" s="703" t="s">
        <v>2399</v>
      </c>
    </row>
    <row r="157" spans="1:16" x14ac:dyDescent="0.3">
      <c r="A157" s="160" t="s">
        <v>520</v>
      </c>
      <c r="B157" s="160" t="s">
        <v>3922</v>
      </c>
      <c r="C157" s="398">
        <v>4</v>
      </c>
      <c r="D157" s="398">
        <v>4</v>
      </c>
      <c r="E157" s="399">
        <v>6</v>
      </c>
      <c r="F157" s="690" t="s">
        <v>3921</v>
      </c>
      <c r="G157" s="705" t="s">
        <v>2399</v>
      </c>
      <c r="H157" s="705" t="s">
        <v>2399</v>
      </c>
      <c r="I157" s="705" t="s">
        <v>2399</v>
      </c>
      <c r="J157" s="705" t="s">
        <v>260</v>
      </c>
      <c r="K157" s="705" t="s">
        <v>2399</v>
      </c>
      <c r="L157" s="705" t="s">
        <v>260</v>
      </c>
      <c r="M157" s="705" t="s">
        <v>2399</v>
      </c>
      <c r="N157" s="705" t="s">
        <v>2399</v>
      </c>
      <c r="O157" s="705" t="s">
        <v>2399</v>
      </c>
      <c r="P157" s="705" t="s">
        <v>2399</v>
      </c>
    </row>
    <row r="158" spans="1:16" x14ac:dyDescent="0.3">
      <c r="A158" s="160" t="s">
        <v>476</v>
      </c>
      <c r="B158" s="160" t="s">
        <v>3922</v>
      </c>
      <c r="C158" s="398">
        <v>0.2</v>
      </c>
      <c r="D158" s="398">
        <v>1</v>
      </c>
      <c r="E158" s="399">
        <v>2</v>
      </c>
      <c r="F158" s="690" t="s">
        <v>3921</v>
      </c>
      <c r="G158" s="705" t="s">
        <v>2399</v>
      </c>
      <c r="H158" s="705" t="s">
        <v>2399</v>
      </c>
      <c r="I158" s="705" t="s">
        <v>2399</v>
      </c>
      <c r="J158" s="705" t="s">
        <v>2399</v>
      </c>
      <c r="K158" s="705" t="s">
        <v>260</v>
      </c>
      <c r="L158" s="705" t="s">
        <v>2399</v>
      </c>
      <c r="M158" s="705" t="s">
        <v>2399</v>
      </c>
      <c r="N158" s="705" t="s">
        <v>2399</v>
      </c>
      <c r="O158" s="705" t="s">
        <v>2399</v>
      </c>
      <c r="P158" s="705" t="s">
        <v>2399</v>
      </c>
    </row>
    <row r="159" spans="1:16" x14ac:dyDescent="0.3">
      <c r="A159" s="160" t="s">
        <v>475</v>
      </c>
      <c r="B159" s="160" t="s">
        <v>3922</v>
      </c>
      <c r="C159" s="398">
        <v>0.5</v>
      </c>
      <c r="D159" s="398">
        <v>1</v>
      </c>
      <c r="E159" s="399">
        <v>4</v>
      </c>
      <c r="F159" s="690" t="s">
        <v>3921</v>
      </c>
      <c r="G159" s="705" t="s">
        <v>2399</v>
      </c>
      <c r="H159" s="705" t="s">
        <v>2399</v>
      </c>
      <c r="I159" s="705" t="s">
        <v>2399</v>
      </c>
      <c r="J159" s="705" t="s">
        <v>2399</v>
      </c>
      <c r="K159" s="705" t="s">
        <v>260</v>
      </c>
      <c r="L159" s="705" t="s">
        <v>2399</v>
      </c>
      <c r="M159" s="705" t="s">
        <v>2399</v>
      </c>
      <c r="N159" s="705" t="s">
        <v>2399</v>
      </c>
      <c r="O159" s="705" t="s">
        <v>2399</v>
      </c>
      <c r="P159" s="705" t="s">
        <v>2399</v>
      </c>
    </row>
    <row r="160" spans="1:16" x14ac:dyDescent="0.3">
      <c r="A160" s="160" t="s">
        <v>474</v>
      </c>
      <c r="B160" s="160" t="s">
        <v>3922</v>
      </c>
      <c r="C160" s="398">
        <v>0.4</v>
      </c>
      <c r="D160" s="398">
        <v>1</v>
      </c>
      <c r="E160" s="399">
        <v>4</v>
      </c>
      <c r="F160" s="690" t="s">
        <v>3921</v>
      </c>
      <c r="G160" s="705" t="s">
        <v>2399</v>
      </c>
      <c r="H160" s="705" t="s">
        <v>2399</v>
      </c>
      <c r="I160" s="705" t="s">
        <v>2399</v>
      </c>
      <c r="J160" s="705" t="s">
        <v>2399</v>
      </c>
      <c r="K160" s="705" t="s">
        <v>260</v>
      </c>
      <c r="L160" s="705" t="s">
        <v>2399</v>
      </c>
      <c r="M160" s="705" t="s">
        <v>260</v>
      </c>
      <c r="N160" s="705" t="s">
        <v>2399</v>
      </c>
      <c r="O160" s="705" t="s">
        <v>2399</v>
      </c>
      <c r="P160" s="705" t="s">
        <v>2399</v>
      </c>
    </row>
    <row r="161" spans="1:16" x14ac:dyDescent="0.3">
      <c r="A161" s="160" t="s">
        <v>470</v>
      </c>
      <c r="B161" s="160" t="s">
        <v>3922</v>
      </c>
      <c r="C161" s="398">
        <v>5</v>
      </c>
      <c r="D161" s="398">
        <v>4</v>
      </c>
      <c r="E161" s="399">
        <v>8</v>
      </c>
      <c r="F161" s="690" t="s">
        <v>3921</v>
      </c>
      <c r="G161" s="705" t="s">
        <v>2399</v>
      </c>
      <c r="H161" s="705" t="s">
        <v>2399</v>
      </c>
      <c r="I161" s="705" t="s">
        <v>2399</v>
      </c>
      <c r="J161" s="705" t="s">
        <v>260</v>
      </c>
      <c r="K161" s="705" t="s">
        <v>260</v>
      </c>
      <c r="L161" s="705" t="s">
        <v>260</v>
      </c>
      <c r="M161" s="705" t="s">
        <v>2399</v>
      </c>
      <c r="N161" s="705" t="s">
        <v>2399</v>
      </c>
      <c r="O161" s="705" t="s">
        <v>2399</v>
      </c>
      <c r="P161" s="705" t="s">
        <v>2399</v>
      </c>
    </row>
    <row r="162" spans="1:16" x14ac:dyDescent="0.3">
      <c r="A162" s="160" t="s">
        <v>469</v>
      </c>
      <c r="B162" s="160" t="s">
        <v>3922</v>
      </c>
      <c r="C162" s="398">
        <v>2</v>
      </c>
      <c r="D162" s="398">
        <v>2</v>
      </c>
      <c r="E162" s="399">
        <v>2.5</v>
      </c>
      <c r="F162" s="690" t="s">
        <v>3921</v>
      </c>
      <c r="G162" s="705" t="s">
        <v>2399</v>
      </c>
      <c r="H162" s="705" t="s">
        <v>2399</v>
      </c>
      <c r="I162" s="705" t="s">
        <v>2399</v>
      </c>
      <c r="J162" s="705" t="s">
        <v>2399</v>
      </c>
      <c r="K162" s="705" t="s">
        <v>260</v>
      </c>
      <c r="L162" s="705" t="s">
        <v>2399</v>
      </c>
      <c r="M162" s="705" t="s">
        <v>2399</v>
      </c>
      <c r="N162" s="705" t="s">
        <v>2399</v>
      </c>
      <c r="O162" s="705" t="s">
        <v>2399</v>
      </c>
      <c r="P162" s="705" t="s">
        <v>2399</v>
      </c>
    </row>
    <row r="163" spans="1:16" x14ac:dyDescent="0.3">
      <c r="A163" s="160" t="s">
        <v>2387</v>
      </c>
      <c r="B163" s="160" t="s">
        <v>3922</v>
      </c>
      <c r="C163" s="398">
        <v>0.1</v>
      </c>
      <c r="D163" s="398">
        <v>1</v>
      </c>
      <c r="E163" s="399">
        <v>0.5</v>
      </c>
      <c r="F163" s="690" t="s">
        <v>3921</v>
      </c>
      <c r="G163" s="705" t="s">
        <v>2399</v>
      </c>
      <c r="H163" s="705" t="s">
        <v>2399</v>
      </c>
      <c r="I163" s="705" t="s">
        <v>2399</v>
      </c>
      <c r="J163" s="705" t="s">
        <v>2399</v>
      </c>
      <c r="K163" s="705" t="s">
        <v>260</v>
      </c>
      <c r="L163" s="705" t="s">
        <v>2399</v>
      </c>
      <c r="M163" s="705" t="s">
        <v>2399</v>
      </c>
      <c r="N163" s="705" t="s">
        <v>2399</v>
      </c>
      <c r="O163" s="705" t="s">
        <v>2399</v>
      </c>
      <c r="P163" s="705" t="s">
        <v>2399</v>
      </c>
    </row>
    <row r="164" spans="1:16" x14ac:dyDescent="0.3">
      <c r="A164" s="160" t="s">
        <v>477</v>
      </c>
      <c r="B164" s="160" t="s">
        <v>3922</v>
      </c>
      <c r="C164" s="398">
        <v>0.5</v>
      </c>
      <c r="D164" s="398">
        <v>2</v>
      </c>
      <c r="E164" s="399">
        <v>11</v>
      </c>
      <c r="F164" s="690" t="s">
        <v>3921</v>
      </c>
      <c r="G164" s="705" t="s">
        <v>2399</v>
      </c>
      <c r="H164" s="705" t="s">
        <v>2399</v>
      </c>
      <c r="I164" s="705" t="s">
        <v>2399</v>
      </c>
      <c r="J164" s="705" t="s">
        <v>2399</v>
      </c>
      <c r="K164" s="705" t="s">
        <v>260</v>
      </c>
      <c r="L164" s="705" t="s">
        <v>2399</v>
      </c>
      <c r="M164" s="705" t="s">
        <v>2399</v>
      </c>
      <c r="N164" s="705" t="s">
        <v>2399</v>
      </c>
      <c r="O164" s="705" t="s">
        <v>2399</v>
      </c>
      <c r="P164" s="705" t="s">
        <v>2399</v>
      </c>
    </row>
    <row r="165" spans="1:16" x14ac:dyDescent="0.3">
      <c r="A165" s="160" t="s">
        <v>488</v>
      </c>
      <c r="B165" s="160" t="s">
        <v>3922</v>
      </c>
      <c r="C165" s="398">
        <v>0.7</v>
      </c>
      <c r="D165" s="398">
        <v>2</v>
      </c>
      <c r="E165" s="399">
        <v>2</v>
      </c>
      <c r="F165" s="690" t="s">
        <v>3921</v>
      </c>
      <c r="G165" s="705" t="s">
        <v>2399</v>
      </c>
      <c r="H165" s="705" t="s">
        <v>2399</v>
      </c>
      <c r="I165" s="705" t="s">
        <v>2399</v>
      </c>
      <c r="J165" s="705" t="s">
        <v>2399</v>
      </c>
      <c r="K165" s="705" t="s">
        <v>260</v>
      </c>
      <c r="L165" s="705" t="s">
        <v>2399</v>
      </c>
      <c r="M165" s="705" t="s">
        <v>2399</v>
      </c>
      <c r="N165" s="705" t="s">
        <v>2399</v>
      </c>
      <c r="O165" s="705" t="s">
        <v>2399</v>
      </c>
      <c r="P165" s="705" t="s">
        <v>2399</v>
      </c>
    </row>
    <row r="166" spans="1:16" hidden="1" x14ac:dyDescent="0.3">
      <c r="A166" s="997" t="s">
        <v>2081</v>
      </c>
      <c r="B166" s="997" t="s">
        <v>2082</v>
      </c>
      <c r="C166" s="155">
        <v>0</v>
      </c>
      <c r="D166" s="155">
        <v>0</v>
      </c>
      <c r="E166" s="387"/>
      <c r="F166" s="254" t="s">
        <v>1256</v>
      </c>
      <c r="G166" s="998" t="s">
        <v>2399</v>
      </c>
      <c r="H166" s="998" t="s">
        <v>2399</v>
      </c>
      <c r="I166" s="998" t="s">
        <v>2399</v>
      </c>
      <c r="J166" s="998" t="s">
        <v>260</v>
      </c>
      <c r="K166" s="998" t="s">
        <v>260</v>
      </c>
      <c r="L166" s="998" t="s">
        <v>260</v>
      </c>
      <c r="M166" s="998" t="s">
        <v>260</v>
      </c>
      <c r="N166" s="998" t="s">
        <v>260</v>
      </c>
      <c r="O166" s="998" t="s">
        <v>2399</v>
      </c>
      <c r="P166" s="998" t="s">
        <v>2399</v>
      </c>
    </row>
    <row r="167" spans="1:16" x14ac:dyDescent="0.3">
      <c r="A167" s="160" t="s">
        <v>2104</v>
      </c>
      <c r="B167" s="160" t="s">
        <v>479</v>
      </c>
      <c r="C167" s="398">
        <v>0.15</v>
      </c>
      <c r="D167" s="398">
        <v>1</v>
      </c>
      <c r="E167" s="399">
        <v>4</v>
      </c>
      <c r="F167" s="690" t="s">
        <v>3921</v>
      </c>
      <c r="G167" s="705" t="s">
        <v>2399</v>
      </c>
      <c r="H167" s="705" t="s">
        <v>2399</v>
      </c>
      <c r="I167" s="705" t="s">
        <v>2399</v>
      </c>
      <c r="J167" s="705" t="s">
        <v>2399</v>
      </c>
      <c r="K167" s="705" t="s">
        <v>260</v>
      </c>
      <c r="L167" s="705" t="s">
        <v>2399</v>
      </c>
      <c r="M167" s="705" t="s">
        <v>260</v>
      </c>
      <c r="N167" s="705" t="s">
        <v>2399</v>
      </c>
      <c r="O167" s="705" t="s">
        <v>2399</v>
      </c>
      <c r="P167" s="705" t="s">
        <v>2399</v>
      </c>
    </row>
    <row r="168" spans="1:16" hidden="1" x14ac:dyDescent="0.3">
      <c r="A168" s="661" t="s">
        <v>1177</v>
      </c>
      <c r="B168" s="661" t="s">
        <v>479</v>
      </c>
      <c r="C168" s="662">
        <v>0.2</v>
      </c>
      <c r="D168" s="662">
        <v>1</v>
      </c>
      <c r="E168" s="663">
        <v>4</v>
      </c>
      <c r="F168" s="684" t="s">
        <v>1258</v>
      </c>
      <c r="G168" s="699" t="s">
        <v>2399</v>
      </c>
      <c r="H168" s="699" t="s">
        <v>2399</v>
      </c>
      <c r="I168" s="699" t="s">
        <v>2399</v>
      </c>
      <c r="J168" s="699" t="s">
        <v>2399</v>
      </c>
      <c r="K168" s="699" t="s">
        <v>260</v>
      </c>
      <c r="L168" s="699" t="s">
        <v>2399</v>
      </c>
      <c r="M168" s="699" t="s">
        <v>2399</v>
      </c>
      <c r="N168" s="699" t="s">
        <v>2399</v>
      </c>
      <c r="O168" s="699" t="s">
        <v>2399</v>
      </c>
      <c r="P168" s="699" t="s">
        <v>2399</v>
      </c>
    </row>
    <row r="169" spans="1:16" hidden="1" x14ac:dyDescent="0.3">
      <c r="A169" s="661" t="s">
        <v>1285</v>
      </c>
      <c r="B169" s="661" t="s">
        <v>479</v>
      </c>
      <c r="C169" s="662">
        <v>0.5</v>
      </c>
      <c r="D169" s="662">
        <v>2</v>
      </c>
      <c r="E169" s="663">
        <v>750</v>
      </c>
      <c r="F169" s="684" t="s">
        <v>1258</v>
      </c>
      <c r="G169" s="699" t="s">
        <v>2399</v>
      </c>
      <c r="H169" s="699" t="s">
        <v>2399</v>
      </c>
      <c r="I169" s="699" t="s">
        <v>2399</v>
      </c>
      <c r="J169" s="699" t="s">
        <v>2399</v>
      </c>
      <c r="K169" s="699" t="s">
        <v>260</v>
      </c>
      <c r="L169" s="699" t="s">
        <v>2399</v>
      </c>
      <c r="M169" s="699" t="s">
        <v>2399</v>
      </c>
      <c r="N169" s="699" t="s">
        <v>2399</v>
      </c>
      <c r="O169" s="699" t="s">
        <v>2399</v>
      </c>
      <c r="P169" s="699" t="s">
        <v>2399</v>
      </c>
    </row>
    <row r="170" spans="1:16" hidden="1" x14ac:dyDescent="0.3">
      <c r="A170" s="661" t="s">
        <v>331</v>
      </c>
      <c r="B170" s="661" t="s">
        <v>479</v>
      </c>
      <c r="C170" s="662">
        <v>0.4</v>
      </c>
      <c r="D170" s="662">
        <v>2</v>
      </c>
      <c r="E170" s="663">
        <v>6</v>
      </c>
      <c r="F170" s="684" t="s">
        <v>1258</v>
      </c>
      <c r="G170" s="699" t="s">
        <v>2399</v>
      </c>
      <c r="H170" s="699" t="s">
        <v>2399</v>
      </c>
      <c r="I170" s="699" t="s">
        <v>2399</v>
      </c>
      <c r="J170" s="699" t="s">
        <v>2399</v>
      </c>
      <c r="K170" s="699" t="s">
        <v>260</v>
      </c>
      <c r="L170" s="699" t="s">
        <v>2399</v>
      </c>
      <c r="M170" s="699" t="s">
        <v>2399</v>
      </c>
      <c r="N170" s="699" t="s">
        <v>2399</v>
      </c>
      <c r="O170" s="699" t="s">
        <v>2399</v>
      </c>
      <c r="P170" s="699" t="s">
        <v>2399</v>
      </c>
    </row>
    <row r="171" spans="1:16" hidden="1" x14ac:dyDescent="0.3">
      <c r="A171" s="661" t="s">
        <v>1176</v>
      </c>
      <c r="B171" s="661" t="s">
        <v>479</v>
      </c>
      <c r="C171" s="662">
        <v>0.9</v>
      </c>
      <c r="D171" s="662">
        <v>2</v>
      </c>
      <c r="E171" s="663">
        <v>8</v>
      </c>
      <c r="F171" s="684" t="s">
        <v>1258</v>
      </c>
      <c r="G171" s="699" t="s">
        <v>2399</v>
      </c>
      <c r="H171" s="699" t="s">
        <v>2399</v>
      </c>
      <c r="I171" s="699" t="s">
        <v>2399</v>
      </c>
      <c r="J171" s="699" t="s">
        <v>2399</v>
      </c>
      <c r="K171" s="699" t="s">
        <v>260</v>
      </c>
      <c r="L171" s="699" t="s">
        <v>2399</v>
      </c>
      <c r="M171" s="699" t="s">
        <v>2399</v>
      </c>
      <c r="N171" s="699" t="s">
        <v>2399</v>
      </c>
      <c r="O171" s="699" t="s">
        <v>2399</v>
      </c>
      <c r="P171" s="699" t="s">
        <v>2399</v>
      </c>
    </row>
    <row r="172" spans="1:16" ht="15.75" hidden="1" customHeight="1" x14ac:dyDescent="0.3">
      <c r="A172" s="661" t="s">
        <v>3896</v>
      </c>
      <c r="B172" s="661" t="s">
        <v>479</v>
      </c>
      <c r="C172" s="662">
        <v>7.0000000000000007E-2</v>
      </c>
      <c r="D172" s="662">
        <v>1</v>
      </c>
      <c r="E172" s="663">
        <v>3.5</v>
      </c>
      <c r="F172" s="684" t="s">
        <v>1258</v>
      </c>
      <c r="G172" s="699" t="s">
        <v>2399</v>
      </c>
      <c r="H172" s="699" t="s">
        <v>2399</v>
      </c>
      <c r="I172" s="699" t="s">
        <v>2399</v>
      </c>
      <c r="J172" s="699" t="s">
        <v>2399</v>
      </c>
      <c r="K172" s="699" t="s">
        <v>260</v>
      </c>
      <c r="L172" s="699" t="s">
        <v>2399</v>
      </c>
      <c r="M172" s="699" t="s">
        <v>2399</v>
      </c>
      <c r="N172" s="699" t="s">
        <v>2399</v>
      </c>
      <c r="O172" s="699" t="s">
        <v>2399</v>
      </c>
      <c r="P172" s="699" t="s">
        <v>2399</v>
      </c>
    </row>
    <row r="173" spans="1:16" hidden="1" x14ac:dyDescent="0.3">
      <c r="A173" s="661" t="s">
        <v>1171</v>
      </c>
      <c r="B173" s="661" t="s">
        <v>479</v>
      </c>
      <c r="C173" s="662">
        <v>1</v>
      </c>
      <c r="D173" s="662">
        <v>2</v>
      </c>
      <c r="E173" s="663">
        <v>0.25</v>
      </c>
      <c r="F173" s="684" t="s">
        <v>1258</v>
      </c>
      <c r="G173" s="699" t="s">
        <v>2399</v>
      </c>
      <c r="H173" s="699" t="s">
        <v>2399</v>
      </c>
      <c r="I173" s="699" t="s">
        <v>2399</v>
      </c>
      <c r="J173" s="699" t="s">
        <v>2399</v>
      </c>
      <c r="K173" s="699" t="s">
        <v>260</v>
      </c>
      <c r="L173" s="699" t="s">
        <v>2399</v>
      </c>
      <c r="M173" s="699" t="s">
        <v>2399</v>
      </c>
      <c r="N173" s="699" t="s">
        <v>2399</v>
      </c>
      <c r="O173" s="699" t="s">
        <v>2399</v>
      </c>
      <c r="P173" s="699" t="s">
        <v>2399</v>
      </c>
    </row>
    <row r="174" spans="1:16" hidden="1" x14ac:dyDescent="0.3">
      <c r="A174" s="410" t="s">
        <v>327</v>
      </c>
      <c r="B174" s="407" t="s">
        <v>479</v>
      </c>
      <c r="C174" s="408">
        <v>0.8</v>
      </c>
      <c r="D174" s="408">
        <v>2</v>
      </c>
      <c r="E174" s="409">
        <v>21</v>
      </c>
      <c r="F174" s="686" t="s">
        <v>1258</v>
      </c>
      <c r="G174" s="701" t="s">
        <v>2399</v>
      </c>
      <c r="H174" s="701" t="s">
        <v>2399</v>
      </c>
      <c r="I174" s="701" t="s">
        <v>2399</v>
      </c>
      <c r="J174" s="701" t="s">
        <v>2399</v>
      </c>
      <c r="K174" s="701" t="s">
        <v>2399</v>
      </c>
      <c r="L174" s="701" t="s">
        <v>2399</v>
      </c>
      <c r="M174" s="701" t="s">
        <v>2399</v>
      </c>
      <c r="N174" s="701" t="s">
        <v>2399</v>
      </c>
      <c r="O174" s="701" t="s">
        <v>2399</v>
      </c>
      <c r="P174" s="701" t="s">
        <v>2399</v>
      </c>
    </row>
    <row r="175" spans="1:16" hidden="1" x14ac:dyDescent="0.3">
      <c r="A175" s="706" t="s">
        <v>3939</v>
      </c>
      <c r="B175" s="707" t="s">
        <v>479</v>
      </c>
      <c r="C175" s="708">
        <v>0.3</v>
      </c>
      <c r="D175" s="708">
        <v>0</v>
      </c>
      <c r="E175" s="709"/>
      <c r="F175" s="710" t="s">
        <v>1258</v>
      </c>
      <c r="G175" s="711" t="s">
        <v>2399</v>
      </c>
      <c r="H175" s="711" t="s">
        <v>2399</v>
      </c>
      <c r="I175" s="711" t="s">
        <v>2399</v>
      </c>
      <c r="J175" s="711" t="s">
        <v>2399</v>
      </c>
      <c r="K175" s="711" t="s">
        <v>260</v>
      </c>
      <c r="L175" s="711" t="s">
        <v>2399</v>
      </c>
      <c r="M175" s="711" t="s">
        <v>2399</v>
      </c>
      <c r="N175" s="711" t="s">
        <v>260</v>
      </c>
      <c r="O175" s="711" t="s">
        <v>2399</v>
      </c>
      <c r="P175" s="711" t="s">
        <v>2399</v>
      </c>
    </row>
    <row r="176" spans="1:16" hidden="1" x14ac:dyDescent="0.3">
      <c r="A176" s="661" t="s">
        <v>1169</v>
      </c>
      <c r="B176" s="661" t="s">
        <v>479</v>
      </c>
      <c r="C176" s="662">
        <v>0.2</v>
      </c>
      <c r="D176" s="662">
        <v>0</v>
      </c>
      <c r="E176" s="663">
        <v>3</v>
      </c>
      <c r="F176" s="684" t="s">
        <v>1258</v>
      </c>
      <c r="G176" s="699" t="s">
        <v>2399</v>
      </c>
      <c r="H176" s="699" t="s">
        <v>2399</v>
      </c>
      <c r="I176" s="699" t="s">
        <v>2399</v>
      </c>
      <c r="J176" s="699" t="s">
        <v>2399</v>
      </c>
      <c r="K176" s="699" t="s">
        <v>260</v>
      </c>
      <c r="L176" s="699" t="s">
        <v>2399</v>
      </c>
      <c r="M176" s="699" t="s">
        <v>2399</v>
      </c>
      <c r="N176" s="699" t="s">
        <v>2399</v>
      </c>
      <c r="O176" s="699" t="s">
        <v>2399</v>
      </c>
      <c r="P176" s="699" t="s">
        <v>2399</v>
      </c>
    </row>
    <row r="177" spans="1:16" hidden="1" x14ac:dyDescent="0.3">
      <c r="A177" s="706" t="s">
        <v>3940</v>
      </c>
      <c r="B177" s="707" t="s">
        <v>479</v>
      </c>
      <c r="C177" s="708">
        <v>0.2</v>
      </c>
      <c r="D177" s="708">
        <v>0</v>
      </c>
      <c r="E177" s="709"/>
      <c r="F177" s="710" t="s">
        <v>1258</v>
      </c>
      <c r="G177" s="711" t="s">
        <v>2399</v>
      </c>
      <c r="H177" s="711" t="s">
        <v>2399</v>
      </c>
      <c r="I177" s="711" t="s">
        <v>2399</v>
      </c>
      <c r="J177" s="711" t="s">
        <v>2399</v>
      </c>
      <c r="K177" s="711" t="s">
        <v>260</v>
      </c>
      <c r="L177" s="711" t="s">
        <v>2399</v>
      </c>
      <c r="M177" s="711" t="s">
        <v>2399</v>
      </c>
      <c r="N177" s="711" t="s">
        <v>2399</v>
      </c>
      <c r="O177" s="711" t="s">
        <v>2399</v>
      </c>
      <c r="P177" s="711" t="s">
        <v>2399</v>
      </c>
    </row>
    <row r="178" spans="1:16" hidden="1" x14ac:dyDescent="0.3">
      <c r="A178" s="707" t="s">
        <v>3941</v>
      </c>
      <c r="B178" s="707" t="s">
        <v>479</v>
      </c>
      <c r="C178" s="708">
        <v>1.1000000000000001</v>
      </c>
      <c r="D178" s="708">
        <v>0</v>
      </c>
      <c r="E178" s="709"/>
      <c r="F178" s="710" t="s">
        <v>1258</v>
      </c>
      <c r="G178" s="711" t="s">
        <v>2399</v>
      </c>
      <c r="H178" s="711" t="s">
        <v>2399</v>
      </c>
      <c r="I178" s="711" t="s">
        <v>2399</v>
      </c>
      <c r="J178" s="711" t="s">
        <v>2399</v>
      </c>
      <c r="K178" s="711" t="s">
        <v>260</v>
      </c>
      <c r="L178" s="711" t="s">
        <v>2399</v>
      </c>
      <c r="M178" s="711" t="s">
        <v>2399</v>
      </c>
      <c r="N178" s="711" t="s">
        <v>2399</v>
      </c>
      <c r="O178" s="711" t="s">
        <v>2399</v>
      </c>
      <c r="P178" s="711" t="s">
        <v>2399</v>
      </c>
    </row>
    <row r="179" spans="1:16" hidden="1" x14ac:dyDescent="0.3">
      <c r="A179" s="661" t="s">
        <v>3898</v>
      </c>
      <c r="B179" s="661" t="s">
        <v>479</v>
      </c>
      <c r="C179" s="662">
        <v>0.1</v>
      </c>
      <c r="D179" s="662">
        <v>0</v>
      </c>
      <c r="E179" s="663">
        <v>1.5</v>
      </c>
      <c r="F179" s="684" t="s">
        <v>1258</v>
      </c>
      <c r="G179" s="699" t="s">
        <v>2399</v>
      </c>
      <c r="H179" s="699" t="s">
        <v>2399</v>
      </c>
      <c r="I179" s="699" t="s">
        <v>2399</v>
      </c>
      <c r="J179" s="699" t="s">
        <v>2399</v>
      </c>
      <c r="K179" s="699" t="s">
        <v>260</v>
      </c>
      <c r="L179" s="699" t="s">
        <v>2399</v>
      </c>
      <c r="M179" s="699" t="s">
        <v>2399</v>
      </c>
      <c r="N179" s="699" t="s">
        <v>2399</v>
      </c>
      <c r="O179" s="699" t="s">
        <v>2399</v>
      </c>
      <c r="P179" s="699" t="s">
        <v>2399</v>
      </c>
    </row>
    <row r="180" spans="1:16" hidden="1" x14ac:dyDescent="0.3">
      <c r="A180" s="661" t="s">
        <v>1172</v>
      </c>
      <c r="B180" s="661" t="s">
        <v>479</v>
      </c>
      <c r="C180" s="662">
        <v>0.25</v>
      </c>
      <c r="D180" s="662">
        <v>2</v>
      </c>
      <c r="E180" s="663">
        <v>2.5</v>
      </c>
      <c r="F180" s="684" t="s">
        <v>1258</v>
      </c>
      <c r="G180" s="699" t="s">
        <v>2399</v>
      </c>
      <c r="H180" s="699" t="s">
        <v>2399</v>
      </c>
      <c r="I180" s="699" t="s">
        <v>2399</v>
      </c>
      <c r="J180" s="699" t="s">
        <v>2399</v>
      </c>
      <c r="K180" s="699" t="s">
        <v>260</v>
      </c>
      <c r="L180" s="699" t="s">
        <v>2399</v>
      </c>
      <c r="M180" s="699" t="s">
        <v>2399</v>
      </c>
      <c r="N180" s="699" t="s">
        <v>2399</v>
      </c>
      <c r="O180" s="699" t="s">
        <v>2399</v>
      </c>
      <c r="P180" s="699" t="s">
        <v>2399</v>
      </c>
    </row>
    <row r="181" spans="1:16" hidden="1" x14ac:dyDescent="0.3">
      <c r="A181" s="706" t="s">
        <v>3942</v>
      </c>
      <c r="B181" s="707" t="s">
        <v>479</v>
      </c>
      <c r="C181" s="708">
        <v>0.1</v>
      </c>
      <c r="D181" s="708">
        <v>0</v>
      </c>
      <c r="E181" s="709"/>
      <c r="F181" s="710" t="s">
        <v>1258</v>
      </c>
      <c r="G181" s="711" t="s">
        <v>2399</v>
      </c>
      <c r="H181" s="711" t="s">
        <v>2399</v>
      </c>
      <c r="I181" s="711" t="s">
        <v>2399</v>
      </c>
      <c r="J181" s="711" t="s">
        <v>2399</v>
      </c>
      <c r="K181" s="711" t="s">
        <v>260</v>
      </c>
      <c r="L181" s="711" t="s">
        <v>2399</v>
      </c>
      <c r="M181" s="711" t="s">
        <v>260</v>
      </c>
      <c r="N181" s="711" t="s">
        <v>2399</v>
      </c>
      <c r="O181" s="711" t="s">
        <v>2399</v>
      </c>
      <c r="P181" s="711" t="s">
        <v>2399</v>
      </c>
    </row>
    <row r="182" spans="1:16" hidden="1" x14ac:dyDescent="0.3">
      <c r="A182" s="661" t="s">
        <v>333</v>
      </c>
      <c r="B182" s="661" t="s">
        <v>479</v>
      </c>
      <c r="C182" s="662">
        <v>0.1</v>
      </c>
      <c r="D182" s="662">
        <v>2</v>
      </c>
      <c r="E182" s="663">
        <v>5</v>
      </c>
      <c r="F182" s="684" t="s">
        <v>1258</v>
      </c>
      <c r="G182" s="699" t="s">
        <v>2399</v>
      </c>
      <c r="H182" s="699" t="s">
        <v>2399</v>
      </c>
      <c r="I182" s="699" t="s">
        <v>2399</v>
      </c>
      <c r="J182" s="699" t="s">
        <v>2399</v>
      </c>
      <c r="K182" s="699" t="s">
        <v>260</v>
      </c>
      <c r="L182" s="699" t="s">
        <v>2399</v>
      </c>
      <c r="M182" s="699" t="s">
        <v>2399</v>
      </c>
      <c r="N182" s="699" t="s">
        <v>2399</v>
      </c>
      <c r="O182" s="699" t="s">
        <v>2399</v>
      </c>
      <c r="P182" s="699" t="s">
        <v>2399</v>
      </c>
    </row>
    <row r="183" spans="1:16" hidden="1" x14ac:dyDescent="0.3">
      <c r="A183" s="661" t="s">
        <v>1175</v>
      </c>
      <c r="B183" s="661" t="s">
        <v>479</v>
      </c>
      <c r="C183" s="662">
        <v>0.2</v>
      </c>
      <c r="D183" s="662">
        <v>2</v>
      </c>
      <c r="E183" s="663">
        <v>4</v>
      </c>
      <c r="F183" s="684" t="s">
        <v>1258</v>
      </c>
      <c r="G183" s="699" t="s">
        <v>2399</v>
      </c>
      <c r="H183" s="699" t="s">
        <v>2399</v>
      </c>
      <c r="I183" s="699" t="s">
        <v>2399</v>
      </c>
      <c r="J183" s="699" t="s">
        <v>2399</v>
      </c>
      <c r="K183" s="699" t="s">
        <v>260</v>
      </c>
      <c r="L183" s="699" t="s">
        <v>2399</v>
      </c>
      <c r="M183" s="699" t="s">
        <v>2399</v>
      </c>
      <c r="N183" s="699" t="s">
        <v>2399</v>
      </c>
      <c r="O183" s="699" t="s">
        <v>2399</v>
      </c>
      <c r="P183" s="699" t="s">
        <v>2399</v>
      </c>
    </row>
    <row r="184" spans="1:16" hidden="1" x14ac:dyDescent="0.3">
      <c r="A184" s="661" t="s">
        <v>330</v>
      </c>
      <c r="B184" s="661" t="s">
        <v>479</v>
      </c>
      <c r="C184" s="662">
        <v>0.2</v>
      </c>
      <c r="D184" s="662">
        <v>2</v>
      </c>
      <c r="E184" s="663">
        <v>1</v>
      </c>
      <c r="F184" s="684" t="s">
        <v>1258</v>
      </c>
      <c r="G184" s="699" t="s">
        <v>2399</v>
      </c>
      <c r="H184" s="699" t="s">
        <v>2399</v>
      </c>
      <c r="I184" s="699" t="s">
        <v>2399</v>
      </c>
      <c r="J184" s="699" t="s">
        <v>2399</v>
      </c>
      <c r="K184" s="699" t="s">
        <v>260</v>
      </c>
      <c r="L184" s="699" t="s">
        <v>2399</v>
      </c>
      <c r="M184" s="699" t="s">
        <v>2399</v>
      </c>
      <c r="N184" s="699" t="s">
        <v>2399</v>
      </c>
      <c r="O184" s="699" t="s">
        <v>2399</v>
      </c>
      <c r="P184" s="699" t="s">
        <v>2399</v>
      </c>
    </row>
    <row r="185" spans="1:16" hidden="1" x14ac:dyDescent="0.3">
      <c r="A185" s="661" t="s">
        <v>2410</v>
      </c>
      <c r="B185" s="661" t="s">
        <v>479</v>
      </c>
      <c r="C185" s="662">
        <v>0.1</v>
      </c>
      <c r="D185" s="662">
        <v>1</v>
      </c>
      <c r="E185" s="663">
        <v>0.5</v>
      </c>
      <c r="F185" s="684" t="s">
        <v>1258</v>
      </c>
      <c r="G185" s="699" t="s">
        <v>2399</v>
      </c>
      <c r="H185" s="699" t="s">
        <v>2399</v>
      </c>
      <c r="I185" s="699" t="s">
        <v>2399</v>
      </c>
      <c r="J185" s="699" t="s">
        <v>2399</v>
      </c>
      <c r="K185" s="699" t="s">
        <v>260</v>
      </c>
      <c r="L185" s="699" t="s">
        <v>2399</v>
      </c>
      <c r="M185" s="699" t="s">
        <v>2399</v>
      </c>
      <c r="N185" s="699" t="s">
        <v>2399</v>
      </c>
      <c r="O185" s="699" t="s">
        <v>2399</v>
      </c>
      <c r="P185" s="699" t="s">
        <v>2399</v>
      </c>
    </row>
    <row r="186" spans="1:16" x14ac:dyDescent="0.3">
      <c r="A186" s="38" t="s">
        <v>2103</v>
      </c>
      <c r="B186" s="38" t="s">
        <v>479</v>
      </c>
      <c r="C186" s="927">
        <v>0.15</v>
      </c>
      <c r="D186" s="927">
        <v>2</v>
      </c>
      <c r="E186" s="393"/>
      <c r="F186" s="254" t="s">
        <v>1256</v>
      </c>
      <c r="G186" s="998" t="s">
        <v>2399</v>
      </c>
      <c r="H186" s="998" t="s">
        <v>2399</v>
      </c>
      <c r="I186" s="998" t="s">
        <v>2399</v>
      </c>
      <c r="J186" s="998" t="s">
        <v>2399</v>
      </c>
      <c r="K186" s="998" t="s">
        <v>260</v>
      </c>
      <c r="L186" s="998" t="s">
        <v>2399</v>
      </c>
      <c r="M186" s="998" t="s">
        <v>2399</v>
      </c>
      <c r="N186" s="998" t="s">
        <v>2399</v>
      </c>
      <c r="O186" s="998" t="s">
        <v>2399</v>
      </c>
      <c r="P186" s="998" t="s">
        <v>2399</v>
      </c>
    </row>
    <row r="187" spans="1:16" hidden="1" x14ac:dyDescent="0.3">
      <c r="A187" s="706" t="s">
        <v>3943</v>
      </c>
      <c r="B187" s="707" t="s">
        <v>479</v>
      </c>
      <c r="C187" s="708">
        <v>0.3</v>
      </c>
      <c r="D187" s="708">
        <v>0</v>
      </c>
      <c r="E187" s="709"/>
      <c r="F187" s="710" t="s">
        <v>1258</v>
      </c>
      <c r="G187" s="711" t="s">
        <v>2399</v>
      </c>
      <c r="H187" s="711" t="s">
        <v>2399</v>
      </c>
      <c r="I187" s="711" t="s">
        <v>2399</v>
      </c>
      <c r="J187" s="711" t="s">
        <v>2399</v>
      </c>
      <c r="K187" s="711" t="s">
        <v>260</v>
      </c>
      <c r="L187" s="711" t="s">
        <v>2399</v>
      </c>
      <c r="M187" s="711" t="s">
        <v>2399</v>
      </c>
      <c r="N187" s="711" t="s">
        <v>2399</v>
      </c>
      <c r="O187" s="711" t="s">
        <v>2399</v>
      </c>
      <c r="P187" s="711" t="s">
        <v>2399</v>
      </c>
    </row>
    <row r="188" spans="1:16" hidden="1" x14ac:dyDescent="0.3">
      <c r="A188" s="38" t="s">
        <v>2102</v>
      </c>
      <c r="B188" s="38" t="s">
        <v>479</v>
      </c>
      <c r="C188" s="927">
        <v>0.04</v>
      </c>
      <c r="D188" s="927">
        <v>0</v>
      </c>
      <c r="E188" s="393"/>
      <c r="F188" s="254" t="s">
        <v>1256</v>
      </c>
      <c r="G188" s="998" t="s">
        <v>2399</v>
      </c>
      <c r="H188" s="998" t="s">
        <v>2399</v>
      </c>
      <c r="I188" s="998" t="s">
        <v>260</v>
      </c>
      <c r="J188" s="998" t="s">
        <v>2399</v>
      </c>
      <c r="K188" s="998" t="s">
        <v>260</v>
      </c>
      <c r="L188" s="998" t="s">
        <v>2399</v>
      </c>
      <c r="M188" s="998" t="s">
        <v>2399</v>
      </c>
      <c r="N188" s="998" t="s">
        <v>2399</v>
      </c>
      <c r="O188" s="998" t="s">
        <v>2399</v>
      </c>
      <c r="P188" s="998" t="s">
        <v>2399</v>
      </c>
    </row>
    <row r="189" spans="1:16" hidden="1" x14ac:dyDescent="0.3">
      <c r="A189" s="661" t="s">
        <v>3897</v>
      </c>
      <c r="B189" s="661" t="s">
        <v>479</v>
      </c>
      <c r="C189" s="662">
        <v>0.05</v>
      </c>
      <c r="D189" s="662">
        <v>0</v>
      </c>
      <c r="E189" s="663">
        <v>2.5</v>
      </c>
      <c r="F189" s="684" t="s">
        <v>1258</v>
      </c>
      <c r="G189" s="699" t="s">
        <v>2399</v>
      </c>
      <c r="H189" s="699" t="s">
        <v>2399</v>
      </c>
      <c r="I189" s="699" t="s">
        <v>2399</v>
      </c>
      <c r="J189" s="699" t="s">
        <v>2399</v>
      </c>
      <c r="K189" s="699" t="s">
        <v>260</v>
      </c>
      <c r="L189" s="699" t="s">
        <v>2399</v>
      </c>
      <c r="M189" s="699" t="s">
        <v>2399</v>
      </c>
      <c r="N189" s="699" t="s">
        <v>2399</v>
      </c>
      <c r="O189" s="699" t="s">
        <v>2399</v>
      </c>
      <c r="P189" s="699" t="s">
        <v>2399</v>
      </c>
    </row>
    <row r="190" spans="1:16" hidden="1" x14ac:dyDescent="0.3">
      <c r="A190" s="661" t="s">
        <v>3895</v>
      </c>
      <c r="B190" s="661" t="s">
        <v>479</v>
      </c>
      <c r="C190" s="662">
        <v>0.1</v>
      </c>
      <c r="D190" s="662">
        <v>1</v>
      </c>
      <c r="E190" s="663">
        <v>2</v>
      </c>
      <c r="F190" s="684" t="s">
        <v>1258</v>
      </c>
      <c r="G190" s="699" t="s">
        <v>2399</v>
      </c>
      <c r="H190" s="699" t="s">
        <v>2399</v>
      </c>
      <c r="I190" s="699" t="s">
        <v>2399</v>
      </c>
      <c r="J190" s="699" t="s">
        <v>2399</v>
      </c>
      <c r="K190" s="699" t="s">
        <v>260</v>
      </c>
      <c r="L190" s="699" t="s">
        <v>2399</v>
      </c>
      <c r="M190" s="699" t="s">
        <v>2399</v>
      </c>
      <c r="N190" s="699" t="s">
        <v>2399</v>
      </c>
      <c r="O190" s="699" t="s">
        <v>2399</v>
      </c>
      <c r="P190" s="699" t="s">
        <v>2399</v>
      </c>
    </row>
    <row r="191" spans="1:16" hidden="1" x14ac:dyDescent="0.3">
      <c r="A191" s="706" t="s">
        <v>3944</v>
      </c>
      <c r="B191" s="707" t="s">
        <v>479</v>
      </c>
      <c r="C191" s="708">
        <v>0.1</v>
      </c>
      <c r="D191" s="708">
        <v>0</v>
      </c>
      <c r="E191" s="709"/>
      <c r="F191" s="710" t="s">
        <v>1258</v>
      </c>
      <c r="G191" s="711" t="s">
        <v>2399</v>
      </c>
      <c r="H191" s="711" t="s">
        <v>2399</v>
      </c>
      <c r="I191" s="711" t="s">
        <v>2399</v>
      </c>
      <c r="J191" s="711" t="s">
        <v>2399</v>
      </c>
      <c r="K191" s="711" t="s">
        <v>260</v>
      </c>
      <c r="L191" s="711" t="s">
        <v>2399</v>
      </c>
      <c r="M191" s="711" t="s">
        <v>2399</v>
      </c>
      <c r="N191" s="711" t="s">
        <v>260</v>
      </c>
      <c r="O191" s="711" t="s">
        <v>2399</v>
      </c>
      <c r="P191" s="711" t="s">
        <v>2399</v>
      </c>
    </row>
    <row r="192" spans="1:16" hidden="1" x14ac:dyDescent="0.3">
      <c r="A192" s="664" t="s">
        <v>3883</v>
      </c>
      <c r="B192" s="664" t="s">
        <v>3881</v>
      </c>
      <c r="C192" s="665">
        <v>0.75</v>
      </c>
      <c r="D192" s="665">
        <v>1</v>
      </c>
      <c r="E192" s="666">
        <v>40</v>
      </c>
      <c r="F192" s="685" t="s">
        <v>3853</v>
      </c>
      <c r="G192" s="700" t="s">
        <v>2399</v>
      </c>
      <c r="H192" s="700" t="s">
        <v>2399</v>
      </c>
      <c r="I192" s="700" t="s">
        <v>2399</v>
      </c>
      <c r="J192" s="700" t="s">
        <v>2399</v>
      </c>
      <c r="K192" s="700" t="s">
        <v>260</v>
      </c>
      <c r="L192" s="700" t="s">
        <v>2399</v>
      </c>
      <c r="M192" s="700" t="s">
        <v>2399</v>
      </c>
      <c r="N192" s="700" t="s">
        <v>2399</v>
      </c>
      <c r="O192" s="700" t="s">
        <v>2399</v>
      </c>
      <c r="P192" s="700" t="s">
        <v>2399</v>
      </c>
    </row>
    <row r="193" spans="1:16" hidden="1" x14ac:dyDescent="0.3">
      <c r="A193" s="664" t="s">
        <v>3882</v>
      </c>
      <c r="B193" s="664" t="s">
        <v>3881</v>
      </c>
      <c r="C193" s="665">
        <v>0.4</v>
      </c>
      <c r="D193" s="665">
        <v>1</v>
      </c>
      <c r="E193" s="666">
        <v>6</v>
      </c>
      <c r="F193" s="685" t="s">
        <v>3853</v>
      </c>
      <c r="G193" s="700" t="s">
        <v>2399</v>
      </c>
      <c r="H193" s="700" t="s">
        <v>2399</v>
      </c>
      <c r="I193" s="700" t="s">
        <v>2399</v>
      </c>
      <c r="J193" s="700" t="s">
        <v>2399</v>
      </c>
      <c r="K193" s="700" t="s">
        <v>260</v>
      </c>
      <c r="L193" s="700" t="s">
        <v>2399</v>
      </c>
      <c r="M193" s="700" t="s">
        <v>2399</v>
      </c>
      <c r="N193" s="700" t="s">
        <v>2399</v>
      </c>
      <c r="O193" s="700" t="s">
        <v>2399</v>
      </c>
      <c r="P193" s="700" t="s">
        <v>2399</v>
      </c>
    </row>
    <row r="194" spans="1:16" hidden="1" x14ac:dyDescent="0.3">
      <c r="A194" s="664" t="s">
        <v>3885</v>
      </c>
      <c r="B194" s="664" t="s">
        <v>3881</v>
      </c>
      <c r="C194" s="665">
        <v>0.6</v>
      </c>
      <c r="D194" s="665">
        <v>1</v>
      </c>
      <c r="E194" s="666">
        <v>2150</v>
      </c>
      <c r="F194" s="685" t="s">
        <v>3853</v>
      </c>
      <c r="G194" s="700" t="s">
        <v>2399</v>
      </c>
      <c r="H194" s="700" t="s">
        <v>2399</v>
      </c>
      <c r="I194" s="700" t="s">
        <v>2399</v>
      </c>
      <c r="J194" s="700" t="s">
        <v>2399</v>
      </c>
      <c r="K194" s="700" t="s">
        <v>260</v>
      </c>
      <c r="L194" s="700" t="s">
        <v>2399</v>
      </c>
      <c r="M194" s="700" t="s">
        <v>2399</v>
      </c>
      <c r="N194" s="700" t="s">
        <v>2399</v>
      </c>
      <c r="O194" s="700" t="s">
        <v>2399</v>
      </c>
      <c r="P194" s="700" t="s">
        <v>2399</v>
      </c>
    </row>
    <row r="195" spans="1:16" hidden="1" x14ac:dyDescent="0.3">
      <c r="A195" s="664" t="s">
        <v>347</v>
      </c>
      <c r="B195" s="664" t="s">
        <v>3881</v>
      </c>
      <c r="C195" s="665">
        <v>0.5</v>
      </c>
      <c r="D195" s="665">
        <v>1</v>
      </c>
      <c r="E195" s="666">
        <v>9</v>
      </c>
      <c r="F195" s="685" t="s">
        <v>3853</v>
      </c>
      <c r="G195" s="700" t="s">
        <v>2399</v>
      </c>
      <c r="H195" s="700" t="s">
        <v>2399</v>
      </c>
      <c r="I195" s="700" t="s">
        <v>2399</v>
      </c>
      <c r="J195" s="700" t="s">
        <v>2399</v>
      </c>
      <c r="K195" s="700" t="s">
        <v>260</v>
      </c>
      <c r="L195" s="700" t="s">
        <v>2399</v>
      </c>
      <c r="M195" s="700" t="s">
        <v>2399</v>
      </c>
      <c r="N195" s="700" t="s">
        <v>2399</v>
      </c>
      <c r="O195" s="700" t="s">
        <v>2399</v>
      </c>
      <c r="P195" s="700" t="s">
        <v>2399</v>
      </c>
    </row>
    <row r="196" spans="1:16" hidden="1" x14ac:dyDescent="0.3">
      <c r="A196" s="664" t="s">
        <v>3884</v>
      </c>
      <c r="B196" s="664" t="s">
        <v>3881</v>
      </c>
      <c r="C196" s="665">
        <v>0.6</v>
      </c>
      <c r="D196" s="665">
        <v>1</v>
      </c>
      <c r="E196" s="666">
        <v>1300</v>
      </c>
      <c r="F196" s="685" t="s">
        <v>3853</v>
      </c>
      <c r="G196" s="700" t="s">
        <v>2399</v>
      </c>
      <c r="H196" s="700" t="s">
        <v>2399</v>
      </c>
      <c r="I196" s="700" t="s">
        <v>2399</v>
      </c>
      <c r="J196" s="700" t="s">
        <v>2399</v>
      </c>
      <c r="K196" s="700" t="s">
        <v>260</v>
      </c>
      <c r="L196" s="700" t="s">
        <v>2399</v>
      </c>
      <c r="M196" s="700" t="s">
        <v>2399</v>
      </c>
      <c r="N196" s="700" t="s">
        <v>2399</v>
      </c>
      <c r="O196" s="700" t="s">
        <v>2399</v>
      </c>
      <c r="P196" s="700" t="s">
        <v>2399</v>
      </c>
    </row>
    <row r="197" spans="1:16" hidden="1" x14ac:dyDescent="0.3">
      <c r="A197" s="997" t="s">
        <v>4501</v>
      </c>
      <c r="B197" s="997" t="s">
        <v>399</v>
      </c>
      <c r="C197" s="155">
        <v>0.04</v>
      </c>
      <c r="D197" s="155">
        <v>0</v>
      </c>
      <c r="E197" s="387"/>
      <c r="F197" s="254" t="s">
        <v>1256</v>
      </c>
      <c r="G197" s="998" t="s">
        <v>260</v>
      </c>
      <c r="H197" s="998" t="s">
        <v>2399</v>
      </c>
      <c r="I197" s="998" t="s">
        <v>2399</v>
      </c>
      <c r="J197" s="998" t="s">
        <v>2399</v>
      </c>
      <c r="K197" s="998" t="s">
        <v>260</v>
      </c>
      <c r="L197" s="998" t="s">
        <v>2399</v>
      </c>
      <c r="M197" s="998" t="s">
        <v>2399</v>
      </c>
      <c r="N197" s="998" t="s">
        <v>2399</v>
      </c>
      <c r="O197" s="998" t="s">
        <v>2399</v>
      </c>
      <c r="P197" s="998" t="s">
        <v>2399</v>
      </c>
    </row>
    <row r="198" spans="1:16" hidden="1" x14ac:dyDescent="0.3">
      <c r="A198" s="997" t="s">
        <v>4502</v>
      </c>
      <c r="B198" s="997" t="s">
        <v>399</v>
      </c>
      <c r="C198" s="155">
        <v>0.1</v>
      </c>
      <c r="D198" s="155">
        <v>0</v>
      </c>
      <c r="E198" s="387"/>
      <c r="F198" s="254" t="s">
        <v>1256</v>
      </c>
      <c r="G198" s="998" t="s">
        <v>2399</v>
      </c>
      <c r="H198" s="998" t="s">
        <v>260</v>
      </c>
      <c r="I198" s="998" t="s">
        <v>2399</v>
      </c>
      <c r="J198" s="998" t="s">
        <v>2399</v>
      </c>
      <c r="K198" s="998" t="s">
        <v>260</v>
      </c>
      <c r="L198" s="998" t="s">
        <v>2399</v>
      </c>
      <c r="M198" s="998" t="s">
        <v>2399</v>
      </c>
      <c r="N198" s="998" t="s">
        <v>2399</v>
      </c>
      <c r="O198" s="998" t="s">
        <v>2399</v>
      </c>
      <c r="P198" s="998" t="s">
        <v>2399</v>
      </c>
    </row>
    <row r="199" spans="1:16" hidden="1" x14ac:dyDescent="0.3">
      <c r="A199" s="997" t="s">
        <v>4527</v>
      </c>
      <c r="B199" s="997" t="s">
        <v>399</v>
      </c>
      <c r="C199" s="155">
        <v>0.01</v>
      </c>
      <c r="D199" s="155">
        <v>0</v>
      </c>
      <c r="E199" s="387"/>
      <c r="F199" s="254" t="s">
        <v>1256</v>
      </c>
      <c r="G199" s="998" t="s">
        <v>260</v>
      </c>
      <c r="H199" s="998" t="s">
        <v>2399</v>
      </c>
      <c r="I199" s="998" t="s">
        <v>2399</v>
      </c>
      <c r="J199" s="998" t="s">
        <v>2399</v>
      </c>
      <c r="K199" s="998" t="s">
        <v>260</v>
      </c>
      <c r="L199" s="998" t="s">
        <v>2399</v>
      </c>
      <c r="M199" s="998" t="s">
        <v>2399</v>
      </c>
      <c r="N199" s="998" t="s">
        <v>260</v>
      </c>
      <c r="O199" s="998" t="s">
        <v>2399</v>
      </c>
      <c r="P199" s="998" t="s">
        <v>2399</v>
      </c>
    </row>
    <row r="200" spans="1:16" hidden="1" x14ac:dyDescent="0.3">
      <c r="A200" s="997" t="s">
        <v>4503</v>
      </c>
      <c r="B200" s="997" t="s">
        <v>399</v>
      </c>
      <c r="C200" s="155">
        <v>0.25</v>
      </c>
      <c r="D200" s="155">
        <v>0</v>
      </c>
      <c r="E200" s="387"/>
      <c r="F200" s="254" t="s">
        <v>1256</v>
      </c>
      <c r="G200" s="998" t="s">
        <v>260</v>
      </c>
      <c r="H200" s="998" t="s">
        <v>2399</v>
      </c>
      <c r="I200" s="998" t="s">
        <v>2399</v>
      </c>
      <c r="J200" s="998" t="s">
        <v>2399</v>
      </c>
      <c r="K200" s="998" t="s">
        <v>260</v>
      </c>
      <c r="L200" s="998" t="s">
        <v>2399</v>
      </c>
      <c r="M200" s="998" t="s">
        <v>2399</v>
      </c>
      <c r="N200" s="998" t="s">
        <v>260</v>
      </c>
      <c r="O200" s="998" t="s">
        <v>2399</v>
      </c>
      <c r="P200" s="998" t="s">
        <v>2399</v>
      </c>
    </row>
    <row r="201" spans="1:16" hidden="1" x14ac:dyDescent="0.3">
      <c r="A201" s="997" t="s">
        <v>4528</v>
      </c>
      <c r="B201" s="997" t="s">
        <v>399</v>
      </c>
      <c r="C201" s="155">
        <v>5.0000000000000001E-3</v>
      </c>
      <c r="D201" s="155">
        <v>0</v>
      </c>
      <c r="E201" s="387"/>
      <c r="F201" s="254" t="s">
        <v>1256</v>
      </c>
      <c r="G201" s="998" t="s">
        <v>260</v>
      </c>
      <c r="H201" s="998" t="s">
        <v>2399</v>
      </c>
      <c r="I201" s="998" t="s">
        <v>2399</v>
      </c>
      <c r="J201" s="998" t="s">
        <v>2399</v>
      </c>
      <c r="K201" s="998" t="s">
        <v>260</v>
      </c>
      <c r="L201" s="998" t="s">
        <v>2399</v>
      </c>
      <c r="M201" s="998" t="s">
        <v>2399</v>
      </c>
      <c r="N201" s="998" t="s">
        <v>2399</v>
      </c>
      <c r="O201" s="998" t="s">
        <v>2399</v>
      </c>
      <c r="P201" s="998" t="s">
        <v>2399</v>
      </c>
    </row>
    <row r="202" spans="1:16" hidden="1" x14ac:dyDescent="0.3">
      <c r="A202" s="997" t="s">
        <v>4505</v>
      </c>
      <c r="B202" s="997" t="s">
        <v>399</v>
      </c>
      <c r="C202" s="155">
        <v>0.3</v>
      </c>
      <c r="D202" s="155">
        <v>0</v>
      </c>
      <c r="E202" s="387"/>
      <c r="F202" s="254" t="s">
        <v>1256</v>
      </c>
      <c r="G202" s="998" t="s">
        <v>2399</v>
      </c>
      <c r="H202" s="998" t="s">
        <v>2399</v>
      </c>
      <c r="I202" s="998" t="s">
        <v>2399</v>
      </c>
      <c r="J202" s="998" t="s">
        <v>2399</v>
      </c>
      <c r="K202" s="998" t="s">
        <v>260</v>
      </c>
      <c r="L202" s="998" t="s">
        <v>2399</v>
      </c>
      <c r="M202" s="998" t="s">
        <v>2399</v>
      </c>
      <c r="N202" s="998" t="s">
        <v>2399</v>
      </c>
      <c r="O202" s="998" t="s">
        <v>2399</v>
      </c>
      <c r="P202" s="998" t="s">
        <v>2399</v>
      </c>
    </row>
    <row r="203" spans="1:16" hidden="1" x14ac:dyDescent="0.3">
      <c r="A203" s="997" t="s">
        <v>4506</v>
      </c>
      <c r="B203" s="997" t="s">
        <v>399</v>
      </c>
      <c r="C203" s="155">
        <v>6.0000000000000001E-3</v>
      </c>
      <c r="D203" s="155">
        <v>0</v>
      </c>
      <c r="E203" s="387"/>
      <c r="F203" s="254" t="s">
        <v>1256</v>
      </c>
      <c r="G203" s="998" t="s">
        <v>2399</v>
      </c>
      <c r="H203" s="998" t="s">
        <v>2399</v>
      </c>
      <c r="I203" s="998" t="s">
        <v>2399</v>
      </c>
      <c r="J203" s="998" t="s">
        <v>2399</v>
      </c>
      <c r="K203" s="998" t="s">
        <v>260</v>
      </c>
      <c r="L203" s="998" t="s">
        <v>2399</v>
      </c>
      <c r="M203" s="998" t="s">
        <v>2399</v>
      </c>
      <c r="N203" s="998" t="s">
        <v>2399</v>
      </c>
      <c r="O203" s="998" t="s">
        <v>2399</v>
      </c>
      <c r="P203" s="998" t="s">
        <v>2399</v>
      </c>
    </row>
    <row r="204" spans="1:16" x14ac:dyDescent="0.3">
      <c r="A204" s="997" t="s">
        <v>4507</v>
      </c>
      <c r="B204" s="997" t="s">
        <v>399</v>
      </c>
      <c r="C204" s="155">
        <v>0.4</v>
      </c>
      <c r="D204" s="155">
        <v>1</v>
      </c>
      <c r="E204" s="387"/>
      <c r="F204" s="254" t="s">
        <v>1256</v>
      </c>
      <c r="G204" s="998" t="s">
        <v>2399</v>
      </c>
      <c r="H204" s="998" t="s">
        <v>260</v>
      </c>
      <c r="I204" s="998" t="s">
        <v>2399</v>
      </c>
      <c r="J204" s="998" t="s">
        <v>2399</v>
      </c>
      <c r="K204" s="998" t="s">
        <v>260</v>
      </c>
      <c r="L204" s="998" t="s">
        <v>2399</v>
      </c>
      <c r="M204" s="998" t="s">
        <v>2399</v>
      </c>
      <c r="N204" s="998" t="s">
        <v>2399</v>
      </c>
      <c r="O204" s="998" t="s">
        <v>2399</v>
      </c>
      <c r="P204" s="998" t="s">
        <v>2399</v>
      </c>
    </row>
    <row r="205" spans="1:16" hidden="1" x14ac:dyDescent="0.3">
      <c r="A205" s="997" t="s">
        <v>4508</v>
      </c>
      <c r="B205" s="997" t="s">
        <v>399</v>
      </c>
      <c r="C205" s="155">
        <v>0.05</v>
      </c>
      <c r="D205" s="155">
        <v>0</v>
      </c>
      <c r="E205" s="387"/>
      <c r="F205" s="254" t="s">
        <v>1256</v>
      </c>
      <c r="G205" s="998" t="s">
        <v>2399</v>
      </c>
      <c r="H205" s="998" t="s">
        <v>2399</v>
      </c>
      <c r="I205" s="998" t="s">
        <v>2399</v>
      </c>
      <c r="J205" s="998" t="s">
        <v>2399</v>
      </c>
      <c r="K205" s="998" t="s">
        <v>260</v>
      </c>
      <c r="L205" s="998" t="s">
        <v>2399</v>
      </c>
      <c r="M205" s="998" t="s">
        <v>2399</v>
      </c>
      <c r="N205" s="998" t="s">
        <v>2399</v>
      </c>
      <c r="O205" s="998" t="s">
        <v>2399</v>
      </c>
      <c r="P205" s="998" t="s">
        <v>2399</v>
      </c>
    </row>
    <row r="206" spans="1:16" hidden="1" x14ac:dyDescent="0.3">
      <c r="A206" s="997" t="s">
        <v>4529</v>
      </c>
      <c r="B206" s="997" t="s">
        <v>399</v>
      </c>
      <c r="C206" s="155">
        <v>0.02</v>
      </c>
      <c r="D206" s="155">
        <v>0</v>
      </c>
      <c r="E206" s="387"/>
      <c r="F206" s="254" t="s">
        <v>1256</v>
      </c>
      <c r="G206" s="998" t="s">
        <v>260</v>
      </c>
      <c r="H206" s="998" t="s">
        <v>2399</v>
      </c>
      <c r="I206" s="998" t="s">
        <v>260</v>
      </c>
      <c r="J206" s="998" t="s">
        <v>2399</v>
      </c>
      <c r="K206" s="998" t="s">
        <v>260</v>
      </c>
      <c r="L206" s="998" t="s">
        <v>2399</v>
      </c>
      <c r="M206" s="998" t="s">
        <v>260</v>
      </c>
      <c r="N206" s="998" t="s">
        <v>260</v>
      </c>
      <c r="O206" s="998" t="s">
        <v>2399</v>
      </c>
      <c r="P206" s="998" t="s">
        <v>2399</v>
      </c>
    </row>
    <row r="207" spans="1:16" hidden="1" x14ac:dyDescent="0.3">
      <c r="A207" s="997" t="s">
        <v>4509</v>
      </c>
      <c r="B207" s="997" t="s">
        <v>399</v>
      </c>
      <c r="C207" s="155">
        <v>0.25</v>
      </c>
      <c r="D207" s="155">
        <v>0</v>
      </c>
      <c r="E207" s="387"/>
      <c r="F207" s="254" t="s">
        <v>1256</v>
      </c>
      <c r="G207" s="998" t="s">
        <v>2399</v>
      </c>
      <c r="H207" s="998" t="s">
        <v>2399</v>
      </c>
      <c r="I207" s="998" t="s">
        <v>2399</v>
      </c>
      <c r="J207" s="998" t="s">
        <v>2399</v>
      </c>
      <c r="K207" s="998" t="s">
        <v>260</v>
      </c>
      <c r="L207" s="998" t="s">
        <v>2399</v>
      </c>
      <c r="M207" s="998" t="s">
        <v>2399</v>
      </c>
      <c r="N207" s="998" t="s">
        <v>2399</v>
      </c>
      <c r="O207" s="998" t="s">
        <v>2399</v>
      </c>
      <c r="P207" s="998" t="s">
        <v>2399</v>
      </c>
    </row>
    <row r="208" spans="1:16" hidden="1" x14ac:dyDescent="0.3">
      <c r="A208" s="997" t="s">
        <v>4510</v>
      </c>
      <c r="B208" s="997" t="s">
        <v>399</v>
      </c>
      <c r="C208" s="155">
        <v>0.2</v>
      </c>
      <c r="D208" s="155">
        <v>0</v>
      </c>
      <c r="E208" s="387"/>
      <c r="F208" s="254" t="s">
        <v>1256</v>
      </c>
      <c r="G208" s="998" t="s">
        <v>2399</v>
      </c>
      <c r="H208" s="998" t="s">
        <v>2399</v>
      </c>
      <c r="I208" s="998" t="s">
        <v>260</v>
      </c>
      <c r="J208" s="998" t="s">
        <v>2399</v>
      </c>
      <c r="K208" s="998" t="s">
        <v>260</v>
      </c>
      <c r="L208" s="998" t="s">
        <v>2399</v>
      </c>
      <c r="M208" s="998" t="s">
        <v>2399</v>
      </c>
      <c r="N208" s="998" t="s">
        <v>2399</v>
      </c>
      <c r="O208" s="998" t="s">
        <v>2399</v>
      </c>
      <c r="P208" s="998" t="s">
        <v>2399</v>
      </c>
    </row>
    <row r="209" spans="1:16" hidden="1" x14ac:dyDescent="0.3">
      <c r="A209" s="997" t="s">
        <v>4511</v>
      </c>
      <c r="B209" s="997" t="s">
        <v>399</v>
      </c>
      <c r="C209" s="155">
        <v>0.08</v>
      </c>
      <c r="D209" s="155">
        <v>0</v>
      </c>
      <c r="E209" s="387"/>
      <c r="F209" s="254" t="s">
        <v>1256</v>
      </c>
      <c r="G209" s="998" t="s">
        <v>2399</v>
      </c>
      <c r="H209" s="998" t="s">
        <v>2399</v>
      </c>
      <c r="I209" s="998" t="s">
        <v>2399</v>
      </c>
      <c r="J209" s="998" t="s">
        <v>2399</v>
      </c>
      <c r="K209" s="998" t="s">
        <v>260</v>
      </c>
      <c r="L209" s="998" t="s">
        <v>2399</v>
      </c>
      <c r="M209" s="998" t="s">
        <v>2399</v>
      </c>
      <c r="N209" s="998" t="s">
        <v>2399</v>
      </c>
      <c r="O209" s="998" t="s">
        <v>2399</v>
      </c>
      <c r="P209" s="998" t="s">
        <v>260</v>
      </c>
    </row>
    <row r="210" spans="1:16" hidden="1" x14ac:dyDescent="0.3">
      <c r="A210" s="997" t="s">
        <v>4512</v>
      </c>
      <c r="B210" s="997" t="s">
        <v>399</v>
      </c>
      <c r="C210" s="155">
        <v>8.0000000000000002E-3</v>
      </c>
      <c r="D210" s="155">
        <v>0</v>
      </c>
      <c r="E210" s="387"/>
      <c r="F210" s="254" t="s">
        <v>1256</v>
      </c>
      <c r="G210" s="998" t="s">
        <v>2399</v>
      </c>
      <c r="H210" s="998" t="s">
        <v>260</v>
      </c>
      <c r="I210" s="998" t="s">
        <v>2399</v>
      </c>
      <c r="J210" s="998" t="s">
        <v>2399</v>
      </c>
      <c r="K210" s="998" t="s">
        <v>260</v>
      </c>
      <c r="L210" s="998" t="s">
        <v>2399</v>
      </c>
      <c r="M210" s="998" t="s">
        <v>2399</v>
      </c>
      <c r="N210" s="998" t="s">
        <v>2399</v>
      </c>
      <c r="O210" s="998" t="s">
        <v>2399</v>
      </c>
      <c r="P210" s="998" t="s">
        <v>2399</v>
      </c>
    </row>
    <row r="211" spans="1:16" x14ac:dyDescent="0.3">
      <c r="A211" s="997" t="s">
        <v>363</v>
      </c>
      <c r="B211" s="997" t="s">
        <v>399</v>
      </c>
      <c r="C211" s="155">
        <v>0.1</v>
      </c>
      <c r="D211" s="155">
        <v>1</v>
      </c>
      <c r="E211" s="387"/>
      <c r="F211" s="254" t="s">
        <v>1256</v>
      </c>
      <c r="G211" s="998" t="s">
        <v>260</v>
      </c>
      <c r="H211" s="998" t="s">
        <v>2399</v>
      </c>
      <c r="I211" s="998" t="s">
        <v>2399</v>
      </c>
      <c r="J211" s="998" t="s">
        <v>2399</v>
      </c>
      <c r="K211" s="998" t="s">
        <v>260</v>
      </c>
      <c r="L211" s="998" t="s">
        <v>2399</v>
      </c>
      <c r="M211" s="998" t="s">
        <v>260</v>
      </c>
      <c r="N211" s="998" t="s">
        <v>260</v>
      </c>
      <c r="O211" s="998" t="s">
        <v>2399</v>
      </c>
      <c r="P211" s="998" t="s">
        <v>2399</v>
      </c>
    </row>
    <row r="212" spans="1:16" x14ac:dyDescent="0.3">
      <c r="A212" s="997" t="s">
        <v>4530</v>
      </c>
      <c r="B212" s="997" t="s">
        <v>399</v>
      </c>
      <c r="C212" s="155">
        <v>0.5</v>
      </c>
      <c r="D212" s="155">
        <v>2</v>
      </c>
      <c r="E212" s="387"/>
      <c r="F212" s="254" t="s">
        <v>1256</v>
      </c>
      <c r="G212" s="998" t="s">
        <v>2399</v>
      </c>
      <c r="H212" s="998" t="s">
        <v>2399</v>
      </c>
      <c r="I212" s="998" t="s">
        <v>2399</v>
      </c>
      <c r="J212" s="998" t="s">
        <v>2399</v>
      </c>
      <c r="K212" s="998" t="s">
        <v>260</v>
      </c>
      <c r="L212" s="998" t="s">
        <v>2399</v>
      </c>
      <c r="M212" s="998" t="s">
        <v>2399</v>
      </c>
      <c r="N212" s="998" t="s">
        <v>2399</v>
      </c>
      <c r="O212" s="998" t="s">
        <v>2399</v>
      </c>
      <c r="P212" s="998" t="s">
        <v>2399</v>
      </c>
    </row>
    <row r="213" spans="1:16" hidden="1" x14ac:dyDescent="0.3">
      <c r="A213" s="997" t="s">
        <v>4513</v>
      </c>
      <c r="B213" s="997" t="s">
        <v>399</v>
      </c>
      <c r="C213" s="155">
        <v>0.3</v>
      </c>
      <c r="D213" s="155">
        <v>0</v>
      </c>
      <c r="E213" s="387"/>
      <c r="F213" s="254" t="s">
        <v>1256</v>
      </c>
      <c r="G213" s="998" t="s">
        <v>2399</v>
      </c>
      <c r="H213" s="998" t="s">
        <v>2399</v>
      </c>
      <c r="I213" s="998" t="s">
        <v>2399</v>
      </c>
      <c r="J213" s="998" t="s">
        <v>2399</v>
      </c>
      <c r="K213" s="998" t="s">
        <v>260</v>
      </c>
      <c r="L213" s="998" t="s">
        <v>2399</v>
      </c>
      <c r="M213" s="998" t="s">
        <v>260</v>
      </c>
      <c r="N213" s="998" t="s">
        <v>2399</v>
      </c>
      <c r="O213" s="998" t="s">
        <v>2399</v>
      </c>
      <c r="P213" s="998" t="s">
        <v>2399</v>
      </c>
    </row>
    <row r="214" spans="1:16" hidden="1" x14ac:dyDescent="0.3">
      <c r="A214" s="997" t="s">
        <v>4531</v>
      </c>
      <c r="B214" s="997" t="s">
        <v>399</v>
      </c>
      <c r="C214" s="155">
        <v>0.01</v>
      </c>
      <c r="D214" s="155">
        <v>0</v>
      </c>
      <c r="E214" s="387"/>
      <c r="F214" s="254" t="s">
        <v>1256</v>
      </c>
      <c r="G214" s="998" t="s">
        <v>260</v>
      </c>
      <c r="H214" s="998" t="s">
        <v>2399</v>
      </c>
      <c r="I214" s="998" t="s">
        <v>2399</v>
      </c>
      <c r="J214" s="998" t="s">
        <v>2399</v>
      </c>
      <c r="K214" s="998" t="s">
        <v>260</v>
      </c>
      <c r="L214" s="998" t="s">
        <v>2399</v>
      </c>
      <c r="M214" s="998" t="s">
        <v>2399</v>
      </c>
      <c r="N214" s="998" t="s">
        <v>2399</v>
      </c>
      <c r="O214" s="998" t="s">
        <v>2399</v>
      </c>
      <c r="P214" s="998" t="s">
        <v>2399</v>
      </c>
    </row>
    <row r="215" spans="1:16" x14ac:dyDescent="0.3">
      <c r="A215" s="997" t="s">
        <v>4514</v>
      </c>
      <c r="B215" s="997" t="s">
        <v>399</v>
      </c>
      <c r="C215" s="155">
        <v>0.25</v>
      </c>
      <c r="D215" s="155">
        <v>1</v>
      </c>
      <c r="E215" s="387"/>
      <c r="F215" s="254" t="s">
        <v>1256</v>
      </c>
      <c r="G215" s="998" t="s">
        <v>2399</v>
      </c>
      <c r="H215" s="998" t="s">
        <v>2399</v>
      </c>
      <c r="I215" s="998" t="s">
        <v>2399</v>
      </c>
      <c r="J215" s="998" t="s">
        <v>2399</v>
      </c>
      <c r="K215" s="998" t="s">
        <v>260</v>
      </c>
      <c r="L215" s="998" t="s">
        <v>2399</v>
      </c>
      <c r="M215" s="998" t="s">
        <v>2399</v>
      </c>
      <c r="N215" s="998" t="s">
        <v>2399</v>
      </c>
      <c r="O215" s="998" t="s">
        <v>2399</v>
      </c>
      <c r="P215" s="998" t="s">
        <v>2399</v>
      </c>
    </row>
    <row r="216" spans="1:16" hidden="1" x14ac:dyDescent="0.3">
      <c r="A216" s="997" t="s">
        <v>4515</v>
      </c>
      <c r="B216" s="997" t="s">
        <v>399</v>
      </c>
      <c r="C216" s="155">
        <v>0.04</v>
      </c>
      <c r="D216" s="155">
        <v>0</v>
      </c>
      <c r="E216" s="387"/>
      <c r="F216" s="254" t="s">
        <v>1256</v>
      </c>
      <c r="G216" s="998" t="s">
        <v>260</v>
      </c>
      <c r="H216" s="998" t="s">
        <v>2399</v>
      </c>
      <c r="I216" s="998" t="s">
        <v>2399</v>
      </c>
      <c r="J216" s="998" t="s">
        <v>260</v>
      </c>
      <c r="K216" s="998" t="s">
        <v>260</v>
      </c>
      <c r="L216" s="998" t="s">
        <v>260</v>
      </c>
      <c r="M216" s="998" t="s">
        <v>2399</v>
      </c>
      <c r="N216" s="998" t="s">
        <v>2399</v>
      </c>
      <c r="O216" s="998" t="s">
        <v>2399</v>
      </c>
      <c r="P216" s="998" t="s">
        <v>2399</v>
      </c>
    </row>
    <row r="217" spans="1:16" hidden="1" x14ac:dyDescent="0.3">
      <c r="A217" s="997" t="s">
        <v>4516</v>
      </c>
      <c r="B217" s="997" t="s">
        <v>399</v>
      </c>
      <c r="C217" s="155">
        <v>0.05</v>
      </c>
      <c r="D217" s="155">
        <v>0</v>
      </c>
      <c r="E217" s="387"/>
      <c r="F217" s="254" t="s">
        <v>1256</v>
      </c>
      <c r="G217" s="998" t="s">
        <v>260</v>
      </c>
      <c r="H217" s="998" t="s">
        <v>2399</v>
      </c>
      <c r="I217" s="998" t="s">
        <v>2399</v>
      </c>
      <c r="J217" s="998" t="s">
        <v>260</v>
      </c>
      <c r="K217" s="998" t="s">
        <v>260</v>
      </c>
      <c r="L217" s="998" t="s">
        <v>260</v>
      </c>
      <c r="M217" s="998" t="s">
        <v>2399</v>
      </c>
      <c r="N217" s="998" t="s">
        <v>2399</v>
      </c>
      <c r="O217" s="998" t="s">
        <v>2399</v>
      </c>
      <c r="P217" s="998" t="s">
        <v>2399</v>
      </c>
    </row>
    <row r="218" spans="1:16" x14ac:dyDescent="0.3">
      <c r="A218" s="997" t="s">
        <v>4517</v>
      </c>
      <c r="B218" s="997" t="s">
        <v>399</v>
      </c>
      <c r="C218" s="155">
        <v>1.5</v>
      </c>
      <c r="D218" s="155">
        <v>2</v>
      </c>
      <c r="E218" s="387"/>
      <c r="F218" s="254" t="s">
        <v>1256</v>
      </c>
      <c r="G218" s="998" t="s">
        <v>2399</v>
      </c>
      <c r="H218" s="998" t="s">
        <v>260</v>
      </c>
      <c r="I218" s="998" t="s">
        <v>2399</v>
      </c>
      <c r="J218" s="998" t="s">
        <v>2399</v>
      </c>
      <c r="K218" s="998" t="s">
        <v>260</v>
      </c>
      <c r="L218" s="998" t="s">
        <v>2399</v>
      </c>
      <c r="M218" s="998" t="s">
        <v>2399</v>
      </c>
      <c r="N218" s="998" t="s">
        <v>2399</v>
      </c>
      <c r="O218" s="998" t="s">
        <v>2399</v>
      </c>
      <c r="P218" s="998" t="s">
        <v>2399</v>
      </c>
    </row>
    <row r="219" spans="1:16" hidden="1" x14ac:dyDescent="0.3">
      <c r="A219" s="997" t="s">
        <v>4518</v>
      </c>
      <c r="B219" s="997" t="s">
        <v>399</v>
      </c>
      <c r="C219" s="155">
        <v>0.1</v>
      </c>
      <c r="D219" s="155">
        <v>0</v>
      </c>
      <c r="E219" s="387"/>
      <c r="F219" s="254" t="s">
        <v>1256</v>
      </c>
      <c r="G219" s="998" t="s">
        <v>2399</v>
      </c>
      <c r="H219" s="998" t="s">
        <v>2399</v>
      </c>
      <c r="I219" s="998" t="s">
        <v>260</v>
      </c>
      <c r="J219" s="998" t="s">
        <v>2399</v>
      </c>
      <c r="K219" s="998" t="s">
        <v>260</v>
      </c>
      <c r="L219" s="998" t="s">
        <v>2399</v>
      </c>
      <c r="M219" s="998" t="s">
        <v>2399</v>
      </c>
      <c r="N219" s="998" t="s">
        <v>2399</v>
      </c>
      <c r="O219" s="998" t="s">
        <v>2399</v>
      </c>
      <c r="P219" s="998" t="s">
        <v>2399</v>
      </c>
    </row>
    <row r="220" spans="1:16" hidden="1" x14ac:dyDescent="0.3">
      <c r="A220" s="997" t="s">
        <v>4519</v>
      </c>
      <c r="B220" s="997" t="s">
        <v>399</v>
      </c>
      <c r="C220" s="155">
        <v>0.02</v>
      </c>
      <c r="D220" s="155">
        <v>0</v>
      </c>
      <c r="E220" s="387"/>
      <c r="F220" s="254" t="s">
        <v>1256</v>
      </c>
      <c r="G220" s="998" t="s">
        <v>2399</v>
      </c>
      <c r="H220" s="998" t="s">
        <v>2399</v>
      </c>
      <c r="I220" s="998" t="s">
        <v>260</v>
      </c>
      <c r="J220" s="998" t="s">
        <v>2399</v>
      </c>
      <c r="K220" s="998" t="s">
        <v>260</v>
      </c>
      <c r="L220" s="998" t="s">
        <v>2399</v>
      </c>
      <c r="M220" s="998" t="s">
        <v>2399</v>
      </c>
      <c r="N220" s="998" t="s">
        <v>2399</v>
      </c>
      <c r="O220" s="998" t="s">
        <v>2399</v>
      </c>
      <c r="P220" s="998" t="s">
        <v>2399</v>
      </c>
    </row>
    <row r="221" spans="1:16" x14ac:dyDescent="0.3">
      <c r="A221" s="997" t="s">
        <v>4526</v>
      </c>
      <c r="B221" s="997" t="s">
        <v>399</v>
      </c>
      <c r="C221" s="155">
        <v>0.5</v>
      </c>
      <c r="D221" s="155">
        <v>1</v>
      </c>
      <c r="E221" s="387"/>
      <c r="F221" s="254" t="s">
        <v>1256</v>
      </c>
      <c r="G221" s="998" t="s">
        <v>2399</v>
      </c>
      <c r="H221" s="998" t="s">
        <v>2399</v>
      </c>
      <c r="I221" s="998" t="s">
        <v>2399</v>
      </c>
      <c r="J221" s="998" t="s">
        <v>2399</v>
      </c>
      <c r="K221" s="998" t="s">
        <v>260</v>
      </c>
      <c r="L221" s="998" t="s">
        <v>2399</v>
      </c>
      <c r="M221" s="998" t="s">
        <v>2399</v>
      </c>
      <c r="N221" s="998" t="s">
        <v>2399</v>
      </c>
      <c r="O221" s="998" t="s">
        <v>2399</v>
      </c>
      <c r="P221" s="998" t="s">
        <v>2399</v>
      </c>
    </row>
    <row r="222" spans="1:16" hidden="1" x14ac:dyDescent="0.3">
      <c r="A222" s="997" t="s">
        <v>4504</v>
      </c>
      <c r="B222" s="997" t="s">
        <v>399</v>
      </c>
      <c r="C222" s="155">
        <v>4.0000000000000001E-3</v>
      </c>
      <c r="D222" s="155">
        <v>0</v>
      </c>
      <c r="E222" s="387"/>
      <c r="F222" s="254" t="s">
        <v>1256</v>
      </c>
      <c r="G222" s="998" t="s">
        <v>2399</v>
      </c>
      <c r="H222" s="998" t="s">
        <v>2399</v>
      </c>
      <c r="I222" s="998" t="s">
        <v>260</v>
      </c>
      <c r="J222" s="998" t="s">
        <v>2399</v>
      </c>
      <c r="K222" s="998" t="s">
        <v>260</v>
      </c>
      <c r="L222" s="998" t="s">
        <v>2399</v>
      </c>
      <c r="M222" s="998" t="s">
        <v>2399</v>
      </c>
      <c r="N222" s="998" t="s">
        <v>2399</v>
      </c>
      <c r="O222" s="998" t="s">
        <v>2399</v>
      </c>
      <c r="P222" s="998" t="s">
        <v>2399</v>
      </c>
    </row>
    <row r="223" spans="1:16" x14ac:dyDescent="0.3">
      <c r="A223" s="997" t="s">
        <v>4520</v>
      </c>
      <c r="B223" s="997" t="s">
        <v>399</v>
      </c>
      <c r="C223" s="155">
        <v>0.2</v>
      </c>
      <c r="D223" s="155">
        <v>1</v>
      </c>
      <c r="E223" s="387"/>
      <c r="F223" s="254" t="s">
        <v>1256</v>
      </c>
      <c r="G223" s="998" t="s">
        <v>2399</v>
      </c>
      <c r="H223" s="998" t="s">
        <v>2399</v>
      </c>
      <c r="I223" s="998" t="s">
        <v>2399</v>
      </c>
      <c r="J223" s="998" t="s">
        <v>2399</v>
      </c>
      <c r="K223" s="998" t="s">
        <v>260</v>
      </c>
      <c r="L223" s="998" t="s">
        <v>2399</v>
      </c>
      <c r="M223" s="998" t="s">
        <v>2399</v>
      </c>
      <c r="N223" s="998" t="s">
        <v>2399</v>
      </c>
      <c r="O223" s="998" t="s">
        <v>2399</v>
      </c>
      <c r="P223" s="998" t="s">
        <v>2399</v>
      </c>
    </row>
    <row r="224" spans="1:16" x14ac:dyDescent="0.3">
      <c r="A224" s="997" t="s">
        <v>4521</v>
      </c>
      <c r="B224" s="997" t="s">
        <v>399</v>
      </c>
      <c r="C224" s="155">
        <v>0.2</v>
      </c>
      <c r="D224" s="155">
        <v>1</v>
      </c>
      <c r="E224" s="387"/>
      <c r="F224" s="254" t="s">
        <v>1256</v>
      </c>
      <c r="G224" s="998" t="s">
        <v>2399</v>
      </c>
      <c r="H224" s="998" t="s">
        <v>2399</v>
      </c>
      <c r="I224" s="998" t="s">
        <v>2399</v>
      </c>
      <c r="J224" s="998" t="s">
        <v>2399</v>
      </c>
      <c r="K224" s="998" t="s">
        <v>260</v>
      </c>
      <c r="L224" s="998" t="s">
        <v>2399</v>
      </c>
      <c r="M224" s="998" t="s">
        <v>2399</v>
      </c>
      <c r="N224" s="998" t="s">
        <v>2399</v>
      </c>
      <c r="O224" s="998" t="s">
        <v>2399</v>
      </c>
      <c r="P224" s="998" t="s">
        <v>2399</v>
      </c>
    </row>
    <row r="225" spans="1:16" hidden="1" x14ac:dyDescent="0.3">
      <c r="A225" s="997" t="s">
        <v>4522</v>
      </c>
      <c r="B225" s="997" t="s">
        <v>399</v>
      </c>
      <c r="C225" s="155">
        <v>0.15</v>
      </c>
      <c r="D225" s="155">
        <v>0</v>
      </c>
      <c r="E225" s="387"/>
      <c r="F225" s="254" t="s">
        <v>1256</v>
      </c>
      <c r="G225" s="998" t="s">
        <v>2399</v>
      </c>
      <c r="H225" s="998" t="s">
        <v>2399</v>
      </c>
      <c r="I225" s="998" t="s">
        <v>2399</v>
      </c>
      <c r="J225" s="998" t="s">
        <v>2399</v>
      </c>
      <c r="K225" s="998" t="s">
        <v>260</v>
      </c>
      <c r="L225" s="998" t="s">
        <v>2399</v>
      </c>
      <c r="M225" s="998" t="s">
        <v>2399</v>
      </c>
      <c r="N225" s="998" t="s">
        <v>2399</v>
      </c>
      <c r="O225" s="998" t="s">
        <v>2399</v>
      </c>
      <c r="P225" s="998" t="s">
        <v>2399</v>
      </c>
    </row>
    <row r="226" spans="1:16" hidden="1" x14ac:dyDescent="0.3">
      <c r="A226" s="997" t="s">
        <v>4523</v>
      </c>
      <c r="B226" s="997" t="s">
        <v>399</v>
      </c>
      <c r="C226" s="155">
        <v>0.08</v>
      </c>
      <c r="D226" s="155">
        <v>0</v>
      </c>
      <c r="E226" s="387"/>
      <c r="F226" s="254" t="s">
        <v>1256</v>
      </c>
      <c r="G226" s="998" t="s">
        <v>2399</v>
      </c>
      <c r="H226" s="998" t="s">
        <v>2399</v>
      </c>
      <c r="I226" s="998" t="s">
        <v>2399</v>
      </c>
      <c r="J226" s="998" t="s">
        <v>2399</v>
      </c>
      <c r="K226" s="998" t="s">
        <v>260</v>
      </c>
      <c r="L226" s="998" t="s">
        <v>2399</v>
      </c>
      <c r="M226" s="998" t="s">
        <v>2399</v>
      </c>
      <c r="N226" s="998" t="s">
        <v>2399</v>
      </c>
      <c r="O226" s="998" t="s">
        <v>2399</v>
      </c>
      <c r="P226" s="998" t="s">
        <v>2399</v>
      </c>
    </row>
    <row r="227" spans="1:16" hidden="1" x14ac:dyDescent="0.3">
      <c r="A227" s="997" t="s">
        <v>4524</v>
      </c>
      <c r="B227" s="997" t="s">
        <v>399</v>
      </c>
      <c r="C227" s="155">
        <v>4.0000000000000001E-3</v>
      </c>
      <c r="D227" s="155">
        <v>0</v>
      </c>
      <c r="E227" s="387"/>
      <c r="F227" s="254" t="s">
        <v>1256</v>
      </c>
      <c r="G227" s="998" t="s">
        <v>2399</v>
      </c>
      <c r="H227" s="998" t="s">
        <v>2399</v>
      </c>
      <c r="I227" s="998" t="s">
        <v>2399</v>
      </c>
      <c r="J227" s="998" t="s">
        <v>2399</v>
      </c>
      <c r="K227" s="998" t="s">
        <v>260</v>
      </c>
      <c r="L227" s="998" t="s">
        <v>2399</v>
      </c>
      <c r="M227" s="998" t="s">
        <v>2399</v>
      </c>
      <c r="N227" s="998" t="s">
        <v>2399</v>
      </c>
      <c r="O227" s="998" t="s">
        <v>2399</v>
      </c>
      <c r="P227" s="998" t="s">
        <v>2399</v>
      </c>
    </row>
    <row r="228" spans="1:16" x14ac:dyDescent="0.3">
      <c r="A228" s="997" t="s">
        <v>4525</v>
      </c>
      <c r="B228" s="997" t="s">
        <v>399</v>
      </c>
      <c r="C228" s="155">
        <v>0.6</v>
      </c>
      <c r="D228" s="155">
        <v>1</v>
      </c>
      <c r="E228" s="387"/>
      <c r="F228" s="254" t="s">
        <v>1256</v>
      </c>
      <c r="G228" s="998" t="s">
        <v>2399</v>
      </c>
      <c r="H228" s="998" t="s">
        <v>2399</v>
      </c>
      <c r="I228" s="998" t="s">
        <v>2399</v>
      </c>
      <c r="J228" s="998" t="s">
        <v>2399</v>
      </c>
      <c r="K228" s="998" t="s">
        <v>260</v>
      </c>
      <c r="L228" s="998" t="s">
        <v>2399</v>
      </c>
      <c r="M228" s="998" t="s">
        <v>2399</v>
      </c>
      <c r="N228" s="998" t="s">
        <v>2399</v>
      </c>
      <c r="O228" s="998" t="s">
        <v>2399</v>
      </c>
      <c r="P228" s="998" t="s">
        <v>2399</v>
      </c>
    </row>
    <row r="229" spans="1:16" x14ac:dyDescent="0.3">
      <c r="A229" s="160" t="s">
        <v>3925</v>
      </c>
      <c r="B229" s="160" t="s">
        <v>3926</v>
      </c>
      <c r="C229" s="398">
        <v>0.2</v>
      </c>
      <c r="D229" s="398">
        <v>1</v>
      </c>
      <c r="E229" s="399">
        <v>1.5</v>
      </c>
      <c r="F229" s="690" t="s">
        <v>3921</v>
      </c>
      <c r="G229" s="705" t="s">
        <v>2399</v>
      </c>
      <c r="H229" s="705" t="s">
        <v>2399</v>
      </c>
      <c r="I229" s="705" t="s">
        <v>2399</v>
      </c>
      <c r="J229" s="705" t="s">
        <v>2399</v>
      </c>
      <c r="K229" s="705" t="s">
        <v>260</v>
      </c>
      <c r="L229" s="705" t="s">
        <v>2399</v>
      </c>
      <c r="M229" s="705" t="s">
        <v>2399</v>
      </c>
      <c r="N229" s="705" t="s">
        <v>2399</v>
      </c>
      <c r="O229" s="705" t="s">
        <v>2399</v>
      </c>
      <c r="P229" s="705" t="s">
        <v>2399</v>
      </c>
    </row>
    <row r="230" spans="1:16" x14ac:dyDescent="0.3">
      <c r="A230" s="160" t="s">
        <v>4903</v>
      </c>
      <c r="B230" s="160" t="s">
        <v>3926</v>
      </c>
      <c r="C230" s="398">
        <v>1.5</v>
      </c>
      <c r="D230" s="398">
        <v>2</v>
      </c>
      <c r="E230" s="399">
        <v>100</v>
      </c>
      <c r="F230" s="690" t="s">
        <v>3921</v>
      </c>
      <c r="G230" s="705" t="s">
        <v>2399</v>
      </c>
      <c r="H230" s="705" t="s">
        <v>2399</v>
      </c>
      <c r="I230" s="705" t="s">
        <v>2399</v>
      </c>
      <c r="J230" s="705" t="s">
        <v>2399</v>
      </c>
      <c r="K230" s="705" t="s">
        <v>260</v>
      </c>
      <c r="L230" s="705" t="s">
        <v>2399</v>
      </c>
      <c r="M230" s="705" t="s">
        <v>2399</v>
      </c>
      <c r="N230" s="705" t="s">
        <v>2399</v>
      </c>
      <c r="O230" s="705" t="s">
        <v>2399</v>
      </c>
      <c r="P230" s="705" t="s">
        <v>2399</v>
      </c>
    </row>
    <row r="231" spans="1:16" x14ac:dyDescent="0.3">
      <c r="A231" s="160" t="s">
        <v>1279</v>
      </c>
      <c r="B231" s="160" t="s">
        <v>3926</v>
      </c>
      <c r="C231" s="398">
        <v>0.6</v>
      </c>
      <c r="D231" s="398">
        <v>2</v>
      </c>
      <c r="E231" s="399">
        <v>1</v>
      </c>
      <c r="F231" s="690" t="s">
        <v>3921</v>
      </c>
      <c r="G231" s="705" t="s">
        <v>2399</v>
      </c>
      <c r="H231" s="705" t="s">
        <v>2399</v>
      </c>
      <c r="I231" s="705" t="s">
        <v>2399</v>
      </c>
      <c r="J231" s="705" t="s">
        <v>2399</v>
      </c>
      <c r="K231" s="705" t="s">
        <v>260</v>
      </c>
      <c r="L231" s="705" t="s">
        <v>2399</v>
      </c>
      <c r="M231" s="705" t="s">
        <v>2399</v>
      </c>
      <c r="N231" s="705" t="s">
        <v>2399</v>
      </c>
      <c r="O231" s="705" t="s">
        <v>2399</v>
      </c>
      <c r="P231" s="705" t="s">
        <v>2399</v>
      </c>
    </row>
    <row r="232" spans="1:16" hidden="1" x14ac:dyDescent="0.3">
      <c r="A232" s="160" t="s">
        <v>665</v>
      </c>
      <c r="B232" s="160" t="s">
        <v>3926</v>
      </c>
      <c r="C232" s="398">
        <v>0.1</v>
      </c>
      <c r="D232" s="398">
        <v>0</v>
      </c>
      <c r="E232" s="399">
        <v>0.3</v>
      </c>
      <c r="F232" s="690" t="s">
        <v>3921</v>
      </c>
      <c r="G232" s="705" t="s">
        <v>260</v>
      </c>
      <c r="H232" s="705" t="s">
        <v>2399</v>
      </c>
      <c r="I232" s="705" t="s">
        <v>2399</v>
      </c>
      <c r="J232" s="705" t="s">
        <v>2399</v>
      </c>
      <c r="K232" s="705" t="s">
        <v>260</v>
      </c>
      <c r="L232" s="705" t="s">
        <v>2399</v>
      </c>
      <c r="M232" s="705" t="s">
        <v>260</v>
      </c>
      <c r="N232" s="705" t="s">
        <v>2399</v>
      </c>
      <c r="O232" s="705" t="s">
        <v>2399</v>
      </c>
      <c r="P232" s="705" t="s">
        <v>2399</v>
      </c>
    </row>
    <row r="233" spans="1:16" hidden="1" x14ac:dyDescent="0.3">
      <c r="A233" s="160" t="s">
        <v>492</v>
      </c>
      <c r="B233" s="160" t="s">
        <v>3926</v>
      </c>
      <c r="C233" s="398">
        <v>0.1</v>
      </c>
      <c r="D233" s="398">
        <v>0</v>
      </c>
      <c r="E233" s="399">
        <v>0.3</v>
      </c>
      <c r="F233" s="690" t="s">
        <v>3921</v>
      </c>
      <c r="G233" s="705" t="s">
        <v>260</v>
      </c>
      <c r="H233" s="705" t="s">
        <v>2399</v>
      </c>
      <c r="I233" s="705" t="s">
        <v>2399</v>
      </c>
      <c r="J233" s="705" t="s">
        <v>2399</v>
      </c>
      <c r="K233" s="705" t="s">
        <v>260</v>
      </c>
      <c r="L233" s="705" t="s">
        <v>2399</v>
      </c>
      <c r="M233" s="705" t="s">
        <v>260</v>
      </c>
      <c r="N233" s="705" t="s">
        <v>2399</v>
      </c>
      <c r="O233" s="705" t="s">
        <v>2399</v>
      </c>
      <c r="P233" s="705" t="s">
        <v>2399</v>
      </c>
    </row>
    <row r="234" spans="1:16" hidden="1" x14ac:dyDescent="0.3">
      <c r="A234" s="160" t="s">
        <v>491</v>
      </c>
      <c r="B234" s="160" t="s">
        <v>3926</v>
      </c>
      <c r="C234" s="398">
        <v>0.1</v>
      </c>
      <c r="D234" s="398">
        <v>0</v>
      </c>
      <c r="E234" s="399">
        <v>10</v>
      </c>
      <c r="F234" s="690" t="s">
        <v>3921</v>
      </c>
      <c r="G234" s="705" t="s">
        <v>260</v>
      </c>
      <c r="H234" s="705" t="s">
        <v>2399</v>
      </c>
      <c r="I234" s="705" t="s">
        <v>2399</v>
      </c>
      <c r="J234" s="705" t="s">
        <v>2399</v>
      </c>
      <c r="K234" s="705" t="s">
        <v>260</v>
      </c>
      <c r="L234" s="705" t="s">
        <v>2399</v>
      </c>
      <c r="M234" s="705" t="s">
        <v>260</v>
      </c>
      <c r="N234" s="705" t="s">
        <v>2399</v>
      </c>
      <c r="O234" s="705" t="s">
        <v>2399</v>
      </c>
      <c r="P234" s="705" t="s">
        <v>2399</v>
      </c>
    </row>
    <row r="235" spans="1:16" hidden="1" x14ac:dyDescent="0.3">
      <c r="A235" s="160" t="s">
        <v>4910</v>
      </c>
      <c r="B235" s="160" t="s">
        <v>3926</v>
      </c>
      <c r="C235" s="398">
        <v>0.1</v>
      </c>
      <c r="D235" s="398">
        <v>0</v>
      </c>
      <c r="E235" s="399">
        <v>0.3</v>
      </c>
      <c r="F235" s="690" t="s">
        <v>3921</v>
      </c>
      <c r="G235" s="705" t="s">
        <v>260</v>
      </c>
      <c r="H235" s="705" t="s">
        <v>2399</v>
      </c>
      <c r="I235" s="705" t="s">
        <v>2399</v>
      </c>
      <c r="J235" s="705" t="s">
        <v>2399</v>
      </c>
      <c r="K235" s="705" t="s">
        <v>260</v>
      </c>
      <c r="L235" s="705" t="s">
        <v>2399</v>
      </c>
      <c r="M235" s="705" t="s">
        <v>260</v>
      </c>
      <c r="N235" s="705" t="s">
        <v>2399</v>
      </c>
      <c r="O235" s="705" t="s">
        <v>2399</v>
      </c>
      <c r="P235" s="705" t="s">
        <v>2399</v>
      </c>
    </row>
    <row r="236" spans="1:16" x14ac:dyDescent="0.3">
      <c r="A236" s="160" t="s">
        <v>4912</v>
      </c>
      <c r="B236" s="160" t="s">
        <v>3926</v>
      </c>
      <c r="C236" s="398">
        <v>0.5</v>
      </c>
      <c r="D236" s="398">
        <v>1</v>
      </c>
      <c r="E236" s="399">
        <v>1</v>
      </c>
      <c r="F236" s="690" t="s">
        <v>3921</v>
      </c>
      <c r="G236" s="705" t="s">
        <v>2399</v>
      </c>
      <c r="H236" s="705" t="s">
        <v>2399</v>
      </c>
      <c r="I236" s="705" t="s">
        <v>2399</v>
      </c>
      <c r="J236" s="705" t="s">
        <v>2399</v>
      </c>
      <c r="K236" s="705" t="s">
        <v>260</v>
      </c>
      <c r="L236" s="705" t="s">
        <v>2399</v>
      </c>
      <c r="M236" s="705" t="s">
        <v>2399</v>
      </c>
      <c r="N236" s="705" t="s">
        <v>2399</v>
      </c>
      <c r="O236" s="705" t="s">
        <v>2399</v>
      </c>
      <c r="P236" s="705" t="s">
        <v>2399</v>
      </c>
    </row>
    <row r="237" spans="1:16" x14ac:dyDescent="0.3">
      <c r="A237" s="160" t="s">
        <v>4904</v>
      </c>
      <c r="B237" s="160" t="s">
        <v>3926</v>
      </c>
      <c r="C237" s="398">
        <v>0.7</v>
      </c>
      <c r="D237" s="398">
        <v>1</v>
      </c>
      <c r="E237" s="399">
        <v>10</v>
      </c>
      <c r="F237" s="690" t="s">
        <v>3921</v>
      </c>
      <c r="G237" s="705" t="s">
        <v>2399</v>
      </c>
      <c r="H237" s="705" t="s">
        <v>2399</v>
      </c>
      <c r="I237" s="705" t="s">
        <v>2399</v>
      </c>
      <c r="J237" s="705" t="s">
        <v>2399</v>
      </c>
      <c r="K237" s="705" t="s">
        <v>260</v>
      </c>
      <c r="L237" s="705" t="s">
        <v>2399</v>
      </c>
      <c r="M237" s="705" t="s">
        <v>260</v>
      </c>
      <c r="N237" s="705" t="s">
        <v>2399</v>
      </c>
      <c r="O237" s="705" t="s">
        <v>2399</v>
      </c>
      <c r="P237" s="705" t="s">
        <v>2399</v>
      </c>
    </row>
    <row r="238" spans="1:16" x14ac:dyDescent="0.3">
      <c r="A238" s="160" t="s">
        <v>3929</v>
      </c>
      <c r="B238" s="160" t="s">
        <v>3926</v>
      </c>
      <c r="C238" s="398">
        <v>0.75</v>
      </c>
      <c r="D238" s="398">
        <v>4</v>
      </c>
      <c r="E238" s="399">
        <v>3</v>
      </c>
      <c r="F238" s="690" t="s">
        <v>3921</v>
      </c>
      <c r="G238" s="705" t="s">
        <v>2399</v>
      </c>
      <c r="H238" s="705" t="s">
        <v>2399</v>
      </c>
      <c r="I238" s="705" t="s">
        <v>2399</v>
      </c>
      <c r="J238" s="705" t="s">
        <v>2399</v>
      </c>
      <c r="K238" s="705" t="s">
        <v>260</v>
      </c>
      <c r="L238" s="705" t="s">
        <v>2399</v>
      </c>
      <c r="M238" s="705" t="s">
        <v>2399</v>
      </c>
      <c r="N238" s="705" t="s">
        <v>2399</v>
      </c>
      <c r="O238" s="705" t="s">
        <v>2399</v>
      </c>
      <c r="P238" s="705" t="s">
        <v>2399</v>
      </c>
    </row>
    <row r="239" spans="1:16" x14ac:dyDescent="0.3">
      <c r="A239" s="160" t="s">
        <v>4905</v>
      </c>
      <c r="B239" s="160" t="s">
        <v>3926</v>
      </c>
      <c r="C239" s="398">
        <v>0.6</v>
      </c>
      <c r="D239" s="398">
        <v>1</v>
      </c>
      <c r="E239" s="399">
        <v>6</v>
      </c>
      <c r="F239" s="690" t="s">
        <v>3921</v>
      </c>
      <c r="G239" s="705" t="s">
        <v>2399</v>
      </c>
      <c r="H239" s="705" t="s">
        <v>2399</v>
      </c>
      <c r="I239" s="705" t="s">
        <v>2399</v>
      </c>
      <c r="J239" s="705" t="s">
        <v>2399</v>
      </c>
      <c r="K239" s="705" t="s">
        <v>260</v>
      </c>
      <c r="L239" s="705" t="s">
        <v>2399</v>
      </c>
      <c r="M239" s="705" t="s">
        <v>260</v>
      </c>
      <c r="N239" s="705" t="s">
        <v>2399</v>
      </c>
      <c r="O239" s="705" t="s">
        <v>2399</v>
      </c>
      <c r="P239" s="705" t="s">
        <v>2399</v>
      </c>
    </row>
    <row r="240" spans="1:16" x14ac:dyDescent="0.3">
      <c r="A240" s="160" t="s">
        <v>4906</v>
      </c>
      <c r="B240" s="160" t="s">
        <v>3926</v>
      </c>
      <c r="C240" s="398">
        <v>2.5</v>
      </c>
      <c r="D240" s="398">
        <v>4</v>
      </c>
      <c r="E240" s="399">
        <v>50</v>
      </c>
      <c r="F240" s="690" t="s">
        <v>3921</v>
      </c>
      <c r="G240" s="705" t="s">
        <v>2399</v>
      </c>
      <c r="H240" s="705" t="s">
        <v>2399</v>
      </c>
      <c r="I240" s="705" t="s">
        <v>2399</v>
      </c>
      <c r="J240" s="705" t="s">
        <v>2399</v>
      </c>
      <c r="K240" s="705" t="s">
        <v>260</v>
      </c>
      <c r="L240" s="705" t="s">
        <v>2399</v>
      </c>
      <c r="M240" s="705" t="s">
        <v>2399</v>
      </c>
      <c r="N240" s="705" t="s">
        <v>2399</v>
      </c>
      <c r="O240" s="705" t="s">
        <v>2399</v>
      </c>
      <c r="P240" s="705" t="s">
        <v>2399</v>
      </c>
    </row>
    <row r="241" spans="1:16" hidden="1" x14ac:dyDescent="0.3">
      <c r="A241" s="160" t="s">
        <v>460</v>
      </c>
      <c r="B241" s="160" t="s">
        <v>3926</v>
      </c>
      <c r="C241" s="398">
        <v>0.2</v>
      </c>
      <c r="D241" s="398">
        <v>0</v>
      </c>
      <c r="E241" s="399">
        <v>1</v>
      </c>
      <c r="F241" s="690" t="s">
        <v>3921</v>
      </c>
      <c r="G241" s="705" t="s">
        <v>2399</v>
      </c>
      <c r="H241" s="705" t="s">
        <v>2399</v>
      </c>
      <c r="I241" s="705" t="s">
        <v>2399</v>
      </c>
      <c r="J241" s="705" t="s">
        <v>2399</v>
      </c>
      <c r="K241" s="705" t="s">
        <v>260</v>
      </c>
      <c r="L241" s="705" t="s">
        <v>2399</v>
      </c>
      <c r="M241" s="705" t="s">
        <v>2399</v>
      </c>
      <c r="N241" s="705" t="s">
        <v>2399</v>
      </c>
      <c r="O241" s="705" t="s">
        <v>2399</v>
      </c>
      <c r="P241" s="705" t="s">
        <v>2399</v>
      </c>
    </row>
    <row r="242" spans="1:16" x14ac:dyDescent="0.3">
      <c r="A242" s="160" t="s">
        <v>4907</v>
      </c>
      <c r="B242" s="160" t="s">
        <v>3926</v>
      </c>
      <c r="C242" s="398">
        <v>0.8</v>
      </c>
      <c r="D242" s="398">
        <v>2</v>
      </c>
      <c r="E242" s="399">
        <v>25</v>
      </c>
      <c r="F242" s="690" t="s">
        <v>3921</v>
      </c>
      <c r="G242" s="705" t="s">
        <v>2399</v>
      </c>
      <c r="H242" s="705" t="s">
        <v>2399</v>
      </c>
      <c r="I242" s="705" t="s">
        <v>2399</v>
      </c>
      <c r="J242" s="705" t="s">
        <v>2399</v>
      </c>
      <c r="K242" s="705" t="s">
        <v>260</v>
      </c>
      <c r="L242" s="705" t="s">
        <v>2399</v>
      </c>
      <c r="M242" s="705" t="s">
        <v>2399</v>
      </c>
      <c r="N242" s="705" t="s">
        <v>2399</v>
      </c>
      <c r="O242" s="705" t="s">
        <v>2399</v>
      </c>
      <c r="P242" s="705" t="s">
        <v>2399</v>
      </c>
    </row>
    <row r="243" spans="1:16" x14ac:dyDescent="0.3">
      <c r="A243" s="160" t="s">
        <v>2405</v>
      </c>
      <c r="B243" s="160" t="s">
        <v>3926</v>
      </c>
      <c r="C243" s="398">
        <v>0.25</v>
      </c>
      <c r="D243" s="398">
        <v>2</v>
      </c>
      <c r="E243" s="399">
        <v>50</v>
      </c>
      <c r="F243" s="690" t="s">
        <v>3921</v>
      </c>
      <c r="G243" s="705" t="s">
        <v>2399</v>
      </c>
      <c r="H243" s="705" t="s">
        <v>2399</v>
      </c>
      <c r="I243" s="705" t="s">
        <v>2399</v>
      </c>
      <c r="J243" s="705" t="s">
        <v>2399</v>
      </c>
      <c r="K243" s="705" t="s">
        <v>260</v>
      </c>
      <c r="L243" s="705" t="s">
        <v>2399</v>
      </c>
      <c r="M243" s="705" t="s">
        <v>2399</v>
      </c>
      <c r="N243" s="705" t="s">
        <v>2399</v>
      </c>
      <c r="O243" s="705" t="s">
        <v>2399</v>
      </c>
      <c r="P243" s="705" t="s">
        <v>2399</v>
      </c>
    </row>
    <row r="244" spans="1:16" x14ac:dyDescent="0.3">
      <c r="A244" s="160" t="s">
        <v>4911</v>
      </c>
      <c r="B244" s="160" t="s">
        <v>3926</v>
      </c>
      <c r="C244" s="398">
        <v>2</v>
      </c>
      <c r="D244" s="398">
        <v>4</v>
      </c>
      <c r="E244" s="399">
        <v>18</v>
      </c>
      <c r="F244" s="690" t="s">
        <v>3921</v>
      </c>
      <c r="G244" s="705" t="s">
        <v>2399</v>
      </c>
      <c r="H244" s="705" t="s">
        <v>2399</v>
      </c>
      <c r="I244" s="705" t="s">
        <v>2399</v>
      </c>
      <c r="J244" s="705" t="s">
        <v>2399</v>
      </c>
      <c r="K244" s="705" t="s">
        <v>260</v>
      </c>
      <c r="L244" s="705" t="s">
        <v>2399</v>
      </c>
      <c r="M244" s="705" t="s">
        <v>2399</v>
      </c>
      <c r="N244" s="705" t="s">
        <v>2399</v>
      </c>
      <c r="O244" s="705" t="s">
        <v>2399</v>
      </c>
      <c r="P244" s="705" t="s">
        <v>2399</v>
      </c>
    </row>
    <row r="245" spans="1:16" x14ac:dyDescent="0.3">
      <c r="A245" s="160" t="s">
        <v>3930</v>
      </c>
      <c r="B245" s="160" t="s">
        <v>3926</v>
      </c>
      <c r="C245" s="398">
        <v>1</v>
      </c>
      <c r="D245" s="398">
        <v>2</v>
      </c>
      <c r="E245" s="399">
        <v>7.5</v>
      </c>
      <c r="F245" s="690" t="s">
        <v>3921</v>
      </c>
      <c r="G245" s="705" t="s">
        <v>2399</v>
      </c>
      <c r="H245" s="705" t="s">
        <v>2399</v>
      </c>
      <c r="I245" s="705" t="s">
        <v>2399</v>
      </c>
      <c r="J245" s="705" t="s">
        <v>2399</v>
      </c>
      <c r="K245" s="705" t="s">
        <v>260</v>
      </c>
      <c r="L245" s="705" t="s">
        <v>2399</v>
      </c>
      <c r="M245" s="705" t="s">
        <v>260</v>
      </c>
      <c r="N245" s="705" t="s">
        <v>2399</v>
      </c>
      <c r="O245" s="705" t="s">
        <v>2399</v>
      </c>
      <c r="P245" s="705" t="s">
        <v>2399</v>
      </c>
    </row>
    <row r="246" spans="1:16" x14ac:dyDescent="0.3">
      <c r="A246" s="160" t="s">
        <v>4908</v>
      </c>
      <c r="B246" s="160" t="s">
        <v>3926</v>
      </c>
      <c r="C246" s="398">
        <v>2.5</v>
      </c>
      <c r="D246" s="398">
        <v>4</v>
      </c>
      <c r="E246" s="399">
        <v>60</v>
      </c>
      <c r="F246" s="690" t="s">
        <v>3921</v>
      </c>
      <c r="G246" s="705" t="s">
        <v>2399</v>
      </c>
      <c r="H246" s="705" t="s">
        <v>2399</v>
      </c>
      <c r="I246" s="705" t="s">
        <v>2399</v>
      </c>
      <c r="J246" s="705" t="s">
        <v>2399</v>
      </c>
      <c r="K246" s="705" t="s">
        <v>260</v>
      </c>
      <c r="L246" s="705" t="s">
        <v>2399</v>
      </c>
      <c r="M246" s="705" t="s">
        <v>2399</v>
      </c>
      <c r="N246" s="705" t="s">
        <v>2399</v>
      </c>
      <c r="O246" s="705" t="s">
        <v>2399</v>
      </c>
      <c r="P246" s="705" t="s">
        <v>2399</v>
      </c>
    </row>
    <row r="247" spans="1:16" x14ac:dyDescent="0.3">
      <c r="A247" s="160" t="s">
        <v>664</v>
      </c>
      <c r="B247" s="160" t="s">
        <v>3926</v>
      </c>
      <c r="C247" s="398">
        <v>0.25</v>
      </c>
      <c r="D247" s="398">
        <v>2</v>
      </c>
      <c r="E247" s="399">
        <v>20</v>
      </c>
      <c r="F247" s="690" t="s">
        <v>3921</v>
      </c>
      <c r="G247" s="705" t="s">
        <v>2399</v>
      </c>
      <c r="H247" s="705" t="s">
        <v>2399</v>
      </c>
      <c r="I247" s="705" t="s">
        <v>2399</v>
      </c>
      <c r="J247" s="705" t="s">
        <v>2399</v>
      </c>
      <c r="K247" s="705" t="s">
        <v>260</v>
      </c>
      <c r="L247" s="705" t="s">
        <v>2399</v>
      </c>
      <c r="M247" s="705" t="s">
        <v>2399</v>
      </c>
      <c r="N247" s="705" t="s">
        <v>2399</v>
      </c>
      <c r="O247" s="705" t="s">
        <v>2399</v>
      </c>
      <c r="P247" s="705" t="s">
        <v>2399</v>
      </c>
    </row>
    <row r="248" spans="1:16" hidden="1" x14ac:dyDescent="0.3">
      <c r="A248" s="160" t="s">
        <v>489</v>
      </c>
      <c r="B248" s="160" t="s">
        <v>3926</v>
      </c>
      <c r="C248" s="398">
        <v>0.2</v>
      </c>
      <c r="D248" s="398">
        <v>0</v>
      </c>
      <c r="E248" s="399">
        <v>0.2</v>
      </c>
      <c r="F248" s="690" t="s">
        <v>3921</v>
      </c>
      <c r="G248" s="705" t="s">
        <v>2399</v>
      </c>
      <c r="H248" s="705" t="s">
        <v>2399</v>
      </c>
      <c r="I248" s="705" t="s">
        <v>2399</v>
      </c>
      <c r="J248" s="705" t="s">
        <v>2399</v>
      </c>
      <c r="K248" s="705" t="s">
        <v>260</v>
      </c>
      <c r="L248" s="705" t="s">
        <v>2399</v>
      </c>
      <c r="M248" s="705" t="s">
        <v>260</v>
      </c>
      <c r="N248" s="705" t="s">
        <v>2399</v>
      </c>
      <c r="O248" s="705" t="s">
        <v>2399</v>
      </c>
      <c r="P248" s="705" t="s">
        <v>2399</v>
      </c>
    </row>
    <row r="249" spans="1:16" x14ac:dyDescent="0.3">
      <c r="A249" s="674" t="s">
        <v>1276</v>
      </c>
      <c r="B249" s="674" t="s">
        <v>3913</v>
      </c>
      <c r="C249" s="675">
        <v>0.8</v>
      </c>
      <c r="D249" s="675">
        <v>1</v>
      </c>
      <c r="E249" s="676">
        <v>3.5</v>
      </c>
      <c r="F249" s="689" t="s">
        <v>519</v>
      </c>
      <c r="G249" s="704" t="s">
        <v>260</v>
      </c>
      <c r="H249" s="704" t="s">
        <v>2399</v>
      </c>
      <c r="I249" s="704" t="s">
        <v>2399</v>
      </c>
      <c r="J249" s="704" t="s">
        <v>2399</v>
      </c>
      <c r="K249" s="704" t="s">
        <v>260</v>
      </c>
      <c r="L249" s="704" t="s">
        <v>2399</v>
      </c>
      <c r="M249" s="704" t="s">
        <v>260</v>
      </c>
      <c r="N249" s="704" t="s">
        <v>2399</v>
      </c>
      <c r="O249" s="704" t="s">
        <v>2399</v>
      </c>
      <c r="P249" s="704" t="s">
        <v>2399</v>
      </c>
    </row>
    <row r="250" spans="1:16" x14ac:dyDescent="0.3">
      <c r="A250" s="674" t="s">
        <v>447</v>
      </c>
      <c r="B250" s="674" t="s">
        <v>3913</v>
      </c>
      <c r="C250" s="675">
        <v>0.1</v>
      </c>
      <c r="D250" s="675">
        <v>1</v>
      </c>
      <c r="E250" s="676">
        <v>1</v>
      </c>
      <c r="F250" s="689" t="s">
        <v>519</v>
      </c>
      <c r="G250" s="704" t="s">
        <v>260</v>
      </c>
      <c r="H250" s="704" t="s">
        <v>2399</v>
      </c>
      <c r="I250" s="704" t="s">
        <v>2399</v>
      </c>
      <c r="J250" s="704" t="s">
        <v>2399</v>
      </c>
      <c r="K250" s="704" t="s">
        <v>260</v>
      </c>
      <c r="L250" s="704" t="s">
        <v>2399</v>
      </c>
      <c r="M250" s="704" t="s">
        <v>260</v>
      </c>
      <c r="N250" s="704" t="s">
        <v>2399</v>
      </c>
      <c r="O250" s="704" t="s">
        <v>2399</v>
      </c>
      <c r="P250" s="704" t="s">
        <v>2399</v>
      </c>
    </row>
    <row r="251" spans="1:16" x14ac:dyDescent="0.3">
      <c r="A251" s="674" t="s">
        <v>3937</v>
      </c>
      <c r="B251" s="674" t="s">
        <v>3913</v>
      </c>
      <c r="C251" s="675">
        <v>0.15</v>
      </c>
      <c r="D251" s="675">
        <v>1</v>
      </c>
      <c r="E251" s="676">
        <v>4</v>
      </c>
      <c r="F251" s="689" t="s">
        <v>519</v>
      </c>
      <c r="G251" s="704" t="s">
        <v>260</v>
      </c>
      <c r="H251" s="704" t="s">
        <v>2399</v>
      </c>
      <c r="I251" s="704" t="s">
        <v>2399</v>
      </c>
      <c r="J251" s="704" t="s">
        <v>2399</v>
      </c>
      <c r="K251" s="704" t="s">
        <v>260</v>
      </c>
      <c r="L251" s="704" t="s">
        <v>2399</v>
      </c>
      <c r="M251" s="704" t="s">
        <v>260</v>
      </c>
      <c r="N251" s="704" t="s">
        <v>2399</v>
      </c>
      <c r="O251" s="704" t="s">
        <v>2399</v>
      </c>
      <c r="P251" s="704" t="s">
        <v>2399</v>
      </c>
    </row>
    <row r="252" spans="1:16" x14ac:dyDescent="0.3">
      <c r="A252" s="674" t="s">
        <v>3914</v>
      </c>
      <c r="B252" s="674" t="s">
        <v>3913</v>
      </c>
      <c r="C252" s="675">
        <v>0.2</v>
      </c>
      <c r="D252" s="675">
        <v>2</v>
      </c>
      <c r="E252" s="676">
        <v>3</v>
      </c>
      <c r="F252" s="689" t="s">
        <v>519</v>
      </c>
      <c r="G252" s="704" t="s">
        <v>2399</v>
      </c>
      <c r="H252" s="704" t="s">
        <v>2399</v>
      </c>
      <c r="I252" s="704" t="s">
        <v>2399</v>
      </c>
      <c r="J252" s="704" t="s">
        <v>260</v>
      </c>
      <c r="K252" s="704" t="s">
        <v>260</v>
      </c>
      <c r="L252" s="704" t="s">
        <v>260</v>
      </c>
      <c r="M252" s="704" t="s">
        <v>2399</v>
      </c>
      <c r="N252" s="704" t="s">
        <v>2399</v>
      </c>
      <c r="O252" s="704" t="s">
        <v>2399</v>
      </c>
      <c r="P252" s="704" t="s">
        <v>2399</v>
      </c>
    </row>
    <row r="253" spans="1:16" x14ac:dyDescent="0.3">
      <c r="A253" s="674" t="s">
        <v>448</v>
      </c>
      <c r="B253" s="674" t="s">
        <v>3913</v>
      </c>
      <c r="C253" s="675">
        <v>1.2</v>
      </c>
      <c r="D253" s="675">
        <v>2</v>
      </c>
      <c r="E253" s="676">
        <v>15</v>
      </c>
      <c r="F253" s="689" t="s">
        <v>519</v>
      </c>
      <c r="G253" s="704" t="s">
        <v>2399</v>
      </c>
      <c r="H253" s="704" t="s">
        <v>2399</v>
      </c>
      <c r="I253" s="704" t="s">
        <v>2399</v>
      </c>
      <c r="J253" s="704" t="s">
        <v>260</v>
      </c>
      <c r="K253" s="704" t="s">
        <v>260</v>
      </c>
      <c r="L253" s="704" t="s">
        <v>260</v>
      </c>
      <c r="M253" s="704" t="s">
        <v>2399</v>
      </c>
      <c r="N253" s="704" t="s">
        <v>2399</v>
      </c>
      <c r="O253" s="704" t="s">
        <v>2399</v>
      </c>
      <c r="P253" s="704" t="s">
        <v>2399</v>
      </c>
    </row>
    <row r="254" spans="1:16" x14ac:dyDescent="0.3">
      <c r="A254" s="674" t="s">
        <v>449</v>
      </c>
      <c r="B254" s="674" t="s">
        <v>3913</v>
      </c>
      <c r="C254" s="675">
        <v>1.75</v>
      </c>
      <c r="D254" s="675">
        <v>2</v>
      </c>
      <c r="E254" s="676">
        <v>25</v>
      </c>
      <c r="F254" s="689" t="s">
        <v>519</v>
      </c>
      <c r="G254" s="704" t="s">
        <v>2399</v>
      </c>
      <c r="H254" s="704" t="s">
        <v>2399</v>
      </c>
      <c r="I254" s="704" t="s">
        <v>2399</v>
      </c>
      <c r="J254" s="704" t="s">
        <v>260</v>
      </c>
      <c r="K254" s="704" t="s">
        <v>260</v>
      </c>
      <c r="L254" s="704" t="s">
        <v>260</v>
      </c>
      <c r="M254" s="704" t="s">
        <v>2399</v>
      </c>
      <c r="N254" s="704" t="s">
        <v>2399</v>
      </c>
      <c r="O254" s="704" t="s">
        <v>2399</v>
      </c>
      <c r="P254" s="704" t="s">
        <v>2399</v>
      </c>
    </row>
    <row r="255" spans="1:16" x14ac:dyDescent="0.3">
      <c r="A255" s="674" t="s">
        <v>4901</v>
      </c>
      <c r="B255" s="674" t="s">
        <v>3913</v>
      </c>
      <c r="C255" s="675">
        <v>1.5</v>
      </c>
      <c r="D255" s="675">
        <v>2</v>
      </c>
      <c r="E255" s="676">
        <v>50</v>
      </c>
      <c r="F255" s="689" t="s">
        <v>519</v>
      </c>
      <c r="G255" s="704" t="s">
        <v>2399</v>
      </c>
      <c r="H255" s="704" t="s">
        <v>2399</v>
      </c>
      <c r="I255" s="704" t="s">
        <v>2399</v>
      </c>
      <c r="J255" s="704" t="s">
        <v>260</v>
      </c>
      <c r="K255" s="704" t="s">
        <v>260</v>
      </c>
      <c r="L255" s="704" t="s">
        <v>260</v>
      </c>
      <c r="M255" s="704" t="s">
        <v>2399</v>
      </c>
      <c r="N255" s="704" t="s">
        <v>2399</v>
      </c>
      <c r="O255" s="704" t="s">
        <v>2399</v>
      </c>
      <c r="P255" s="704" t="s">
        <v>2399</v>
      </c>
    </row>
    <row r="256" spans="1:16" hidden="1" x14ac:dyDescent="0.3">
      <c r="A256" s="674" t="s">
        <v>445</v>
      </c>
      <c r="B256" s="674" t="s">
        <v>3913</v>
      </c>
      <c r="C256" s="675">
        <v>0.6</v>
      </c>
      <c r="D256" s="675">
        <v>0</v>
      </c>
      <c r="E256" s="676">
        <v>1.5</v>
      </c>
      <c r="F256" s="689" t="s">
        <v>519</v>
      </c>
      <c r="G256" s="704" t="s">
        <v>2399</v>
      </c>
      <c r="H256" s="704" t="s">
        <v>2399</v>
      </c>
      <c r="I256" s="704" t="s">
        <v>2399</v>
      </c>
      <c r="J256" s="704" t="s">
        <v>2399</v>
      </c>
      <c r="K256" s="704" t="s">
        <v>260</v>
      </c>
      <c r="L256" s="704" t="s">
        <v>2399</v>
      </c>
      <c r="M256" s="704" t="s">
        <v>2399</v>
      </c>
      <c r="N256" s="704" t="s">
        <v>2399</v>
      </c>
      <c r="O256" s="704" t="s">
        <v>2399</v>
      </c>
      <c r="P256" s="704" t="s">
        <v>2399</v>
      </c>
    </row>
    <row r="257" spans="1:16" x14ac:dyDescent="0.3">
      <c r="A257" s="674" t="s">
        <v>450</v>
      </c>
      <c r="B257" s="674" t="s">
        <v>3913</v>
      </c>
      <c r="C257" s="675">
        <v>0.5</v>
      </c>
      <c r="D257" s="675">
        <v>2</v>
      </c>
      <c r="E257" s="676">
        <v>0.1</v>
      </c>
      <c r="F257" s="689" t="s">
        <v>519</v>
      </c>
      <c r="G257" s="704" t="s">
        <v>2399</v>
      </c>
      <c r="H257" s="704" t="s">
        <v>2399</v>
      </c>
      <c r="I257" s="704" t="s">
        <v>2399</v>
      </c>
      <c r="J257" s="704" t="s">
        <v>2399</v>
      </c>
      <c r="K257" s="704" t="s">
        <v>260</v>
      </c>
      <c r="L257" s="704" t="s">
        <v>2399</v>
      </c>
      <c r="M257" s="704" t="s">
        <v>260</v>
      </c>
      <c r="N257" s="704" t="s">
        <v>2399</v>
      </c>
      <c r="O257" s="704" t="s">
        <v>2399</v>
      </c>
      <c r="P257" s="704" t="s">
        <v>2399</v>
      </c>
    </row>
    <row r="258" spans="1:16" x14ac:dyDescent="0.3">
      <c r="A258" s="674" t="s">
        <v>3915</v>
      </c>
      <c r="B258" s="674" t="s">
        <v>3913</v>
      </c>
      <c r="C258" s="675">
        <v>0.2</v>
      </c>
      <c r="D258" s="675">
        <v>1</v>
      </c>
      <c r="E258" s="676">
        <v>4</v>
      </c>
      <c r="F258" s="689" t="s">
        <v>519</v>
      </c>
      <c r="G258" s="704" t="s">
        <v>2399</v>
      </c>
      <c r="H258" s="704" t="s">
        <v>2399</v>
      </c>
      <c r="I258" s="704" t="s">
        <v>2399</v>
      </c>
      <c r="J258" s="704" t="s">
        <v>260</v>
      </c>
      <c r="K258" s="704" t="s">
        <v>260</v>
      </c>
      <c r="L258" s="704" t="s">
        <v>260</v>
      </c>
      <c r="M258" s="704" t="s">
        <v>2399</v>
      </c>
      <c r="N258" s="704" t="s">
        <v>2399</v>
      </c>
      <c r="O258" s="704" t="s">
        <v>2399</v>
      </c>
      <c r="P258" s="704" t="s">
        <v>2399</v>
      </c>
    </row>
    <row r="259" spans="1:16" x14ac:dyDescent="0.3">
      <c r="A259" s="674" t="s">
        <v>3916</v>
      </c>
      <c r="B259" s="674" t="s">
        <v>3913</v>
      </c>
      <c r="C259" s="675">
        <f>3*0.2</f>
        <v>0.60000000000000009</v>
      </c>
      <c r="D259" s="675">
        <v>2</v>
      </c>
      <c r="E259" s="676">
        <f>3*4</f>
        <v>12</v>
      </c>
      <c r="F259" s="689" t="s">
        <v>519</v>
      </c>
      <c r="G259" s="704" t="s">
        <v>2399</v>
      </c>
      <c r="H259" s="704" t="s">
        <v>2399</v>
      </c>
      <c r="I259" s="704" t="s">
        <v>2399</v>
      </c>
      <c r="J259" s="704" t="s">
        <v>260</v>
      </c>
      <c r="K259" s="704" t="s">
        <v>260</v>
      </c>
      <c r="L259" s="704" t="s">
        <v>260</v>
      </c>
      <c r="M259" s="704" t="s">
        <v>2399</v>
      </c>
      <c r="N259" s="704" t="s">
        <v>2399</v>
      </c>
      <c r="O259" s="704" t="s">
        <v>2399</v>
      </c>
      <c r="P259" s="704" t="s">
        <v>2399</v>
      </c>
    </row>
    <row r="260" spans="1:16" x14ac:dyDescent="0.3">
      <c r="A260" s="674" t="s">
        <v>3917</v>
      </c>
      <c r="B260" s="674" t="s">
        <v>3913</v>
      </c>
      <c r="C260" s="675">
        <f>5*0.2</f>
        <v>1</v>
      </c>
      <c r="D260" s="675">
        <v>4</v>
      </c>
      <c r="E260" s="676">
        <f>5*4</f>
        <v>20</v>
      </c>
      <c r="F260" s="689" t="s">
        <v>519</v>
      </c>
      <c r="G260" s="704" t="s">
        <v>2399</v>
      </c>
      <c r="H260" s="704" t="s">
        <v>2399</v>
      </c>
      <c r="I260" s="704" t="s">
        <v>2399</v>
      </c>
      <c r="J260" s="704" t="s">
        <v>260</v>
      </c>
      <c r="K260" s="704" t="s">
        <v>260</v>
      </c>
      <c r="L260" s="704" t="s">
        <v>260</v>
      </c>
      <c r="M260" s="704" t="s">
        <v>2399</v>
      </c>
      <c r="N260" s="704" t="s">
        <v>2399</v>
      </c>
      <c r="O260" s="704" t="s">
        <v>2399</v>
      </c>
      <c r="P260" s="704" t="s">
        <v>2399</v>
      </c>
    </row>
    <row r="261" spans="1:16" x14ac:dyDescent="0.3">
      <c r="A261" s="674" t="s">
        <v>3918</v>
      </c>
      <c r="B261" s="674" t="s">
        <v>3913</v>
      </c>
      <c r="C261" s="675">
        <f>7*0.2</f>
        <v>1.4000000000000001</v>
      </c>
      <c r="D261" s="675">
        <v>4</v>
      </c>
      <c r="E261" s="676">
        <f>7*E258</f>
        <v>28</v>
      </c>
      <c r="F261" s="689" t="s">
        <v>519</v>
      </c>
      <c r="G261" s="704" t="s">
        <v>2399</v>
      </c>
      <c r="H261" s="704" t="s">
        <v>2399</v>
      </c>
      <c r="I261" s="704" t="s">
        <v>2399</v>
      </c>
      <c r="J261" s="704" t="s">
        <v>260</v>
      </c>
      <c r="K261" s="704" t="s">
        <v>260</v>
      </c>
      <c r="L261" s="704" t="s">
        <v>260</v>
      </c>
      <c r="M261" s="704" t="s">
        <v>2399</v>
      </c>
      <c r="N261" s="704" t="s">
        <v>2399</v>
      </c>
      <c r="O261" s="704" t="s">
        <v>2399</v>
      </c>
      <c r="P261" s="704" t="s">
        <v>2399</v>
      </c>
    </row>
    <row r="262" spans="1:16" hidden="1" x14ac:dyDescent="0.3">
      <c r="A262" s="674" t="s">
        <v>451</v>
      </c>
      <c r="B262" s="674" t="s">
        <v>3913</v>
      </c>
      <c r="C262" s="675">
        <v>0.1</v>
      </c>
      <c r="D262" s="675">
        <v>0</v>
      </c>
      <c r="E262" s="676">
        <v>0.5</v>
      </c>
      <c r="F262" s="689" t="s">
        <v>519</v>
      </c>
      <c r="G262" s="704" t="s">
        <v>2399</v>
      </c>
      <c r="H262" s="704" t="s">
        <v>2399</v>
      </c>
      <c r="I262" s="704" t="s">
        <v>2399</v>
      </c>
      <c r="J262" s="704" t="s">
        <v>2399</v>
      </c>
      <c r="K262" s="704" t="s">
        <v>260</v>
      </c>
      <c r="L262" s="704" t="s">
        <v>2399</v>
      </c>
      <c r="M262" s="704" t="s">
        <v>260</v>
      </c>
      <c r="N262" s="704" t="s">
        <v>2399</v>
      </c>
      <c r="O262" s="704" t="s">
        <v>2399</v>
      </c>
      <c r="P262" s="704" t="s">
        <v>2399</v>
      </c>
    </row>
    <row r="263" spans="1:16" hidden="1" x14ac:dyDescent="0.3">
      <c r="A263" s="997" t="s">
        <v>2080</v>
      </c>
      <c r="B263" s="997" t="s">
        <v>4540</v>
      </c>
      <c r="C263" s="155">
        <v>0.04</v>
      </c>
      <c r="D263" s="155">
        <v>0</v>
      </c>
      <c r="E263" s="387"/>
      <c r="F263" s="254" t="s">
        <v>1256</v>
      </c>
      <c r="G263" s="998" t="s">
        <v>260</v>
      </c>
      <c r="H263" s="998" t="s">
        <v>2399</v>
      </c>
      <c r="I263" s="998" t="s">
        <v>260</v>
      </c>
      <c r="J263" s="998" t="s">
        <v>2399</v>
      </c>
      <c r="K263" s="998" t="s">
        <v>260</v>
      </c>
      <c r="L263" s="998" t="s">
        <v>2399</v>
      </c>
      <c r="M263" s="998" t="s">
        <v>2399</v>
      </c>
      <c r="N263" s="998" t="s">
        <v>2399</v>
      </c>
      <c r="O263" s="998" t="s">
        <v>2399</v>
      </c>
      <c r="P263" s="998" t="s">
        <v>2399</v>
      </c>
    </row>
    <row r="264" spans="1:16" x14ac:dyDescent="0.3">
      <c r="A264" s="997" t="s">
        <v>1222</v>
      </c>
      <c r="B264" s="997" t="s">
        <v>4540</v>
      </c>
      <c r="C264" s="155">
        <v>15</v>
      </c>
      <c r="D264" s="155">
        <v>4</v>
      </c>
      <c r="E264" s="387"/>
      <c r="F264" s="254" t="s">
        <v>1256</v>
      </c>
      <c r="G264" s="998" t="s">
        <v>2399</v>
      </c>
      <c r="H264" s="998" t="s">
        <v>2399</v>
      </c>
      <c r="I264" s="998" t="s">
        <v>2399</v>
      </c>
      <c r="J264" s="998" t="s">
        <v>2399</v>
      </c>
      <c r="K264" s="998" t="s">
        <v>260</v>
      </c>
      <c r="L264" s="998" t="s">
        <v>2399</v>
      </c>
      <c r="M264" s="998" t="s">
        <v>2399</v>
      </c>
      <c r="N264" s="998" t="s">
        <v>2399</v>
      </c>
      <c r="O264" s="998" t="s">
        <v>2399</v>
      </c>
      <c r="P264" s="998" t="s">
        <v>2399</v>
      </c>
    </row>
    <row r="265" spans="1:16" x14ac:dyDescent="0.3">
      <c r="A265" s="997" t="s">
        <v>1215</v>
      </c>
      <c r="B265" s="997" t="s">
        <v>4540</v>
      </c>
      <c r="C265" s="155">
        <v>0.5</v>
      </c>
      <c r="D265" s="155">
        <v>2</v>
      </c>
      <c r="E265" s="387"/>
      <c r="F265" s="254" t="s">
        <v>1256</v>
      </c>
      <c r="G265" s="998" t="s">
        <v>2399</v>
      </c>
      <c r="H265" s="998" t="s">
        <v>2399</v>
      </c>
      <c r="I265" s="998" t="s">
        <v>2399</v>
      </c>
      <c r="J265" s="998" t="s">
        <v>2399</v>
      </c>
      <c r="K265" s="998" t="s">
        <v>260</v>
      </c>
      <c r="L265" s="998" t="s">
        <v>2399</v>
      </c>
      <c r="M265" s="998" t="s">
        <v>2399</v>
      </c>
      <c r="N265" s="998" t="s">
        <v>2399</v>
      </c>
      <c r="O265" s="998" t="s">
        <v>2399</v>
      </c>
      <c r="P265" s="998" t="s">
        <v>2399</v>
      </c>
    </row>
    <row r="266" spans="1:16" hidden="1" x14ac:dyDescent="0.3">
      <c r="A266" s="997" t="s">
        <v>1227</v>
      </c>
      <c r="B266" s="997" t="s">
        <v>4540</v>
      </c>
      <c r="C266" s="155">
        <v>0.05</v>
      </c>
      <c r="D266" s="155">
        <v>0</v>
      </c>
      <c r="E266" s="387"/>
      <c r="F266" s="254" t="s">
        <v>1256</v>
      </c>
      <c r="G266" s="998" t="s">
        <v>260</v>
      </c>
      <c r="H266" s="998" t="s">
        <v>2399</v>
      </c>
      <c r="I266" s="998" t="s">
        <v>2399</v>
      </c>
      <c r="J266" s="998" t="s">
        <v>2399</v>
      </c>
      <c r="K266" s="998" t="s">
        <v>260</v>
      </c>
      <c r="L266" s="998" t="s">
        <v>2399</v>
      </c>
      <c r="M266" s="998" t="s">
        <v>2399</v>
      </c>
      <c r="N266" s="998" t="s">
        <v>2399</v>
      </c>
      <c r="O266" s="998" t="s">
        <v>2399</v>
      </c>
      <c r="P266" s="998" t="s">
        <v>2399</v>
      </c>
    </row>
    <row r="267" spans="1:16" x14ac:dyDescent="0.3">
      <c r="A267" s="997" t="s">
        <v>1234</v>
      </c>
      <c r="B267" s="997" t="s">
        <v>4540</v>
      </c>
      <c r="C267" s="155">
        <v>0.25</v>
      </c>
      <c r="D267" s="155">
        <v>1</v>
      </c>
      <c r="E267" s="387"/>
      <c r="F267" s="254" t="s">
        <v>1256</v>
      </c>
      <c r="G267" s="998" t="s">
        <v>2399</v>
      </c>
      <c r="H267" s="998" t="s">
        <v>2399</v>
      </c>
      <c r="I267" s="998" t="s">
        <v>2399</v>
      </c>
      <c r="J267" s="998" t="s">
        <v>2399</v>
      </c>
      <c r="K267" s="998" t="s">
        <v>260</v>
      </c>
      <c r="L267" s="998" t="s">
        <v>2399</v>
      </c>
      <c r="M267" s="998" t="s">
        <v>2399</v>
      </c>
      <c r="N267" s="998" t="s">
        <v>2399</v>
      </c>
      <c r="O267" s="998" t="s">
        <v>2399</v>
      </c>
      <c r="P267" s="998" t="s">
        <v>2399</v>
      </c>
    </row>
    <row r="268" spans="1:16" x14ac:dyDescent="0.3">
      <c r="A268" s="997" t="s">
        <v>1214</v>
      </c>
      <c r="B268" s="997" t="s">
        <v>4540</v>
      </c>
      <c r="C268" s="155">
        <v>0.1</v>
      </c>
      <c r="D268" s="155">
        <v>1</v>
      </c>
      <c r="E268" s="387"/>
      <c r="F268" s="254" t="s">
        <v>1256</v>
      </c>
      <c r="G268" s="998" t="s">
        <v>260</v>
      </c>
      <c r="H268" s="998" t="s">
        <v>2399</v>
      </c>
      <c r="I268" s="998" t="s">
        <v>2399</v>
      </c>
      <c r="J268" s="998" t="s">
        <v>2399</v>
      </c>
      <c r="K268" s="998" t="s">
        <v>260</v>
      </c>
      <c r="L268" s="998" t="s">
        <v>2399</v>
      </c>
      <c r="M268" s="998" t="s">
        <v>260</v>
      </c>
      <c r="N268" s="998" t="s">
        <v>260</v>
      </c>
      <c r="O268" s="998" t="s">
        <v>2399</v>
      </c>
      <c r="P268" s="998" t="s">
        <v>2399</v>
      </c>
    </row>
    <row r="269" spans="1:16" x14ac:dyDescent="0.3">
      <c r="A269" s="997" t="s">
        <v>941</v>
      </c>
      <c r="B269" s="997" t="s">
        <v>4540</v>
      </c>
      <c r="C269" s="155">
        <v>0.3</v>
      </c>
      <c r="D269" s="155">
        <v>1</v>
      </c>
      <c r="E269" s="387"/>
      <c r="F269" s="254" t="s">
        <v>1256</v>
      </c>
      <c r="G269" s="998" t="s">
        <v>260</v>
      </c>
      <c r="H269" s="998" t="s">
        <v>2399</v>
      </c>
      <c r="I269" s="998" t="s">
        <v>2399</v>
      </c>
      <c r="J269" s="998" t="s">
        <v>2399</v>
      </c>
      <c r="K269" s="998" t="s">
        <v>260</v>
      </c>
      <c r="L269" s="998" t="s">
        <v>2399</v>
      </c>
      <c r="M269" s="998" t="s">
        <v>260</v>
      </c>
      <c r="N269" s="998" t="s">
        <v>2399</v>
      </c>
      <c r="O269" s="998" t="s">
        <v>2399</v>
      </c>
      <c r="P269" s="998" t="s">
        <v>2399</v>
      </c>
    </row>
    <row r="270" spans="1:16" hidden="1" x14ac:dyDescent="0.3">
      <c r="A270" s="997" t="s">
        <v>1233</v>
      </c>
      <c r="B270" s="997" t="s">
        <v>4540</v>
      </c>
      <c r="C270" s="155">
        <v>0.02</v>
      </c>
      <c r="D270" s="155">
        <v>0</v>
      </c>
      <c r="E270" s="387"/>
      <c r="F270" s="254" t="s">
        <v>1256</v>
      </c>
      <c r="G270" s="998" t="s">
        <v>260</v>
      </c>
      <c r="H270" s="998" t="s">
        <v>2399</v>
      </c>
      <c r="I270" s="998" t="s">
        <v>2399</v>
      </c>
      <c r="J270" s="998" t="s">
        <v>2399</v>
      </c>
      <c r="K270" s="998" t="s">
        <v>260</v>
      </c>
      <c r="L270" s="998" t="s">
        <v>2399</v>
      </c>
      <c r="M270" s="998" t="s">
        <v>2399</v>
      </c>
      <c r="N270" s="998" t="s">
        <v>2399</v>
      </c>
      <c r="O270" s="998" t="s">
        <v>2399</v>
      </c>
      <c r="P270" s="998" t="s">
        <v>2399</v>
      </c>
    </row>
    <row r="271" spans="1:16" hidden="1" x14ac:dyDescent="0.3">
      <c r="A271" s="997" t="s">
        <v>2090</v>
      </c>
      <c r="B271" s="997" t="s">
        <v>4540</v>
      </c>
      <c r="C271" s="155">
        <v>0.05</v>
      </c>
      <c r="D271" s="155">
        <v>0</v>
      </c>
      <c r="E271" s="387"/>
      <c r="F271" s="254" t="s">
        <v>1256</v>
      </c>
      <c r="G271" s="998" t="s">
        <v>2399</v>
      </c>
      <c r="H271" s="998" t="s">
        <v>2399</v>
      </c>
      <c r="I271" s="998" t="s">
        <v>2399</v>
      </c>
      <c r="J271" s="998" t="s">
        <v>2399</v>
      </c>
      <c r="K271" s="998" t="s">
        <v>260</v>
      </c>
      <c r="L271" s="998" t="s">
        <v>2399</v>
      </c>
      <c r="M271" s="998" t="s">
        <v>2399</v>
      </c>
      <c r="N271" s="998" t="s">
        <v>2399</v>
      </c>
      <c r="O271" s="998" t="s">
        <v>2399</v>
      </c>
      <c r="P271" s="998" t="s">
        <v>2399</v>
      </c>
    </row>
    <row r="272" spans="1:16" hidden="1" x14ac:dyDescent="0.3">
      <c r="A272" s="647" t="s">
        <v>940</v>
      </c>
      <c r="B272" s="647" t="s">
        <v>4540</v>
      </c>
      <c r="C272" s="648">
        <v>0.01</v>
      </c>
      <c r="D272" s="648">
        <v>0</v>
      </c>
      <c r="E272" s="649">
        <v>40</v>
      </c>
      <c r="F272" s="677" t="s">
        <v>206</v>
      </c>
      <c r="G272" s="692" t="s">
        <v>260</v>
      </c>
      <c r="H272" s="692" t="s">
        <v>2399</v>
      </c>
      <c r="I272" s="692" t="s">
        <v>2399</v>
      </c>
      <c r="J272" s="692" t="s">
        <v>2399</v>
      </c>
      <c r="K272" s="692" t="s">
        <v>260</v>
      </c>
      <c r="L272" s="692" t="s">
        <v>2399</v>
      </c>
      <c r="M272" s="692" t="s">
        <v>2399</v>
      </c>
      <c r="N272" s="692" t="s">
        <v>2399</v>
      </c>
      <c r="O272" s="692" t="s">
        <v>2399</v>
      </c>
      <c r="P272" s="692" t="s">
        <v>2399</v>
      </c>
    </row>
    <row r="273" spans="1:16" x14ac:dyDescent="0.3">
      <c r="A273" s="997" t="s">
        <v>430</v>
      </c>
      <c r="B273" s="997" t="s">
        <v>4540</v>
      </c>
      <c r="C273" s="155">
        <v>0.2</v>
      </c>
      <c r="D273" s="155">
        <v>1</v>
      </c>
      <c r="E273" s="387"/>
      <c r="F273" s="254" t="s">
        <v>1256</v>
      </c>
      <c r="G273" s="998" t="s">
        <v>260</v>
      </c>
      <c r="H273" s="998" t="s">
        <v>2399</v>
      </c>
      <c r="I273" s="998" t="s">
        <v>2399</v>
      </c>
      <c r="J273" s="998" t="s">
        <v>2399</v>
      </c>
      <c r="K273" s="998" t="s">
        <v>260</v>
      </c>
      <c r="L273" s="998" t="s">
        <v>2399</v>
      </c>
      <c r="M273" s="998" t="s">
        <v>260</v>
      </c>
      <c r="N273" s="998" t="s">
        <v>2399</v>
      </c>
      <c r="O273" s="998" t="s">
        <v>2399</v>
      </c>
      <c r="P273" s="998" t="s">
        <v>2399</v>
      </c>
    </row>
    <row r="274" spans="1:16" hidden="1" x14ac:dyDescent="0.3">
      <c r="A274" s="997" t="s">
        <v>2094</v>
      </c>
      <c r="B274" s="997" t="s">
        <v>4540</v>
      </c>
      <c r="C274" s="927">
        <v>0.1</v>
      </c>
      <c r="D274" s="927">
        <v>0</v>
      </c>
      <c r="E274" s="393"/>
      <c r="F274" s="691" t="s">
        <v>1256</v>
      </c>
      <c r="G274" s="998" t="s">
        <v>2399</v>
      </c>
      <c r="H274" s="998" t="s">
        <v>2399</v>
      </c>
      <c r="I274" s="998" t="s">
        <v>2399</v>
      </c>
      <c r="J274" s="998" t="s">
        <v>2399</v>
      </c>
      <c r="K274" s="998" t="s">
        <v>260</v>
      </c>
      <c r="L274" s="998" t="s">
        <v>2399</v>
      </c>
      <c r="M274" s="998" t="s">
        <v>260</v>
      </c>
      <c r="N274" s="998" t="s">
        <v>2399</v>
      </c>
      <c r="O274" s="998" t="s">
        <v>2399</v>
      </c>
      <c r="P274" s="998" t="s">
        <v>2399</v>
      </c>
    </row>
    <row r="275" spans="1:16" x14ac:dyDescent="0.3">
      <c r="A275" s="997" t="s">
        <v>1230</v>
      </c>
      <c r="B275" s="997" t="s">
        <v>4540</v>
      </c>
      <c r="C275" s="155">
        <v>0.8</v>
      </c>
      <c r="D275" s="155">
        <v>1</v>
      </c>
      <c r="E275" s="387"/>
      <c r="F275" s="254" t="s">
        <v>1256</v>
      </c>
      <c r="G275" s="998" t="s">
        <v>2399</v>
      </c>
      <c r="H275" s="998" t="s">
        <v>260</v>
      </c>
      <c r="I275" s="998" t="s">
        <v>2399</v>
      </c>
      <c r="J275" s="998" t="s">
        <v>2399</v>
      </c>
      <c r="K275" s="998" t="s">
        <v>260</v>
      </c>
      <c r="L275" s="998" t="s">
        <v>2399</v>
      </c>
      <c r="M275" s="998" t="s">
        <v>2399</v>
      </c>
      <c r="N275" s="998" t="s">
        <v>2399</v>
      </c>
      <c r="O275" s="998" t="s">
        <v>2399</v>
      </c>
      <c r="P275" s="998" t="s">
        <v>2399</v>
      </c>
    </row>
    <row r="276" spans="1:16" x14ac:dyDescent="0.3">
      <c r="A276" s="997" t="s">
        <v>1135</v>
      </c>
      <c r="B276" s="997" t="s">
        <v>4540</v>
      </c>
      <c r="C276" s="155">
        <v>0.3</v>
      </c>
      <c r="D276" s="155">
        <v>1</v>
      </c>
      <c r="E276" s="387"/>
      <c r="F276" s="254" t="s">
        <v>1256</v>
      </c>
      <c r="G276" s="998" t="s">
        <v>260</v>
      </c>
      <c r="H276" s="998" t="s">
        <v>2399</v>
      </c>
      <c r="I276" s="998" t="s">
        <v>2399</v>
      </c>
      <c r="J276" s="998" t="s">
        <v>2399</v>
      </c>
      <c r="K276" s="998" t="s">
        <v>260</v>
      </c>
      <c r="L276" s="998" t="s">
        <v>2399</v>
      </c>
      <c r="M276" s="998" t="s">
        <v>260</v>
      </c>
      <c r="N276" s="998" t="s">
        <v>2399</v>
      </c>
      <c r="O276" s="998" t="s">
        <v>2399</v>
      </c>
      <c r="P276" s="998" t="s">
        <v>2399</v>
      </c>
    </row>
    <row r="277" spans="1:16" x14ac:dyDescent="0.3">
      <c r="A277" s="997" t="s">
        <v>1277</v>
      </c>
      <c r="B277" s="997" t="s">
        <v>4540</v>
      </c>
      <c r="C277" s="155">
        <v>0.4</v>
      </c>
      <c r="D277" s="155">
        <v>1</v>
      </c>
      <c r="E277" s="387"/>
      <c r="F277" s="254" t="s">
        <v>1256</v>
      </c>
      <c r="G277" s="998" t="s">
        <v>2399</v>
      </c>
      <c r="H277" s="998" t="s">
        <v>2399</v>
      </c>
      <c r="I277" s="998" t="s">
        <v>2399</v>
      </c>
      <c r="J277" s="998" t="s">
        <v>2399</v>
      </c>
      <c r="K277" s="998" t="s">
        <v>260</v>
      </c>
      <c r="L277" s="998" t="s">
        <v>2399</v>
      </c>
      <c r="M277" s="998" t="s">
        <v>2399</v>
      </c>
      <c r="N277" s="998" t="s">
        <v>2399</v>
      </c>
      <c r="O277" s="998" t="s">
        <v>2399</v>
      </c>
      <c r="P277" s="998" t="s">
        <v>2399</v>
      </c>
    </row>
    <row r="278" spans="1:16" x14ac:dyDescent="0.3">
      <c r="A278" s="997" t="s">
        <v>1216</v>
      </c>
      <c r="B278" s="997" t="s">
        <v>4540</v>
      </c>
      <c r="C278" s="155">
        <v>0.1</v>
      </c>
      <c r="D278" s="155">
        <v>1</v>
      </c>
      <c r="E278" s="387"/>
      <c r="F278" s="254" t="s">
        <v>1256</v>
      </c>
      <c r="G278" s="998" t="s">
        <v>2399</v>
      </c>
      <c r="H278" s="998" t="s">
        <v>2399</v>
      </c>
      <c r="I278" s="998" t="s">
        <v>2399</v>
      </c>
      <c r="J278" s="998" t="s">
        <v>2399</v>
      </c>
      <c r="K278" s="998" t="s">
        <v>260</v>
      </c>
      <c r="L278" s="998" t="s">
        <v>2399</v>
      </c>
      <c r="M278" s="998" t="s">
        <v>2399</v>
      </c>
      <c r="N278" s="998" t="s">
        <v>2399</v>
      </c>
      <c r="O278" s="998" t="s">
        <v>2399</v>
      </c>
      <c r="P278" s="998" t="s">
        <v>2399</v>
      </c>
    </row>
    <row r="279" spans="1:16" hidden="1" x14ac:dyDescent="0.3">
      <c r="A279" s="997" t="s">
        <v>1226</v>
      </c>
      <c r="B279" s="997" t="s">
        <v>4540</v>
      </c>
      <c r="C279" s="155">
        <v>0.01</v>
      </c>
      <c r="D279" s="155">
        <v>0</v>
      </c>
      <c r="E279" s="387"/>
      <c r="F279" s="254" t="s">
        <v>1256</v>
      </c>
      <c r="G279" s="998" t="s">
        <v>2399</v>
      </c>
      <c r="H279" s="998" t="s">
        <v>2399</v>
      </c>
      <c r="I279" s="998" t="s">
        <v>2399</v>
      </c>
      <c r="J279" s="998" t="s">
        <v>2399</v>
      </c>
      <c r="K279" s="998" t="s">
        <v>260</v>
      </c>
      <c r="L279" s="998" t="s">
        <v>2399</v>
      </c>
      <c r="M279" s="998" t="s">
        <v>2399</v>
      </c>
      <c r="N279" s="998" t="s">
        <v>2399</v>
      </c>
      <c r="O279" s="998" t="s">
        <v>2399</v>
      </c>
      <c r="P279" s="998" t="s">
        <v>2399</v>
      </c>
    </row>
    <row r="280" spans="1:16" x14ac:dyDescent="0.3">
      <c r="A280" s="997" t="s">
        <v>1138</v>
      </c>
      <c r="B280" s="997" t="s">
        <v>4540</v>
      </c>
      <c r="C280" s="155">
        <v>0.2</v>
      </c>
      <c r="D280" s="155">
        <v>1</v>
      </c>
      <c r="E280" s="387"/>
      <c r="F280" s="254" t="s">
        <v>1256</v>
      </c>
      <c r="G280" s="998" t="s">
        <v>260</v>
      </c>
      <c r="H280" s="998" t="s">
        <v>2399</v>
      </c>
      <c r="I280" s="998" t="s">
        <v>2399</v>
      </c>
      <c r="J280" s="998" t="s">
        <v>2399</v>
      </c>
      <c r="K280" s="998" t="s">
        <v>260</v>
      </c>
      <c r="L280" s="998" t="s">
        <v>2399</v>
      </c>
      <c r="M280" s="998" t="s">
        <v>260</v>
      </c>
      <c r="N280" s="998" t="s">
        <v>2399</v>
      </c>
      <c r="O280" s="998" t="s">
        <v>2399</v>
      </c>
      <c r="P280" s="998" t="s">
        <v>2399</v>
      </c>
    </row>
    <row r="281" spans="1:16" x14ac:dyDescent="0.3">
      <c r="A281" s="997" t="s">
        <v>1228</v>
      </c>
      <c r="B281" s="997" t="s">
        <v>4540</v>
      </c>
      <c r="C281" s="155">
        <v>0.5</v>
      </c>
      <c r="D281" s="155">
        <v>2</v>
      </c>
      <c r="E281" s="387"/>
      <c r="F281" s="254" t="s">
        <v>1256</v>
      </c>
      <c r="G281" s="998" t="s">
        <v>2399</v>
      </c>
      <c r="H281" s="998" t="s">
        <v>2399</v>
      </c>
      <c r="I281" s="998" t="s">
        <v>2399</v>
      </c>
      <c r="J281" s="998" t="s">
        <v>2399</v>
      </c>
      <c r="K281" s="998" t="s">
        <v>260</v>
      </c>
      <c r="L281" s="998" t="s">
        <v>2399</v>
      </c>
      <c r="M281" s="998" t="s">
        <v>2399</v>
      </c>
      <c r="N281" s="998" t="s">
        <v>2399</v>
      </c>
      <c r="O281" s="998" t="s">
        <v>2399</v>
      </c>
      <c r="P281" s="998" t="s">
        <v>2399</v>
      </c>
    </row>
    <row r="282" spans="1:16" x14ac:dyDescent="0.3">
      <c r="A282" s="997" t="s">
        <v>1220</v>
      </c>
      <c r="B282" s="997" t="s">
        <v>4540</v>
      </c>
      <c r="C282" s="155">
        <v>0.4</v>
      </c>
      <c r="D282" s="155">
        <v>1</v>
      </c>
      <c r="E282" s="387"/>
      <c r="F282" s="254" t="s">
        <v>1256</v>
      </c>
      <c r="G282" s="998" t="s">
        <v>2399</v>
      </c>
      <c r="H282" s="998" t="s">
        <v>2399</v>
      </c>
      <c r="I282" s="998" t="s">
        <v>2399</v>
      </c>
      <c r="J282" s="998" t="s">
        <v>2399</v>
      </c>
      <c r="K282" s="998" t="s">
        <v>260</v>
      </c>
      <c r="L282" s="998" t="s">
        <v>2399</v>
      </c>
      <c r="M282" s="998" t="s">
        <v>2399</v>
      </c>
      <c r="N282" s="998" t="s">
        <v>2399</v>
      </c>
      <c r="O282" s="998" t="s">
        <v>2399</v>
      </c>
      <c r="P282" s="998" t="s">
        <v>2399</v>
      </c>
    </row>
    <row r="283" spans="1:16" x14ac:dyDescent="0.3">
      <c r="A283" s="997" t="s">
        <v>1235</v>
      </c>
      <c r="B283" s="997" t="s">
        <v>4540</v>
      </c>
      <c r="C283" s="155">
        <v>0.2</v>
      </c>
      <c r="D283" s="155">
        <v>1</v>
      </c>
      <c r="E283" s="387"/>
      <c r="F283" s="254" t="s">
        <v>1256</v>
      </c>
      <c r="G283" s="998" t="s">
        <v>2399</v>
      </c>
      <c r="H283" s="998" t="s">
        <v>2399</v>
      </c>
      <c r="I283" s="998" t="s">
        <v>2399</v>
      </c>
      <c r="J283" s="998" t="s">
        <v>2399</v>
      </c>
      <c r="K283" s="998" t="s">
        <v>260</v>
      </c>
      <c r="L283" s="998" t="s">
        <v>2399</v>
      </c>
      <c r="M283" s="998" t="s">
        <v>2399</v>
      </c>
      <c r="N283" s="998" t="s">
        <v>2399</v>
      </c>
      <c r="O283" s="998" t="s">
        <v>2399</v>
      </c>
      <c r="P283" s="998" t="s">
        <v>2399</v>
      </c>
    </row>
    <row r="284" spans="1:16" x14ac:dyDescent="0.3">
      <c r="A284" s="997" t="s">
        <v>1136</v>
      </c>
      <c r="B284" s="997" t="s">
        <v>4540</v>
      </c>
      <c r="C284" s="155">
        <v>0.1</v>
      </c>
      <c r="D284" s="155">
        <v>1</v>
      </c>
      <c r="E284" s="387"/>
      <c r="F284" s="254" t="s">
        <v>1256</v>
      </c>
      <c r="G284" s="998" t="s">
        <v>2399</v>
      </c>
      <c r="H284" s="998" t="s">
        <v>2399</v>
      </c>
      <c r="I284" s="998" t="s">
        <v>2399</v>
      </c>
      <c r="J284" s="998" t="s">
        <v>2399</v>
      </c>
      <c r="K284" s="998" t="s">
        <v>260</v>
      </c>
      <c r="L284" s="998" t="s">
        <v>2399</v>
      </c>
      <c r="M284" s="998" t="s">
        <v>2399</v>
      </c>
      <c r="N284" s="998" t="s">
        <v>2399</v>
      </c>
      <c r="O284" s="998" t="s">
        <v>2399</v>
      </c>
      <c r="P284" s="998" t="s">
        <v>2399</v>
      </c>
    </row>
    <row r="285" spans="1:16" x14ac:dyDescent="0.3">
      <c r="A285" s="997" t="s">
        <v>1221</v>
      </c>
      <c r="B285" s="997" t="s">
        <v>4540</v>
      </c>
      <c r="C285" s="155">
        <v>0.2</v>
      </c>
      <c r="D285" s="155">
        <v>1</v>
      </c>
      <c r="E285" s="387"/>
      <c r="F285" s="254" t="s">
        <v>1256</v>
      </c>
      <c r="G285" s="998" t="s">
        <v>260</v>
      </c>
      <c r="H285" s="998" t="s">
        <v>2399</v>
      </c>
      <c r="I285" s="998" t="s">
        <v>2399</v>
      </c>
      <c r="J285" s="998" t="s">
        <v>2399</v>
      </c>
      <c r="K285" s="998" t="s">
        <v>260</v>
      </c>
      <c r="L285" s="998" t="s">
        <v>2399</v>
      </c>
      <c r="M285" s="998" t="s">
        <v>260</v>
      </c>
      <c r="N285" s="998" t="s">
        <v>2399</v>
      </c>
      <c r="O285" s="998" t="s">
        <v>2399</v>
      </c>
      <c r="P285" s="998" t="s">
        <v>2399</v>
      </c>
    </row>
    <row r="286" spans="1:16" x14ac:dyDescent="0.3">
      <c r="A286" s="997" t="s">
        <v>1219</v>
      </c>
      <c r="B286" s="997" t="s">
        <v>4540</v>
      </c>
      <c r="C286" s="155">
        <v>1</v>
      </c>
      <c r="D286" s="155">
        <v>1</v>
      </c>
      <c r="E286" s="387"/>
      <c r="F286" s="254" t="s">
        <v>1256</v>
      </c>
      <c r="G286" s="998" t="s">
        <v>2399</v>
      </c>
      <c r="H286" s="998" t="s">
        <v>2399</v>
      </c>
      <c r="I286" s="998" t="s">
        <v>2399</v>
      </c>
      <c r="J286" s="998" t="s">
        <v>2399</v>
      </c>
      <c r="K286" s="998" t="s">
        <v>260</v>
      </c>
      <c r="L286" s="998" t="s">
        <v>2399</v>
      </c>
      <c r="M286" s="998" t="s">
        <v>2399</v>
      </c>
      <c r="N286" s="998" t="s">
        <v>2399</v>
      </c>
      <c r="O286" s="998" t="s">
        <v>2399</v>
      </c>
      <c r="P286" s="998" t="s">
        <v>2399</v>
      </c>
    </row>
    <row r="287" spans="1:16" x14ac:dyDescent="0.3">
      <c r="A287" s="997" t="s">
        <v>1231</v>
      </c>
      <c r="B287" s="997" t="s">
        <v>4540</v>
      </c>
      <c r="C287" s="155">
        <v>0.5</v>
      </c>
      <c r="D287" s="155">
        <v>2</v>
      </c>
      <c r="E287" s="387"/>
      <c r="F287" s="254" t="s">
        <v>1256</v>
      </c>
      <c r="G287" s="998" t="s">
        <v>2399</v>
      </c>
      <c r="H287" s="998" t="s">
        <v>2399</v>
      </c>
      <c r="I287" s="998" t="s">
        <v>2399</v>
      </c>
      <c r="J287" s="998" t="s">
        <v>2399</v>
      </c>
      <c r="K287" s="998" t="s">
        <v>260</v>
      </c>
      <c r="L287" s="998" t="s">
        <v>2399</v>
      </c>
      <c r="M287" s="998" t="s">
        <v>2399</v>
      </c>
      <c r="N287" s="998" t="s">
        <v>2399</v>
      </c>
      <c r="O287" s="998" t="s">
        <v>2399</v>
      </c>
      <c r="P287" s="998" t="s">
        <v>2399</v>
      </c>
    </row>
    <row r="288" spans="1:16" x14ac:dyDescent="0.3">
      <c r="A288" s="997" t="s">
        <v>1229</v>
      </c>
      <c r="B288" s="997" t="s">
        <v>4540</v>
      </c>
      <c r="C288" s="155">
        <v>0.1</v>
      </c>
      <c r="D288" s="155">
        <v>2</v>
      </c>
      <c r="E288" s="387"/>
      <c r="F288" s="254" t="s">
        <v>1256</v>
      </c>
      <c r="G288" s="998" t="s">
        <v>260</v>
      </c>
      <c r="H288" s="998" t="s">
        <v>2399</v>
      </c>
      <c r="I288" s="998" t="s">
        <v>2399</v>
      </c>
      <c r="J288" s="998" t="s">
        <v>2399</v>
      </c>
      <c r="K288" s="998" t="s">
        <v>260</v>
      </c>
      <c r="L288" s="998" t="s">
        <v>2399</v>
      </c>
      <c r="M288" s="998" t="s">
        <v>260</v>
      </c>
      <c r="N288" s="998" t="s">
        <v>2399</v>
      </c>
      <c r="O288" s="998" t="s">
        <v>260</v>
      </c>
      <c r="P288" s="998" t="s">
        <v>2399</v>
      </c>
    </row>
    <row r="289" spans="1:16" hidden="1" x14ac:dyDescent="0.3">
      <c r="A289" s="38" t="s">
        <v>429</v>
      </c>
      <c r="B289" s="38" t="s">
        <v>4540</v>
      </c>
      <c r="C289" s="927">
        <v>0.1</v>
      </c>
      <c r="D289" s="927">
        <v>0</v>
      </c>
      <c r="E289" s="393"/>
      <c r="F289" s="691" t="s">
        <v>1256</v>
      </c>
      <c r="G289" s="998" t="s">
        <v>260</v>
      </c>
      <c r="H289" s="998" t="s">
        <v>2399</v>
      </c>
      <c r="I289" s="998" t="s">
        <v>2399</v>
      </c>
      <c r="J289" s="998" t="s">
        <v>2399</v>
      </c>
      <c r="K289" s="998" t="s">
        <v>260</v>
      </c>
      <c r="L289" s="998" t="s">
        <v>2399</v>
      </c>
      <c r="M289" s="998" t="s">
        <v>260</v>
      </c>
      <c r="N289" s="998" t="s">
        <v>2399</v>
      </c>
      <c r="O289" s="998" t="s">
        <v>2399</v>
      </c>
      <c r="P289" s="998" t="s">
        <v>2399</v>
      </c>
    </row>
    <row r="290" spans="1:16" hidden="1" x14ac:dyDescent="0.3">
      <c r="A290" s="997" t="s">
        <v>1232</v>
      </c>
      <c r="B290" s="997" t="s">
        <v>4540</v>
      </c>
      <c r="C290" s="155">
        <v>0.04</v>
      </c>
      <c r="D290" s="155">
        <v>0</v>
      </c>
      <c r="E290" s="387"/>
      <c r="F290" s="254" t="s">
        <v>1256</v>
      </c>
      <c r="G290" s="998" t="s">
        <v>260</v>
      </c>
      <c r="H290" s="998" t="s">
        <v>2399</v>
      </c>
      <c r="I290" s="998" t="s">
        <v>260</v>
      </c>
      <c r="J290" s="998" t="s">
        <v>2399</v>
      </c>
      <c r="K290" s="998" t="s">
        <v>260</v>
      </c>
      <c r="L290" s="998" t="s">
        <v>2399</v>
      </c>
      <c r="M290" s="998" t="s">
        <v>260</v>
      </c>
      <c r="N290" s="998" t="s">
        <v>2399</v>
      </c>
      <c r="O290" s="998" t="s">
        <v>2399</v>
      </c>
      <c r="P290" s="998" t="s">
        <v>2399</v>
      </c>
    </row>
    <row r="291" spans="1:16" x14ac:dyDescent="0.3">
      <c r="A291" s="1004" t="s">
        <v>4541</v>
      </c>
      <c r="B291" s="1004" t="s">
        <v>4540</v>
      </c>
      <c r="C291" s="155">
        <v>0.5</v>
      </c>
      <c r="D291" s="155">
        <v>1</v>
      </c>
      <c r="E291" s="387">
        <v>40</v>
      </c>
      <c r="F291" s="677" t="s">
        <v>206</v>
      </c>
      <c r="G291" s="692" t="s">
        <v>260</v>
      </c>
      <c r="H291" s="692" t="s">
        <v>2399</v>
      </c>
      <c r="I291" s="692" t="s">
        <v>2399</v>
      </c>
      <c r="J291" s="692" t="s">
        <v>2399</v>
      </c>
      <c r="K291" s="692" t="s">
        <v>260</v>
      </c>
      <c r="L291" s="692" t="s">
        <v>2399</v>
      </c>
      <c r="M291" s="692" t="s">
        <v>2399</v>
      </c>
      <c r="N291" s="692" t="s">
        <v>2399</v>
      </c>
      <c r="O291" s="692" t="s">
        <v>2399</v>
      </c>
      <c r="P291" s="692" t="s">
        <v>2399</v>
      </c>
    </row>
    <row r="292" spans="1:16" x14ac:dyDescent="0.3">
      <c r="A292" s="1004" t="s">
        <v>4542</v>
      </c>
      <c r="B292" s="1004" t="s">
        <v>4540</v>
      </c>
      <c r="C292" s="155">
        <v>0.05</v>
      </c>
      <c r="D292" s="155">
        <v>1</v>
      </c>
      <c r="E292" s="387">
        <v>590</v>
      </c>
      <c r="F292" s="677" t="s">
        <v>206</v>
      </c>
      <c r="G292" s="692" t="s">
        <v>260</v>
      </c>
      <c r="H292" s="692" t="s">
        <v>2399</v>
      </c>
      <c r="I292" s="692" t="s">
        <v>2399</v>
      </c>
      <c r="J292" s="692" t="s">
        <v>2399</v>
      </c>
      <c r="K292" s="692" t="s">
        <v>260</v>
      </c>
      <c r="L292" s="692" t="s">
        <v>2399</v>
      </c>
      <c r="M292" s="692" t="s">
        <v>2399</v>
      </c>
      <c r="N292" s="692" t="s">
        <v>2399</v>
      </c>
      <c r="O292" s="692" t="s">
        <v>2399</v>
      </c>
      <c r="P292" s="692" t="s">
        <v>2399</v>
      </c>
    </row>
    <row r="293" spans="1:16" x14ac:dyDescent="0.3">
      <c r="A293" s="1004" t="s">
        <v>4543</v>
      </c>
      <c r="B293" s="1004" t="s">
        <v>4540</v>
      </c>
      <c r="C293" s="155">
        <v>0.1</v>
      </c>
      <c r="D293" s="155">
        <v>2</v>
      </c>
      <c r="E293" s="387">
        <v>20</v>
      </c>
      <c r="F293" s="677" t="s">
        <v>206</v>
      </c>
      <c r="G293" s="692" t="s">
        <v>260</v>
      </c>
      <c r="H293" s="692" t="s">
        <v>2399</v>
      </c>
      <c r="I293" s="692" t="s">
        <v>2399</v>
      </c>
      <c r="J293" s="692" t="s">
        <v>2399</v>
      </c>
      <c r="K293" s="692" t="s">
        <v>260</v>
      </c>
      <c r="L293" s="692" t="s">
        <v>2399</v>
      </c>
      <c r="M293" s="692" t="s">
        <v>2399</v>
      </c>
      <c r="N293" s="692" t="s">
        <v>2399</v>
      </c>
      <c r="O293" s="692" t="s">
        <v>2399</v>
      </c>
      <c r="P293" s="692" t="s">
        <v>2399</v>
      </c>
    </row>
    <row r="294" spans="1:16" hidden="1" x14ac:dyDescent="0.3">
      <c r="A294" s="1004" t="s">
        <v>527</v>
      </c>
      <c r="B294" s="1004" t="s">
        <v>4540</v>
      </c>
      <c r="C294" s="155">
        <v>0.1</v>
      </c>
      <c r="D294" s="155">
        <v>0</v>
      </c>
      <c r="E294" s="387">
        <v>110</v>
      </c>
      <c r="F294" s="677" t="s">
        <v>206</v>
      </c>
      <c r="G294" s="692" t="s">
        <v>260</v>
      </c>
      <c r="H294" s="692" t="s">
        <v>2399</v>
      </c>
      <c r="I294" s="692" t="s">
        <v>2399</v>
      </c>
      <c r="J294" s="692" t="s">
        <v>2399</v>
      </c>
      <c r="K294" s="692" t="s">
        <v>260</v>
      </c>
      <c r="L294" s="692" t="s">
        <v>2399</v>
      </c>
      <c r="M294" s="692" t="s">
        <v>2399</v>
      </c>
      <c r="N294" s="692" t="s">
        <v>2399</v>
      </c>
      <c r="O294" s="692" t="s">
        <v>2399</v>
      </c>
      <c r="P294" s="692" t="s">
        <v>2399</v>
      </c>
    </row>
    <row r="295" spans="1:16" hidden="1" x14ac:dyDescent="0.3">
      <c r="A295" s="1004" t="s">
        <v>4544</v>
      </c>
      <c r="B295" s="1004" t="s">
        <v>4540</v>
      </c>
      <c r="C295" s="155">
        <v>0.01</v>
      </c>
      <c r="D295" s="155">
        <v>0</v>
      </c>
      <c r="E295" s="387">
        <v>70</v>
      </c>
      <c r="F295" s="677" t="s">
        <v>206</v>
      </c>
      <c r="G295" s="692" t="s">
        <v>260</v>
      </c>
      <c r="H295" s="692" t="s">
        <v>2399</v>
      </c>
      <c r="I295" s="692" t="s">
        <v>2399</v>
      </c>
      <c r="J295" s="692" t="s">
        <v>2399</v>
      </c>
      <c r="K295" s="692" t="s">
        <v>260</v>
      </c>
      <c r="L295" s="692" t="s">
        <v>2399</v>
      </c>
      <c r="M295" s="692" t="s">
        <v>2399</v>
      </c>
      <c r="N295" s="692" t="s">
        <v>2399</v>
      </c>
      <c r="O295" s="692" t="s">
        <v>2399</v>
      </c>
      <c r="P295" s="692" t="s">
        <v>2399</v>
      </c>
    </row>
    <row r="296" spans="1:16" x14ac:dyDescent="0.3">
      <c r="A296" s="1004" t="s">
        <v>4545</v>
      </c>
      <c r="B296" s="1004" t="s">
        <v>4540</v>
      </c>
      <c r="C296" s="927">
        <v>0.2</v>
      </c>
      <c r="D296" s="927">
        <v>1</v>
      </c>
      <c r="E296" s="387">
        <v>150</v>
      </c>
      <c r="F296" s="677" t="s">
        <v>206</v>
      </c>
      <c r="G296" s="692" t="s">
        <v>260</v>
      </c>
      <c r="H296" s="692" t="s">
        <v>2399</v>
      </c>
      <c r="I296" s="692" t="s">
        <v>2399</v>
      </c>
      <c r="J296" s="692" t="s">
        <v>2399</v>
      </c>
      <c r="K296" s="692" t="s">
        <v>260</v>
      </c>
      <c r="L296" s="692" t="s">
        <v>2399</v>
      </c>
      <c r="M296" s="692" t="s">
        <v>2399</v>
      </c>
      <c r="N296" s="692" t="s">
        <v>2399</v>
      </c>
      <c r="O296" s="692" t="s">
        <v>2399</v>
      </c>
      <c r="P296" s="692" t="s">
        <v>2399</v>
      </c>
    </row>
    <row r="297" spans="1:16" x14ac:dyDescent="0.3">
      <c r="A297" s="1004" t="s">
        <v>4546</v>
      </c>
      <c r="B297" s="1004" t="s">
        <v>4540</v>
      </c>
      <c r="C297" s="927">
        <v>0.2</v>
      </c>
      <c r="D297" s="927">
        <v>1</v>
      </c>
      <c r="E297" s="387">
        <v>160</v>
      </c>
      <c r="F297" s="677" t="s">
        <v>206</v>
      </c>
      <c r="G297" s="692" t="s">
        <v>260</v>
      </c>
      <c r="H297" s="692" t="s">
        <v>2399</v>
      </c>
      <c r="I297" s="692" t="s">
        <v>2399</v>
      </c>
      <c r="J297" s="692" t="s">
        <v>2399</v>
      </c>
      <c r="K297" s="692" t="s">
        <v>260</v>
      </c>
      <c r="L297" s="692" t="s">
        <v>2399</v>
      </c>
      <c r="M297" s="692" t="s">
        <v>2399</v>
      </c>
      <c r="N297" s="692" t="s">
        <v>2399</v>
      </c>
      <c r="O297" s="692" t="s">
        <v>2399</v>
      </c>
      <c r="P297" s="692" t="s">
        <v>2399</v>
      </c>
    </row>
    <row r="298" spans="1:16" x14ac:dyDescent="0.3">
      <c r="A298" s="1004" t="s">
        <v>4547</v>
      </c>
      <c r="B298" s="1004" t="s">
        <v>4540</v>
      </c>
      <c r="C298" s="927">
        <v>0.2</v>
      </c>
      <c r="D298" s="927">
        <v>1</v>
      </c>
      <c r="E298" s="387">
        <v>230</v>
      </c>
      <c r="F298" s="677" t="s">
        <v>206</v>
      </c>
      <c r="G298" s="692" t="s">
        <v>260</v>
      </c>
      <c r="H298" s="692" t="s">
        <v>2399</v>
      </c>
      <c r="I298" s="692" t="s">
        <v>2399</v>
      </c>
      <c r="J298" s="692" t="s">
        <v>2399</v>
      </c>
      <c r="K298" s="692" t="s">
        <v>260</v>
      </c>
      <c r="L298" s="692" t="s">
        <v>2399</v>
      </c>
      <c r="M298" s="692" t="s">
        <v>2399</v>
      </c>
      <c r="N298" s="692" t="s">
        <v>2399</v>
      </c>
      <c r="O298" s="692" t="s">
        <v>2399</v>
      </c>
      <c r="P298" s="692" t="s">
        <v>2399</v>
      </c>
    </row>
    <row r="299" spans="1:16" x14ac:dyDescent="0.3">
      <c r="A299" s="1004" t="s">
        <v>4548</v>
      </c>
      <c r="B299" s="1004" t="s">
        <v>4540</v>
      </c>
      <c r="C299" s="927">
        <v>0.2</v>
      </c>
      <c r="D299" s="927">
        <v>1</v>
      </c>
      <c r="E299" s="387">
        <v>350</v>
      </c>
      <c r="F299" s="677" t="s">
        <v>206</v>
      </c>
      <c r="G299" s="692" t="s">
        <v>260</v>
      </c>
      <c r="H299" s="692" t="s">
        <v>2399</v>
      </c>
      <c r="I299" s="692" t="s">
        <v>2399</v>
      </c>
      <c r="J299" s="692" t="s">
        <v>2399</v>
      </c>
      <c r="K299" s="692" t="s">
        <v>260</v>
      </c>
      <c r="L299" s="692" t="s">
        <v>2399</v>
      </c>
      <c r="M299" s="692" t="s">
        <v>2399</v>
      </c>
      <c r="N299" s="692" t="s">
        <v>2399</v>
      </c>
      <c r="O299" s="692" t="s">
        <v>2399</v>
      </c>
      <c r="P299" s="692" t="s">
        <v>2399</v>
      </c>
    </row>
    <row r="300" spans="1:16" x14ac:dyDescent="0.3">
      <c r="A300" s="1004" t="s">
        <v>4549</v>
      </c>
      <c r="B300" s="1004" t="s">
        <v>4540</v>
      </c>
      <c r="C300" s="927">
        <v>0.2</v>
      </c>
      <c r="D300" s="927">
        <v>1</v>
      </c>
      <c r="E300" s="387">
        <v>160</v>
      </c>
      <c r="F300" s="677" t="s">
        <v>206</v>
      </c>
      <c r="G300" s="692" t="s">
        <v>260</v>
      </c>
      <c r="H300" s="692" t="s">
        <v>2399</v>
      </c>
      <c r="I300" s="692" t="s">
        <v>2399</v>
      </c>
      <c r="J300" s="692" t="s">
        <v>2399</v>
      </c>
      <c r="K300" s="692" t="s">
        <v>260</v>
      </c>
      <c r="L300" s="692" t="s">
        <v>2399</v>
      </c>
      <c r="M300" s="692" t="s">
        <v>2399</v>
      </c>
      <c r="N300" s="692" t="s">
        <v>2399</v>
      </c>
      <c r="O300" s="692" t="s">
        <v>2399</v>
      </c>
      <c r="P300" s="692" t="s">
        <v>2399</v>
      </c>
    </row>
    <row r="301" spans="1:16" x14ac:dyDescent="0.3">
      <c r="A301" s="38" t="s">
        <v>3796</v>
      </c>
      <c r="B301" s="38" t="s">
        <v>4540</v>
      </c>
      <c r="C301" s="927">
        <v>0.2</v>
      </c>
      <c r="D301" s="927">
        <v>1</v>
      </c>
      <c r="E301" s="393">
        <v>140</v>
      </c>
      <c r="F301" s="677" t="s">
        <v>206</v>
      </c>
      <c r="G301" s="692" t="s">
        <v>260</v>
      </c>
      <c r="H301" s="692" t="s">
        <v>2399</v>
      </c>
      <c r="I301" s="692" t="s">
        <v>2399</v>
      </c>
      <c r="J301" s="692" t="s">
        <v>2399</v>
      </c>
      <c r="K301" s="692" t="s">
        <v>260</v>
      </c>
      <c r="L301" s="692" t="s">
        <v>2399</v>
      </c>
      <c r="M301" s="692" t="s">
        <v>260</v>
      </c>
      <c r="N301" s="692" t="s">
        <v>2399</v>
      </c>
      <c r="O301" s="692" t="s">
        <v>2399</v>
      </c>
      <c r="P301" s="692" t="s">
        <v>2399</v>
      </c>
    </row>
    <row r="302" spans="1:16" x14ac:dyDescent="0.3">
      <c r="A302" s="38" t="s">
        <v>3797</v>
      </c>
      <c r="B302" s="38" t="s">
        <v>4540</v>
      </c>
      <c r="C302" s="927">
        <v>0.2</v>
      </c>
      <c r="D302" s="927">
        <v>1</v>
      </c>
      <c r="E302" s="393">
        <v>190</v>
      </c>
      <c r="F302" s="677" t="s">
        <v>206</v>
      </c>
      <c r="G302" s="692" t="s">
        <v>260</v>
      </c>
      <c r="H302" s="692" t="s">
        <v>2399</v>
      </c>
      <c r="I302" s="692" t="s">
        <v>2399</v>
      </c>
      <c r="J302" s="692" t="s">
        <v>2399</v>
      </c>
      <c r="K302" s="692" t="s">
        <v>260</v>
      </c>
      <c r="L302" s="692" t="s">
        <v>2399</v>
      </c>
      <c r="M302" s="692" t="s">
        <v>260</v>
      </c>
      <c r="N302" s="692" t="s">
        <v>2399</v>
      </c>
      <c r="O302" s="692" t="s">
        <v>2399</v>
      </c>
      <c r="P302" s="692" t="s">
        <v>2399</v>
      </c>
    </row>
    <row r="303" spans="1:16" x14ac:dyDescent="0.3">
      <c r="A303" s="1004" t="s">
        <v>4550</v>
      </c>
      <c r="B303" s="1004" t="s">
        <v>4540</v>
      </c>
      <c r="C303" s="927">
        <v>0.2</v>
      </c>
      <c r="D303" s="927">
        <v>1</v>
      </c>
      <c r="E303" s="387">
        <v>90</v>
      </c>
      <c r="F303" s="677" t="s">
        <v>206</v>
      </c>
      <c r="G303" s="692" t="s">
        <v>260</v>
      </c>
      <c r="H303" s="692" t="s">
        <v>2399</v>
      </c>
      <c r="I303" s="692" t="s">
        <v>2399</v>
      </c>
      <c r="J303" s="692" t="s">
        <v>2399</v>
      </c>
      <c r="K303" s="692" t="s">
        <v>260</v>
      </c>
      <c r="L303" s="692" t="s">
        <v>2399</v>
      </c>
      <c r="M303" s="692" t="s">
        <v>2399</v>
      </c>
      <c r="N303" s="692" t="s">
        <v>2399</v>
      </c>
      <c r="O303" s="692" t="s">
        <v>2399</v>
      </c>
      <c r="P303" s="692" t="s">
        <v>2399</v>
      </c>
    </row>
    <row r="304" spans="1:16" x14ac:dyDescent="0.3">
      <c r="A304" s="1004" t="s">
        <v>4551</v>
      </c>
      <c r="B304" s="1004" t="s">
        <v>4540</v>
      </c>
      <c r="C304" s="927">
        <v>0.2</v>
      </c>
      <c r="D304" s="927">
        <v>1</v>
      </c>
      <c r="E304" s="387">
        <v>110</v>
      </c>
      <c r="F304" s="677" t="s">
        <v>206</v>
      </c>
      <c r="G304" s="692" t="s">
        <v>260</v>
      </c>
      <c r="H304" s="692" t="s">
        <v>2399</v>
      </c>
      <c r="I304" s="692" t="s">
        <v>2399</v>
      </c>
      <c r="J304" s="692" t="s">
        <v>2399</v>
      </c>
      <c r="K304" s="692" t="s">
        <v>260</v>
      </c>
      <c r="L304" s="692" t="s">
        <v>2399</v>
      </c>
      <c r="M304" s="692" t="s">
        <v>2399</v>
      </c>
      <c r="N304" s="692" t="s">
        <v>2399</v>
      </c>
      <c r="O304" s="692" t="s">
        <v>2399</v>
      </c>
      <c r="P304" s="692" t="s">
        <v>2399</v>
      </c>
    </row>
    <row r="305" spans="1:16" x14ac:dyDescent="0.3">
      <c r="A305" s="1004" t="s">
        <v>4552</v>
      </c>
      <c r="B305" s="1004" t="s">
        <v>4540</v>
      </c>
      <c r="C305" s="927">
        <v>0.12</v>
      </c>
      <c r="D305" s="927">
        <v>1</v>
      </c>
      <c r="E305" s="387">
        <v>280</v>
      </c>
      <c r="F305" s="677" t="s">
        <v>206</v>
      </c>
      <c r="G305" s="692" t="s">
        <v>260</v>
      </c>
      <c r="H305" s="692" t="s">
        <v>2399</v>
      </c>
      <c r="I305" s="692" t="s">
        <v>2399</v>
      </c>
      <c r="J305" s="692" t="s">
        <v>2399</v>
      </c>
      <c r="K305" s="692" t="s">
        <v>260</v>
      </c>
      <c r="L305" s="692" t="s">
        <v>2399</v>
      </c>
      <c r="M305" s="692" t="s">
        <v>2399</v>
      </c>
      <c r="N305" s="692" t="s">
        <v>2399</v>
      </c>
      <c r="O305" s="692" t="s">
        <v>2399</v>
      </c>
      <c r="P305" s="692" t="s">
        <v>2399</v>
      </c>
    </row>
    <row r="306" spans="1:16" x14ac:dyDescent="0.3">
      <c r="A306" s="1004" t="s">
        <v>4553</v>
      </c>
      <c r="B306" s="1004" t="s">
        <v>4540</v>
      </c>
      <c r="C306" s="927">
        <v>0.12</v>
      </c>
      <c r="D306" s="927">
        <v>1</v>
      </c>
      <c r="E306" s="387">
        <v>70</v>
      </c>
      <c r="F306" s="677" t="s">
        <v>206</v>
      </c>
      <c r="G306" s="692" t="s">
        <v>260</v>
      </c>
      <c r="H306" s="692" t="s">
        <v>2399</v>
      </c>
      <c r="I306" s="692" t="s">
        <v>2399</v>
      </c>
      <c r="J306" s="692" t="s">
        <v>2399</v>
      </c>
      <c r="K306" s="692" t="s">
        <v>260</v>
      </c>
      <c r="L306" s="692" t="s">
        <v>2399</v>
      </c>
      <c r="M306" s="692" t="s">
        <v>2399</v>
      </c>
      <c r="N306" s="692" t="s">
        <v>2399</v>
      </c>
      <c r="O306" s="692" t="s">
        <v>2399</v>
      </c>
      <c r="P306" s="692" t="s">
        <v>2399</v>
      </c>
    </row>
    <row r="307" spans="1:16" x14ac:dyDescent="0.3">
      <c r="A307" s="1004" t="s">
        <v>4554</v>
      </c>
      <c r="B307" s="1004" t="s">
        <v>4540</v>
      </c>
      <c r="C307" s="927">
        <v>0.12</v>
      </c>
      <c r="D307" s="927">
        <v>1</v>
      </c>
      <c r="E307" s="387">
        <v>350</v>
      </c>
      <c r="F307" s="677" t="s">
        <v>206</v>
      </c>
      <c r="G307" s="692" t="s">
        <v>260</v>
      </c>
      <c r="H307" s="692" t="s">
        <v>2399</v>
      </c>
      <c r="I307" s="692" t="s">
        <v>2399</v>
      </c>
      <c r="J307" s="692" t="s">
        <v>2399</v>
      </c>
      <c r="K307" s="692" t="s">
        <v>260</v>
      </c>
      <c r="L307" s="692" t="s">
        <v>2399</v>
      </c>
      <c r="M307" s="692" t="s">
        <v>2399</v>
      </c>
      <c r="N307" s="692" t="s">
        <v>2399</v>
      </c>
      <c r="O307" s="692" t="s">
        <v>2399</v>
      </c>
      <c r="P307" s="692" t="s">
        <v>2399</v>
      </c>
    </row>
    <row r="308" spans="1:16" x14ac:dyDescent="0.3">
      <c r="A308" s="1004" t="s">
        <v>4555</v>
      </c>
      <c r="B308" s="1004" t="s">
        <v>4540</v>
      </c>
      <c r="C308" s="927">
        <v>0.12</v>
      </c>
      <c r="D308" s="927">
        <v>1</v>
      </c>
      <c r="E308" s="387">
        <v>40</v>
      </c>
      <c r="F308" s="677" t="s">
        <v>206</v>
      </c>
      <c r="G308" s="692" t="s">
        <v>260</v>
      </c>
      <c r="H308" s="692" t="s">
        <v>2399</v>
      </c>
      <c r="I308" s="692" t="s">
        <v>2399</v>
      </c>
      <c r="J308" s="692" t="s">
        <v>2399</v>
      </c>
      <c r="K308" s="692" t="s">
        <v>260</v>
      </c>
      <c r="L308" s="692" t="s">
        <v>2399</v>
      </c>
      <c r="M308" s="692" t="s">
        <v>2399</v>
      </c>
      <c r="N308" s="692" t="s">
        <v>2399</v>
      </c>
      <c r="O308" s="692" t="s">
        <v>2399</v>
      </c>
      <c r="P308" s="692" t="s">
        <v>2399</v>
      </c>
    </row>
    <row r="309" spans="1:16" x14ac:dyDescent="0.3">
      <c r="A309" s="1004" t="s">
        <v>4556</v>
      </c>
      <c r="B309" s="1004" t="s">
        <v>4540</v>
      </c>
      <c r="C309" s="927">
        <v>0.12</v>
      </c>
      <c r="D309" s="927">
        <v>1</v>
      </c>
      <c r="E309" s="387">
        <v>170</v>
      </c>
      <c r="F309" s="677" t="s">
        <v>206</v>
      </c>
      <c r="G309" s="692" t="s">
        <v>260</v>
      </c>
      <c r="H309" s="692" t="s">
        <v>2399</v>
      </c>
      <c r="I309" s="692" t="s">
        <v>2399</v>
      </c>
      <c r="J309" s="692" t="s">
        <v>2399</v>
      </c>
      <c r="K309" s="692" t="s">
        <v>260</v>
      </c>
      <c r="L309" s="692" t="s">
        <v>2399</v>
      </c>
      <c r="M309" s="692" t="s">
        <v>2399</v>
      </c>
      <c r="N309" s="692" t="s">
        <v>2399</v>
      </c>
      <c r="O309" s="692" t="s">
        <v>2399</v>
      </c>
      <c r="P309" s="692" t="s">
        <v>2399</v>
      </c>
    </row>
    <row r="310" spans="1:16" x14ac:dyDescent="0.3">
      <c r="A310" s="1004" t="s">
        <v>4557</v>
      </c>
      <c r="B310" s="1004" t="s">
        <v>4540</v>
      </c>
      <c r="C310" s="927">
        <v>0.12</v>
      </c>
      <c r="D310" s="927">
        <v>1</v>
      </c>
      <c r="E310" s="387">
        <v>270</v>
      </c>
      <c r="F310" s="677" t="s">
        <v>206</v>
      </c>
      <c r="G310" s="692" t="s">
        <v>260</v>
      </c>
      <c r="H310" s="692" t="s">
        <v>2399</v>
      </c>
      <c r="I310" s="692" t="s">
        <v>2399</v>
      </c>
      <c r="J310" s="692" t="s">
        <v>2399</v>
      </c>
      <c r="K310" s="692" t="s">
        <v>260</v>
      </c>
      <c r="L310" s="692" t="s">
        <v>2399</v>
      </c>
      <c r="M310" s="692" t="s">
        <v>2399</v>
      </c>
      <c r="N310" s="692" t="s">
        <v>2399</v>
      </c>
      <c r="O310" s="692" t="s">
        <v>2399</v>
      </c>
      <c r="P310" s="692" t="s">
        <v>2399</v>
      </c>
    </row>
    <row r="311" spans="1:16" x14ac:dyDescent="0.3">
      <c r="A311" s="1004" t="s">
        <v>4558</v>
      </c>
      <c r="B311" s="1004" t="s">
        <v>4540</v>
      </c>
      <c r="C311" s="927">
        <v>0.12</v>
      </c>
      <c r="D311" s="927">
        <v>1</v>
      </c>
      <c r="E311" s="387">
        <v>10</v>
      </c>
      <c r="F311" s="677" t="s">
        <v>206</v>
      </c>
      <c r="G311" s="692" t="s">
        <v>260</v>
      </c>
      <c r="H311" s="692" t="s">
        <v>2399</v>
      </c>
      <c r="I311" s="692" t="s">
        <v>2399</v>
      </c>
      <c r="J311" s="692" t="s">
        <v>2399</v>
      </c>
      <c r="K311" s="692" t="s">
        <v>260</v>
      </c>
      <c r="L311" s="692" t="s">
        <v>2399</v>
      </c>
      <c r="M311" s="692" t="s">
        <v>2399</v>
      </c>
      <c r="N311" s="692" t="s">
        <v>2399</v>
      </c>
      <c r="O311" s="692" t="s">
        <v>2399</v>
      </c>
      <c r="P311" s="692" t="s">
        <v>2399</v>
      </c>
    </row>
    <row r="312" spans="1:16" hidden="1" x14ac:dyDescent="0.3">
      <c r="A312" s="1004" t="s">
        <v>4559</v>
      </c>
      <c r="B312" s="1004" t="s">
        <v>4540</v>
      </c>
      <c r="C312" s="927">
        <v>0.1</v>
      </c>
      <c r="D312" s="927">
        <v>0</v>
      </c>
      <c r="E312" s="387">
        <v>900</v>
      </c>
      <c r="F312" s="677" t="s">
        <v>206</v>
      </c>
      <c r="G312" s="692" t="s">
        <v>260</v>
      </c>
      <c r="H312" s="692" t="s">
        <v>2399</v>
      </c>
      <c r="I312" s="692" t="s">
        <v>2399</v>
      </c>
      <c r="J312" s="692" t="s">
        <v>2399</v>
      </c>
      <c r="K312" s="692" t="s">
        <v>260</v>
      </c>
      <c r="L312" s="692" t="s">
        <v>2399</v>
      </c>
      <c r="M312" s="692" t="s">
        <v>2399</v>
      </c>
      <c r="N312" s="692" t="s">
        <v>2399</v>
      </c>
      <c r="O312" s="692" t="s">
        <v>2399</v>
      </c>
      <c r="P312" s="692" t="s">
        <v>2399</v>
      </c>
    </row>
    <row r="313" spans="1:16" hidden="1" x14ac:dyDescent="0.3">
      <c r="A313" s="1004" t="s">
        <v>4560</v>
      </c>
      <c r="B313" s="1004" t="s">
        <v>4540</v>
      </c>
      <c r="C313" s="927">
        <v>0.1</v>
      </c>
      <c r="D313" s="927">
        <v>0</v>
      </c>
      <c r="E313" s="387">
        <v>1200</v>
      </c>
      <c r="F313" s="677" t="s">
        <v>206</v>
      </c>
      <c r="G313" s="692" t="s">
        <v>260</v>
      </c>
      <c r="H313" s="692" t="s">
        <v>2399</v>
      </c>
      <c r="I313" s="692" t="s">
        <v>2399</v>
      </c>
      <c r="J313" s="692" t="s">
        <v>2399</v>
      </c>
      <c r="K313" s="692" t="s">
        <v>260</v>
      </c>
      <c r="L313" s="692" t="s">
        <v>2399</v>
      </c>
      <c r="M313" s="692" t="s">
        <v>2399</v>
      </c>
      <c r="N313" s="692" t="s">
        <v>2399</v>
      </c>
      <c r="O313" s="692" t="s">
        <v>2399</v>
      </c>
      <c r="P313" s="692" t="s">
        <v>2399</v>
      </c>
    </row>
    <row r="314" spans="1:16" hidden="1" x14ac:dyDescent="0.3">
      <c r="A314" s="1004" t="s">
        <v>4561</v>
      </c>
      <c r="B314" s="1004" t="s">
        <v>4540</v>
      </c>
      <c r="C314" s="927">
        <v>0.1</v>
      </c>
      <c r="D314" s="927">
        <v>0</v>
      </c>
      <c r="E314" s="387">
        <v>180</v>
      </c>
      <c r="F314" s="677" t="s">
        <v>206</v>
      </c>
      <c r="G314" s="692" t="s">
        <v>260</v>
      </c>
      <c r="H314" s="692" t="s">
        <v>2399</v>
      </c>
      <c r="I314" s="692" t="s">
        <v>2399</v>
      </c>
      <c r="J314" s="692" t="s">
        <v>2399</v>
      </c>
      <c r="K314" s="692" t="s">
        <v>260</v>
      </c>
      <c r="L314" s="692" t="s">
        <v>2399</v>
      </c>
      <c r="M314" s="692" t="s">
        <v>2399</v>
      </c>
      <c r="N314" s="692" t="s">
        <v>2399</v>
      </c>
      <c r="O314" s="692" t="s">
        <v>2399</v>
      </c>
      <c r="P314" s="692" t="s">
        <v>2399</v>
      </c>
    </row>
    <row r="315" spans="1:16" hidden="1" x14ac:dyDescent="0.3">
      <c r="A315" s="1004" t="s">
        <v>4562</v>
      </c>
      <c r="B315" s="1004" t="s">
        <v>4540</v>
      </c>
      <c r="C315" s="927">
        <v>0.1</v>
      </c>
      <c r="D315" s="927">
        <v>0</v>
      </c>
      <c r="E315" s="387">
        <v>360</v>
      </c>
      <c r="F315" s="677" t="s">
        <v>206</v>
      </c>
      <c r="G315" s="692" t="s">
        <v>260</v>
      </c>
      <c r="H315" s="692" t="s">
        <v>2399</v>
      </c>
      <c r="I315" s="692" t="s">
        <v>2399</v>
      </c>
      <c r="J315" s="692" t="s">
        <v>2399</v>
      </c>
      <c r="K315" s="692" t="s">
        <v>260</v>
      </c>
      <c r="L315" s="692" t="s">
        <v>2399</v>
      </c>
      <c r="M315" s="692" t="s">
        <v>2399</v>
      </c>
      <c r="N315" s="692" t="s">
        <v>2399</v>
      </c>
      <c r="O315" s="692" t="s">
        <v>2399</v>
      </c>
      <c r="P315" s="692" t="s">
        <v>2399</v>
      </c>
    </row>
    <row r="316" spans="1:16" hidden="1" x14ac:dyDescent="0.3">
      <c r="A316" s="1004" t="s">
        <v>4563</v>
      </c>
      <c r="B316" s="1004" t="s">
        <v>4540</v>
      </c>
      <c r="C316" s="927">
        <v>0.1</v>
      </c>
      <c r="D316" s="927">
        <v>0</v>
      </c>
      <c r="E316" s="387">
        <v>790</v>
      </c>
      <c r="F316" s="677" t="s">
        <v>206</v>
      </c>
      <c r="G316" s="692" t="s">
        <v>260</v>
      </c>
      <c r="H316" s="692" t="s">
        <v>2399</v>
      </c>
      <c r="I316" s="692" t="s">
        <v>2399</v>
      </c>
      <c r="J316" s="692" t="s">
        <v>2399</v>
      </c>
      <c r="K316" s="692" t="s">
        <v>260</v>
      </c>
      <c r="L316" s="692" t="s">
        <v>2399</v>
      </c>
      <c r="M316" s="692" t="s">
        <v>2399</v>
      </c>
      <c r="N316" s="692" t="s">
        <v>2399</v>
      </c>
      <c r="O316" s="692" t="s">
        <v>2399</v>
      </c>
      <c r="P316" s="692" t="s">
        <v>2399</v>
      </c>
    </row>
    <row r="317" spans="1:16" hidden="1" x14ac:dyDescent="0.3">
      <c r="A317" s="1004" t="s">
        <v>4564</v>
      </c>
      <c r="B317" s="1004" t="s">
        <v>4540</v>
      </c>
      <c r="C317" s="927">
        <v>0.1</v>
      </c>
      <c r="D317" s="927">
        <v>0</v>
      </c>
      <c r="E317" s="387">
        <v>340</v>
      </c>
      <c r="F317" s="677" t="s">
        <v>206</v>
      </c>
      <c r="G317" s="692" t="s">
        <v>260</v>
      </c>
      <c r="H317" s="692" t="s">
        <v>2399</v>
      </c>
      <c r="I317" s="692" t="s">
        <v>2399</v>
      </c>
      <c r="J317" s="692" t="s">
        <v>2399</v>
      </c>
      <c r="K317" s="692" t="s">
        <v>260</v>
      </c>
      <c r="L317" s="692" t="s">
        <v>2399</v>
      </c>
      <c r="M317" s="692" t="s">
        <v>2399</v>
      </c>
      <c r="N317" s="692" t="s">
        <v>2399</v>
      </c>
      <c r="O317" s="692" t="s">
        <v>2399</v>
      </c>
      <c r="P317" s="692" t="s">
        <v>2399</v>
      </c>
    </row>
    <row r="318" spans="1:16" hidden="1" x14ac:dyDescent="0.3">
      <c r="A318" s="1004" t="s">
        <v>4565</v>
      </c>
      <c r="B318" s="1004" t="s">
        <v>4540</v>
      </c>
      <c r="C318" s="927">
        <v>0.1</v>
      </c>
      <c r="D318" s="927">
        <v>0</v>
      </c>
      <c r="E318" s="387">
        <v>1690</v>
      </c>
      <c r="F318" s="677" t="s">
        <v>206</v>
      </c>
      <c r="G318" s="692" t="s">
        <v>260</v>
      </c>
      <c r="H318" s="692" t="s">
        <v>2399</v>
      </c>
      <c r="I318" s="692" t="s">
        <v>2399</v>
      </c>
      <c r="J318" s="692" t="s">
        <v>2399</v>
      </c>
      <c r="K318" s="692" t="s">
        <v>260</v>
      </c>
      <c r="L318" s="692" t="s">
        <v>2399</v>
      </c>
      <c r="M318" s="692" t="s">
        <v>2399</v>
      </c>
      <c r="N318" s="692" t="s">
        <v>2399</v>
      </c>
      <c r="O318" s="692" t="s">
        <v>2399</v>
      </c>
      <c r="P318" s="692" t="s">
        <v>2399</v>
      </c>
    </row>
    <row r="319" spans="1:16" hidden="1" x14ac:dyDescent="0.3">
      <c r="A319" s="1004" t="s">
        <v>4566</v>
      </c>
      <c r="B319" s="1004" t="s">
        <v>4540</v>
      </c>
      <c r="C319" s="927">
        <v>0.1</v>
      </c>
      <c r="D319" s="927">
        <v>0</v>
      </c>
      <c r="E319" s="387">
        <v>720</v>
      </c>
      <c r="F319" s="677" t="s">
        <v>206</v>
      </c>
      <c r="G319" s="692" t="s">
        <v>260</v>
      </c>
      <c r="H319" s="692" t="s">
        <v>2399</v>
      </c>
      <c r="I319" s="692" t="s">
        <v>2399</v>
      </c>
      <c r="J319" s="692" t="s">
        <v>2399</v>
      </c>
      <c r="K319" s="692" t="s">
        <v>260</v>
      </c>
      <c r="L319" s="692" t="s">
        <v>2399</v>
      </c>
      <c r="M319" s="692" t="s">
        <v>2399</v>
      </c>
      <c r="N319" s="692" t="s">
        <v>2399</v>
      </c>
      <c r="O319" s="692" t="s">
        <v>2399</v>
      </c>
      <c r="P319" s="692" t="s">
        <v>2399</v>
      </c>
    </row>
    <row r="320" spans="1:16" hidden="1" x14ac:dyDescent="0.3">
      <c r="A320" s="1004" t="s">
        <v>4567</v>
      </c>
      <c r="B320" s="1004" t="s">
        <v>4540</v>
      </c>
      <c r="C320" s="927">
        <v>0.1</v>
      </c>
      <c r="D320" s="927">
        <v>0</v>
      </c>
      <c r="E320" s="387">
        <v>160</v>
      </c>
      <c r="F320" s="677" t="s">
        <v>206</v>
      </c>
      <c r="G320" s="692" t="s">
        <v>260</v>
      </c>
      <c r="H320" s="692" t="s">
        <v>2399</v>
      </c>
      <c r="I320" s="692" t="s">
        <v>2399</v>
      </c>
      <c r="J320" s="692" t="s">
        <v>2399</v>
      </c>
      <c r="K320" s="692" t="s">
        <v>260</v>
      </c>
      <c r="L320" s="692" t="s">
        <v>2399</v>
      </c>
      <c r="M320" s="692" t="s">
        <v>2399</v>
      </c>
      <c r="N320" s="692" t="s">
        <v>2399</v>
      </c>
      <c r="O320" s="692" t="s">
        <v>2399</v>
      </c>
      <c r="P320" s="692" t="s">
        <v>2399</v>
      </c>
    </row>
    <row r="321" spans="1:16" hidden="1" x14ac:dyDescent="0.3">
      <c r="A321" s="1004" t="s">
        <v>4568</v>
      </c>
      <c r="B321" s="1004" t="s">
        <v>4540</v>
      </c>
      <c r="C321" s="927">
        <v>0.1</v>
      </c>
      <c r="D321" s="927">
        <v>0</v>
      </c>
      <c r="E321" s="387">
        <v>740</v>
      </c>
      <c r="F321" s="677" t="s">
        <v>206</v>
      </c>
      <c r="G321" s="692" t="s">
        <v>260</v>
      </c>
      <c r="H321" s="692" t="s">
        <v>2399</v>
      </c>
      <c r="I321" s="692" t="s">
        <v>2399</v>
      </c>
      <c r="J321" s="692" t="s">
        <v>2399</v>
      </c>
      <c r="K321" s="692" t="s">
        <v>260</v>
      </c>
      <c r="L321" s="692" t="s">
        <v>2399</v>
      </c>
      <c r="M321" s="692" t="s">
        <v>2399</v>
      </c>
      <c r="N321" s="692" t="s">
        <v>2399</v>
      </c>
      <c r="O321" s="692" t="s">
        <v>2399</v>
      </c>
      <c r="P321" s="692" t="s">
        <v>2399</v>
      </c>
    </row>
    <row r="322" spans="1:16" x14ac:dyDescent="0.3">
      <c r="A322" s="1004" t="s">
        <v>4569</v>
      </c>
      <c r="B322" s="1004" t="s">
        <v>4540</v>
      </c>
      <c r="C322" s="155">
        <v>15</v>
      </c>
      <c r="D322" s="155">
        <v>4</v>
      </c>
      <c r="E322" s="387">
        <v>370</v>
      </c>
      <c r="F322" s="677" t="s">
        <v>206</v>
      </c>
      <c r="G322" s="692" t="s">
        <v>260</v>
      </c>
      <c r="H322" s="692" t="s">
        <v>2399</v>
      </c>
      <c r="I322" s="692" t="s">
        <v>2399</v>
      </c>
      <c r="J322" s="692" t="s">
        <v>2399</v>
      </c>
      <c r="K322" s="692" t="s">
        <v>260</v>
      </c>
      <c r="L322" s="692" t="s">
        <v>2399</v>
      </c>
      <c r="M322" s="692" t="s">
        <v>2399</v>
      </c>
      <c r="N322" s="692" t="s">
        <v>2399</v>
      </c>
      <c r="O322" s="692" t="s">
        <v>2399</v>
      </c>
      <c r="P322" s="692" t="s">
        <v>2399</v>
      </c>
    </row>
    <row r="323" spans="1:16" x14ac:dyDescent="0.3">
      <c r="A323" s="1004" t="s">
        <v>4570</v>
      </c>
      <c r="B323" s="1004" t="s">
        <v>4540</v>
      </c>
      <c r="C323" s="155">
        <v>0.25</v>
      </c>
      <c r="D323" s="155">
        <v>1</v>
      </c>
      <c r="E323" s="387">
        <v>80</v>
      </c>
      <c r="F323" s="677" t="s">
        <v>206</v>
      </c>
      <c r="G323" s="692" t="s">
        <v>260</v>
      </c>
      <c r="H323" s="692" t="s">
        <v>2399</v>
      </c>
      <c r="I323" s="692" t="s">
        <v>2399</v>
      </c>
      <c r="J323" s="692" t="s">
        <v>2399</v>
      </c>
      <c r="K323" s="692" t="s">
        <v>260</v>
      </c>
      <c r="L323" s="692" t="s">
        <v>2399</v>
      </c>
      <c r="M323" s="692" t="s">
        <v>2399</v>
      </c>
      <c r="N323" s="692" t="s">
        <v>2399</v>
      </c>
      <c r="O323" s="692" t="s">
        <v>2399</v>
      </c>
      <c r="P323" s="692" t="s">
        <v>2399</v>
      </c>
    </row>
    <row r="324" spans="1:16" x14ac:dyDescent="0.3">
      <c r="A324" s="1004" t="s">
        <v>4571</v>
      </c>
      <c r="B324" s="1004" t="s">
        <v>4540</v>
      </c>
      <c r="C324" s="155">
        <v>0.2</v>
      </c>
      <c r="D324" s="155">
        <v>1</v>
      </c>
      <c r="E324" s="387">
        <v>580</v>
      </c>
      <c r="F324" s="677" t="s">
        <v>206</v>
      </c>
      <c r="G324" s="692" t="s">
        <v>260</v>
      </c>
      <c r="H324" s="692" t="s">
        <v>2399</v>
      </c>
      <c r="I324" s="692" t="s">
        <v>2399</v>
      </c>
      <c r="J324" s="692" t="s">
        <v>2399</v>
      </c>
      <c r="K324" s="692" t="s">
        <v>260</v>
      </c>
      <c r="L324" s="692" t="s">
        <v>2399</v>
      </c>
      <c r="M324" s="692" t="s">
        <v>2399</v>
      </c>
      <c r="N324" s="692" t="s">
        <v>2399</v>
      </c>
      <c r="O324" s="692" t="s">
        <v>2399</v>
      </c>
      <c r="P324" s="692" t="s">
        <v>2399</v>
      </c>
    </row>
    <row r="325" spans="1:16" x14ac:dyDescent="0.3">
      <c r="A325" s="1004" t="s">
        <v>1236</v>
      </c>
      <c r="B325" s="1004" t="s">
        <v>4540</v>
      </c>
      <c r="C325" s="155">
        <v>0.2</v>
      </c>
      <c r="D325" s="155">
        <v>1</v>
      </c>
      <c r="E325" s="387">
        <v>20</v>
      </c>
      <c r="F325" s="677" t="s">
        <v>206</v>
      </c>
      <c r="G325" s="692" t="s">
        <v>260</v>
      </c>
      <c r="H325" s="692" t="s">
        <v>2399</v>
      </c>
      <c r="I325" s="692" t="s">
        <v>2399</v>
      </c>
      <c r="J325" s="692" t="s">
        <v>2399</v>
      </c>
      <c r="K325" s="692" t="s">
        <v>260</v>
      </c>
      <c r="L325" s="692" t="s">
        <v>2399</v>
      </c>
      <c r="M325" s="692" t="s">
        <v>2399</v>
      </c>
      <c r="N325" s="692" t="s">
        <v>2399</v>
      </c>
      <c r="O325" s="692" t="s">
        <v>2399</v>
      </c>
      <c r="P325" s="692" t="s">
        <v>2399</v>
      </c>
    </row>
    <row r="326" spans="1:16" hidden="1" x14ac:dyDescent="0.3">
      <c r="A326" s="1004" t="s">
        <v>4572</v>
      </c>
      <c r="B326" s="1004" t="s">
        <v>4540</v>
      </c>
      <c r="C326" s="155">
        <v>0.02</v>
      </c>
      <c r="D326" s="155">
        <v>0</v>
      </c>
      <c r="E326" s="387">
        <v>60</v>
      </c>
      <c r="F326" s="677" t="s">
        <v>206</v>
      </c>
      <c r="G326" s="692" t="s">
        <v>260</v>
      </c>
      <c r="H326" s="692" t="s">
        <v>2399</v>
      </c>
      <c r="I326" s="692" t="s">
        <v>2399</v>
      </c>
      <c r="J326" s="692" t="s">
        <v>2399</v>
      </c>
      <c r="K326" s="692" t="s">
        <v>260</v>
      </c>
      <c r="L326" s="692" t="s">
        <v>2399</v>
      </c>
      <c r="M326" s="692" t="s">
        <v>2399</v>
      </c>
      <c r="N326" s="692" t="s">
        <v>2399</v>
      </c>
      <c r="O326" s="692" t="s">
        <v>2399</v>
      </c>
      <c r="P326" s="692" t="s">
        <v>2399</v>
      </c>
    </row>
    <row r="327" spans="1:16" hidden="1" x14ac:dyDescent="0.3">
      <c r="A327" s="1004" t="s">
        <v>4573</v>
      </c>
      <c r="B327" s="1004" t="s">
        <v>4540</v>
      </c>
      <c r="C327" s="155">
        <v>0.02</v>
      </c>
      <c r="D327" s="155">
        <v>0</v>
      </c>
      <c r="E327" s="387">
        <v>40</v>
      </c>
      <c r="F327" s="677" t="s">
        <v>206</v>
      </c>
      <c r="G327" s="692" t="s">
        <v>260</v>
      </c>
      <c r="H327" s="692" t="s">
        <v>2399</v>
      </c>
      <c r="I327" s="692" t="s">
        <v>2399</v>
      </c>
      <c r="J327" s="692" t="s">
        <v>2399</v>
      </c>
      <c r="K327" s="692" t="s">
        <v>260</v>
      </c>
      <c r="L327" s="692" t="s">
        <v>2399</v>
      </c>
      <c r="M327" s="692" t="s">
        <v>2399</v>
      </c>
      <c r="N327" s="692" t="s">
        <v>2399</v>
      </c>
      <c r="O327" s="692" t="s">
        <v>2399</v>
      </c>
      <c r="P327" s="692" t="s">
        <v>2399</v>
      </c>
    </row>
    <row r="328" spans="1:16" hidden="1" x14ac:dyDescent="0.3">
      <c r="A328" s="1004" t="s">
        <v>4574</v>
      </c>
      <c r="B328" s="1004" t="s">
        <v>4540</v>
      </c>
      <c r="C328" s="155">
        <v>0.02</v>
      </c>
      <c r="D328" s="155">
        <v>0</v>
      </c>
      <c r="E328" s="387">
        <v>20</v>
      </c>
      <c r="F328" s="677" t="s">
        <v>206</v>
      </c>
      <c r="G328" s="692" t="s">
        <v>260</v>
      </c>
      <c r="H328" s="692" t="s">
        <v>2399</v>
      </c>
      <c r="I328" s="692" t="s">
        <v>2399</v>
      </c>
      <c r="J328" s="692" t="s">
        <v>2399</v>
      </c>
      <c r="K328" s="692" t="s">
        <v>260</v>
      </c>
      <c r="L328" s="692" t="s">
        <v>2399</v>
      </c>
      <c r="M328" s="692" t="s">
        <v>2399</v>
      </c>
      <c r="N328" s="692" t="s">
        <v>2399</v>
      </c>
      <c r="O328" s="692" t="s">
        <v>2399</v>
      </c>
      <c r="P328" s="692" t="s">
        <v>2399</v>
      </c>
    </row>
    <row r="329" spans="1:16" x14ac:dyDescent="0.3">
      <c r="A329" s="1004" t="s">
        <v>4575</v>
      </c>
      <c r="B329" s="1004" t="s">
        <v>4540</v>
      </c>
      <c r="C329" s="155">
        <v>0.8</v>
      </c>
      <c r="D329" s="155">
        <v>1</v>
      </c>
      <c r="E329" s="387">
        <v>40</v>
      </c>
      <c r="F329" s="677" t="s">
        <v>206</v>
      </c>
      <c r="G329" s="692" t="s">
        <v>260</v>
      </c>
      <c r="H329" s="692" t="s">
        <v>2399</v>
      </c>
      <c r="I329" s="692" t="s">
        <v>2399</v>
      </c>
      <c r="J329" s="692" t="s">
        <v>2399</v>
      </c>
      <c r="K329" s="692" t="s">
        <v>260</v>
      </c>
      <c r="L329" s="692" t="s">
        <v>2399</v>
      </c>
      <c r="M329" s="692" t="s">
        <v>2399</v>
      </c>
      <c r="N329" s="692" t="s">
        <v>2399</v>
      </c>
      <c r="O329" s="692" t="s">
        <v>2399</v>
      </c>
      <c r="P329" s="692" t="s">
        <v>2399</v>
      </c>
    </row>
    <row r="330" spans="1:16" x14ac:dyDescent="0.3">
      <c r="A330" s="1004" t="s">
        <v>4576</v>
      </c>
      <c r="B330" s="1004" t="s">
        <v>4540</v>
      </c>
      <c r="C330" s="155">
        <v>0.5</v>
      </c>
      <c r="D330" s="155">
        <v>2</v>
      </c>
      <c r="E330" s="387">
        <v>170</v>
      </c>
      <c r="F330" s="677" t="s">
        <v>206</v>
      </c>
      <c r="G330" s="692" t="s">
        <v>260</v>
      </c>
      <c r="H330" s="692" t="s">
        <v>2399</v>
      </c>
      <c r="I330" s="692" t="s">
        <v>2399</v>
      </c>
      <c r="J330" s="692" t="s">
        <v>2399</v>
      </c>
      <c r="K330" s="692" t="s">
        <v>260</v>
      </c>
      <c r="L330" s="692" t="s">
        <v>2399</v>
      </c>
      <c r="M330" s="692" t="s">
        <v>2399</v>
      </c>
      <c r="N330" s="692" t="s">
        <v>2399</v>
      </c>
      <c r="O330" s="692" t="s">
        <v>2399</v>
      </c>
      <c r="P330" s="692" t="s">
        <v>2399</v>
      </c>
    </row>
    <row r="331" spans="1:16" x14ac:dyDescent="0.3">
      <c r="A331" s="1004" t="s">
        <v>4577</v>
      </c>
      <c r="B331" s="1004" t="s">
        <v>4540</v>
      </c>
      <c r="C331" s="155">
        <v>0.5</v>
      </c>
      <c r="D331" s="155">
        <v>2</v>
      </c>
      <c r="E331" s="387">
        <v>400</v>
      </c>
      <c r="F331" s="677" t="s">
        <v>206</v>
      </c>
      <c r="G331" s="692" t="s">
        <v>260</v>
      </c>
      <c r="H331" s="692" t="s">
        <v>2399</v>
      </c>
      <c r="I331" s="692" t="s">
        <v>2399</v>
      </c>
      <c r="J331" s="692" t="s">
        <v>2399</v>
      </c>
      <c r="K331" s="692" t="s">
        <v>260</v>
      </c>
      <c r="L331" s="692" t="s">
        <v>2399</v>
      </c>
      <c r="M331" s="692" t="s">
        <v>2399</v>
      </c>
      <c r="N331" s="692" t="s">
        <v>2399</v>
      </c>
      <c r="O331" s="692" t="s">
        <v>2399</v>
      </c>
      <c r="P331" s="692" t="s">
        <v>2399</v>
      </c>
    </row>
    <row r="332" spans="1:16" x14ac:dyDescent="0.3">
      <c r="A332" s="1004" t="s">
        <v>4578</v>
      </c>
      <c r="B332" s="1004" t="s">
        <v>4540</v>
      </c>
      <c r="C332" s="155">
        <v>0.5</v>
      </c>
      <c r="D332" s="155">
        <v>2</v>
      </c>
      <c r="E332" s="387">
        <v>170</v>
      </c>
      <c r="F332" s="677" t="s">
        <v>206</v>
      </c>
      <c r="G332" s="692" t="s">
        <v>260</v>
      </c>
      <c r="H332" s="692" t="s">
        <v>2399</v>
      </c>
      <c r="I332" s="692" t="s">
        <v>2399</v>
      </c>
      <c r="J332" s="692" t="s">
        <v>2399</v>
      </c>
      <c r="K332" s="692" t="s">
        <v>260</v>
      </c>
      <c r="L332" s="692" t="s">
        <v>2399</v>
      </c>
      <c r="M332" s="692" t="s">
        <v>2399</v>
      </c>
      <c r="N332" s="692" t="s">
        <v>2399</v>
      </c>
      <c r="O332" s="692" t="s">
        <v>2399</v>
      </c>
      <c r="P332" s="692" t="s">
        <v>2399</v>
      </c>
    </row>
    <row r="333" spans="1:16" x14ac:dyDescent="0.3">
      <c r="A333" s="1004" t="s">
        <v>4579</v>
      </c>
      <c r="B333" s="1004" t="s">
        <v>4540</v>
      </c>
      <c r="C333" s="155">
        <v>0.5</v>
      </c>
      <c r="D333" s="155">
        <v>2</v>
      </c>
      <c r="E333" s="387">
        <v>210</v>
      </c>
      <c r="F333" s="677" t="s">
        <v>206</v>
      </c>
      <c r="G333" s="692" t="s">
        <v>260</v>
      </c>
      <c r="H333" s="692" t="s">
        <v>2399</v>
      </c>
      <c r="I333" s="692" t="s">
        <v>2399</v>
      </c>
      <c r="J333" s="692" t="s">
        <v>2399</v>
      </c>
      <c r="K333" s="692" t="s">
        <v>260</v>
      </c>
      <c r="L333" s="692" t="s">
        <v>2399</v>
      </c>
      <c r="M333" s="692" t="s">
        <v>2399</v>
      </c>
      <c r="N333" s="692" t="s">
        <v>2399</v>
      </c>
      <c r="O333" s="692" t="s">
        <v>2399</v>
      </c>
      <c r="P333" s="692" t="s">
        <v>2399</v>
      </c>
    </row>
    <row r="334" spans="1:16" x14ac:dyDescent="0.3">
      <c r="A334" s="1004" t="s">
        <v>4580</v>
      </c>
      <c r="B334" s="1004" t="s">
        <v>4540</v>
      </c>
      <c r="C334" s="155">
        <v>0.5</v>
      </c>
      <c r="D334" s="155">
        <v>2</v>
      </c>
      <c r="E334" s="387">
        <v>260</v>
      </c>
      <c r="F334" s="677" t="s">
        <v>206</v>
      </c>
      <c r="G334" s="692" t="s">
        <v>260</v>
      </c>
      <c r="H334" s="692" t="s">
        <v>2399</v>
      </c>
      <c r="I334" s="692" t="s">
        <v>2399</v>
      </c>
      <c r="J334" s="692" t="s">
        <v>2399</v>
      </c>
      <c r="K334" s="692" t="s">
        <v>260</v>
      </c>
      <c r="L334" s="692" t="s">
        <v>2399</v>
      </c>
      <c r="M334" s="692" t="s">
        <v>2399</v>
      </c>
      <c r="N334" s="692" t="s">
        <v>2399</v>
      </c>
      <c r="O334" s="692" t="s">
        <v>2399</v>
      </c>
      <c r="P334" s="692" t="s">
        <v>2399</v>
      </c>
    </row>
    <row r="335" spans="1:16" x14ac:dyDescent="0.3">
      <c r="A335" s="1004" t="s">
        <v>4581</v>
      </c>
      <c r="B335" s="1004" t="s">
        <v>4540</v>
      </c>
      <c r="C335" s="155">
        <v>0.5</v>
      </c>
      <c r="D335" s="155">
        <v>2</v>
      </c>
      <c r="E335" s="387">
        <v>530</v>
      </c>
      <c r="F335" s="677" t="s">
        <v>206</v>
      </c>
      <c r="G335" s="692" t="s">
        <v>260</v>
      </c>
      <c r="H335" s="692" t="s">
        <v>2399</v>
      </c>
      <c r="I335" s="692" t="s">
        <v>2399</v>
      </c>
      <c r="J335" s="692" t="s">
        <v>2399</v>
      </c>
      <c r="K335" s="692" t="s">
        <v>260</v>
      </c>
      <c r="L335" s="692" t="s">
        <v>2399</v>
      </c>
      <c r="M335" s="692" t="s">
        <v>2399</v>
      </c>
      <c r="N335" s="692" t="s">
        <v>2399</v>
      </c>
      <c r="O335" s="692" t="s">
        <v>2399</v>
      </c>
      <c r="P335" s="692" t="s">
        <v>2399</v>
      </c>
    </row>
    <row r="336" spans="1:16" hidden="1" x14ac:dyDescent="0.3">
      <c r="A336" s="658" t="s">
        <v>3866</v>
      </c>
      <c r="B336" s="658" t="s">
        <v>672</v>
      </c>
      <c r="C336" s="659">
        <v>1.5</v>
      </c>
      <c r="D336" s="659">
        <v>1</v>
      </c>
      <c r="E336" s="660">
        <v>100</v>
      </c>
      <c r="F336" s="683" t="s">
        <v>3853</v>
      </c>
      <c r="G336" s="698" t="s">
        <v>2399</v>
      </c>
      <c r="H336" s="698" t="s">
        <v>2399</v>
      </c>
      <c r="I336" s="698" t="s">
        <v>2399</v>
      </c>
      <c r="J336" s="698" t="s">
        <v>2399</v>
      </c>
      <c r="K336" s="698" t="s">
        <v>260</v>
      </c>
      <c r="L336" s="698" t="s">
        <v>2399</v>
      </c>
      <c r="M336" s="698" t="s">
        <v>2399</v>
      </c>
      <c r="N336" s="698" t="s">
        <v>2399</v>
      </c>
      <c r="O336" s="698" t="s">
        <v>2399</v>
      </c>
      <c r="P336" s="698" t="s">
        <v>2399</v>
      </c>
    </row>
    <row r="337" spans="1:16" hidden="1" x14ac:dyDescent="0.3">
      <c r="A337" s="658" t="s">
        <v>3858</v>
      </c>
      <c r="B337" s="658" t="s">
        <v>672</v>
      </c>
      <c r="C337" s="659">
        <v>1.5</v>
      </c>
      <c r="D337" s="659">
        <v>1</v>
      </c>
      <c r="E337" s="660">
        <v>100</v>
      </c>
      <c r="F337" s="683" t="s">
        <v>3853</v>
      </c>
      <c r="G337" s="698" t="s">
        <v>2399</v>
      </c>
      <c r="H337" s="698" t="s">
        <v>2399</v>
      </c>
      <c r="I337" s="698" t="s">
        <v>2399</v>
      </c>
      <c r="J337" s="698" t="s">
        <v>2399</v>
      </c>
      <c r="K337" s="698" t="s">
        <v>260</v>
      </c>
      <c r="L337" s="698" t="s">
        <v>2399</v>
      </c>
      <c r="M337" s="698" t="s">
        <v>2399</v>
      </c>
      <c r="N337" s="698" t="s">
        <v>2399</v>
      </c>
      <c r="O337" s="698" t="s">
        <v>2399</v>
      </c>
      <c r="P337" s="698" t="s">
        <v>2399</v>
      </c>
    </row>
    <row r="338" spans="1:16" hidden="1" x14ac:dyDescent="0.3">
      <c r="A338" s="658" t="s">
        <v>3869</v>
      </c>
      <c r="B338" s="658" t="s">
        <v>672</v>
      </c>
      <c r="C338" s="659">
        <v>1</v>
      </c>
      <c r="D338" s="659">
        <v>1</v>
      </c>
      <c r="E338" s="660">
        <v>20</v>
      </c>
      <c r="F338" s="683" t="s">
        <v>3853</v>
      </c>
      <c r="G338" s="698" t="s">
        <v>2399</v>
      </c>
      <c r="H338" s="698" t="s">
        <v>2399</v>
      </c>
      <c r="I338" s="698" t="s">
        <v>2399</v>
      </c>
      <c r="J338" s="698" t="s">
        <v>2399</v>
      </c>
      <c r="K338" s="698" t="s">
        <v>260</v>
      </c>
      <c r="L338" s="698" t="s">
        <v>2399</v>
      </c>
      <c r="M338" s="698" t="s">
        <v>2399</v>
      </c>
      <c r="N338" s="698" t="s">
        <v>2399</v>
      </c>
      <c r="O338" s="698" t="s">
        <v>2399</v>
      </c>
      <c r="P338" s="698" t="s">
        <v>2399</v>
      </c>
    </row>
    <row r="339" spans="1:16" hidden="1" x14ac:dyDescent="0.3">
      <c r="A339" s="658" t="s">
        <v>3861</v>
      </c>
      <c r="B339" s="658" t="s">
        <v>672</v>
      </c>
      <c r="C339" s="659">
        <v>1</v>
      </c>
      <c r="D339" s="659">
        <v>1</v>
      </c>
      <c r="E339" s="660">
        <v>20</v>
      </c>
      <c r="F339" s="683" t="s">
        <v>3853</v>
      </c>
      <c r="G339" s="698" t="s">
        <v>2399</v>
      </c>
      <c r="H339" s="698" t="s">
        <v>2399</v>
      </c>
      <c r="I339" s="698" t="s">
        <v>2399</v>
      </c>
      <c r="J339" s="698" t="s">
        <v>2399</v>
      </c>
      <c r="K339" s="698" t="s">
        <v>260</v>
      </c>
      <c r="L339" s="698" t="s">
        <v>2399</v>
      </c>
      <c r="M339" s="698" t="s">
        <v>2399</v>
      </c>
      <c r="N339" s="698" t="s">
        <v>2399</v>
      </c>
      <c r="O339" s="698" t="s">
        <v>2399</v>
      </c>
      <c r="P339" s="698" t="s">
        <v>2399</v>
      </c>
    </row>
    <row r="340" spans="1:16" hidden="1" x14ac:dyDescent="0.3">
      <c r="A340" s="658" t="s">
        <v>3867</v>
      </c>
      <c r="B340" s="658" t="s">
        <v>672</v>
      </c>
      <c r="C340" s="659">
        <v>1</v>
      </c>
      <c r="D340" s="659">
        <v>1</v>
      </c>
      <c r="E340" s="660">
        <v>250</v>
      </c>
      <c r="F340" s="683" t="s">
        <v>3853</v>
      </c>
      <c r="G340" s="698" t="s">
        <v>2399</v>
      </c>
      <c r="H340" s="698" t="s">
        <v>2399</v>
      </c>
      <c r="I340" s="698" t="s">
        <v>2399</v>
      </c>
      <c r="J340" s="698" t="s">
        <v>2399</v>
      </c>
      <c r="K340" s="698" t="s">
        <v>260</v>
      </c>
      <c r="L340" s="698" t="s">
        <v>2399</v>
      </c>
      <c r="M340" s="698" t="s">
        <v>2399</v>
      </c>
      <c r="N340" s="698" t="s">
        <v>2399</v>
      </c>
      <c r="O340" s="698" t="s">
        <v>2399</v>
      </c>
      <c r="P340" s="698" t="s">
        <v>2399</v>
      </c>
    </row>
    <row r="341" spans="1:16" hidden="1" x14ac:dyDescent="0.3">
      <c r="A341" s="658" t="s">
        <v>3859</v>
      </c>
      <c r="B341" s="658" t="s">
        <v>672</v>
      </c>
      <c r="C341" s="659">
        <v>1</v>
      </c>
      <c r="D341" s="659">
        <v>1</v>
      </c>
      <c r="E341" s="660">
        <v>250</v>
      </c>
      <c r="F341" s="683" t="s">
        <v>3853</v>
      </c>
      <c r="G341" s="698" t="s">
        <v>2399</v>
      </c>
      <c r="H341" s="698" t="s">
        <v>2399</v>
      </c>
      <c r="I341" s="698" t="s">
        <v>2399</v>
      </c>
      <c r="J341" s="698" t="s">
        <v>2399</v>
      </c>
      <c r="K341" s="698" t="s">
        <v>260</v>
      </c>
      <c r="L341" s="698" t="s">
        <v>2399</v>
      </c>
      <c r="M341" s="698" t="s">
        <v>2399</v>
      </c>
      <c r="N341" s="698" t="s">
        <v>2399</v>
      </c>
      <c r="O341" s="698" t="s">
        <v>2399</v>
      </c>
      <c r="P341" s="698" t="s">
        <v>2399</v>
      </c>
    </row>
    <row r="342" spans="1:16" hidden="1" x14ac:dyDescent="0.3">
      <c r="A342" s="658" t="s">
        <v>3864</v>
      </c>
      <c r="B342" s="658" t="s">
        <v>672</v>
      </c>
      <c r="C342" s="659">
        <v>0.5</v>
      </c>
      <c r="D342" s="659">
        <v>1</v>
      </c>
      <c r="E342" s="660">
        <v>1</v>
      </c>
      <c r="F342" s="683" t="s">
        <v>3853</v>
      </c>
      <c r="G342" s="698" t="s">
        <v>2399</v>
      </c>
      <c r="H342" s="698" t="s">
        <v>2399</v>
      </c>
      <c r="I342" s="698" t="s">
        <v>2399</v>
      </c>
      <c r="J342" s="698" t="s">
        <v>2399</v>
      </c>
      <c r="K342" s="698" t="s">
        <v>260</v>
      </c>
      <c r="L342" s="698" t="s">
        <v>2399</v>
      </c>
      <c r="M342" s="698" t="s">
        <v>2399</v>
      </c>
      <c r="N342" s="698" t="s">
        <v>2399</v>
      </c>
      <c r="O342" s="698" t="s">
        <v>2399</v>
      </c>
      <c r="P342" s="698" t="s">
        <v>2399</v>
      </c>
    </row>
    <row r="343" spans="1:16" hidden="1" x14ac:dyDescent="0.3">
      <c r="A343" s="658" t="s">
        <v>3856</v>
      </c>
      <c r="B343" s="658" t="s">
        <v>672</v>
      </c>
      <c r="C343" s="659">
        <v>0.5</v>
      </c>
      <c r="D343" s="659">
        <v>1</v>
      </c>
      <c r="E343" s="660">
        <v>1</v>
      </c>
      <c r="F343" s="683" t="s">
        <v>3853</v>
      </c>
      <c r="G343" s="698" t="s">
        <v>2399</v>
      </c>
      <c r="H343" s="698" t="s">
        <v>2399</v>
      </c>
      <c r="I343" s="698" t="s">
        <v>2399</v>
      </c>
      <c r="J343" s="698" t="s">
        <v>2399</v>
      </c>
      <c r="K343" s="698" t="s">
        <v>260</v>
      </c>
      <c r="L343" s="698" t="s">
        <v>2399</v>
      </c>
      <c r="M343" s="698" t="s">
        <v>2399</v>
      </c>
      <c r="N343" s="698" t="s">
        <v>2399</v>
      </c>
      <c r="O343" s="698" t="s">
        <v>2399</v>
      </c>
      <c r="P343" s="698" t="s">
        <v>2399</v>
      </c>
    </row>
    <row r="344" spans="1:16" hidden="1" x14ac:dyDescent="0.3">
      <c r="A344" s="658" t="s">
        <v>3863</v>
      </c>
      <c r="B344" s="658" t="s">
        <v>672</v>
      </c>
      <c r="C344" s="659">
        <v>1</v>
      </c>
      <c r="D344" s="659">
        <v>1</v>
      </c>
      <c r="E344" s="660">
        <v>10</v>
      </c>
      <c r="F344" s="683" t="s">
        <v>3853</v>
      </c>
      <c r="G344" s="698" t="s">
        <v>2399</v>
      </c>
      <c r="H344" s="698" t="s">
        <v>2399</v>
      </c>
      <c r="I344" s="698" t="s">
        <v>2399</v>
      </c>
      <c r="J344" s="698" t="s">
        <v>2399</v>
      </c>
      <c r="K344" s="698" t="s">
        <v>260</v>
      </c>
      <c r="L344" s="698" t="s">
        <v>2399</v>
      </c>
      <c r="M344" s="698" t="s">
        <v>2399</v>
      </c>
      <c r="N344" s="698" t="s">
        <v>2399</v>
      </c>
      <c r="O344" s="698" t="s">
        <v>2399</v>
      </c>
      <c r="P344" s="698" t="s">
        <v>2399</v>
      </c>
    </row>
    <row r="345" spans="1:16" hidden="1" x14ac:dyDescent="0.3">
      <c r="A345" s="658" t="s">
        <v>3855</v>
      </c>
      <c r="B345" s="658" t="s">
        <v>672</v>
      </c>
      <c r="C345" s="659">
        <v>1</v>
      </c>
      <c r="D345" s="659">
        <v>1</v>
      </c>
      <c r="E345" s="660">
        <v>10</v>
      </c>
      <c r="F345" s="683" t="s">
        <v>3853</v>
      </c>
      <c r="G345" s="698" t="s">
        <v>2399</v>
      </c>
      <c r="H345" s="698" t="s">
        <v>2399</v>
      </c>
      <c r="I345" s="698" t="s">
        <v>2399</v>
      </c>
      <c r="J345" s="698" t="s">
        <v>2399</v>
      </c>
      <c r="K345" s="698" t="s">
        <v>260</v>
      </c>
      <c r="L345" s="698" t="s">
        <v>2399</v>
      </c>
      <c r="M345" s="698" t="s">
        <v>2399</v>
      </c>
      <c r="N345" s="698" t="s">
        <v>2399</v>
      </c>
      <c r="O345" s="698" t="s">
        <v>2399</v>
      </c>
      <c r="P345" s="698" t="s">
        <v>2399</v>
      </c>
    </row>
    <row r="346" spans="1:16" hidden="1" x14ac:dyDescent="0.3">
      <c r="A346" s="658" t="s">
        <v>3868</v>
      </c>
      <c r="B346" s="658" t="s">
        <v>672</v>
      </c>
      <c r="C346" s="659">
        <v>1.2</v>
      </c>
      <c r="D346" s="659">
        <v>1</v>
      </c>
      <c r="E346" s="660">
        <v>15</v>
      </c>
      <c r="F346" s="683" t="s">
        <v>3853</v>
      </c>
      <c r="G346" s="698" t="s">
        <v>2399</v>
      </c>
      <c r="H346" s="698" t="s">
        <v>2399</v>
      </c>
      <c r="I346" s="698" t="s">
        <v>2399</v>
      </c>
      <c r="J346" s="698" t="s">
        <v>2399</v>
      </c>
      <c r="K346" s="698" t="s">
        <v>260</v>
      </c>
      <c r="L346" s="698" t="s">
        <v>2399</v>
      </c>
      <c r="M346" s="698" t="s">
        <v>2399</v>
      </c>
      <c r="N346" s="698" t="s">
        <v>2399</v>
      </c>
      <c r="O346" s="698" t="s">
        <v>2399</v>
      </c>
      <c r="P346" s="698" t="s">
        <v>2399</v>
      </c>
    </row>
    <row r="347" spans="1:16" hidden="1" x14ac:dyDescent="0.3">
      <c r="A347" s="658" t="s">
        <v>3860</v>
      </c>
      <c r="B347" s="658" t="s">
        <v>672</v>
      </c>
      <c r="C347" s="659">
        <v>1.2</v>
      </c>
      <c r="D347" s="659">
        <v>1</v>
      </c>
      <c r="E347" s="660">
        <v>15</v>
      </c>
      <c r="F347" s="683" t="s">
        <v>3853</v>
      </c>
      <c r="G347" s="698" t="s">
        <v>2399</v>
      </c>
      <c r="H347" s="698" t="s">
        <v>2399</v>
      </c>
      <c r="I347" s="698" t="s">
        <v>2399</v>
      </c>
      <c r="J347" s="698" t="s">
        <v>2399</v>
      </c>
      <c r="K347" s="698" t="s">
        <v>260</v>
      </c>
      <c r="L347" s="698" t="s">
        <v>2399</v>
      </c>
      <c r="M347" s="698" t="s">
        <v>2399</v>
      </c>
      <c r="N347" s="698" t="s">
        <v>2399</v>
      </c>
      <c r="O347" s="698" t="s">
        <v>2399</v>
      </c>
      <c r="P347" s="698" t="s">
        <v>2399</v>
      </c>
    </row>
    <row r="348" spans="1:16" hidden="1" x14ac:dyDescent="0.3">
      <c r="A348" s="658" t="s">
        <v>3870</v>
      </c>
      <c r="B348" s="658" t="s">
        <v>672</v>
      </c>
      <c r="C348" s="659">
        <v>1</v>
      </c>
      <c r="D348" s="659">
        <v>1</v>
      </c>
      <c r="E348" s="660">
        <v>5</v>
      </c>
      <c r="F348" s="683" t="s">
        <v>3853</v>
      </c>
      <c r="G348" s="698" t="s">
        <v>2399</v>
      </c>
      <c r="H348" s="698" t="s">
        <v>2399</v>
      </c>
      <c r="I348" s="698" t="s">
        <v>2399</v>
      </c>
      <c r="J348" s="698" t="s">
        <v>2399</v>
      </c>
      <c r="K348" s="698" t="s">
        <v>260</v>
      </c>
      <c r="L348" s="698" t="s">
        <v>2399</v>
      </c>
      <c r="M348" s="698" t="s">
        <v>2399</v>
      </c>
      <c r="N348" s="698" t="s">
        <v>2399</v>
      </c>
      <c r="O348" s="698" t="s">
        <v>2399</v>
      </c>
      <c r="P348" s="698" t="s">
        <v>2399</v>
      </c>
    </row>
    <row r="349" spans="1:16" hidden="1" x14ac:dyDescent="0.3">
      <c r="A349" s="658" t="s">
        <v>3862</v>
      </c>
      <c r="B349" s="658" t="s">
        <v>672</v>
      </c>
      <c r="C349" s="659">
        <v>1</v>
      </c>
      <c r="D349" s="659">
        <v>1</v>
      </c>
      <c r="E349" s="660">
        <v>5</v>
      </c>
      <c r="F349" s="683" t="s">
        <v>3853</v>
      </c>
      <c r="G349" s="698" t="s">
        <v>2399</v>
      </c>
      <c r="H349" s="698" t="s">
        <v>2399</v>
      </c>
      <c r="I349" s="698" t="s">
        <v>2399</v>
      </c>
      <c r="J349" s="698" t="s">
        <v>2399</v>
      </c>
      <c r="K349" s="698" t="s">
        <v>260</v>
      </c>
      <c r="L349" s="698" t="s">
        <v>2399</v>
      </c>
      <c r="M349" s="698" t="s">
        <v>2399</v>
      </c>
      <c r="N349" s="698" t="s">
        <v>2399</v>
      </c>
      <c r="O349" s="698" t="s">
        <v>2399</v>
      </c>
      <c r="P349" s="698" t="s">
        <v>2399</v>
      </c>
    </row>
    <row r="350" spans="1:16" hidden="1" x14ac:dyDescent="0.3">
      <c r="A350" s="658" t="s">
        <v>3865</v>
      </c>
      <c r="B350" s="658" t="s">
        <v>672</v>
      </c>
      <c r="C350" s="659">
        <v>0.75</v>
      </c>
      <c r="D350" s="659">
        <v>1</v>
      </c>
      <c r="E350" s="660">
        <v>50</v>
      </c>
      <c r="F350" s="683" t="s">
        <v>3853</v>
      </c>
      <c r="G350" s="698" t="s">
        <v>2399</v>
      </c>
      <c r="H350" s="698" t="s">
        <v>2399</v>
      </c>
      <c r="I350" s="698" t="s">
        <v>2399</v>
      </c>
      <c r="J350" s="698" t="s">
        <v>2399</v>
      </c>
      <c r="K350" s="698" t="s">
        <v>260</v>
      </c>
      <c r="L350" s="698" t="s">
        <v>2399</v>
      </c>
      <c r="M350" s="698" t="s">
        <v>2399</v>
      </c>
      <c r="N350" s="698" t="s">
        <v>2399</v>
      </c>
      <c r="O350" s="698" t="s">
        <v>2399</v>
      </c>
      <c r="P350" s="698" t="s">
        <v>2399</v>
      </c>
    </row>
    <row r="351" spans="1:16" hidden="1" x14ac:dyDescent="0.3">
      <c r="A351" s="658" t="s">
        <v>3857</v>
      </c>
      <c r="B351" s="658" t="s">
        <v>672</v>
      </c>
      <c r="C351" s="659">
        <v>0.75</v>
      </c>
      <c r="D351" s="659">
        <v>1</v>
      </c>
      <c r="E351" s="660">
        <v>50</v>
      </c>
      <c r="F351" s="683" t="s">
        <v>3853</v>
      </c>
      <c r="G351" s="698" t="s">
        <v>2399</v>
      </c>
      <c r="H351" s="698" t="s">
        <v>2399</v>
      </c>
      <c r="I351" s="698" t="s">
        <v>2399</v>
      </c>
      <c r="J351" s="698" t="s">
        <v>2399</v>
      </c>
      <c r="K351" s="698" t="s">
        <v>260</v>
      </c>
      <c r="L351" s="698" t="s">
        <v>2399</v>
      </c>
      <c r="M351" s="698" t="s">
        <v>2399</v>
      </c>
      <c r="N351" s="698" t="s">
        <v>2399</v>
      </c>
      <c r="O351" s="698" t="s">
        <v>2399</v>
      </c>
      <c r="P351" s="698" t="s">
        <v>2399</v>
      </c>
    </row>
    <row r="352" spans="1:16" x14ac:dyDescent="0.3">
      <c r="A352" s="160" t="s">
        <v>483</v>
      </c>
      <c r="B352" s="160" t="s">
        <v>3928</v>
      </c>
      <c r="C352" s="398">
        <v>0.6</v>
      </c>
      <c r="D352" s="398">
        <v>2</v>
      </c>
      <c r="E352" s="399">
        <v>8</v>
      </c>
      <c r="F352" s="690" t="s">
        <v>3921</v>
      </c>
      <c r="G352" s="705" t="s">
        <v>2399</v>
      </c>
      <c r="H352" s="705" t="s">
        <v>2399</v>
      </c>
      <c r="I352" s="705" t="s">
        <v>2399</v>
      </c>
      <c r="J352" s="705" t="s">
        <v>2399</v>
      </c>
      <c r="K352" s="705" t="s">
        <v>260</v>
      </c>
      <c r="L352" s="705" t="s">
        <v>2399</v>
      </c>
      <c r="M352" s="705" t="s">
        <v>2399</v>
      </c>
      <c r="N352" s="705" t="s">
        <v>2399</v>
      </c>
      <c r="O352" s="705" t="s">
        <v>2399</v>
      </c>
      <c r="P352" s="705" t="s">
        <v>2399</v>
      </c>
    </row>
    <row r="353" spans="1:16" x14ac:dyDescent="0.3">
      <c r="A353" s="160" t="s">
        <v>462</v>
      </c>
      <c r="B353" s="160" t="s">
        <v>1257</v>
      </c>
      <c r="C353" s="398">
        <v>0.4</v>
      </c>
      <c r="D353" s="398">
        <v>4</v>
      </c>
      <c r="E353" s="399">
        <v>1</v>
      </c>
      <c r="F353" s="690" t="s">
        <v>3921</v>
      </c>
      <c r="G353" s="705" t="s">
        <v>2399</v>
      </c>
      <c r="H353" s="705" t="s">
        <v>2399</v>
      </c>
      <c r="I353" s="705" t="s">
        <v>2399</v>
      </c>
      <c r="J353" s="705" t="s">
        <v>2399</v>
      </c>
      <c r="K353" s="705" t="s">
        <v>260</v>
      </c>
      <c r="L353" s="705" t="s">
        <v>2399</v>
      </c>
      <c r="M353" s="705" t="s">
        <v>2399</v>
      </c>
      <c r="N353" s="705" t="s">
        <v>2399</v>
      </c>
      <c r="O353" s="705" t="s">
        <v>2399</v>
      </c>
      <c r="P353" s="705" t="s">
        <v>2399</v>
      </c>
    </row>
    <row r="354" spans="1:16" x14ac:dyDescent="0.3">
      <c r="A354" s="160" t="s">
        <v>561</v>
      </c>
      <c r="B354" s="160" t="s">
        <v>1257</v>
      </c>
      <c r="C354" s="398">
        <v>0.2</v>
      </c>
      <c r="D354" s="398">
        <v>1</v>
      </c>
      <c r="E354" s="399">
        <v>7</v>
      </c>
      <c r="F354" s="690" t="s">
        <v>3921</v>
      </c>
      <c r="G354" s="705" t="s">
        <v>260</v>
      </c>
      <c r="H354" s="705" t="s">
        <v>2399</v>
      </c>
      <c r="I354" s="705" t="s">
        <v>2399</v>
      </c>
      <c r="J354" s="705" t="s">
        <v>2399</v>
      </c>
      <c r="K354" s="705" t="s">
        <v>260</v>
      </c>
      <c r="L354" s="705" t="s">
        <v>2399</v>
      </c>
      <c r="M354" s="705" t="s">
        <v>260</v>
      </c>
      <c r="N354" s="705" t="s">
        <v>2399</v>
      </c>
      <c r="O354" s="705" t="s">
        <v>2399</v>
      </c>
      <c r="P354" s="705" t="s">
        <v>2399</v>
      </c>
    </row>
    <row r="355" spans="1:16" hidden="1" x14ac:dyDescent="0.3">
      <c r="A355" s="160" t="s">
        <v>3924</v>
      </c>
      <c r="B355" s="160" t="s">
        <v>1257</v>
      </c>
      <c r="C355" s="398">
        <v>0.06</v>
      </c>
      <c r="D355" s="398">
        <v>0</v>
      </c>
      <c r="E355" s="399">
        <v>6</v>
      </c>
      <c r="F355" s="690" t="s">
        <v>3921</v>
      </c>
      <c r="G355" s="705" t="s">
        <v>260</v>
      </c>
      <c r="H355" s="705" t="s">
        <v>2399</v>
      </c>
      <c r="I355" s="705" t="s">
        <v>2399</v>
      </c>
      <c r="J355" s="705" t="s">
        <v>2399</v>
      </c>
      <c r="K355" s="705" t="s">
        <v>260</v>
      </c>
      <c r="L355" s="705" t="s">
        <v>2399</v>
      </c>
      <c r="M355" s="705" t="s">
        <v>260</v>
      </c>
      <c r="N355" s="705" t="s">
        <v>2399</v>
      </c>
      <c r="O355" s="705" t="s">
        <v>2399</v>
      </c>
      <c r="P355" s="705" t="s">
        <v>2399</v>
      </c>
    </row>
    <row r="356" spans="1:16" x14ac:dyDescent="0.3">
      <c r="A356" s="160" t="s">
        <v>3927</v>
      </c>
      <c r="B356" s="160" t="s">
        <v>1257</v>
      </c>
      <c r="C356" s="398">
        <v>0.2</v>
      </c>
      <c r="D356" s="398">
        <v>1</v>
      </c>
      <c r="E356" s="399">
        <v>5</v>
      </c>
      <c r="F356" s="690" t="s">
        <v>3921</v>
      </c>
      <c r="G356" s="705" t="s">
        <v>260</v>
      </c>
      <c r="H356" s="705" t="s">
        <v>2399</v>
      </c>
      <c r="I356" s="705" t="s">
        <v>2399</v>
      </c>
      <c r="J356" s="705" t="s">
        <v>2399</v>
      </c>
      <c r="K356" s="705" t="s">
        <v>260</v>
      </c>
      <c r="L356" s="705" t="s">
        <v>2399</v>
      </c>
      <c r="M356" s="705" t="s">
        <v>260</v>
      </c>
      <c r="N356" s="705" t="s">
        <v>2399</v>
      </c>
      <c r="O356" s="705" t="s">
        <v>2399</v>
      </c>
      <c r="P356" s="705" t="s">
        <v>2399</v>
      </c>
    </row>
    <row r="357" spans="1:16" x14ac:dyDescent="0.3">
      <c r="A357" s="160" t="s">
        <v>463</v>
      </c>
      <c r="B357" s="160" t="s">
        <v>1257</v>
      </c>
      <c r="C357" s="398">
        <v>0.6</v>
      </c>
      <c r="D357" s="398">
        <v>4</v>
      </c>
      <c r="E357" s="399">
        <v>40</v>
      </c>
      <c r="F357" s="690" t="s">
        <v>3921</v>
      </c>
      <c r="G357" s="705" t="s">
        <v>2399</v>
      </c>
      <c r="H357" s="705" t="s">
        <v>2399</v>
      </c>
      <c r="I357" s="705" t="s">
        <v>260</v>
      </c>
      <c r="J357" s="705" t="s">
        <v>260</v>
      </c>
      <c r="K357" s="705" t="s">
        <v>260</v>
      </c>
      <c r="L357" s="705" t="s">
        <v>260</v>
      </c>
      <c r="M357" s="705" t="s">
        <v>2399</v>
      </c>
      <c r="N357" s="705" t="s">
        <v>2399</v>
      </c>
      <c r="O357" s="705" t="s">
        <v>2399</v>
      </c>
      <c r="P357" s="705" t="s">
        <v>2399</v>
      </c>
    </row>
    <row r="358" spans="1:16" x14ac:dyDescent="0.3">
      <c r="A358" s="160" t="s">
        <v>464</v>
      </c>
      <c r="B358" s="160" t="s">
        <v>1257</v>
      </c>
      <c r="C358" s="398">
        <v>0.5</v>
      </c>
      <c r="D358" s="398">
        <v>2</v>
      </c>
      <c r="E358" s="399">
        <v>10</v>
      </c>
      <c r="F358" s="690" t="s">
        <v>3921</v>
      </c>
      <c r="G358" s="705" t="s">
        <v>2399</v>
      </c>
      <c r="H358" s="705" t="s">
        <v>2399</v>
      </c>
      <c r="I358" s="705" t="s">
        <v>2399</v>
      </c>
      <c r="J358" s="705" t="s">
        <v>260</v>
      </c>
      <c r="K358" s="705" t="s">
        <v>260</v>
      </c>
      <c r="L358" s="705" t="s">
        <v>260</v>
      </c>
      <c r="M358" s="705" t="s">
        <v>2399</v>
      </c>
      <c r="N358" s="705" t="s">
        <v>2399</v>
      </c>
      <c r="O358" s="705" t="s">
        <v>2399</v>
      </c>
      <c r="P358" s="705" t="s">
        <v>2399</v>
      </c>
    </row>
    <row r="359" spans="1:16" x14ac:dyDescent="0.3">
      <c r="A359" s="160" t="s">
        <v>3772</v>
      </c>
      <c r="B359" s="160" t="s">
        <v>1257</v>
      </c>
      <c r="C359" s="398">
        <v>0.2</v>
      </c>
      <c r="D359" s="398">
        <v>1</v>
      </c>
      <c r="E359" s="399">
        <v>5</v>
      </c>
      <c r="F359" s="690" t="s">
        <v>3921</v>
      </c>
      <c r="G359" s="705" t="s">
        <v>2399</v>
      </c>
      <c r="H359" s="705" t="s">
        <v>2399</v>
      </c>
      <c r="I359" s="705" t="s">
        <v>2399</v>
      </c>
      <c r="J359" s="705" t="s">
        <v>2399</v>
      </c>
      <c r="K359" s="705" t="s">
        <v>260</v>
      </c>
      <c r="L359" s="705" t="s">
        <v>2399</v>
      </c>
      <c r="M359" s="705" t="s">
        <v>2399</v>
      </c>
      <c r="N359" s="705" t="s">
        <v>2399</v>
      </c>
      <c r="O359" s="705" t="s">
        <v>2399</v>
      </c>
      <c r="P359" s="705" t="s">
        <v>2399</v>
      </c>
    </row>
    <row r="360" spans="1:16" x14ac:dyDescent="0.3">
      <c r="A360" s="160" t="s">
        <v>3773</v>
      </c>
      <c r="B360" s="160" t="s">
        <v>1257</v>
      </c>
      <c r="C360" s="398">
        <v>1.2</v>
      </c>
      <c r="D360" s="398">
        <v>4</v>
      </c>
      <c r="E360" s="399">
        <v>3</v>
      </c>
      <c r="F360" s="690" t="s">
        <v>3921</v>
      </c>
      <c r="G360" s="705" t="s">
        <v>2399</v>
      </c>
      <c r="H360" s="705" t="s">
        <v>2399</v>
      </c>
      <c r="I360" s="705" t="s">
        <v>2399</v>
      </c>
      <c r="J360" s="705" t="s">
        <v>2399</v>
      </c>
      <c r="K360" s="705" t="s">
        <v>260</v>
      </c>
      <c r="L360" s="705" t="s">
        <v>2399</v>
      </c>
      <c r="M360" s="705" t="s">
        <v>2399</v>
      </c>
      <c r="N360" s="705" t="s">
        <v>2399</v>
      </c>
      <c r="O360" s="705" t="s">
        <v>2399</v>
      </c>
      <c r="P360" s="705" t="s">
        <v>2399</v>
      </c>
    </row>
    <row r="361" spans="1:16" x14ac:dyDescent="0.3">
      <c r="A361" s="160" t="s">
        <v>461</v>
      </c>
      <c r="B361" s="160" t="s">
        <v>1257</v>
      </c>
      <c r="C361" s="398">
        <v>0.05</v>
      </c>
      <c r="D361" s="398">
        <v>1</v>
      </c>
      <c r="E361" s="399">
        <v>0.25</v>
      </c>
      <c r="F361" s="690" t="s">
        <v>3921</v>
      </c>
      <c r="G361" s="705" t="s">
        <v>260</v>
      </c>
      <c r="H361" s="705" t="s">
        <v>2399</v>
      </c>
      <c r="I361" s="705" t="s">
        <v>2399</v>
      </c>
      <c r="J361" s="705" t="s">
        <v>2399</v>
      </c>
      <c r="K361" s="705" t="s">
        <v>260</v>
      </c>
      <c r="L361" s="705" t="s">
        <v>2399</v>
      </c>
      <c r="M361" s="705" t="s">
        <v>260</v>
      </c>
      <c r="N361" s="705" t="s">
        <v>2399</v>
      </c>
      <c r="O361" s="705" t="s">
        <v>2399</v>
      </c>
      <c r="P361" s="705" t="s">
        <v>2399</v>
      </c>
    </row>
    <row r="362" spans="1:16" x14ac:dyDescent="0.3">
      <c r="A362" s="160" t="s">
        <v>3774</v>
      </c>
      <c r="B362" s="160" t="s">
        <v>1257</v>
      </c>
      <c r="C362" s="398">
        <v>0.4</v>
      </c>
      <c r="D362" s="398">
        <v>2</v>
      </c>
      <c r="E362" s="399">
        <v>80</v>
      </c>
      <c r="F362" s="690" t="s">
        <v>3921</v>
      </c>
      <c r="G362" s="705" t="s">
        <v>2399</v>
      </c>
      <c r="H362" s="705" t="s">
        <v>2399</v>
      </c>
      <c r="I362" s="705" t="s">
        <v>2399</v>
      </c>
      <c r="J362" s="705" t="s">
        <v>2399</v>
      </c>
      <c r="K362" s="705" t="s">
        <v>260</v>
      </c>
      <c r="L362" s="705" t="s">
        <v>2399</v>
      </c>
      <c r="M362" s="705" t="s">
        <v>2399</v>
      </c>
      <c r="N362" s="705" t="s">
        <v>2399</v>
      </c>
      <c r="O362" s="705" t="s">
        <v>2399</v>
      </c>
      <c r="P362" s="705" t="s">
        <v>2399</v>
      </c>
    </row>
    <row r="363" spans="1:16" x14ac:dyDescent="0.3">
      <c r="A363" s="400" t="s">
        <v>3257</v>
      </c>
      <c r="B363" s="400" t="s">
        <v>493</v>
      </c>
      <c r="C363" s="401">
        <v>2.5</v>
      </c>
      <c r="D363" s="401">
        <v>4</v>
      </c>
      <c r="E363" s="402">
        <v>5000</v>
      </c>
      <c r="F363" s="687" t="s">
        <v>206</v>
      </c>
      <c r="G363" s="702" t="s">
        <v>2399</v>
      </c>
      <c r="H363" s="702" t="s">
        <v>2399</v>
      </c>
      <c r="I363" s="702" t="s">
        <v>2399</v>
      </c>
      <c r="J363" s="702" t="s">
        <v>2399</v>
      </c>
      <c r="K363" s="702" t="s">
        <v>2399</v>
      </c>
      <c r="L363" s="702" t="s">
        <v>2399</v>
      </c>
      <c r="M363" s="702" t="s">
        <v>2399</v>
      </c>
      <c r="N363" s="702" t="s">
        <v>2399</v>
      </c>
      <c r="O363" s="702" t="s">
        <v>2399</v>
      </c>
      <c r="P363" s="702" t="s">
        <v>2399</v>
      </c>
    </row>
    <row r="364" spans="1:16" x14ac:dyDescent="0.3">
      <c r="A364" s="400" t="s">
        <v>3258</v>
      </c>
      <c r="B364" s="400" t="s">
        <v>493</v>
      </c>
      <c r="C364" s="401">
        <v>0.6</v>
      </c>
      <c r="D364" s="401">
        <v>2</v>
      </c>
      <c r="E364" s="402">
        <v>2500</v>
      </c>
      <c r="F364" s="687" t="s">
        <v>206</v>
      </c>
      <c r="G364" s="702" t="s">
        <v>2399</v>
      </c>
      <c r="H364" s="702" t="s">
        <v>2399</v>
      </c>
      <c r="I364" s="702" t="s">
        <v>2399</v>
      </c>
      <c r="J364" s="702" t="s">
        <v>2399</v>
      </c>
      <c r="K364" s="702" t="s">
        <v>2399</v>
      </c>
      <c r="L364" s="702" t="s">
        <v>2399</v>
      </c>
      <c r="M364" s="702" t="s">
        <v>2399</v>
      </c>
      <c r="N364" s="702" t="s">
        <v>2399</v>
      </c>
      <c r="O364" s="702" t="s">
        <v>2399</v>
      </c>
      <c r="P364" s="702" t="s">
        <v>2399</v>
      </c>
    </row>
    <row r="365" spans="1:16" x14ac:dyDescent="0.3">
      <c r="A365" s="400" t="s">
        <v>3184</v>
      </c>
      <c r="B365" s="400" t="s">
        <v>493</v>
      </c>
      <c r="C365" s="401">
        <v>0.4</v>
      </c>
      <c r="D365" s="401">
        <v>2</v>
      </c>
      <c r="E365" s="402">
        <v>6</v>
      </c>
      <c r="F365" s="687" t="s">
        <v>569</v>
      </c>
      <c r="G365" s="702" t="s">
        <v>2399</v>
      </c>
      <c r="H365" s="702" t="s">
        <v>2399</v>
      </c>
      <c r="I365" s="702" t="s">
        <v>2399</v>
      </c>
      <c r="J365" s="702" t="s">
        <v>2399</v>
      </c>
      <c r="K365" s="702" t="s">
        <v>2399</v>
      </c>
      <c r="L365" s="702" t="s">
        <v>2399</v>
      </c>
      <c r="M365" s="702" t="s">
        <v>2399</v>
      </c>
      <c r="N365" s="702" t="s">
        <v>2399</v>
      </c>
      <c r="O365" s="702" t="s">
        <v>2399</v>
      </c>
      <c r="P365" s="702" t="s">
        <v>2399</v>
      </c>
    </row>
    <row r="366" spans="1:16" x14ac:dyDescent="0.3">
      <c r="A366" s="400" t="s">
        <v>969</v>
      </c>
      <c r="B366" s="400" t="s">
        <v>493</v>
      </c>
      <c r="C366" s="401">
        <v>0.05</v>
      </c>
      <c r="D366" s="401">
        <v>1</v>
      </c>
      <c r="E366" s="402">
        <v>30</v>
      </c>
      <c r="F366" s="687" t="s">
        <v>569</v>
      </c>
      <c r="G366" s="702" t="s">
        <v>2399</v>
      </c>
      <c r="H366" s="702" t="s">
        <v>2399</v>
      </c>
      <c r="I366" s="702" t="s">
        <v>2399</v>
      </c>
      <c r="J366" s="702" t="s">
        <v>2399</v>
      </c>
      <c r="K366" s="702" t="s">
        <v>2399</v>
      </c>
      <c r="L366" s="702" t="s">
        <v>2399</v>
      </c>
      <c r="M366" s="702" t="s">
        <v>2399</v>
      </c>
      <c r="N366" s="702" t="s">
        <v>2399</v>
      </c>
      <c r="O366" s="702" t="s">
        <v>2399</v>
      </c>
      <c r="P366" s="702" t="s">
        <v>2399</v>
      </c>
    </row>
    <row r="367" spans="1:16" x14ac:dyDescent="0.3">
      <c r="A367" s="400" t="s">
        <v>3907</v>
      </c>
      <c r="B367" s="400" t="s">
        <v>493</v>
      </c>
      <c r="C367" s="401">
        <v>0.2</v>
      </c>
      <c r="D367" s="401">
        <v>2</v>
      </c>
      <c r="E367" s="402">
        <v>120</v>
      </c>
      <c r="F367" s="687" t="s">
        <v>569</v>
      </c>
      <c r="G367" s="702" t="s">
        <v>2399</v>
      </c>
      <c r="H367" s="702" t="s">
        <v>2399</v>
      </c>
      <c r="I367" s="702" t="s">
        <v>2399</v>
      </c>
      <c r="J367" s="702" t="s">
        <v>2399</v>
      </c>
      <c r="K367" s="702" t="s">
        <v>2399</v>
      </c>
      <c r="L367" s="702" t="s">
        <v>2399</v>
      </c>
      <c r="M367" s="702" t="s">
        <v>2399</v>
      </c>
      <c r="N367" s="702" t="s">
        <v>2399</v>
      </c>
      <c r="O367" s="702" t="s">
        <v>2399</v>
      </c>
      <c r="P367" s="702" t="s">
        <v>2399</v>
      </c>
    </row>
    <row r="368" spans="1:16" hidden="1" x14ac:dyDescent="0.3">
      <c r="A368" s="400" t="s">
        <v>966</v>
      </c>
      <c r="B368" s="400" t="s">
        <v>493</v>
      </c>
      <c r="C368" s="401">
        <v>0.15</v>
      </c>
      <c r="D368" s="401">
        <v>0</v>
      </c>
      <c r="E368" s="402">
        <v>30</v>
      </c>
      <c r="F368" s="687" t="s">
        <v>569</v>
      </c>
      <c r="G368" s="702" t="s">
        <v>2399</v>
      </c>
      <c r="H368" s="702" t="s">
        <v>2399</v>
      </c>
      <c r="I368" s="702" t="s">
        <v>2399</v>
      </c>
      <c r="J368" s="702" t="s">
        <v>2399</v>
      </c>
      <c r="K368" s="702" t="s">
        <v>2399</v>
      </c>
      <c r="L368" s="702" t="s">
        <v>2399</v>
      </c>
      <c r="M368" s="702" t="s">
        <v>2399</v>
      </c>
      <c r="N368" s="702" t="s">
        <v>2399</v>
      </c>
      <c r="O368" s="702" t="s">
        <v>2399</v>
      </c>
      <c r="P368" s="702" t="s">
        <v>2399</v>
      </c>
    </row>
    <row r="369" spans="1:16" x14ac:dyDescent="0.3">
      <c r="A369" s="400" t="s">
        <v>393</v>
      </c>
      <c r="B369" s="400" t="s">
        <v>493</v>
      </c>
      <c r="C369" s="401">
        <v>6</v>
      </c>
      <c r="D369" s="401">
        <v>4</v>
      </c>
      <c r="E369" s="402">
        <v>20</v>
      </c>
      <c r="F369" s="687" t="s">
        <v>569</v>
      </c>
      <c r="G369" s="702" t="s">
        <v>2399</v>
      </c>
      <c r="H369" s="702" t="s">
        <v>2399</v>
      </c>
      <c r="I369" s="702" t="s">
        <v>2399</v>
      </c>
      <c r="J369" s="702" t="s">
        <v>2399</v>
      </c>
      <c r="K369" s="702" t="s">
        <v>2399</v>
      </c>
      <c r="L369" s="702" t="s">
        <v>2399</v>
      </c>
      <c r="M369" s="702" t="s">
        <v>2399</v>
      </c>
      <c r="N369" s="702" t="s">
        <v>2399</v>
      </c>
      <c r="O369" s="702" t="s">
        <v>2399</v>
      </c>
      <c r="P369" s="702" t="s">
        <v>2399</v>
      </c>
    </row>
    <row r="370" spans="1:16" x14ac:dyDescent="0.3">
      <c r="A370" s="400" t="s">
        <v>974</v>
      </c>
      <c r="B370" s="400" t="s">
        <v>493</v>
      </c>
      <c r="C370" s="401">
        <v>1.1000000000000001</v>
      </c>
      <c r="D370" s="401">
        <v>2</v>
      </c>
      <c r="E370" s="402">
        <v>12</v>
      </c>
      <c r="F370" s="687" t="s">
        <v>569</v>
      </c>
      <c r="G370" s="702" t="s">
        <v>2399</v>
      </c>
      <c r="H370" s="702" t="s">
        <v>2399</v>
      </c>
      <c r="I370" s="702" t="s">
        <v>2399</v>
      </c>
      <c r="J370" s="702" t="s">
        <v>2399</v>
      </c>
      <c r="K370" s="702" t="s">
        <v>2399</v>
      </c>
      <c r="L370" s="702" t="s">
        <v>2399</v>
      </c>
      <c r="M370" s="702" t="s">
        <v>2399</v>
      </c>
      <c r="N370" s="702" t="s">
        <v>2399</v>
      </c>
      <c r="O370" s="702" t="s">
        <v>2399</v>
      </c>
      <c r="P370" s="702" t="s">
        <v>2399</v>
      </c>
    </row>
    <row r="371" spans="1:16" x14ac:dyDescent="0.3">
      <c r="A371" s="400" t="s">
        <v>3185</v>
      </c>
      <c r="B371" s="400" t="s">
        <v>493</v>
      </c>
      <c r="C371" s="401">
        <v>1.2</v>
      </c>
      <c r="D371" s="401">
        <v>2</v>
      </c>
      <c r="E371" s="402">
        <v>8</v>
      </c>
      <c r="F371" s="687" t="s">
        <v>569</v>
      </c>
      <c r="G371" s="702" t="s">
        <v>2399</v>
      </c>
      <c r="H371" s="702" t="s">
        <v>2399</v>
      </c>
      <c r="I371" s="702" t="s">
        <v>2399</v>
      </c>
      <c r="J371" s="702" t="s">
        <v>2399</v>
      </c>
      <c r="K371" s="702" t="s">
        <v>2399</v>
      </c>
      <c r="L371" s="702" t="s">
        <v>2399</v>
      </c>
      <c r="M371" s="702" t="s">
        <v>2399</v>
      </c>
      <c r="N371" s="702" t="s">
        <v>2399</v>
      </c>
      <c r="O371" s="702" t="s">
        <v>2399</v>
      </c>
      <c r="P371" s="702" t="s">
        <v>2399</v>
      </c>
    </row>
    <row r="372" spans="1:16" x14ac:dyDescent="0.3">
      <c r="A372" s="400" t="s">
        <v>365</v>
      </c>
      <c r="B372" s="400" t="s">
        <v>493</v>
      </c>
      <c r="C372" s="401">
        <v>0.2</v>
      </c>
      <c r="D372" s="401">
        <v>1</v>
      </c>
      <c r="E372" s="402">
        <v>18</v>
      </c>
      <c r="F372" s="687" t="s">
        <v>569</v>
      </c>
      <c r="G372" s="702" t="s">
        <v>2399</v>
      </c>
      <c r="H372" s="702" t="s">
        <v>2399</v>
      </c>
      <c r="I372" s="702" t="s">
        <v>2399</v>
      </c>
      <c r="J372" s="702" t="s">
        <v>2399</v>
      </c>
      <c r="K372" s="702" t="s">
        <v>2399</v>
      </c>
      <c r="L372" s="702" t="s">
        <v>2399</v>
      </c>
      <c r="M372" s="702" t="s">
        <v>2399</v>
      </c>
      <c r="N372" s="702" t="s">
        <v>2399</v>
      </c>
      <c r="O372" s="702" t="s">
        <v>2399</v>
      </c>
      <c r="P372" s="702" t="s">
        <v>2399</v>
      </c>
    </row>
    <row r="373" spans="1:16" x14ac:dyDescent="0.3">
      <c r="A373" s="400" t="s">
        <v>501</v>
      </c>
      <c r="B373" s="400" t="s">
        <v>493</v>
      </c>
      <c r="C373" s="401">
        <v>0.15</v>
      </c>
      <c r="D373" s="401">
        <v>1</v>
      </c>
      <c r="E373" s="402">
        <v>10</v>
      </c>
      <c r="F373" s="687" t="s">
        <v>569</v>
      </c>
      <c r="G373" s="702" t="s">
        <v>2399</v>
      </c>
      <c r="H373" s="702" t="s">
        <v>2399</v>
      </c>
      <c r="I373" s="702" t="s">
        <v>2399</v>
      </c>
      <c r="J373" s="702" t="s">
        <v>2399</v>
      </c>
      <c r="K373" s="702" t="s">
        <v>2399</v>
      </c>
      <c r="L373" s="702" t="s">
        <v>2399</v>
      </c>
      <c r="M373" s="702" t="s">
        <v>2399</v>
      </c>
      <c r="N373" s="702" t="s">
        <v>2399</v>
      </c>
      <c r="O373" s="702" t="s">
        <v>2399</v>
      </c>
      <c r="P373" s="702" t="s">
        <v>2399</v>
      </c>
    </row>
    <row r="374" spans="1:16" x14ac:dyDescent="0.3">
      <c r="A374" s="647" t="s">
        <v>967</v>
      </c>
      <c r="B374" s="647" t="s">
        <v>493</v>
      </c>
      <c r="C374" s="648">
        <v>0.2</v>
      </c>
      <c r="D374" s="648">
        <v>1</v>
      </c>
      <c r="E374" s="649">
        <v>115</v>
      </c>
      <c r="F374" s="677" t="s">
        <v>206</v>
      </c>
      <c r="G374" s="692" t="s">
        <v>2399</v>
      </c>
      <c r="H374" s="692" t="s">
        <v>2399</v>
      </c>
      <c r="I374" s="692" t="s">
        <v>2399</v>
      </c>
      <c r="J374" s="692" t="s">
        <v>2399</v>
      </c>
      <c r="K374" s="692" t="s">
        <v>2399</v>
      </c>
      <c r="L374" s="692" t="s">
        <v>2399</v>
      </c>
      <c r="M374" s="692" t="s">
        <v>2399</v>
      </c>
      <c r="N374" s="692" t="s">
        <v>2399</v>
      </c>
      <c r="O374" s="692" t="s">
        <v>2399</v>
      </c>
      <c r="P374" s="692" t="s">
        <v>2399</v>
      </c>
    </row>
    <row r="375" spans="1:16" x14ac:dyDescent="0.3">
      <c r="A375" s="647" t="s">
        <v>1137</v>
      </c>
      <c r="B375" s="647" t="s">
        <v>493</v>
      </c>
      <c r="C375" s="648">
        <v>0.08</v>
      </c>
      <c r="D375" s="648">
        <v>1</v>
      </c>
      <c r="E375" s="649">
        <v>1400</v>
      </c>
      <c r="F375" s="677" t="s">
        <v>206</v>
      </c>
      <c r="G375" s="692" t="s">
        <v>260</v>
      </c>
      <c r="H375" s="692" t="s">
        <v>2399</v>
      </c>
      <c r="I375" s="692" t="s">
        <v>2399</v>
      </c>
      <c r="J375" s="692" t="s">
        <v>260</v>
      </c>
      <c r="K375" s="692" t="s">
        <v>260</v>
      </c>
      <c r="L375" s="692" t="s">
        <v>260</v>
      </c>
      <c r="M375" s="692" t="s">
        <v>260</v>
      </c>
      <c r="N375" s="692" t="s">
        <v>260</v>
      </c>
      <c r="O375" s="692" t="s">
        <v>2399</v>
      </c>
      <c r="P375" s="692" t="s">
        <v>2399</v>
      </c>
    </row>
    <row r="376" spans="1:16" x14ac:dyDescent="0.3">
      <c r="A376" s="400" t="s">
        <v>939</v>
      </c>
      <c r="B376" s="400" t="s">
        <v>493</v>
      </c>
      <c r="C376" s="401">
        <v>0.3</v>
      </c>
      <c r="D376" s="401">
        <v>2</v>
      </c>
      <c r="E376" s="402">
        <v>4</v>
      </c>
      <c r="F376" s="687" t="s">
        <v>569</v>
      </c>
      <c r="G376" s="702" t="s">
        <v>2399</v>
      </c>
      <c r="H376" s="702" t="s">
        <v>2399</v>
      </c>
      <c r="I376" s="702" t="s">
        <v>2399</v>
      </c>
      <c r="J376" s="702" t="s">
        <v>2399</v>
      </c>
      <c r="K376" s="702" t="s">
        <v>2399</v>
      </c>
      <c r="L376" s="702" t="s">
        <v>2399</v>
      </c>
      <c r="M376" s="702" t="s">
        <v>2399</v>
      </c>
      <c r="N376" s="702" t="s">
        <v>2399</v>
      </c>
      <c r="O376" s="702" t="s">
        <v>2399</v>
      </c>
      <c r="P376" s="702" t="s">
        <v>2399</v>
      </c>
    </row>
    <row r="377" spans="1:16" x14ac:dyDescent="0.3">
      <c r="A377" s="400" t="s">
        <v>3256</v>
      </c>
      <c r="B377" s="400" t="s">
        <v>493</v>
      </c>
      <c r="C377" s="401">
        <v>6</v>
      </c>
      <c r="D377" s="401">
        <v>4</v>
      </c>
      <c r="E377" s="402">
        <v>1500</v>
      </c>
      <c r="F377" s="687" t="s">
        <v>206</v>
      </c>
      <c r="G377" s="702" t="s">
        <v>2399</v>
      </c>
      <c r="H377" s="702" t="s">
        <v>2399</v>
      </c>
      <c r="I377" s="702" t="s">
        <v>2399</v>
      </c>
      <c r="J377" s="702" t="s">
        <v>2399</v>
      </c>
      <c r="K377" s="702" t="s">
        <v>2399</v>
      </c>
      <c r="L377" s="702" t="s">
        <v>2399</v>
      </c>
      <c r="M377" s="702" t="s">
        <v>2399</v>
      </c>
      <c r="N377" s="702" t="s">
        <v>2399</v>
      </c>
      <c r="O377" s="702" t="s">
        <v>2399</v>
      </c>
      <c r="P377" s="702" t="s">
        <v>2399</v>
      </c>
    </row>
    <row r="378" spans="1:16" x14ac:dyDescent="0.3">
      <c r="A378" s="400" t="s">
        <v>369</v>
      </c>
      <c r="B378" s="400" t="s">
        <v>493</v>
      </c>
      <c r="C378" s="401">
        <v>5</v>
      </c>
      <c r="D378" s="401">
        <v>4</v>
      </c>
      <c r="E378" s="402">
        <v>60</v>
      </c>
      <c r="F378" s="687" t="s">
        <v>569</v>
      </c>
      <c r="G378" s="702" t="s">
        <v>2399</v>
      </c>
      <c r="H378" s="702" t="s">
        <v>2399</v>
      </c>
      <c r="I378" s="702" t="s">
        <v>2399</v>
      </c>
      <c r="J378" s="702" t="s">
        <v>2399</v>
      </c>
      <c r="K378" s="702" t="s">
        <v>2399</v>
      </c>
      <c r="L378" s="702" t="s">
        <v>2399</v>
      </c>
      <c r="M378" s="702" t="s">
        <v>2399</v>
      </c>
      <c r="N378" s="702" t="s">
        <v>2399</v>
      </c>
      <c r="O378" s="702" t="s">
        <v>2399</v>
      </c>
      <c r="P378" s="702" t="s">
        <v>2399</v>
      </c>
    </row>
    <row r="379" spans="1:16" x14ac:dyDescent="0.3">
      <c r="A379" s="400" t="s">
        <v>3183</v>
      </c>
      <c r="B379" s="400" t="s">
        <v>493</v>
      </c>
      <c r="C379" s="401">
        <v>1</v>
      </c>
      <c r="D379" s="401">
        <v>4</v>
      </c>
      <c r="E379" s="402">
        <v>0.6</v>
      </c>
      <c r="F379" s="687" t="s">
        <v>569</v>
      </c>
      <c r="G379" s="702" t="s">
        <v>2399</v>
      </c>
      <c r="H379" s="702" t="s">
        <v>2399</v>
      </c>
      <c r="I379" s="702" t="s">
        <v>2399</v>
      </c>
      <c r="J379" s="702" t="s">
        <v>2399</v>
      </c>
      <c r="K379" s="702" t="s">
        <v>2399</v>
      </c>
      <c r="L379" s="702" t="s">
        <v>2399</v>
      </c>
      <c r="M379" s="702" t="s">
        <v>2399</v>
      </c>
      <c r="N379" s="702" t="s">
        <v>2399</v>
      </c>
      <c r="O379" s="702" t="s">
        <v>2399</v>
      </c>
      <c r="P379" s="702" t="s">
        <v>2399</v>
      </c>
    </row>
    <row r="380" spans="1:16" x14ac:dyDescent="0.3">
      <c r="A380" s="400" t="s">
        <v>981</v>
      </c>
      <c r="B380" s="400" t="s">
        <v>493</v>
      </c>
      <c r="C380" s="401">
        <v>0.5</v>
      </c>
      <c r="D380" s="401">
        <v>4</v>
      </c>
      <c r="E380" s="402">
        <v>5</v>
      </c>
      <c r="F380" s="687" t="s">
        <v>569</v>
      </c>
      <c r="G380" s="702" t="s">
        <v>2399</v>
      </c>
      <c r="H380" s="702" t="s">
        <v>2399</v>
      </c>
      <c r="I380" s="702" t="s">
        <v>2399</v>
      </c>
      <c r="J380" s="702" t="s">
        <v>2399</v>
      </c>
      <c r="K380" s="702" t="s">
        <v>2399</v>
      </c>
      <c r="L380" s="702" t="s">
        <v>2399</v>
      </c>
      <c r="M380" s="702" t="s">
        <v>2399</v>
      </c>
      <c r="N380" s="702" t="s">
        <v>2399</v>
      </c>
      <c r="O380" s="702" t="s">
        <v>2399</v>
      </c>
      <c r="P380" s="702" t="s">
        <v>2399</v>
      </c>
    </row>
    <row r="381" spans="1:16" x14ac:dyDescent="0.3">
      <c r="A381" s="400" t="s">
        <v>980</v>
      </c>
      <c r="B381" s="400" t="s">
        <v>493</v>
      </c>
      <c r="C381" s="401">
        <v>1</v>
      </c>
      <c r="D381" s="401">
        <v>4</v>
      </c>
      <c r="E381" s="402">
        <v>300</v>
      </c>
      <c r="F381" s="687" t="s">
        <v>569</v>
      </c>
      <c r="G381" s="702" t="s">
        <v>2399</v>
      </c>
      <c r="H381" s="702" t="s">
        <v>2399</v>
      </c>
      <c r="I381" s="702" t="s">
        <v>2399</v>
      </c>
      <c r="J381" s="702" t="s">
        <v>2399</v>
      </c>
      <c r="K381" s="702" t="s">
        <v>2399</v>
      </c>
      <c r="L381" s="702" t="s">
        <v>2399</v>
      </c>
      <c r="M381" s="702" t="s">
        <v>2399</v>
      </c>
      <c r="N381" s="702" t="s">
        <v>2399</v>
      </c>
      <c r="O381" s="702" t="s">
        <v>2399</v>
      </c>
      <c r="P381" s="702" t="s">
        <v>2399</v>
      </c>
    </row>
    <row r="382" spans="1:16" x14ac:dyDescent="0.3">
      <c r="A382" s="400" t="s">
        <v>497</v>
      </c>
      <c r="B382" s="400" t="s">
        <v>493</v>
      </c>
      <c r="C382" s="401">
        <v>1.2</v>
      </c>
      <c r="D382" s="401">
        <v>4</v>
      </c>
      <c r="E382" s="402">
        <v>1</v>
      </c>
      <c r="F382" s="687" t="s">
        <v>569</v>
      </c>
      <c r="G382" s="702" t="s">
        <v>2399</v>
      </c>
      <c r="H382" s="702" t="s">
        <v>2399</v>
      </c>
      <c r="I382" s="702" t="s">
        <v>2399</v>
      </c>
      <c r="J382" s="702" t="s">
        <v>2399</v>
      </c>
      <c r="K382" s="702" t="s">
        <v>2399</v>
      </c>
      <c r="L382" s="702" t="s">
        <v>2399</v>
      </c>
      <c r="M382" s="702" t="s">
        <v>2399</v>
      </c>
      <c r="N382" s="702" t="s">
        <v>2399</v>
      </c>
      <c r="O382" s="702" t="s">
        <v>2399</v>
      </c>
      <c r="P382" s="702" t="s">
        <v>2399</v>
      </c>
    </row>
    <row r="383" spans="1:16" x14ac:dyDescent="0.3">
      <c r="A383" s="400" t="s">
        <v>3182</v>
      </c>
      <c r="B383" s="400" t="s">
        <v>493</v>
      </c>
      <c r="C383" s="401">
        <v>0.7</v>
      </c>
      <c r="D383" s="401">
        <v>2</v>
      </c>
      <c r="E383" s="402">
        <v>0.3</v>
      </c>
      <c r="F383" s="687" t="s">
        <v>569</v>
      </c>
      <c r="G383" s="702" t="s">
        <v>2399</v>
      </c>
      <c r="H383" s="702" t="s">
        <v>2399</v>
      </c>
      <c r="I383" s="702" t="s">
        <v>2399</v>
      </c>
      <c r="J383" s="702" t="s">
        <v>2399</v>
      </c>
      <c r="K383" s="702" t="s">
        <v>2399</v>
      </c>
      <c r="L383" s="702" t="s">
        <v>2399</v>
      </c>
      <c r="M383" s="702" t="s">
        <v>2399</v>
      </c>
      <c r="N383" s="702" t="s">
        <v>2399</v>
      </c>
      <c r="O383" s="702" t="s">
        <v>2399</v>
      </c>
      <c r="P383" s="702" t="s">
        <v>2399</v>
      </c>
    </row>
    <row r="384" spans="1:16" x14ac:dyDescent="0.3">
      <c r="A384" s="400" t="s">
        <v>979</v>
      </c>
      <c r="B384" s="400" t="s">
        <v>493</v>
      </c>
      <c r="C384" s="401">
        <v>0.6</v>
      </c>
      <c r="D384" s="401">
        <v>2</v>
      </c>
      <c r="E384" s="402">
        <v>4</v>
      </c>
      <c r="F384" s="687" t="s">
        <v>569</v>
      </c>
      <c r="G384" s="702" t="s">
        <v>2399</v>
      </c>
      <c r="H384" s="702" t="s">
        <v>2399</v>
      </c>
      <c r="I384" s="702" t="s">
        <v>2399</v>
      </c>
      <c r="J384" s="702" t="s">
        <v>2399</v>
      </c>
      <c r="K384" s="702" t="s">
        <v>2399</v>
      </c>
      <c r="L384" s="702" t="s">
        <v>2399</v>
      </c>
      <c r="M384" s="702" t="s">
        <v>2399</v>
      </c>
      <c r="N384" s="702" t="s">
        <v>2399</v>
      </c>
      <c r="O384" s="702" t="s">
        <v>2399</v>
      </c>
      <c r="P384" s="702" t="s">
        <v>2399</v>
      </c>
    </row>
    <row r="385" spans="1:16" x14ac:dyDescent="0.3">
      <c r="A385" s="400" t="s">
        <v>1307</v>
      </c>
      <c r="B385" s="400" t="s">
        <v>493</v>
      </c>
      <c r="C385" s="401">
        <v>0.8</v>
      </c>
      <c r="D385" s="401">
        <v>2</v>
      </c>
      <c r="E385" s="402">
        <v>50</v>
      </c>
      <c r="F385" s="687" t="s">
        <v>569</v>
      </c>
      <c r="G385" s="702" t="s">
        <v>2399</v>
      </c>
      <c r="H385" s="702" t="s">
        <v>2399</v>
      </c>
      <c r="I385" s="702" t="s">
        <v>2399</v>
      </c>
      <c r="J385" s="702" t="s">
        <v>2399</v>
      </c>
      <c r="K385" s="702" t="s">
        <v>2399</v>
      </c>
      <c r="L385" s="702" t="s">
        <v>2399</v>
      </c>
      <c r="M385" s="702" t="s">
        <v>2399</v>
      </c>
      <c r="N385" s="702" t="s">
        <v>2399</v>
      </c>
      <c r="O385" s="702" t="s">
        <v>2399</v>
      </c>
      <c r="P385" s="702" t="s">
        <v>2399</v>
      </c>
    </row>
    <row r="386" spans="1:16" x14ac:dyDescent="0.3">
      <c r="A386" s="400" t="s">
        <v>381</v>
      </c>
      <c r="B386" s="400" t="s">
        <v>493</v>
      </c>
      <c r="C386" s="401">
        <v>0.1</v>
      </c>
      <c r="D386" s="401">
        <v>1</v>
      </c>
      <c r="E386" s="402">
        <v>2</v>
      </c>
      <c r="F386" s="687" t="s">
        <v>569</v>
      </c>
      <c r="G386" s="702" t="s">
        <v>2399</v>
      </c>
      <c r="H386" s="702" t="s">
        <v>2399</v>
      </c>
      <c r="I386" s="702" t="s">
        <v>2399</v>
      </c>
      <c r="J386" s="702" t="s">
        <v>2399</v>
      </c>
      <c r="K386" s="702" t="s">
        <v>2399</v>
      </c>
      <c r="L386" s="702" t="s">
        <v>2399</v>
      </c>
      <c r="M386" s="702" t="s">
        <v>2399</v>
      </c>
      <c r="N386" s="702" t="s">
        <v>2399</v>
      </c>
      <c r="O386" s="702" t="s">
        <v>2399</v>
      </c>
      <c r="P386" s="702" t="s">
        <v>2399</v>
      </c>
    </row>
    <row r="387" spans="1:16" x14ac:dyDescent="0.3">
      <c r="A387" s="400" t="s">
        <v>1142</v>
      </c>
      <c r="B387" s="400" t="s">
        <v>493</v>
      </c>
      <c r="C387" s="401">
        <v>0.1</v>
      </c>
      <c r="D387" s="401">
        <v>1</v>
      </c>
      <c r="E387" s="402">
        <v>180</v>
      </c>
      <c r="F387" s="687" t="s">
        <v>569</v>
      </c>
      <c r="G387" s="702" t="s">
        <v>2399</v>
      </c>
      <c r="H387" s="702" t="s">
        <v>2399</v>
      </c>
      <c r="I387" s="702" t="s">
        <v>2399</v>
      </c>
      <c r="J387" s="702" t="s">
        <v>2399</v>
      </c>
      <c r="K387" s="702" t="s">
        <v>2399</v>
      </c>
      <c r="L387" s="702" t="s">
        <v>2399</v>
      </c>
      <c r="M387" s="702" t="s">
        <v>2399</v>
      </c>
      <c r="N387" s="702" t="s">
        <v>2399</v>
      </c>
      <c r="O387" s="702" t="s">
        <v>2399</v>
      </c>
      <c r="P387" s="702" t="s">
        <v>2399</v>
      </c>
    </row>
    <row r="388" spans="1:16" x14ac:dyDescent="0.3">
      <c r="A388" s="400" t="s">
        <v>376</v>
      </c>
      <c r="B388" s="400" t="s">
        <v>493</v>
      </c>
      <c r="C388" s="401">
        <v>0.1</v>
      </c>
      <c r="D388" s="401">
        <v>1</v>
      </c>
      <c r="E388" s="402">
        <v>0.05</v>
      </c>
      <c r="F388" s="687" t="s">
        <v>569</v>
      </c>
      <c r="G388" s="702" t="s">
        <v>2399</v>
      </c>
      <c r="H388" s="702" t="s">
        <v>2399</v>
      </c>
      <c r="I388" s="702" t="s">
        <v>2399</v>
      </c>
      <c r="J388" s="702" t="s">
        <v>2399</v>
      </c>
      <c r="K388" s="702" t="s">
        <v>2399</v>
      </c>
      <c r="L388" s="702" t="s">
        <v>2399</v>
      </c>
      <c r="M388" s="702" t="s">
        <v>2399</v>
      </c>
      <c r="N388" s="702" t="s">
        <v>2399</v>
      </c>
      <c r="O388" s="702" t="s">
        <v>2399</v>
      </c>
      <c r="P388" s="702" t="s">
        <v>2399</v>
      </c>
    </row>
    <row r="389" spans="1:16" x14ac:dyDescent="0.3">
      <c r="A389" s="400" t="s">
        <v>3186</v>
      </c>
      <c r="B389" s="400" t="s">
        <v>493</v>
      </c>
      <c r="C389" s="401">
        <v>0.5</v>
      </c>
      <c r="D389" s="401">
        <v>2</v>
      </c>
      <c r="E389" s="402">
        <v>0.05</v>
      </c>
      <c r="F389" s="687" t="s">
        <v>569</v>
      </c>
      <c r="G389" s="702" t="s">
        <v>2399</v>
      </c>
      <c r="H389" s="702" t="s">
        <v>2399</v>
      </c>
      <c r="I389" s="702" t="s">
        <v>2399</v>
      </c>
      <c r="J389" s="702" t="s">
        <v>2399</v>
      </c>
      <c r="K389" s="702" t="s">
        <v>2399</v>
      </c>
      <c r="L389" s="702" t="s">
        <v>2399</v>
      </c>
      <c r="M389" s="702" t="s">
        <v>2399</v>
      </c>
      <c r="N389" s="702" t="s">
        <v>2399</v>
      </c>
      <c r="O389" s="702" t="s">
        <v>2399</v>
      </c>
      <c r="P389" s="702" t="s">
        <v>2399</v>
      </c>
    </row>
    <row r="390" spans="1:16" x14ac:dyDescent="0.3">
      <c r="A390" s="400" t="s">
        <v>373</v>
      </c>
      <c r="B390" s="400" t="s">
        <v>493</v>
      </c>
      <c r="C390" s="401">
        <v>1.3</v>
      </c>
      <c r="D390" s="401">
        <v>2</v>
      </c>
      <c r="E390" s="402">
        <v>400</v>
      </c>
      <c r="F390" s="687" t="s">
        <v>569</v>
      </c>
      <c r="G390" s="702" t="s">
        <v>2399</v>
      </c>
      <c r="H390" s="702" t="s">
        <v>2399</v>
      </c>
      <c r="I390" s="702" t="s">
        <v>2399</v>
      </c>
      <c r="J390" s="702" t="s">
        <v>2399</v>
      </c>
      <c r="K390" s="702" t="s">
        <v>2399</v>
      </c>
      <c r="L390" s="702" t="s">
        <v>2399</v>
      </c>
      <c r="M390" s="702" t="s">
        <v>2399</v>
      </c>
      <c r="N390" s="702" t="s">
        <v>2399</v>
      </c>
      <c r="O390" s="702" t="s">
        <v>2399</v>
      </c>
      <c r="P390" s="702" t="s">
        <v>2399</v>
      </c>
    </row>
    <row r="391" spans="1:16" x14ac:dyDescent="0.3">
      <c r="A391" s="400" t="s">
        <v>971</v>
      </c>
      <c r="B391" s="400" t="s">
        <v>493</v>
      </c>
      <c r="C391" s="401">
        <v>1</v>
      </c>
      <c r="D391" s="401">
        <v>2</v>
      </c>
      <c r="E391" s="402">
        <v>20</v>
      </c>
      <c r="F391" s="687" t="s">
        <v>569</v>
      </c>
      <c r="G391" s="702" t="s">
        <v>2399</v>
      </c>
      <c r="H391" s="702" t="s">
        <v>2399</v>
      </c>
      <c r="I391" s="702" t="s">
        <v>2399</v>
      </c>
      <c r="J391" s="702" t="s">
        <v>2399</v>
      </c>
      <c r="K391" s="702" t="s">
        <v>2399</v>
      </c>
      <c r="L391" s="702" t="s">
        <v>2399</v>
      </c>
      <c r="M391" s="702" t="s">
        <v>2399</v>
      </c>
      <c r="N391" s="702" t="s">
        <v>2399</v>
      </c>
      <c r="O391" s="702" t="s">
        <v>2399</v>
      </c>
      <c r="P391" s="702" t="s">
        <v>2399</v>
      </c>
    </row>
    <row r="392" spans="1:16" x14ac:dyDescent="0.3">
      <c r="A392" s="400" t="s">
        <v>473</v>
      </c>
      <c r="B392" s="400" t="s">
        <v>493</v>
      </c>
      <c r="C392" s="401">
        <v>0.5</v>
      </c>
      <c r="D392" s="401">
        <v>2</v>
      </c>
      <c r="E392" s="402">
        <v>6</v>
      </c>
      <c r="F392" s="687" t="s">
        <v>1260</v>
      </c>
      <c r="G392" s="702" t="s">
        <v>2399</v>
      </c>
      <c r="H392" s="702" t="s">
        <v>2399</v>
      </c>
      <c r="I392" s="702" t="s">
        <v>2399</v>
      </c>
      <c r="J392" s="702" t="s">
        <v>2399</v>
      </c>
      <c r="K392" s="702" t="s">
        <v>2399</v>
      </c>
      <c r="L392" s="702" t="s">
        <v>2399</v>
      </c>
      <c r="M392" s="702" t="s">
        <v>2399</v>
      </c>
      <c r="N392" s="702" t="s">
        <v>2399</v>
      </c>
      <c r="O392" s="702" t="s">
        <v>2399</v>
      </c>
      <c r="P392" s="702" t="s">
        <v>2399</v>
      </c>
    </row>
    <row r="393" spans="1:16" x14ac:dyDescent="0.3">
      <c r="A393" s="400" t="s">
        <v>514</v>
      </c>
      <c r="B393" s="400" t="s">
        <v>493</v>
      </c>
      <c r="C393" s="401">
        <v>12</v>
      </c>
      <c r="D393" s="401">
        <v>4</v>
      </c>
      <c r="E393" s="402">
        <v>160</v>
      </c>
      <c r="F393" s="687" t="s">
        <v>569</v>
      </c>
      <c r="G393" s="702" t="s">
        <v>2399</v>
      </c>
      <c r="H393" s="702" t="s">
        <v>2399</v>
      </c>
      <c r="I393" s="702" t="s">
        <v>2399</v>
      </c>
      <c r="J393" s="702" t="s">
        <v>2399</v>
      </c>
      <c r="K393" s="702" t="s">
        <v>2399</v>
      </c>
      <c r="L393" s="702" t="s">
        <v>2399</v>
      </c>
      <c r="M393" s="702" t="s">
        <v>2399</v>
      </c>
      <c r="N393" s="702" t="s">
        <v>2399</v>
      </c>
      <c r="O393" s="702" t="s">
        <v>2399</v>
      </c>
      <c r="P393" s="702" t="s">
        <v>2399</v>
      </c>
    </row>
    <row r="394" spans="1:16" x14ac:dyDescent="0.3">
      <c r="A394" s="400" t="s">
        <v>500</v>
      </c>
      <c r="B394" s="400" t="s">
        <v>493</v>
      </c>
      <c r="C394" s="1002">
        <v>4.5</v>
      </c>
      <c r="D394" s="1002">
        <v>2</v>
      </c>
      <c r="E394" s="1003">
        <v>60</v>
      </c>
      <c r="F394" s="687" t="s">
        <v>569</v>
      </c>
      <c r="G394" s="702" t="s">
        <v>2399</v>
      </c>
      <c r="H394" s="702" t="s">
        <v>2399</v>
      </c>
      <c r="I394" s="702" t="s">
        <v>2399</v>
      </c>
      <c r="J394" s="702" t="s">
        <v>2399</v>
      </c>
      <c r="K394" s="702" t="s">
        <v>2399</v>
      </c>
      <c r="L394" s="702" t="s">
        <v>2399</v>
      </c>
      <c r="M394" s="702" t="s">
        <v>2399</v>
      </c>
      <c r="N394" s="702" t="s">
        <v>2399</v>
      </c>
      <c r="O394" s="702" t="s">
        <v>2399</v>
      </c>
      <c r="P394" s="702" t="s">
        <v>2399</v>
      </c>
    </row>
    <row r="395" spans="1:16" x14ac:dyDescent="0.3">
      <c r="A395" s="400" t="s">
        <v>360</v>
      </c>
      <c r="B395" s="400" t="s">
        <v>493</v>
      </c>
      <c r="C395" s="401">
        <v>1.7</v>
      </c>
      <c r="D395" s="401">
        <v>4</v>
      </c>
      <c r="E395" s="402">
        <v>15</v>
      </c>
      <c r="F395" s="687" t="s">
        <v>569</v>
      </c>
      <c r="G395" s="702" t="s">
        <v>2399</v>
      </c>
      <c r="H395" s="702" t="s">
        <v>2399</v>
      </c>
      <c r="I395" s="702" t="s">
        <v>2399</v>
      </c>
      <c r="J395" s="702" t="s">
        <v>2399</v>
      </c>
      <c r="K395" s="702" t="s">
        <v>2399</v>
      </c>
      <c r="L395" s="702" t="s">
        <v>2399</v>
      </c>
      <c r="M395" s="702" t="s">
        <v>2399</v>
      </c>
      <c r="N395" s="702" t="s">
        <v>2399</v>
      </c>
      <c r="O395" s="702" t="s">
        <v>2399</v>
      </c>
      <c r="P395" s="702" t="s">
        <v>2399</v>
      </c>
    </row>
    <row r="396" spans="1:16" x14ac:dyDescent="0.3">
      <c r="A396" s="400" t="s">
        <v>513</v>
      </c>
      <c r="B396" s="400" t="s">
        <v>493</v>
      </c>
      <c r="C396" s="1002">
        <v>5.5</v>
      </c>
      <c r="D396" s="1002">
        <v>4</v>
      </c>
      <c r="E396" s="1003">
        <v>20</v>
      </c>
      <c r="F396" s="687" t="s">
        <v>569</v>
      </c>
      <c r="G396" s="702" t="s">
        <v>2399</v>
      </c>
      <c r="H396" s="702" t="s">
        <v>2399</v>
      </c>
      <c r="I396" s="702" t="s">
        <v>2399</v>
      </c>
      <c r="J396" s="702" t="s">
        <v>2399</v>
      </c>
      <c r="K396" s="702" t="s">
        <v>2399</v>
      </c>
      <c r="L396" s="702" t="s">
        <v>2399</v>
      </c>
      <c r="M396" s="702" t="s">
        <v>2399</v>
      </c>
      <c r="N396" s="702" t="s">
        <v>2399</v>
      </c>
      <c r="O396" s="702" t="s">
        <v>2399</v>
      </c>
      <c r="P396" s="702" t="s">
        <v>2399</v>
      </c>
    </row>
    <row r="397" spans="1:16" x14ac:dyDescent="0.3">
      <c r="A397" s="400" t="s">
        <v>372</v>
      </c>
      <c r="B397" s="400" t="s">
        <v>493</v>
      </c>
      <c r="C397" s="401">
        <v>1.1000000000000001</v>
      </c>
      <c r="D397" s="401">
        <v>2</v>
      </c>
      <c r="E397" s="402">
        <v>180</v>
      </c>
      <c r="F397" s="687" t="s">
        <v>569</v>
      </c>
      <c r="G397" s="702" t="s">
        <v>2399</v>
      </c>
      <c r="H397" s="702" t="s">
        <v>2399</v>
      </c>
      <c r="I397" s="702" t="s">
        <v>2399</v>
      </c>
      <c r="J397" s="702" t="s">
        <v>2399</v>
      </c>
      <c r="K397" s="702" t="s">
        <v>2399</v>
      </c>
      <c r="L397" s="702" t="s">
        <v>2399</v>
      </c>
      <c r="M397" s="702" t="s">
        <v>2399</v>
      </c>
      <c r="N397" s="702" t="s">
        <v>2399</v>
      </c>
      <c r="O397" s="702" t="s">
        <v>2399</v>
      </c>
      <c r="P397" s="702" t="s">
        <v>2399</v>
      </c>
    </row>
    <row r="398" spans="1:16" x14ac:dyDescent="0.3">
      <c r="A398" s="400" t="s">
        <v>471</v>
      </c>
      <c r="B398" s="400" t="s">
        <v>493</v>
      </c>
      <c r="C398" s="1002">
        <v>1.6</v>
      </c>
      <c r="D398" s="1002">
        <v>4</v>
      </c>
      <c r="E398" s="1003">
        <v>15</v>
      </c>
      <c r="F398" s="687" t="s">
        <v>1260</v>
      </c>
      <c r="G398" s="702" t="s">
        <v>2399</v>
      </c>
      <c r="H398" s="702" t="s">
        <v>2399</v>
      </c>
      <c r="I398" s="702" t="s">
        <v>2399</v>
      </c>
      <c r="J398" s="702" t="s">
        <v>2399</v>
      </c>
      <c r="K398" s="702" t="s">
        <v>2399</v>
      </c>
      <c r="L398" s="702" t="s">
        <v>2399</v>
      </c>
      <c r="M398" s="702" t="s">
        <v>2399</v>
      </c>
      <c r="N398" s="702" t="s">
        <v>2399</v>
      </c>
      <c r="O398" s="702" t="s">
        <v>2399</v>
      </c>
      <c r="P398" s="702" t="s">
        <v>2399</v>
      </c>
    </row>
    <row r="399" spans="1:16" x14ac:dyDescent="0.3">
      <c r="A399" s="400" t="s">
        <v>3187</v>
      </c>
      <c r="B399" s="400" t="s">
        <v>493</v>
      </c>
      <c r="C399" s="401">
        <v>5</v>
      </c>
      <c r="D399" s="401">
        <v>4</v>
      </c>
      <c r="E399" s="402">
        <v>0.05</v>
      </c>
      <c r="F399" s="687" t="s">
        <v>569</v>
      </c>
      <c r="G399" s="702" t="s">
        <v>2399</v>
      </c>
      <c r="H399" s="702" t="s">
        <v>2399</v>
      </c>
      <c r="I399" s="702" t="s">
        <v>2399</v>
      </c>
      <c r="J399" s="702" t="s">
        <v>2399</v>
      </c>
      <c r="K399" s="702" t="s">
        <v>2399</v>
      </c>
      <c r="L399" s="702" t="s">
        <v>2399</v>
      </c>
      <c r="M399" s="702" t="s">
        <v>2399</v>
      </c>
      <c r="N399" s="702" t="s">
        <v>2399</v>
      </c>
      <c r="O399" s="702" t="s">
        <v>2399</v>
      </c>
      <c r="P399" s="702" t="s">
        <v>2399</v>
      </c>
    </row>
    <row r="400" spans="1:16" x14ac:dyDescent="0.3">
      <c r="A400" s="400" t="s">
        <v>982</v>
      </c>
      <c r="B400" s="400" t="s">
        <v>493</v>
      </c>
      <c r="C400" s="401">
        <v>2.2000000000000002</v>
      </c>
      <c r="D400" s="401">
        <v>2</v>
      </c>
      <c r="E400" s="402">
        <v>20</v>
      </c>
      <c r="F400" s="687" t="s">
        <v>569</v>
      </c>
      <c r="G400" s="702" t="s">
        <v>2399</v>
      </c>
      <c r="H400" s="702" t="s">
        <v>2399</v>
      </c>
      <c r="I400" s="702" t="s">
        <v>2399</v>
      </c>
      <c r="J400" s="702" t="s">
        <v>2399</v>
      </c>
      <c r="K400" s="702" t="s">
        <v>2399</v>
      </c>
      <c r="L400" s="702" t="s">
        <v>2399</v>
      </c>
      <c r="M400" s="702" t="s">
        <v>2399</v>
      </c>
      <c r="N400" s="702" t="s">
        <v>2399</v>
      </c>
      <c r="O400" s="702" t="s">
        <v>2399</v>
      </c>
      <c r="P400" s="702" t="s">
        <v>2399</v>
      </c>
    </row>
    <row r="401" spans="1:16" x14ac:dyDescent="0.3">
      <c r="A401" s="400" t="s">
        <v>506</v>
      </c>
      <c r="B401" s="400" t="s">
        <v>493</v>
      </c>
      <c r="C401" s="401">
        <v>2</v>
      </c>
      <c r="D401" s="401">
        <v>4</v>
      </c>
      <c r="E401" s="402">
        <v>150</v>
      </c>
      <c r="F401" s="687" t="s">
        <v>569</v>
      </c>
      <c r="G401" s="702" t="s">
        <v>2399</v>
      </c>
      <c r="H401" s="702" t="s">
        <v>2399</v>
      </c>
      <c r="I401" s="702" t="s">
        <v>2399</v>
      </c>
      <c r="J401" s="702" t="s">
        <v>2399</v>
      </c>
      <c r="K401" s="702" t="s">
        <v>2399</v>
      </c>
      <c r="L401" s="702" t="s">
        <v>2399</v>
      </c>
      <c r="M401" s="702" t="s">
        <v>2399</v>
      </c>
      <c r="N401" s="702" t="s">
        <v>2399</v>
      </c>
      <c r="O401" s="702" t="s">
        <v>2399</v>
      </c>
      <c r="P401" s="702" t="s">
        <v>2399</v>
      </c>
    </row>
    <row r="402" spans="1:16" x14ac:dyDescent="0.3">
      <c r="A402" s="400" t="s">
        <v>508</v>
      </c>
      <c r="B402" s="400" t="s">
        <v>493</v>
      </c>
      <c r="C402" s="401">
        <v>5</v>
      </c>
      <c r="D402" s="401">
        <v>4</v>
      </c>
      <c r="E402" s="402">
        <v>300</v>
      </c>
      <c r="F402" s="687" t="s">
        <v>569</v>
      </c>
      <c r="G402" s="702" t="s">
        <v>2399</v>
      </c>
      <c r="H402" s="702" t="s">
        <v>2399</v>
      </c>
      <c r="I402" s="702" t="s">
        <v>2399</v>
      </c>
      <c r="J402" s="702" t="s">
        <v>2399</v>
      </c>
      <c r="K402" s="702" t="s">
        <v>2399</v>
      </c>
      <c r="L402" s="702" t="s">
        <v>2399</v>
      </c>
      <c r="M402" s="702" t="s">
        <v>2399</v>
      </c>
      <c r="N402" s="702" t="s">
        <v>2399</v>
      </c>
      <c r="O402" s="702" t="s">
        <v>2399</v>
      </c>
      <c r="P402" s="702" t="s">
        <v>2399</v>
      </c>
    </row>
    <row r="403" spans="1:16" x14ac:dyDescent="0.3">
      <c r="A403" s="400" t="s">
        <v>507</v>
      </c>
      <c r="B403" s="400" t="s">
        <v>493</v>
      </c>
      <c r="C403" s="401">
        <v>3.5</v>
      </c>
      <c r="D403" s="401">
        <v>4</v>
      </c>
      <c r="E403" s="402">
        <v>200</v>
      </c>
      <c r="F403" s="687" t="s">
        <v>569</v>
      </c>
      <c r="G403" s="702" t="s">
        <v>2399</v>
      </c>
      <c r="H403" s="702" t="s">
        <v>2399</v>
      </c>
      <c r="I403" s="702" t="s">
        <v>2399</v>
      </c>
      <c r="J403" s="702" t="s">
        <v>2399</v>
      </c>
      <c r="K403" s="702" t="s">
        <v>2399</v>
      </c>
      <c r="L403" s="702" t="s">
        <v>2399</v>
      </c>
      <c r="M403" s="702" t="s">
        <v>2399</v>
      </c>
      <c r="N403" s="702" t="s">
        <v>2399</v>
      </c>
      <c r="O403" s="702" t="s">
        <v>2399</v>
      </c>
      <c r="P403" s="702" t="s">
        <v>2399</v>
      </c>
    </row>
    <row r="404" spans="1:16" x14ac:dyDescent="0.3">
      <c r="A404" s="400" t="s">
        <v>377</v>
      </c>
      <c r="B404" s="400" t="s">
        <v>493</v>
      </c>
      <c r="C404" s="401">
        <v>1.2</v>
      </c>
      <c r="D404" s="401">
        <v>2</v>
      </c>
      <c r="E404" s="402">
        <v>2</v>
      </c>
      <c r="F404" s="687" t="s">
        <v>569</v>
      </c>
      <c r="G404" s="702" t="s">
        <v>2399</v>
      </c>
      <c r="H404" s="702" t="s">
        <v>2399</v>
      </c>
      <c r="I404" s="702" t="s">
        <v>2399</v>
      </c>
      <c r="J404" s="702" t="s">
        <v>2399</v>
      </c>
      <c r="K404" s="702" t="s">
        <v>2399</v>
      </c>
      <c r="L404" s="702" t="s">
        <v>2399</v>
      </c>
      <c r="M404" s="702" t="s">
        <v>2399</v>
      </c>
      <c r="N404" s="702" t="s">
        <v>2399</v>
      </c>
      <c r="O404" s="702" t="s">
        <v>2399</v>
      </c>
      <c r="P404" s="702" t="s">
        <v>2399</v>
      </c>
    </row>
    <row r="405" spans="1:16" x14ac:dyDescent="0.3">
      <c r="A405" s="400" t="s">
        <v>498</v>
      </c>
      <c r="B405" s="400" t="s">
        <v>493</v>
      </c>
      <c r="C405" s="401">
        <v>12</v>
      </c>
      <c r="D405" s="401">
        <v>4</v>
      </c>
      <c r="E405" s="402">
        <v>40</v>
      </c>
      <c r="F405" s="687" t="s">
        <v>569</v>
      </c>
      <c r="G405" s="702" t="s">
        <v>2399</v>
      </c>
      <c r="H405" s="702" t="s">
        <v>2399</v>
      </c>
      <c r="I405" s="702" t="s">
        <v>2399</v>
      </c>
      <c r="J405" s="702" t="s">
        <v>2399</v>
      </c>
      <c r="K405" s="702" t="s">
        <v>2399</v>
      </c>
      <c r="L405" s="702" t="s">
        <v>2399</v>
      </c>
      <c r="M405" s="702" t="s">
        <v>2399</v>
      </c>
      <c r="N405" s="702" t="s">
        <v>2399</v>
      </c>
      <c r="O405" s="702" t="s">
        <v>2399</v>
      </c>
      <c r="P405" s="702" t="s">
        <v>2399</v>
      </c>
    </row>
    <row r="406" spans="1:16" x14ac:dyDescent="0.3">
      <c r="A406" s="400" t="s">
        <v>504</v>
      </c>
      <c r="B406" s="400" t="s">
        <v>493</v>
      </c>
      <c r="C406" s="401">
        <v>1.5</v>
      </c>
      <c r="D406" s="401">
        <v>2</v>
      </c>
      <c r="E406" s="402">
        <v>15</v>
      </c>
      <c r="F406" s="687" t="s">
        <v>569</v>
      </c>
      <c r="G406" s="702" t="s">
        <v>2399</v>
      </c>
      <c r="H406" s="702" t="s">
        <v>2399</v>
      </c>
      <c r="I406" s="702" t="s">
        <v>2399</v>
      </c>
      <c r="J406" s="702" t="s">
        <v>2399</v>
      </c>
      <c r="K406" s="702" t="s">
        <v>2399</v>
      </c>
      <c r="L406" s="702" t="s">
        <v>2399</v>
      </c>
      <c r="M406" s="702" t="s">
        <v>2399</v>
      </c>
      <c r="N406" s="702" t="s">
        <v>2399</v>
      </c>
      <c r="O406" s="702" t="s">
        <v>2399</v>
      </c>
      <c r="P406" s="702" t="s">
        <v>2399</v>
      </c>
    </row>
    <row r="407" spans="1:16" x14ac:dyDescent="0.3">
      <c r="A407" s="400" t="s">
        <v>495</v>
      </c>
      <c r="B407" s="400" t="s">
        <v>493</v>
      </c>
      <c r="C407" s="401">
        <v>1.8</v>
      </c>
      <c r="D407" s="401">
        <v>2</v>
      </c>
      <c r="E407" s="402">
        <v>120</v>
      </c>
      <c r="F407" s="687" t="s">
        <v>569</v>
      </c>
      <c r="G407" s="702" t="s">
        <v>2399</v>
      </c>
      <c r="H407" s="702" t="s">
        <v>2399</v>
      </c>
      <c r="I407" s="702" t="s">
        <v>2399</v>
      </c>
      <c r="J407" s="702" t="s">
        <v>2399</v>
      </c>
      <c r="K407" s="702" t="s">
        <v>2399</v>
      </c>
      <c r="L407" s="702" t="s">
        <v>2399</v>
      </c>
      <c r="M407" s="702" t="s">
        <v>2399</v>
      </c>
      <c r="N407" s="702" t="s">
        <v>2399</v>
      </c>
      <c r="O407" s="702" t="s">
        <v>2399</v>
      </c>
      <c r="P407" s="702" t="s">
        <v>2399</v>
      </c>
    </row>
    <row r="408" spans="1:16" x14ac:dyDescent="0.3">
      <c r="A408" s="400" t="s">
        <v>503</v>
      </c>
      <c r="B408" s="400" t="s">
        <v>493</v>
      </c>
      <c r="C408" s="401">
        <v>0.8</v>
      </c>
      <c r="D408" s="401">
        <v>2</v>
      </c>
      <c r="E408" s="402">
        <v>6</v>
      </c>
      <c r="F408" s="687" t="s">
        <v>569</v>
      </c>
      <c r="G408" s="702" t="s">
        <v>2399</v>
      </c>
      <c r="H408" s="702" t="s">
        <v>2399</v>
      </c>
      <c r="I408" s="702" t="s">
        <v>2399</v>
      </c>
      <c r="J408" s="702" t="s">
        <v>2399</v>
      </c>
      <c r="K408" s="702" t="s">
        <v>2399</v>
      </c>
      <c r="L408" s="702" t="s">
        <v>2399</v>
      </c>
      <c r="M408" s="702" t="s">
        <v>2399</v>
      </c>
      <c r="N408" s="702" t="s">
        <v>2399</v>
      </c>
      <c r="O408" s="702" t="s">
        <v>2399</v>
      </c>
      <c r="P408" s="702" t="s">
        <v>2399</v>
      </c>
    </row>
    <row r="409" spans="1:16" x14ac:dyDescent="0.3">
      <c r="A409" s="400" t="s">
        <v>496</v>
      </c>
      <c r="B409" s="400" t="s">
        <v>493</v>
      </c>
      <c r="C409" s="401">
        <v>1.1000000000000001</v>
      </c>
      <c r="D409" s="401">
        <v>2</v>
      </c>
      <c r="E409" s="402">
        <v>24</v>
      </c>
      <c r="F409" s="687" t="s">
        <v>569</v>
      </c>
      <c r="G409" s="702" t="s">
        <v>2399</v>
      </c>
      <c r="H409" s="702" t="s">
        <v>2399</v>
      </c>
      <c r="I409" s="702" t="s">
        <v>2399</v>
      </c>
      <c r="J409" s="702" t="s">
        <v>2399</v>
      </c>
      <c r="K409" s="702" t="s">
        <v>2399</v>
      </c>
      <c r="L409" s="702" t="s">
        <v>2399</v>
      </c>
      <c r="M409" s="702" t="s">
        <v>2399</v>
      </c>
      <c r="N409" s="702" t="s">
        <v>2399</v>
      </c>
      <c r="O409" s="702" t="s">
        <v>2399</v>
      </c>
      <c r="P409" s="702" t="s">
        <v>2399</v>
      </c>
    </row>
    <row r="410" spans="1:16" x14ac:dyDescent="0.3">
      <c r="A410" s="400" t="s">
        <v>505</v>
      </c>
      <c r="B410" s="400" t="s">
        <v>493</v>
      </c>
      <c r="C410" s="401">
        <v>2.5</v>
      </c>
      <c r="D410" s="401">
        <v>2</v>
      </c>
      <c r="E410" s="402">
        <v>240</v>
      </c>
      <c r="F410" s="687" t="s">
        <v>569</v>
      </c>
      <c r="G410" s="702" t="s">
        <v>2399</v>
      </c>
      <c r="H410" s="702" t="s">
        <v>2399</v>
      </c>
      <c r="I410" s="702" t="s">
        <v>2399</v>
      </c>
      <c r="J410" s="702" t="s">
        <v>2399</v>
      </c>
      <c r="K410" s="702" t="s">
        <v>2399</v>
      </c>
      <c r="L410" s="702" t="s">
        <v>2399</v>
      </c>
      <c r="M410" s="702" t="s">
        <v>2399</v>
      </c>
      <c r="N410" s="702" t="s">
        <v>2399</v>
      </c>
      <c r="O410" s="702" t="s">
        <v>2399</v>
      </c>
      <c r="P410" s="702" t="s">
        <v>2399</v>
      </c>
    </row>
    <row r="411" spans="1:16" x14ac:dyDescent="0.3">
      <c r="A411" s="400" t="s">
        <v>370</v>
      </c>
      <c r="B411" s="400" t="s">
        <v>493</v>
      </c>
      <c r="C411" s="401">
        <v>0.9</v>
      </c>
      <c r="D411" s="401">
        <v>2</v>
      </c>
      <c r="E411" s="402">
        <v>40</v>
      </c>
      <c r="F411" s="687" t="s">
        <v>569</v>
      </c>
      <c r="G411" s="702" t="s">
        <v>2399</v>
      </c>
      <c r="H411" s="702" t="s">
        <v>2399</v>
      </c>
      <c r="I411" s="702" t="s">
        <v>2399</v>
      </c>
      <c r="J411" s="702" t="s">
        <v>2399</v>
      </c>
      <c r="K411" s="702" t="s">
        <v>2399</v>
      </c>
      <c r="L411" s="702" t="s">
        <v>2399</v>
      </c>
      <c r="M411" s="702" t="s">
        <v>2399</v>
      </c>
      <c r="N411" s="702" t="s">
        <v>2399</v>
      </c>
      <c r="O411" s="702" t="s">
        <v>2399</v>
      </c>
      <c r="P411" s="702" t="s">
        <v>2399</v>
      </c>
    </row>
    <row r="412" spans="1:16" x14ac:dyDescent="0.3">
      <c r="A412" s="400" t="s">
        <v>374</v>
      </c>
      <c r="B412" s="400" t="s">
        <v>493</v>
      </c>
      <c r="C412" s="401">
        <v>3</v>
      </c>
      <c r="D412" s="401">
        <v>2</v>
      </c>
      <c r="E412" s="402">
        <v>250</v>
      </c>
      <c r="F412" s="687" t="s">
        <v>569</v>
      </c>
      <c r="G412" s="702" t="s">
        <v>2399</v>
      </c>
      <c r="H412" s="702" t="s">
        <v>2399</v>
      </c>
      <c r="I412" s="702" t="s">
        <v>2399</v>
      </c>
      <c r="J412" s="702" t="s">
        <v>2399</v>
      </c>
      <c r="K412" s="702" t="s">
        <v>2399</v>
      </c>
      <c r="L412" s="702" t="s">
        <v>2399</v>
      </c>
      <c r="M412" s="702" t="s">
        <v>2399</v>
      </c>
      <c r="N412" s="702" t="s">
        <v>2399</v>
      </c>
      <c r="O412" s="702" t="s">
        <v>2399</v>
      </c>
      <c r="P412" s="702" t="s">
        <v>2399</v>
      </c>
    </row>
    <row r="413" spans="1:16" x14ac:dyDescent="0.3">
      <c r="A413" s="400" t="s">
        <v>972</v>
      </c>
      <c r="B413" s="400" t="s">
        <v>493</v>
      </c>
      <c r="C413" s="401">
        <v>0.5</v>
      </c>
      <c r="D413" s="401">
        <v>2</v>
      </c>
      <c r="E413" s="402">
        <v>5</v>
      </c>
      <c r="F413" s="687" t="s">
        <v>569</v>
      </c>
      <c r="G413" s="702" t="s">
        <v>2399</v>
      </c>
      <c r="H413" s="702" t="s">
        <v>2399</v>
      </c>
      <c r="I413" s="702" t="s">
        <v>2399</v>
      </c>
      <c r="J413" s="702" t="s">
        <v>2399</v>
      </c>
      <c r="K413" s="702" t="s">
        <v>2399</v>
      </c>
      <c r="L413" s="702" t="s">
        <v>2399</v>
      </c>
      <c r="M413" s="702" t="s">
        <v>2399</v>
      </c>
      <c r="N413" s="702" t="s">
        <v>2399</v>
      </c>
      <c r="O413" s="702" t="s">
        <v>2399</v>
      </c>
      <c r="P413" s="702" t="s">
        <v>2399</v>
      </c>
    </row>
    <row r="414" spans="1:16" x14ac:dyDescent="0.3">
      <c r="A414" s="400" t="s">
        <v>509</v>
      </c>
      <c r="B414" s="400" t="s">
        <v>493</v>
      </c>
      <c r="C414" s="401">
        <v>2.5</v>
      </c>
      <c r="D414" s="401">
        <v>2</v>
      </c>
      <c r="E414" s="402">
        <v>320</v>
      </c>
      <c r="F414" s="687" t="s">
        <v>569</v>
      </c>
      <c r="G414" s="702" t="s">
        <v>2399</v>
      </c>
      <c r="H414" s="702" t="s">
        <v>2399</v>
      </c>
      <c r="I414" s="702" t="s">
        <v>2399</v>
      </c>
      <c r="J414" s="702" t="s">
        <v>2399</v>
      </c>
      <c r="K414" s="702" t="s">
        <v>2399</v>
      </c>
      <c r="L414" s="702" t="s">
        <v>2399</v>
      </c>
      <c r="M414" s="702" t="s">
        <v>2399</v>
      </c>
      <c r="N414" s="702" t="s">
        <v>2399</v>
      </c>
      <c r="O414" s="702" t="s">
        <v>2399</v>
      </c>
      <c r="P414" s="702" t="s">
        <v>2399</v>
      </c>
    </row>
    <row r="415" spans="1:16" x14ac:dyDescent="0.3">
      <c r="A415" s="400" t="s">
        <v>512</v>
      </c>
      <c r="B415" s="400" t="s">
        <v>493</v>
      </c>
      <c r="C415" s="401">
        <v>0.6</v>
      </c>
      <c r="D415" s="401">
        <v>2</v>
      </c>
      <c r="E415" s="402">
        <v>50</v>
      </c>
      <c r="F415" s="687" t="s">
        <v>569</v>
      </c>
      <c r="G415" s="702" t="s">
        <v>2399</v>
      </c>
      <c r="H415" s="702" t="s">
        <v>2399</v>
      </c>
      <c r="I415" s="702" t="s">
        <v>2399</v>
      </c>
      <c r="J415" s="702" t="s">
        <v>2399</v>
      </c>
      <c r="K415" s="702" t="s">
        <v>2399</v>
      </c>
      <c r="L415" s="702" t="s">
        <v>2399</v>
      </c>
      <c r="M415" s="702" t="s">
        <v>2399</v>
      </c>
      <c r="N415" s="702" t="s">
        <v>2399</v>
      </c>
      <c r="O415" s="702" t="s">
        <v>2399</v>
      </c>
      <c r="P415" s="702" t="s">
        <v>2399</v>
      </c>
    </row>
    <row r="416" spans="1:16" x14ac:dyDescent="0.3">
      <c r="A416" s="400" t="s">
        <v>510</v>
      </c>
      <c r="B416" s="400" t="s">
        <v>493</v>
      </c>
      <c r="C416" s="401">
        <v>6</v>
      </c>
      <c r="D416" s="401">
        <v>4</v>
      </c>
      <c r="E416" s="402">
        <v>520</v>
      </c>
      <c r="F416" s="687" t="s">
        <v>569</v>
      </c>
      <c r="G416" s="702" t="s">
        <v>2399</v>
      </c>
      <c r="H416" s="702" t="s">
        <v>2399</v>
      </c>
      <c r="I416" s="702" t="s">
        <v>2399</v>
      </c>
      <c r="J416" s="702" t="s">
        <v>2399</v>
      </c>
      <c r="K416" s="702" t="s">
        <v>2399</v>
      </c>
      <c r="L416" s="702" t="s">
        <v>2399</v>
      </c>
      <c r="M416" s="702" t="s">
        <v>2399</v>
      </c>
      <c r="N416" s="702" t="s">
        <v>2399</v>
      </c>
      <c r="O416" s="702" t="s">
        <v>2399</v>
      </c>
      <c r="P416" s="702" t="s">
        <v>2399</v>
      </c>
    </row>
    <row r="417" spans="1:16" x14ac:dyDescent="0.3">
      <c r="A417" s="400" t="s">
        <v>511</v>
      </c>
      <c r="B417" s="400" t="s">
        <v>493</v>
      </c>
      <c r="C417" s="401">
        <v>1.5</v>
      </c>
      <c r="D417" s="401">
        <v>2</v>
      </c>
      <c r="E417" s="402">
        <v>120</v>
      </c>
      <c r="F417" s="687" t="s">
        <v>569</v>
      </c>
      <c r="G417" s="702" t="s">
        <v>2399</v>
      </c>
      <c r="H417" s="702" t="s">
        <v>2399</v>
      </c>
      <c r="I417" s="702" t="s">
        <v>2399</v>
      </c>
      <c r="J417" s="702" t="s">
        <v>2399</v>
      </c>
      <c r="K417" s="702" t="s">
        <v>2399</v>
      </c>
      <c r="L417" s="702" t="s">
        <v>2399</v>
      </c>
      <c r="M417" s="702" t="s">
        <v>2399</v>
      </c>
      <c r="N417" s="702" t="s">
        <v>2399</v>
      </c>
      <c r="O417" s="702" t="s">
        <v>2399</v>
      </c>
      <c r="P417" s="702" t="s">
        <v>2399</v>
      </c>
    </row>
    <row r="418" spans="1:16" x14ac:dyDescent="0.3">
      <c r="A418" s="400" t="s">
        <v>1147</v>
      </c>
      <c r="B418" s="400" t="s">
        <v>493</v>
      </c>
      <c r="C418" s="401">
        <v>0.5</v>
      </c>
      <c r="D418" s="401">
        <v>2</v>
      </c>
      <c r="E418" s="402">
        <v>900</v>
      </c>
      <c r="F418" s="687" t="s">
        <v>569</v>
      </c>
      <c r="G418" s="702" t="s">
        <v>2399</v>
      </c>
      <c r="H418" s="702" t="s">
        <v>2399</v>
      </c>
      <c r="I418" s="702" t="s">
        <v>2399</v>
      </c>
      <c r="J418" s="702" t="s">
        <v>2399</v>
      </c>
      <c r="K418" s="702" t="s">
        <v>2399</v>
      </c>
      <c r="L418" s="702" t="s">
        <v>2399</v>
      </c>
      <c r="M418" s="702" t="s">
        <v>2399</v>
      </c>
      <c r="N418" s="702" t="s">
        <v>2399</v>
      </c>
      <c r="O418" s="702" t="s">
        <v>2399</v>
      </c>
      <c r="P418" s="702" t="s">
        <v>2399</v>
      </c>
    </row>
    <row r="419" spans="1:16" x14ac:dyDescent="0.3">
      <c r="A419" s="400" t="s">
        <v>383</v>
      </c>
      <c r="B419" s="400" t="s">
        <v>493</v>
      </c>
      <c r="C419" s="401">
        <v>0.7</v>
      </c>
      <c r="D419" s="401">
        <v>2</v>
      </c>
      <c r="E419" s="402">
        <v>120</v>
      </c>
      <c r="F419" s="687" t="s">
        <v>569</v>
      </c>
      <c r="G419" s="702" t="s">
        <v>2399</v>
      </c>
      <c r="H419" s="702" t="s">
        <v>2399</v>
      </c>
      <c r="I419" s="702" t="s">
        <v>2399</v>
      </c>
      <c r="J419" s="702" t="s">
        <v>2399</v>
      </c>
      <c r="K419" s="702" t="s">
        <v>2399</v>
      </c>
      <c r="L419" s="702" t="s">
        <v>2399</v>
      </c>
      <c r="M419" s="702" t="s">
        <v>2399</v>
      </c>
      <c r="N419" s="702" t="s">
        <v>2399</v>
      </c>
      <c r="O419" s="702" t="s">
        <v>2399</v>
      </c>
      <c r="P419" s="702" t="s">
        <v>2399</v>
      </c>
    </row>
    <row r="420" spans="1:16" x14ac:dyDescent="0.3">
      <c r="A420" s="400" t="s">
        <v>973</v>
      </c>
      <c r="B420" s="400" t="s">
        <v>493</v>
      </c>
      <c r="C420" s="401">
        <v>0.6</v>
      </c>
      <c r="D420" s="401">
        <v>2</v>
      </c>
      <c r="E420" s="402">
        <v>8</v>
      </c>
      <c r="F420" s="687" t="s">
        <v>3908</v>
      </c>
      <c r="G420" s="702" t="s">
        <v>2399</v>
      </c>
      <c r="H420" s="702" t="s">
        <v>2399</v>
      </c>
      <c r="I420" s="702" t="s">
        <v>2399</v>
      </c>
      <c r="J420" s="702" t="s">
        <v>2399</v>
      </c>
      <c r="K420" s="702" t="s">
        <v>2399</v>
      </c>
      <c r="L420" s="702" t="s">
        <v>2399</v>
      </c>
      <c r="M420" s="702" t="s">
        <v>2399</v>
      </c>
      <c r="N420" s="702" t="s">
        <v>2399</v>
      </c>
      <c r="O420" s="702" t="s">
        <v>2399</v>
      </c>
      <c r="P420" s="702" t="s">
        <v>2399</v>
      </c>
    </row>
    <row r="421" spans="1:16" x14ac:dyDescent="0.3">
      <c r="A421" s="400" t="s">
        <v>363</v>
      </c>
      <c r="B421" s="400" t="s">
        <v>493</v>
      </c>
      <c r="C421" s="401">
        <v>0.1</v>
      </c>
      <c r="D421" s="401">
        <v>1</v>
      </c>
      <c r="E421" s="402">
        <v>5</v>
      </c>
      <c r="F421" s="687" t="s">
        <v>569</v>
      </c>
      <c r="G421" s="702" t="s">
        <v>2399</v>
      </c>
      <c r="H421" s="702" t="s">
        <v>2399</v>
      </c>
      <c r="I421" s="702" t="s">
        <v>2399</v>
      </c>
      <c r="J421" s="702" t="s">
        <v>2399</v>
      </c>
      <c r="K421" s="702" t="s">
        <v>2399</v>
      </c>
      <c r="L421" s="702" t="s">
        <v>2399</v>
      </c>
      <c r="M421" s="702" t="s">
        <v>2399</v>
      </c>
      <c r="N421" s="702" t="s">
        <v>2399</v>
      </c>
      <c r="O421" s="702" t="s">
        <v>2399</v>
      </c>
      <c r="P421" s="702" t="s">
        <v>2399</v>
      </c>
    </row>
    <row r="422" spans="1:16" x14ac:dyDescent="0.3">
      <c r="A422" s="400" t="s">
        <v>375</v>
      </c>
      <c r="B422" s="400" t="s">
        <v>493</v>
      </c>
      <c r="C422" s="401">
        <v>0.4</v>
      </c>
      <c r="D422" s="401">
        <v>2</v>
      </c>
      <c r="E422" s="402">
        <v>1</v>
      </c>
      <c r="F422" s="687" t="s">
        <v>569</v>
      </c>
      <c r="G422" s="702" t="s">
        <v>2399</v>
      </c>
      <c r="H422" s="702" t="s">
        <v>2399</v>
      </c>
      <c r="I422" s="702" t="s">
        <v>2399</v>
      </c>
      <c r="J422" s="702" t="s">
        <v>2399</v>
      </c>
      <c r="K422" s="702" t="s">
        <v>2399</v>
      </c>
      <c r="L422" s="702" t="s">
        <v>2399</v>
      </c>
      <c r="M422" s="702" t="s">
        <v>2399</v>
      </c>
      <c r="N422" s="702" t="s">
        <v>2399</v>
      </c>
      <c r="O422" s="702" t="s">
        <v>2399</v>
      </c>
      <c r="P422" s="702" t="s">
        <v>2399</v>
      </c>
    </row>
    <row r="423" spans="1:16" x14ac:dyDescent="0.3">
      <c r="A423" s="400" t="s">
        <v>382</v>
      </c>
      <c r="B423" s="400" t="s">
        <v>493</v>
      </c>
      <c r="C423" s="401">
        <v>3</v>
      </c>
      <c r="D423" s="401">
        <v>2</v>
      </c>
      <c r="E423" s="402">
        <v>15</v>
      </c>
      <c r="F423" s="687" t="s">
        <v>569</v>
      </c>
      <c r="G423" s="702" t="s">
        <v>2399</v>
      </c>
      <c r="H423" s="702" t="s">
        <v>2399</v>
      </c>
      <c r="I423" s="702" t="s">
        <v>2399</v>
      </c>
      <c r="J423" s="702" t="s">
        <v>2399</v>
      </c>
      <c r="K423" s="702" t="s">
        <v>2399</v>
      </c>
      <c r="L423" s="702" t="s">
        <v>2399</v>
      </c>
      <c r="M423" s="702" t="s">
        <v>2399</v>
      </c>
      <c r="N423" s="702" t="s">
        <v>2399</v>
      </c>
      <c r="O423" s="702" t="s">
        <v>2399</v>
      </c>
      <c r="P423" s="702" t="s">
        <v>2399</v>
      </c>
    </row>
    <row r="424" spans="1:16" x14ac:dyDescent="0.3">
      <c r="A424" s="400" t="s">
        <v>380</v>
      </c>
      <c r="B424" s="400" t="s">
        <v>493</v>
      </c>
      <c r="C424" s="401">
        <v>2.8</v>
      </c>
      <c r="D424" s="401">
        <v>2</v>
      </c>
      <c r="E424" s="402">
        <v>30</v>
      </c>
      <c r="F424" s="687" t="s">
        <v>569</v>
      </c>
      <c r="G424" s="702" t="s">
        <v>2399</v>
      </c>
      <c r="H424" s="702" t="s">
        <v>2399</v>
      </c>
      <c r="I424" s="702" t="s">
        <v>2399</v>
      </c>
      <c r="J424" s="702" t="s">
        <v>2399</v>
      </c>
      <c r="K424" s="702" t="s">
        <v>2399</v>
      </c>
      <c r="L424" s="702" t="s">
        <v>2399</v>
      </c>
      <c r="M424" s="702" t="s">
        <v>2399</v>
      </c>
      <c r="N424" s="702" t="s">
        <v>2399</v>
      </c>
      <c r="O424" s="702" t="s">
        <v>2399</v>
      </c>
      <c r="P424" s="702" t="s">
        <v>2399</v>
      </c>
    </row>
    <row r="425" spans="1:16" x14ac:dyDescent="0.3">
      <c r="A425" s="400" t="s">
        <v>976</v>
      </c>
      <c r="B425" s="400" t="s">
        <v>493</v>
      </c>
      <c r="C425" s="401">
        <v>5</v>
      </c>
      <c r="D425" s="401">
        <v>4</v>
      </c>
      <c r="E425" s="402">
        <v>5</v>
      </c>
      <c r="F425" s="687" t="s">
        <v>569</v>
      </c>
      <c r="G425" s="702" t="s">
        <v>2399</v>
      </c>
      <c r="H425" s="702" t="s">
        <v>2399</v>
      </c>
      <c r="I425" s="702" t="s">
        <v>2399</v>
      </c>
      <c r="J425" s="702" t="s">
        <v>2399</v>
      </c>
      <c r="K425" s="702" t="s">
        <v>2399</v>
      </c>
      <c r="L425" s="702" t="s">
        <v>2399</v>
      </c>
      <c r="M425" s="702" t="s">
        <v>2399</v>
      </c>
      <c r="N425" s="702" t="s">
        <v>2399</v>
      </c>
      <c r="O425" s="702" t="s">
        <v>2399</v>
      </c>
      <c r="P425" s="702" t="s">
        <v>2399</v>
      </c>
    </row>
    <row r="426" spans="1:16" x14ac:dyDescent="0.3">
      <c r="A426" s="400" t="s">
        <v>384</v>
      </c>
      <c r="B426" s="400" t="s">
        <v>493</v>
      </c>
      <c r="C426" s="401">
        <v>10</v>
      </c>
      <c r="D426" s="401">
        <v>4</v>
      </c>
      <c r="E426" s="402">
        <v>150</v>
      </c>
      <c r="F426" s="687" t="s">
        <v>569</v>
      </c>
      <c r="G426" s="702" t="s">
        <v>2399</v>
      </c>
      <c r="H426" s="702" t="s">
        <v>2399</v>
      </c>
      <c r="I426" s="702" t="s">
        <v>2399</v>
      </c>
      <c r="J426" s="702" t="s">
        <v>2399</v>
      </c>
      <c r="K426" s="702" t="s">
        <v>2399</v>
      </c>
      <c r="L426" s="702" t="s">
        <v>2399</v>
      </c>
      <c r="M426" s="702" t="s">
        <v>2399</v>
      </c>
      <c r="N426" s="702" t="s">
        <v>2399</v>
      </c>
      <c r="O426" s="702" t="s">
        <v>2399</v>
      </c>
      <c r="P426" s="702" t="s">
        <v>2399</v>
      </c>
    </row>
    <row r="427" spans="1:16" x14ac:dyDescent="0.3">
      <c r="A427" s="400" t="s">
        <v>362</v>
      </c>
      <c r="B427" s="400" t="s">
        <v>493</v>
      </c>
      <c r="C427" s="401">
        <v>4</v>
      </c>
      <c r="D427" s="401">
        <v>4</v>
      </c>
      <c r="E427" s="402">
        <v>40</v>
      </c>
      <c r="F427" s="687" t="s">
        <v>569</v>
      </c>
      <c r="G427" s="702" t="s">
        <v>2399</v>
      </c>
      <c r="H427" s="702" t="s">
        <v>2399</v>
      </c>
      <c r="I427" s="702" t="s">
        <v>2399</v>
      </c>
      <c r="J427" s="702" t="s">
        <v>2399</v>
      </c>
      <c r="K427" s="702" t="s">
        <v>2399</v>
      </c>
      <c r="L427" s="702" t="s">
        <v>2399</v>
      </c>
      <c r="M427" s="702" t="s">
        <v>2399</v>
      </c>
      <c r="N427" s="702" t="s">
        <v>2399</v>
      </c>
      <c r="O427" s="702" t="s">
        <v>2399</v>
      </c>
      <c r="P427" s="702" t="s">
        <v>2399</v>
      </c>
    </row>
    <row r="428" spans="1:16" x14ac:dyDescent="0.3">
      <c r="A428" s="400" t="s">
        <v>378</v>
      </c>
      <c r="B428" s="400" t="s">
        <v>493</v>
      </c>
      <c r="C428" s="401">
        <v>0.2</v>
      </c>
      <c r="D428" s="401">
        <v>1</v>
      </c>
      <c r="E428" s="402">
        <v>1</v>
      </c>
      <c r="F428" s="687" t="s">
        <v>569</v>
      </c>
      <c r="G428" s="702" t="s">
        <v>2399</v>
      </c>
      <c r="H428" s="702" t="s">
        <v>2399</v>
      </c>
      <c r="I428" s="702" t="s">
        <v>2399</v>
      </c>
      <c r="J428" s="702" t="s">
        <v>2399</v>
      </c>
      <c r="K428" s="702" t="s">
        <v>2399</v>
      </c>
      <c r="L428" s="702" t="s">
        <v>2399</v>
      </c>
      <c r="M428" s="702" t="s">
        <v>2399</v>
      </c>
      <c r="N428" s="702" t="s">
        <v>2399</v>
      </c>
      <c r="O428" s="702" t="s">
        <v>2399</v>
      </c>
      <c r="P428" s="702" t="s">
        <v>2399</v>
      </c>
    </row>
    <row r="429" spans="1:16" x14ac:dyDescent="0.3">
      <c r="A429" s="400" t="s">
        <v>3906</v>
      </c>
      <c r="B429" s="400" t="s">
        <v>493</v>
      </c>
      <c r="C429" s="401">
        <v>0.3</v>
      </c>
      <c r="D429" s="401">
        <v>2</v>
      </c>
      <c r="E429" s="402">
        <v>40</v>
      </c>
      <c r="F429" s="687" t="s">
        <v>569</v>
      </c>
      <c r="G429" s="702" t="s">
        <v>2399</v>
      </c>
      <c r="H429" s="702" t="s">
        <v>2399</v>
      </c>
      <c r="I429" s="702" t="s">
        <v>2399</v>
      </c>
      <c r="J429" s="702" t="s">
        <v>2399</v>
      </c>
      <c r="K429" s="702" t="s">
        <v>2399</v>
      </c>
      <c r="L429" s="702" t="s">
        <v>2399</v>
      </c>
      <c r="M429" s="702" t="s">
        <v>2399</v>
      </c>
      <c r="N429" s="702" t="s">
        <v>2399</v>
      </c>
      <c r="O429" s="702" t="s">
        <v>2399</v>
      </c>
      <c r="P429" s="702" t="s">
        <v>2399</v>
      </c>
    </row>
    <row r="430" spans="1:16" x14ac:dyDescent="0.3">
      <c r="A430" s="400" t="s">
        <v>3781</v>
      </c>
      <c r="B430" s="400" t="s">
        <v>493</v>
      </c>
      <c r="C430" s="401">
        <v>5</v>
      </c>
      <c r="D430" s="401">
        <v>2</v>
      </c>
      <c r="E430" s="402">
        <v>50</v>
      </c>
      <c r="F430" s="687" t="s">
        <v>569</v>
      </c>
      <c r="G430" s="702" t="s">
        <v>2399</v>
      </c>
      <c r="H430" s="702" t="s">
        <v>2399</v>
      </c>
      <c r="I430" s="702" t="s">
        <v>2399</v>
      </c>
      <c r="J430" s="702" t="s">
        <v>2399</v>
      </c>
      <c r="K430" s="702" t="s">
        <v>2399</v>
      </c>
      <c r="L430" s="702" t="s">
        <v>2399</v>
      </c>
      <c r="M430" s="702" t="s">
        <v>2399</v>
      </c>
      <c r="N430" s="702" t="s">
        <v>2399</v>
      </c>
      <c r="O430" s="702" t="s">
        <v>2399</v>
      </c>
      <c r="P430" s="702" t="s">
        <v>2399</v>
      </c>
    </row>
    <row r="431" spans="1:16" x14ac:dyDescent="0.3">
      <c r="A431" s="400" t="s">
        <v>3782</v>
      </c>
      <c r="B431" s="400" t="s">
        <v>493</v>
      </c>
      <c r="C431" s="401">
        <v>16</v>
      </c>
      <c r="D431" s="401">
        <v>4</v>
      </c>
      <c r="E431" s="402">
        <v>140</v>
      </c>
      <c r="F431" s="687" t="s">
        <v>569</v>
      </c>
      <c r="G431" s="702" t="s">
        <v>2399</v>
      </c>
      <c r="H431" s="702" t="s">
        <v>2399</v>
      </c>
      <c r="I431" s="702" t="s">
        <v>2399</v>
      </c>
      <c r="J431" s="702" t="s">
        <v>2399</v>
      </c>
      <c r="K431" s="702" t="s">
        <v>2399</v>
      </c>
      <c r="L431" s="702" t="s">
        <v>2399</v>
      </c>
      <c r="M431" s="702" t="s">
        <v>2399</v>
      </c>
      <c r="N431" s="702" t="s">
        <v>2399</v>
      </c>
      <c r="O431" s="702" t="s">
        <v>2399</v>
      </c>
      <c r="P431" s="702" t="s">
        <v>2399</v>
      </c>
    </row>
    <row r="432" spans="1:16" x14ac:dyDescent="0.3">
      <c r="A432" s="400" t="s">
        <v>379</v>
      </c>
      <c r="B432" s="400" t="s">
        <v>493</v>
      </c>
      <c r="C432" s="401">
        <v>1.5</v>
      </c>
      <c r="D432" s="401">
        <v>2</v>
      </c>
      <c r="E432" s="402">
        <v>10</v>
      </c>
      <c r="F432" s="687" t="s">
        <v>569</v>
      </c>
      <c r="G432" s="702" t="s">
        <v>2399</v>
      </c>
      <c r="H432" s="702" t="s">
        <v>2399</v>
      </c>
      <c r="I432" s="702" t="s">
        <v>2399</v>
      </c>
      <c r="J432" s="702" t="s">
        <v>2399</v>
      </c>
      <c r="K432" s="702" t="s">
        <v>2399</v>
      </c>
      <c r="L432" s="702" t="s">
        <v>2399</v>
      </c>
      <c r="M432" s="702" t="s">
        <v>2399</v>
      </c>
      <c r="N432" s="702" t="s">
        <v>2399</v>
      </c>
      <c r="O432" s="702" t="s">
        <v>2399</v>
      </c>
      <c r="P432" s="702" t="s">
        <v>2399</v>
      </c>
    </row>
    <row r="433" spans="1:16" x14ac:dyDescent="0.3">
      <c r="A433" s="400" t="s">
        <v>977</v>
      </c>
      <c r="B433" s="400" t="s">
        <v>493</v>
      </c>
      <c r="C433" s="401">
        <v>3</v>
      </c>
      <c r="D433" s="401">
        <v>2</v>
      </c>
      <c r="E433" s="402">
        <v>30</v>
      </c>
      <c r="F433" s="687" t="s">
        <v>569</v>
      </c>
      <c r="G433" s="702" t="s">
        <v>2399</v>
      </c>
      <c r="H433" s="702" t="s">
        <v>2399</v>
      </c>
      <c r="I433" s="702" t="s">
        <v>2399</v>
      </c>
      <c r="J433" s="702" t="s">
        <v>2399</v>
      </c>
      <c r="K433" s="702" t="s">
        <v>2399</v>
      </c>
      <c r="L433" s="702" t="s">
        <v>2399</v>
      </c>
      <c r="M433" s="702" t="s">
        <v>2399</v>
      </c>
      <c r="N433" s="702" t="s">
        <v>2399</v>
      </c>
      <c r="O433" s="702" t="s">
        <v>2399</v>
      </c>
      <c r="P433" s="702" t="s">
        <v>2399</v>
      </c>
    </row>
    <row r="434" spans="1:16" x14ac:dyDescent="0.3">
      <c r="A434" s="400" t="s">
        <v>499</v>
      </c>
      <c r="B434" s="400" t="s">
        <v>493</v>
      </c>
      <c r="C434" s="401">
        <v>7.5</v>
      </c>
      <c r="D434" s="401">
        <v>4</v>
      </c>
      <c r="E434" s="402">
        <v>200</v>
      </c>
      <c r="F434" s="687" t="s">
        <v>569</v>
      </c>
      <c r="G434" s="702" t="s">
        <v>2399</v>
      </c>
      <c r="H434" s="702" t="s">
        <v>2399</v>
      </c>
      <c r="I434" s="702" t="s">
        <v>2399</v>
      </c>
      <c r="J434" s="702" t="s">
        <v>2399</v>
      </c>
      <c r="K434" s="702" t="s">
        <v>2399</v>
      </c>
      <c r="L434" s="702" t="s">
        <v>2399</v>
      </c>
      <c r="M434" s="702" t="s">
        <v>2399</v>
      </c>
      <c r="N434" s="702" t="s">
        <v>2399</v>
      </c>
      <c r="O434" s="702" t="s">
        <v>2399</v>
      </c>
      <c r="P434" s="702" t="s">
        <v>2399</v>
      </c>
    </row>
    <row r="435" spans="1:16" x14ac:dyDescent="0.3">
      <c r="A435" s="400" t="s">
        <v>502</v>
      </c>
      <c r="B435" s="400" t="s">
        <v>493</v>
      </c>
      <c r="C435" s="401">
        <v>2</v>
      </c>
      <c r="D435" s="401">
        <v>1</v>
      </c>
      <c r="E435" s="402">
        <v>15</v>
      </c>
      <c r="F435" s="687" t="s">
        <v>569</v>
      </c>
      <c r="G435" s="702" t="s">
        <v>2399</v>
      </c>
      <c r="H435" s="702" t="s">
        <v>2399</v>
      </c>
      <c r="I435" s="702" t="s">
        <v>2399</v>
      </c>
      <c r="J435" s="702" t="s">
        <v>2399</v>
      </c>
      <c r="K435" s="702" t="s">
        <v>2399</v>
      </c>
      <c r="L435" s="702" t="s">
        <v>2399</v>
      </c>
      <c r="M435" s="702" t="s">
        <v>2399</v>
      </c>
      <c r="N435" s="702" t="s">
        <v>2399</v>
      </c>
      <c r="O435" s="702" t="s">
        <v>2399</v>
      </c>
      <c r="P435" s="702" t="s">
        <v>2399</v>
      </c>
    </row>
    <row r="436" spans="1:16" x14ac:dyDescent="0.3">
      <c r="A436" s="400" t="s">
        <v>472</v>
      </c>
      <c r="B436" s="400" t="s">
        <v>493</v>
      </c>
      <c r="C436" s="401">
        <v>0.15</v>
      </c>
      <c r="D436" s="401">
        <v>2</v>
      </c>
      <c r="E436" s="402">
        <v>3</v>
      </c>
      <c r="F436" s="687" t="s">
        <v>569</v>
      </c>
      <c r="G436" s="702" t="s">
        <v>2399</v>
      </c>
      <c r="H436" s="702" t="s">
        <v>2399</v>
      </c>
      <c r="I436" s="702" t="s">
        <v>2399</v>
      </c>
      <c r="J436" s="702" t="s">
        <v>2399</v>
      </c>
      <c r="K436" s="702" t="s">
        <v>2399</v>
      </c>
      <c r="L436" s="702" t="s">
        <v>2399</v>
      </c>
      <c r="M436" s="702" t="s">
        <v>2399</v>
      </c>
      <c r="N436" s="702" t="s">
        <v>2399</v>
      </c>
      <c r="O436" s="702" t="s">
        <v>2399</v>
      </c>
      <c r="P436" s="702" t="s">
        <v>2399</v>
      </c>
    </row>
    <row r="437" spans="1:16" x14ac:dyDescent="0.3">
      <c r="A437" s="400" t="s">
        <v>968</v>
      </c>
      <c r="B437" s="400" t="s">
        <v>493</v>
      </c>
      <c r="C437" s="401">
        <v>0.1</v>
      </c>
      <c r="D437" s="401">
        <v>1</v>
      </c>
      <c r="E437" s="402">
        <v>180</v>
      </c>
      <c r="F437" s="687" t="s">
        <v>569</v>
      </c>
      <c r="G437" s="702" t="s">
        <v>2399</v>
      </c>
      <c r="H437" s="702" t="s">
        <v>2399</v>
      </c>
      <c r="I437" s="702" t="s">
        <v>2399</v>
      </c>
      <c r="J437" s="702" t="s">
        <v>2399</v>
      </c>
      <c r="K437" s="702" t="s">
        <v>2399</v>
      </c>
      <c r="L437" s="702" t="s">
        <v>2399</v>
      </c>
      <c r="M437" s="702" t="s">
        <v>2399</v>
      </c>
      <c r="N437" s="702" t="s">
        <v>2399</v>
      </c>
      <c r="O437" s="702" t="s">
        <v>2399</v>
      </c>
      <c r="P437" s="702" t="s">
        <v>2399</v>
      </c>
    </row>
    <row r="438" spans="1:16" x14ac:dyDescent="0.3">
      <c r="A438" s="400" t="s">
        <v>364</v>
      </c>
      <c r="B438" s="400" t="s">
        <v>493</v>
      </c>
      <c r="C438" s="401">
        <v>4.5</v>
      </c>
      <c r="D438" s="401">
        <v>4</v>
      </c>
      <c r="E438" s="402">
        <v>50</v>
      </c>
      <c r="F438" s="687" t="s">
        <v>569</v>
      </c>
      <c r="G438" s="702" t="s">
        <v>2399</v>
      </c>
      <c r="H438" s="702" t="s">
        <v>2399</v>
      </c>
      <c r="I438" s="702" t="s">
        <v>2399</v>
      </c>
      <c r="J438" s="702" t="s">
        <v>2399</v>
      </c>
      <c r="K438" s="702" t="s">
        <v>2399</v>
      </c>
      <c r="L438" s="702" t="s">
        <v>2399</v>
      </c>
      <c r="M438" s="702" t="s">
        <v>2399</v>
      </c>
      <c r="N438" s="702" t="s">
        <v>2399</v>
      </c>
      <c r="O438" s="702" t="s">
        <v>2399</v>
      </c>
      <c r="P438" s="702" t="s">
        <v>2399</v>
      </c>
    </row>
    <row r="439" spans="1:16" x14ac:dyDescent="0.3">
      <c r="A439" s="400" t="s">
        <v>978</v>
      </c>
      <c r="B439" s="400" t="s">
        <v>493</v>
      </c>
      <c r="C439" s="401">
        <v>0.8</v>
      </c>
      <c r="D439" s="401">
        <v>2</v>
      </c>
      <c r="E439" s="402">
        <v>0.2</v>
      </c>
      <c r="F439" s="687" t="s">
        <v>569</v>
      </c>
      <c r="G439" s="702" t="s">
        <v>2399</v>
      </c>
      <c r="H439" s="702" t="s">
        <v>2399</v>
      </c>
      <c r="I439" s="702" t="s">
        <v>2399</v>
      </c>
      <c r="J439" s="702" t="s">
        <v>2399</v>
      </c>
      <c r="K439" s="702" t="s">
        <v>2399</v>
      </c>
      <c r="L439" s="702" t="s">
        <v>2399</v>
      </c>
      <c r="M439" s="702" t="s">
        <v>2399</v>
      </c>
      <c r="N439" s="702" t="s">
        <v>2399</v>
      </c>
      <c r="O439" s="702" t="s">
        <v>2399</v>
      </c>
      <c r="P439" s="702" t="s">
        <v>2399</v>
      </c>
    </row>
    <row r="440" spans="1:16" x14ac:dyDescent="0.3">
      <c r="A440" s="400" t="s">
        <v>371</v>
      </c>
      <c r="B440" s="400" t="s">
        <v>493</v>
      </c>
      <c r="C440" s="401">
        <v>1.4</v>
      </c>
      <c r="D440" s="401">
        <v>2</v>
      </c>
      <c r="E440" s="402">
        <v>100</v>
      </c>
      <c r="F440" s="687" t="s">
        <v>569</v>
      </c>
      <c r="G440" s="702" t="s">
        <v>2399</v>
      </c>
      <c r="H440" s="702" t="s">
        <v>2399</v>
      </c>
      <c r="I440" s="702" t="s">
        <v>2399</v>
      </c>
      <c r="J440" s="702" t="s">
        <v>2399</v>
      </c>
      <c r="K440" s="702" t="s">
        <v>2399</v>
      </c>
      <c r="L440" s="702" t="s">
        <v>2399</v>
      </c>
      <c r="M440" s="702" t="s">
        <v>2399</v>
      </c>
      <c r="N440" s="702" t="s">
        <v>2399</v>
      </c>
      <c r="O440" s="702" t="s">
        <v>2399</v>
      </c>
      <c r="P440" s="702" t="s">
        <v>2399</v>
      </c>
    </row>
    <row r="441" spans="1:16" x14ac:dyDescent="0.3">
      <c r="A441" s="400" t="s">
        <v>394</v>
      </c>
      <c r="B441" s="400" t="s">
        <v>493</v>
      </c>
      <c r="C441" s="401">
        <v>1.5</v>
      </c>
      <c r="D441" s="401">
        <v>1</v>
      </c>
      <c r="E441" s="402">
        <v>30</v>
      </c>
      <c r="F441" s="687" t="s">
        <v>569</v>
      </c>
      <c r="G441" s="702" t="s">
        <v>2399</v>
      </c>
      <c r="H441" s="702" t="s">
        <v>2399</v>
      </c>
      <c r="I441" s="702" t="s">
        <v>2399</v>
      </c>
      <c r="J441" s="702" t="s">
        <v>2399</v>
      </c>
      <c r="K441" s="702" t="s">
        <v>2399</v>
      </c>
      <c r="L441" s="702" t="s">
        <v>2399</v>
      </c>
      <c r="M441" s="702" t="s">
        <v>2399</v>
      </c>
      <c r="N441" s="702" t="s">
        <v>2399</v>
      </c>
      <c r="O441" s="702" t="s">
        <v>2399</v>
      </c>
      <c r="P441" s="702" t="s">
        <v>2399</v>
      </c>
    </row>
    <row r="442" spans="1:16" x14ac:dyDescent="0.3">
      <c r="A442" s="400" t="s">
        <v>395</v>
      </c>
      <c r="B442" s="400" t="s">
        <v>493</v>
      </c>
      <c r="C442" s="401">
        <v>2.5</v>
      </c>
      <c r="D442" s="401">
        <v>2</v>
      </c>
      <c r="E442" s="402">
        <v>50</v>
      </c>
      <c r="F442" s="687" t="s">
        <v>569</v>
      </c>
      <c r="G442" s="702" t="s">
        <v>2399</v>
      </c>
      <c r="H442" s="702" t="s">
        <v>2399</v>
      </c>
      <c r="I442" s="702" t="s">
        <v>2399</v>
      </c>
      <c r="J442" s="702" t="s">
        <v>2399</v>
      </c>
      <c r="K442" s="702" t="s">
        <v>2399</v>
      </c>
      <c r="L442" s="702" t="s">
        <v>2399</v>
      </c>
      <c r="M442" s="702" t="s">
        <v>2399</v>
      </c>
      <c r="N442" s="702" t="s">
        <v>2399</v>
      </c>
      <c r="O442" s="702" t="s">
        <v>2399</v>
      </c>
      <c r="P442" s="702" t="s">
        <v>2399</v>
      </c>
    </row>
    <row r="443" spans="1:16" x14ac:dyDescent="0.3">
      <c r="A443" s="400" t="s">
        <v>396</v>
      </c>
      <c r="B443" s="400" t="s">
        <v>493</v>
      </c>
      <c r="C443" s="401">
        <v>5</v>
      </c>
      <c r="D443" s="401">
        <v>2</v>
      </c>
      <c r="E443" s="402">
        <v>100</v>
      </c>
      <c r="F443" s="687" t="s">
        <v>569</v>
      </c>
      <c r="G443" s="702" t="s">
        <v>2399</v>
      </c>
      <c r="H443" s="702" t="s">
        <v>2399</v>
      </c>
      <c r="I443" s="702" t="s">
        <v>2399</v>
      </c>
      <c r="J443" s="702" t="s">
        <v>2399</v>
      </c>
      <c r="K443" s="702" t="s">
        <v>2399</v>
      </c>
      <c r="L443" s="702" t="s">
        <v>2399</v>
      </c>
      <c r="M443" s="702" t="s">
        <v>2399</v>
      </c>
      <c r="N443" s="702" t="s">
        <v>2399</v>
      </c>
      <c r="O443" s="702" t="s">
        <v>2399</v>
      </c>
      <c r="P443" s="702" t="s">
        <v>2399</v>
      </c>
    </row>
    <row r="444" spans="1:16" x14ac:dyDescent="0.3">
      <c r="A444" s="400" t="s">
        <v>367</v>
      </c>
      <c r="B444" s="400" t="s">
        <v>493</v>
      </c>
      <c r="C444" s="401">
        <v>0.4</v>
      </c>
      <c r="D444" s="401">
        <v>2</v>
      </c>
      <c r="E444" s="402">
        <v>40</v>
      </c>
      <c r="F444" s="687" t="s">
        <v>569</v>
      </c>
      <c r="G444" s="702" t="s">
        <v>2399</v>
      </c>
      <c r="H444" s="702" t="s">
        <v>2399</v>
      </c>
      <c r="I444" s="702" t="s">
        <v>2399</v>
      </c>
      <c r="J444" s="702" t="s">
        <v>2399</v>
      </c>
      <c r="K444" s="702" t="s">
        <v>2399</v>
      </c>
      <c r="L444" s="702" t="s">
        <v>2399</v>
      </c>
      <c r="M444" s="702" t="s">
        <v>2399</v>
      </c>
      <c r="N444" s="702" t="s">
        <v>2399</v>
      </c>
      <c r="O444" s="702" t="s">
        <v>2399</v>
      </c>
      <c r="P444" s="702" t="s">
        <v>2399</v>
      </c>
    </row>
    <row r="445" spans="1:16" x14ac:dyDescent="0.3">
      <c r="A445" s="400" t="s">
        <v>368</v>
      </c>
      <c r="B445" s="400" t="s">
        <v>493</v>
      </c>
      <c r="C445" s="401">
        <v>6</v>
      </c>
      <c r="D445" s="401">
        <v>4</v>
      </c>
      <c r="E445" s="402">
        <v>80</v>
      </c>
      <c r="F445" s="687" t="s">
        <v>569</v>
      </c>
      <c r="G445" s="702" t="s">
        <v>2399</v>
      </c>
      <c r="H445" s="702" t="s">
        <v>2399</v>
      </c>
      <c r="I445" s="702" t="s">
        <v>2399</v>
      </c>
      <c r="J445" s="702" t="s">
        <v>2399</v>
      </c>
      <c r="K445" s="702" t="s">
        <v>2399</v>
      </c>
      <c r="L445" s="702" t="s">
        <v>2399</v>
      </c>
      <c r="M445" s="702" t="s">
        <v>2399</v>
      </c>
      <c r="N445" s="702" t="s">
        <v>2399</v>
      </c>
      <c r="O445" s="702" t="s">
        <v>2399</v>
      </c>
      <c r="P445" s="702" t="s">
        <v>2399</v>
      </c>
    </row>
    <row r="446" spans="1:16" x14ac:dyDescent="0.3">
      <c r="A446" s="400" t="s">
        <v>366</v>
      </c>
      <c r="B446" s="400" t="s">
        <v>493</v>
      </c>
      <c r="C446" s="401">
        <v>1</v>
      </c>
      <c r="D446" s="401">
        <v>4</v>
      </c>
      <c r="E446" s="402">
        <v>6</v>
      </c>
      <c r="F446" s="687" t="s">
        <v>1260</v>
      </c>
      <c r="G446" s="702" t="s">
        <v>2399</v>
      </c>
      <c r="H446" s="702" t="s">
        <v>2399</v>
      </c>
      <c r="I446" s="702" t="s">
        <v>2399</v>
      </c>
      <c r="J446" s="702" t="s">
        <v>2399</v>
      </c>
      <c r="K446" s="702" t="s">
        <v>2399</v>
      </c>
      <c r="L446" s="702" t="s">
        <v>2399</v>
      </c>
      <c r="M446" s="702" t="s">
        <v>2399</v>
      </c>
      <c r="N446" s="702" t="s">
        <v>2399</v>
      </c>
      <c r="O446" s="702" t="s">
        <v>2399</v>
      </c>
      <c r="P446" s="702" t="s">
        <v>2399</v>
      </c>
    </row>
    <row r="447" spans="1:16" x14ac:dyDescent="0.3">
      <c r="A447" s="400" t="s">
        <v>2455</v>
      </c>
      <c r="B447" s="400" t="s">
        <v>493</v>
      </c>
      <c r="C447" s="401">
        <v>0.4</v>
      </c>
      <c r="D447" s="401">
        <v>2</v>
      </c>
      <c r="E447" s="402">
        <v>140</v>
      </c>
      <c r="F447" s="687" t="s">
        <v>569</v>
      </c>
      <c r="G447" s="702" t="s">
        <v>2399</v>
      </c>
      <c r="H447" s="702" t="s">
        <v>2399</v>
      </c>
      <c r="I447" s="702" t="s">
        <v>2399</v>
      </c>
      <c r="J447" s="702" t="s">
        <v>2399</v>
      </c>
      <c r="K447" s="702" t="s">
        <v>2399</v>
      </c>
      <c r="L447" s="702" t="s">
        <v>2399</v>
      </c>
      <c r="M447" s="702" t="s">
        <v>2399</v>
      </c>
      <c r="N447" s="702" t="s">
        <v>2399</v>
      </c>
      <c r="O447" s="702" t="s">
        <v>2399</v>
      </c>
      <c r="P447" s="702" t="s">
        <v>2399</v>
      </c>
    </row>
    <row r="448" spans="1:16" hidden="1" x14ac:dyDescent="0.3">
      <c r="A448" s="410" t="s">
        <v>962</v>
      </c>
      <c r="B448" s="407" t="s">
        <v>517</v>
      </c>
      <c r="C448" s="408">
        <v>7</v>
      </c>
      <c r="D448" s="408">
        <v>2</v>
      </c>
      <c r="E448" s="409">
        <v>2400</v>
      </c>
      <c r="F448" s="686" t="s">
        <v>1258</v>
      </c>
      <c r="G448" s="701" t="s">
        <v>2399</v>
      </c>
      <c r="H448" s="701" t="s">
        <v>2399</v>
      </c>
      <c r="I448" s="701" t="s">
        <v>2399</v>
      </c>
      <c r="J448" s="701" t="s">
        <v>2399</v>
      </c>
      <c r="K448" s="701" t="s">
        <v>2399</v>
      </c>
      <c r="L448" s="701" t="s">
        <v>2399</v>
      </c>
      <c r="M448" s="701" t="s">
        <v>2399</v>
      </c>
      <c r="N448" s="701" t="s">
        <v>2399</v>
      </c>
      <c r="O448" s="701" t="s">
        <v>2399</v>
      </c>
      <c r="P448" s="701" t="s">
        <v>2399</v>
      </c>
    </row>
    <row r="449" spans="1:16" hidden="1" x14ac:dyDescent="0.3">
      <c r="A449" s="406" t="s">
        <v>1286</v>
      </c>
      <c r="B449" s="407" t="s">
        <v>517</v>
      </c>
      <c r="C449" s="408">
        <v>61</v>
      </c>
      <c r="D449" s="408"/>
      <c r="E449" s="409">
        <f>3000+21000+1650+1200</f>
        <v>26850</v>
      </c>
      <c r="F449" s="686" t="s">
        <v>1258</v>
      </c>
      <c r="G449" s="701" t="s">
        <v>2399</v>
      </c>
      <c r="H449" s="701" t="s">
        <v>2399</v>
      </c>
      <c r="I449" s="701" t="s">
        <v>2399</v>
      </c>
      <c r="J449" s="701" t="s">
        <v>2399</v>
      </c>
      <c r="K449" s="701" t="s">
        <v>2399</v>
      </c>
      <c r="L449" s="701" t="s">
        <v>2399</v>
      </c>
      <c r="M449" s="701" t="s">
        <v>2399</v>
      </c>
      <c r="N449" s="701" t="s">
        <v>2399</v>
      </c>
      <c r="O449" s="701" t="s">
        <v>2399</v>
      </c>
      <c r="P449" s="701" t="s">
        <v>2399</v>
      </c>
    </row>
    <row r="450" spans="1:16" hidden="1" x14ac:dyDescent="0.3">
      <c r="A450" s="406" t="s">
        <v>1287</v>
      </c>
      <c r="B450" s="407" t="s">
        <v>517</v>
      </c>
      <c r="C450" s="408">
        <f>0.15+0.15+3+0.8+0.9</f>
        <v>5</v>
      </c>
      <c r="D450" s="408"/>
      <c r="E450" s="409">
        <f>6+6+120+24+21</f>
        <v>177</v>
      </c>
      <c r="F450" s="686" t="s">
        <v>1258</v>
      </c>
      <c r="G450" s="701" t="s">
        <v>2399</v>
      </c>
      <c r="H450" s="701" t="s">
        <v>2399</v>
      </c>
      <c r="I450" s="701" t="s">
        <v>2399</v>
      </c>
      <c r="J450" s="701" t="s">
        <v>2399</v>
      </c>
      <c r="K450" s="701" t="s">
        <v>2399</v>
      </c>
      <c r="L450" s="701" t="s">
        <v>2399</v>
      </c>
      <c r="M450" s="701" t="s">
        <v>2399</v>
      </c>
      <c r="N450" s="701" t="s">
        <v>2399</v>
      </c>
      <c r="O450" s="701" t="s">
        <v>2399</v>
      </c>
      <c r="P450" s="701" t="s">
        <v>2399</v>
      </c>
    </row>
    <row r="451" spans="1:16" hidden="1" x14ac:dyDescent="0.3">
      <c r="A451" s="406" t="s">
        <v>1291</v>
      </c>
      <c r="B451" s="407" t="s">
        <v>517</v>
      </c>
      <c r="C451" s="408">
        <f>12+0.6+2.4+1.2+0.15+0.9</f>
        <v>17.249999999999996</v>
      </c>
      <c r="D451" s="408"/>
      <c r="E451" s="409">
        <f>1200+90+180+90+21+6</f>
        <v>1587</v>
      </c>
      <c r="F451" s="686" t="s">
        <v>1258</v>
      </c>
      <c r="G451" s="701" t="s">
        <v>2399</v>
      </c>
      <c r="H451" s="701" t="s">
        <v>2399</v>
      </c>
      <c r="I451" s="701" t="s">
        <v>2399</v>
      </c>
      <c r="J451" s="701" t="s">
        <v>2399</v>
      </c>
      <c r="K451" s="701" t="s">
        <v>2399</v>
      </c>
      <c r="L451" s="701" t="s">
        <v>2399</v>
      </c>
      <c r="M451" s="701" t="s">
        <v>2399</v>
      </c>
      <c r="N451" s="701" t="s">
        <v>2399</v>
      </c>
      <c r="O451" s="701" t="s">
        <v>2399</v>
      </c>
      <c r="P451" s="701" t="s">
        <v>2399</v>
      </c>
    </row>
    <row r="452" spans="1:16" hidden="1" x14ac:dyDescent="0.3">
      <c r="A452" s="406" t="s">
        <v>3890</v>
      </c>
      <c r="B452" s="407" t="s">
        <v>517</v>
      </c>
      <c r="C452" s="408">
        <v>5.7</v>
      </c>
      <c r="D452" s="408"/>
      <c r="E452" s="409">
        <f>12100+1500+900+2700</f>
        <v>17200</v>
      </c>
      <c r="F452" s="686" t="s">
        <v>1258</v>
      </c>
      <c r="G452" s="701" t="s">
        <v>2399</v>
      </c>
      <c r="H452" s="701" t="s">
        <v>2399</v>
      </c>
      <c r="I452" s="701" t="s">
        <v>2399</v>
      </c>
      <c r="J452" s="701" t="s">
        <v>2399</v>
      </c>
      <c r="K452" s="701" t="s">
        <v>2399</v>
      </c>
      <c r="L452" s="701" t="s">
        <v>2399</v>
      </c>
      <c r="M452" s="701" t="s">
        <v>2399</v>
      </c>
      <c r="N452" s="701" t="s">
        <v>2399</v>
      </c>
      <c r="O452" s="701" t="s">
        <v>2399</v>
      </c>
      <c r="P452" s="701" t="s">
        <v>2399</v>
      </c>
    </row>
    <row r="453" spans="1:16" hidden="1" x14ac:dyDescent="0.3">
      <c r="A453" s="406" t="s">
        <v>1292</v>
      </c>
      <c r="B453" s="407" t="s">
        <v>517</v>
      </c>
      <c r="C453" s="408">
        <f>24+1.2+4.2+1.8</f>
        <v>31.2</v>
      </c>
      <c r="D453" s="408"/>
      <c r="E453" s="409">
        <f>2100+300+210+200</f>
        <v>2810</v>
      </c>
      <c r="F453" s="686" t="s">
        <v>1258</v>
      </c>
      <c r="G453" s="701" t="s">
        <v>2399</v>
      </c>
      <c r="H453" s="701" t="s">
        <v>2399</v>
      </c>
      <c r="I453" s="701" t="s">
        <v>2399</v>
      </c>
      <c r="J453" s="701" t="s">
        <v>2399</v>
      </c>
      <c r="K453" s="701" t="s">
        <v>2399</v>
      </c>
      <c r="L453" s="701" t="s">
        <v>2399</v>
      </c>
      <c r="M453" s="701" t="s">
        <v>2399</v>
      </c>
      <c r="N453" s="701" t="s">
        <v>2399</v>
      </c>
      <c r="O453" s="701" t="s">
        <v>2399</v>
      </c>
      <c r="P453" s="701" t="s">
        <v>2399</v>
      </c>
    </row>
    <row r="454" spans="1:16" hidden="1" x14ac:dyDescent="0.3">
      <c r="A454" s="406" t="s">
        <v>1293</v>
      </c>
      <c r="B454" s="407" t="s">
        <v>517</v>
      </c>
      <c r="C454" s="408">
        <f>30+2.1+4.2+1.2</f>
        <v>37.500000000000007</v>
      </c>
      <c r="D454" s="408"/>
      <c r="E454" s="409">
        <f>4200+420+200+210</f>
        <v>5030</v>
      </c>
      <c r="F454" s="686" t="s">
        <v>1258</v>
      </c>
      <c r="G454" s="701" t="s">
        <v>2399</v>
      </c>
      <c r="H454" s="701" t="s">
        <v>2399</v>
      </c>
      <c r="I454" s="701" t="s">
        <v>2399</v>
      </c>
      <c r="J454" s="701" t="s">
        <v>2399</v>
      </c>
      <c r="K454" s="701" t="s">
        <v>2399</v>
      </c>
      <c r="L454" s="701" t="s">
        <v>2399</v>
      </c>
      <c r="M454" s="701" t="s">
        <v>2399</v>
      </c>
      <c r="N454" s="701" t="s">
        <v>2399</v>
      </c>
      <c r="O454" s="701" t="s">
        <v>2399</v>
      </c>
      <c r="P454" s="701" t="s">
        <v>2399</v>
      </c>
    </row>
    <row r="455" spans="1:16" hidden="1" x14ac:dyDescent="0.3">
      <c r="A455" s="406" t="s">
        <v>1290</v>
      </c>
      <c r="B455" s="407" t="s">
        <v>517</v>
      </c>
      <c r="C455" s="408">
        <f>10+1+3+1.8+0.8+0.15</f>
        <v>16.75</v>
      </c>
      <c r="D455" s="408"/>
      <c r="E455" s="409">
        <f>600+80+130+65+21+10</f>
        <v>906</v>
      </c>
      <c r="F455" s="686" t="s">
        <v>1258</v>
      </c>
      <c r="G455" s="701" t="s">
        <v>2399</v>
      </c>
      <c r="H455" s="701" t="s">
        <v>2399</v>
      </c>
      <c r="I455" s="701" t="s">
        <v>2399</v>
      </c>
      <c r="J455" s="701" t="s">
        <v>2399</v>
      </c>
      <c r="K455" s="701" t="s">
        <v>2399</v>
      </c>
      <c r="L455" s="701" t="s">
        <v>2399</v>
      </c>
      <c r="M455" s="701" t="s">
        <v>2399</v>
      </c>
      <c r="N455" s="701" t="s">
        <v>2399</v>
      </c>
      <c r="O455" s="701" t="s">
        <v>2399</v>
      </c>
      <c r="P455" s="701" t="s">
        <v>2399</v>
      </c>
    </row>
    <row r="456" spans="1:16" hidden="1" x14ac:dyDescent="0.3">
      <c r="A456" s="406" t="s">
        <v>1289</v>
      </c>
      <c r="B456" s="407" t="s">
        <v>517</v>
      </c>
      <c r="C456" s="408">
        <f>1.8+0.3+0.9</f>
        <v>3</v>
      </c>
      <c r="D456" s="408"/>
      <c r="E456" s="409">
        <f>60+12+21</f>
        <v>93</v>
      </c>
      <c r="F456" s="686" t="s">
        <v>1258</v>
      </c>
      <c r="G456" s="701" t="s">
        <v>2399</v>
      </c>
      <c r="H456" s="701" t="s">
        <v>2399</v>
      </c>
      <c r="I456" s="701" t="s">
        <v>2399</v>
      </c>
      <c r="J456" s="701" t="s">
        <v>2399</v>
      </c>
      <c r="K456" s="701" t="s">
        <v>2399</v>
      </c>
      <c r="L456" s="701" t="s">
        <v>2399</v>
      </c>
      <c r="M456" s="701" t="s">
        <v>2399</v>
      </c>
      <c r="N456" s="701" t="s">
        <v>2399</v>
      </c>
      <c r="O456" s="701" t="s">
        <v>2399</v>
      </c>
      <c r="P456" s="701" t="s">
        <v>2399</v>
      </c>
    </row>
    <row r="457" spans="1:16" hidden="1" x14ac:dyDescent="0.3">
      <c r="A457" s="406" t="s">
        <v>1288</v>
      </c>
      <c r="B457" s="407" t="s">
        <v>517</v>
      </c>
      <c r="C457" s="408">
        <f>8+1.5+0.35+0.8</f>
        <v>10.65</v>
      </c>
      <c r="D457" s="408"/>
      <c r="E457" s="409">
        <f>230+46+20+21</f>
        <v>317</v>
      </c>
      <c r="F457" s="686" t="s">
        <v>1258</v>
      </c>
      <c r="G457" s="701" t="s">
        <v>2399</v>
      </c>
      <c r="H457" s="701" t="s">
        <v>2399</v>
      </c>
      <c r="I457" s="701" t="s">
        <v>2399</v>
      </c>
      <c r="J457" s="701" t="s">
        <v>2399</v>
      </c>
      <c r="K457" s="701" t="s">
        <v>2399</v>
      </c>
      <c r="L457" s="701" t="s">
        <v>2399</v>
      </c>
      <c r="M457" s="701" t="s">
        <v>2399</v>
      </c>
      <c r="N457" s="701" t="s">
        <v>2399</v>
      </c>
      <c r="O457" s="701" t="s">
        <v>2399</v>
      </c>
      <c r="P457" s="701" t="s">
        <v>2399</v>
      </c>
    </row>
    <row r="458" spans="1:16" hidden="1" x14ac:dyDescent="0.3">
      <c r="A458" s="410" t="s">
        <v>1281</v>
      </c>
      <c r="B458" s="407" t="s">
        <v>517</v>
      </c>
      <c r="C458" s="408">
        <v>0.8</v>
      </c>
      <c r="D458" s="408">
        <v>2</v>
      </c>
      <c r="E458" s="409">
        <v>24</v>
      </c>
      <c r="F458" s="686" t="s">
        <v>1258</v>
      </c>
      <c r="G458" s="701" t="s">
        <v>2399</v>
      </c>
      <c r="H458" s="701" t="s">
        <v>2399</v>
      </c>
      <c r="I458" s="701" t="s">
        <v>2399</v>
      </c>
      <c r="J458" s="701" t="s">
        <v>2399</v>
      </c>
      <c r="K458" s="701" t="s">
        <v>2399</v>
      </c>
      <c r="L458" s="701" t="s">
        <v>2399</v>
      </c>
      <c r="M458" s="701" t="s">
        <v>2399</v>
      </c>
      <c r="N458" s="701" t="s">
        <v>2399</v>
      </c>
      <c r="O458" s="701" t="s">
        <v>2399</v>
      </c>
      <c r="P458" s="701" t="s">
        <v>2399</v>
      </c>
    </row>
    <row r="459" spans="1:16" hidden="1" x14ac:dyDescent="0.3">
      <c r="A459" s="410" t="s">
        <v>332</v>
      </c>
      <c r="B459" s="407" t="s">
        <v>517</v>
      </c>
      <c r="C459" s="408">
        <v>1.8</v>
      </c>
      <c r="D459" s="408">
        <v>2</v>
      </c>
      <c r="E459" s="409">
        <v>300</v>
      </c>
      <c r="F459" s="686" t="s">
        <v>1258</v>
      </c>
      <c r="G459" s="701" t="s">
        <v>2399</v>
      </c>
      <c r="H459" s="701" t="s">
        <v>2399</v>
      </c>
      <c r="I459" s="701" t="s">
        <v>2399</v>
      </c>
      <c r="J459" s="701" t="s">
        <v>2399</v>
      </c>
      <c r="K459" s="701" t="s">
        <v>2399</v>
      </c>
      <c r="L459" s="701" t="s">
        <v>2399</v>
      </c>
      <c r="M459" s="701" t="s">
        <v>2399</v>
      </c>
      <c r="N459" s="701" t="s">
        <v>2399</v>
      </c>
      <c r="O459" s="701" t="s">
        <v>2399</v>
      </c>
      <c r="P459" s="701" t="s">
        <v>2399</v>
      </c>
    </row>
    <row r="460" spans="1:16" hidden="1" x14ac:dyDescent="0.3">
      <c r="A460" s="410" t="s">
        <v>952</v>
      </c>
      <c r="B460" s="407" t="s">
        <v>517</v>
      </c>
      <c r="C460" s="408">
        <v>4</v>
      </c>
      <c r="D460" s="408">
        <v>2</v>
      </c>
      <c r="E460" s="409">
        <v>1650</v>
      </c>
      <c r="F460" s="686" t="s">
        <v>1258</v>
      </c>
      <c r="G460" s="701" t="s">
        <v>2399</v>
      </c>
      <c r="H460" s="701" t="s">
        <v>2399</v>
      </c>
      <c r="I460" s="701" t="s">
        <v>2399</v>
      </c>
      <c r="J460" s="701" t="s">
        <v>2399</v>
      </c>
      <c r="K460" s="701" t="s">
        <v>2399</v>
      </c>
      <c r="L460" s="701" t="s">
        <v>2399</v>
      </c>
      <c r="M460" s="701" t="s">
        <v>2399</v>
      </c>
      <c r="N460" s="701" t="s">
        <v>2399</v>
      </c>
      <c r="O460" s="701" t="s">
        <v>2399</v>
      </c>
      <c r="P460" s="701" t="s">
        <v>2399</v>
      </c>
    </row>
    <row r="461" spans="1:16" hidden="1" x14ac:dyDescent="0.3">
      <c r="A461" s="410" t="s">
        <v>951</v>
      </c>
      <c r="B461" s="407" t="s">
        <v>517</v>
      </c>
      <c r="C461" s="408">
        <v>2.1</v>
      </c>
      <c r="D461" s="408">
        <v>2</v>
      </c>
      <c r="E461" s="409">
        <v>420</v>
      </c>
      <c r="F461" s="686" t="s">
        <v>1258</v>
      </c>
      <c r="G461" s="701" t="s">
        <v>2399</v>
      </c>
      <c r="H461" s="701" t="s">
        <v>2399</v>
      </c>
      <c r="I461" s="701" t="s">
        <v>2399</v>
      </c>
      <c r="J461" s="701" t="s">
        <v>2399</v>
      </c>
      <c r="K461" s="701" t="s">
        <v>2399</v>
      </c>
      <c r="L461" s="701" t="s">
        <v>2399</v>
      </c>
      <c r="M461" s="701" t="s">
        <v>2399</v>
      </c>
      <c r="N461" s="701" t="s">
        <v>2399</v>
      </c>
      <c r="O461" s="701" t="s">
        <v>2399</v>
      </c>
      <c r="P461" s="701" t="s">
        <v>2399</v>
      </c>
    </row>
    <row r="462" spans="1:16" hidden="1" x14ac:dyDescent="0.3">
      <c r="A462" s="410" t="s">
        <v>345</v>
      </c>
      <c r="B462" s="407" t="s">
        <v>517</v>
      </c>
      <c r="C462" s="408">
        <v>3</v>
      </c>
      <c r="D462" s="408"/>
      <c r="E462" s="409">
        <v>190</v>
      </c>
      <c r="F462" s="686" t="s">
        <v>1258</v>
      </c>
      <c r="G462" s="701" t="s">
        <v>2399</v>
      </c>
      <c r="H462" s="701" t="s">
        <v>2399</v>
      </c>
      <c r="I462" s="701" t="s">
        <v>2399</v>
      </c>
      <c r="J462" s="701" t="s">
        <v>2399</v>
      </c>
      <c r="K462" s="701" t="s">
        <v>2399</v>
      </c>
      <c r="L462" s="701" t="s">
        <v>2399</v>
      </c>
      <c r="M462" s="701" t="s">
        <v>2399</v>
      </c>
      <c r="N462" s="701" t="s">
        <v>2399</v>
      </c>
      <c r="O462" s="701" t="s">
        <v>2399</v>
      </c>
      <c r="P462" s="701" t="s">
        <v>2399</v>
      </c>
    </row>
    <row r="463" spans="1:16" hidden="1" x14ac:dyDescent="0.3">
      <c r="A463" s="410" t="s">
        <v>1174</v>
      </c>
      <c r="B463" s="407" t="s">
        <v>517</v>
      </c>
      <c r="C463" s="408">
        <v>0.15</v>
      </c>
      <c r="D463" s="408"/>
      <c r="E463" s="409">
        <v>8</v>
      </c>
      <c r="F463" s="686" t="s">
        <v>1258</v>
      </c>
      <c r="G463" s="701" t="s">
        <v>2399</v>
      </c>
      <c r="H463" s="701" t="s">
        <v>2399</v>
      </c>
      <c r="I463" s="701" t="s">
        <v>2399</v>
      </c>
      <c r="J463" s="701" t="s">
        <v>2399</v>
      </c>
      <c r="K463" s="701" t="s">
        <v>2399</v>
      </c>
      <c r="L463" s="701" t="s">
        <v>2399</v>
      </c>
      <c r="M463" s="701" t="s">
        <v>2399</v>
      </c>
      <c r="N463" s="701" t="s">
        <v>2399</v>
      </c>
      <c r="O463" s="701" t="s">
        <v>2399</v>
      </c>
      <c r="P463" s="701" t="s">
        <v>2399</v>
      </c>
    </row>
    <row r="464" spans="1:16" hidden="1" x14ac:dyDescent="0.3">
      <c r="A464" s="410" t="s">
        <v>953</v>
      </c>
      <c r="B464" s="407" t="s">
        <v>517</v>
      </c>
      <c r="C464" s="408">
        <v>1.2</v>
      </c>
      <c r="D464" s="408">
        <v>1</v>
      </c>
      <c r="E464" s="409">
        <v>90</v>
      </c>
      <c r="F464" s="686" t="s">
        <v>1258</v>
      </c>
      <c r="G464" s="701" t="s">
        <v>2399</v>
      </c>
      <c r="H464" s="701" t="s">
        <v>2399</v>
      </c>
      <c r="I464" s="701" t="s">
        <v>2399</v>
      </c>
      <c r="J464" s="701" t="s">
        <v>2399</v>
      </c>
      <c r="K464" s="701" t="s">
        <v>2399</v>
      </c>
      <c r="L464" s="701" t="s">
        <v>2399</v>
      </c>
      <c r="M464" s="701" t="s">
        <v>2399</v>
      </c>
      <c r="N464" s="701" t="s">
        <v>2399</v>
      </c>
      <c r="O464" s="701" t="s">
        <v>2399</v>
      </c>
      <c r="P464" s="701" t="s">
        <v>2399</v>
      </c>
    </row>
    <row r="465" spans="1:16" hidden="1" x14ac:dyDescent="0.3">
      <c r="A465" s="410" t="s">
        <v>2964</v>
      </c>
      <c r="B465" s="407" t="s">
        <v>517</v>
      </c>
      <c r="C465" s="408">
        <v>0.6</v>
      </c>
      <c r="D465" s="408">
        <v>1</v>
      </c>
      <c r="E465" s="409">
        <v>1500</v>
      </c>
      <c r="F465" s="686" t="s">
        <v>1258</v>
      </c>
      <c r="G465" s="701" t="s">
        <v>2399</v>
      </c>
      <c r="H465" s="701" t="s">
        <v>2399</v>
      </c>
      <c r="I465" s="701" t="s">
        <v>2399</v>
      </c>
      <c r="J465" s="701" t="s">
        <v>2399</v>
      </c>
      <c r="K465" s="701" t="s">
        <v>2399</v>
      </c>
      <c r="L465" s="701" t="s">
        <v>2399</v>
      </c>
      <c r="M465" s="701" t="s">
        <v>2399</v>
      </c>
      <c r="N465" s="701" t="s">
        <v>2399</v>
      </c>
      <c r="O465" s="701" t="s">
        <v>2399</v>
      </c>
      <c r="P465" s="701" t="s">
        <v>2399</v>
      </c>
    </row>
    <row r="466" spans="1:16" hidden="1" x14ac:dyDescent="0.3">
      <c r="A466" s="661" t="s">
        <v>954</v>
      </c>
      <c r="B466" s="661" t="s">
        <v>517</v>
      </c>
      <c r="C466" s="662">
        <v>1</v>
      </c>
      <c r="D466" s="662">
        <v>1</v>
      </c>
      <c r="E466" s="663">
        <v>42</v>
      </c>
      <c r="F466" s="684" t="s">
        <v>1258</v>
      </c>
      <c r="G466" s="699" t="s">
        <v>2399</v>
      </c>
      <c r="H466" s="699" t="s">
        <v>2399</v>
      </c>
      <c r="I466" s="699" t="s">
        <v>2399</v>
      </c>
      <c r="J466" s="699" t="s">
        <v>2399</v>
      </c>
      <c r="K466" s="699" t="s">
        <v>260</v>
      </c>
      <c r="L466" s="699" t="s">
        <v>2399</v>
      </c>
      <c r="M466" s="699" t="s">
        <v>2399</v>
      </c>
      <c r="N466" s="699" t="s">
        <v>2399</v>
      </c>
      <c r="O466" s="699" t="s">
        <v>2399</v>
      </c>
      <c r="P466" s="699" t="s">
        <v>2399</v>
      </c>
    </row>
    <row r="467" spans="1:16" hidden="1" x14ac:dyDescent="0.3">
      <c r="A467" s="410" t="s">
        <v>328</v>
      </c>
      <c r="B467" s="407" t="s">
        <v>517</v>
      </c>
      <c r="C467" s="408">
        <v>4.2</v>
      </c>
      <c r="D467" s="408">
        <v>2</v>
      </c>
      <c r="E467" s="409">
        <v>220</v>
      </c>
      <c r="F467" s="686" t="s">
        <v>1258</v>
      </c>
      <c r="G467" s="701" t="s">
        <v>2399</v>
      </c>
      <c r="H467" s="701" t="s">
        <v>2399</v>
      </c>
      <c r="I467" s="701" t="s">
        <v>2399</v>
      </c>
      <c r="J467" s="701" t="s">
        <v>2399</v>
      </c>
      <c r="K467" s="701" t="s">
        <v>2399</v>
      </c>
      <c r="L467" s="701" t="s">
        <v>2399</v>
      </c>
      <c r="M467" s="701" t="s">
        <v>2399</v>
      </c>
      <c r="N467" s="701" t="s">
        <v>2399</v>
      </c>
      <c r="O467" s="701" t="s">
        <v>2399</v>
      </c>
      <c r="P467" s="701" t="s">
        <v>2399</v>
      </c>
    </row>
    <row r="468" spans="1:16" hidden="1" x14ac:dyDescent="0.3">
      <c r="A468" s="410" t="s">
        <v>1284</v>
      </c>
      <c r="B468" s="407" t="s">
        <v>517</v>
      </c>
      <c r="C468" s="408">
        <v>1.5</v>
      </c>
      <c r="D468" s="408">
        <v>2</v>
      </c>
      <c r="E468" s="409">
        <v>46</v>
      </c>
      <c r="F468" s="686" t="s">
        <v>1258</v>
      </c>
      <c r="G468" s="701" t="s">
        <v>2399</v>
      </c>
      <c r="H468" s="701" t="s">
        <v>2399</v>
      </c>
      <c r="I468" s="701" t="s">
        <v>2399</v>
      </c>
      <c r="J468" s="701" t="s">
        <v>2399</v>
      </c>
      <c r="K468" s="701" t="s">
        <v>2399</v>
      </c>
      <c r="L468" s="701" t="s">
        <v>2399</v>
      </c>
      <c r="M468" s="701" t="s">
        <v>2399</v>
      </c>
      <c r="N468" s="701" t="s">
        <v>2399</v>
      </c>
      <c r="O468" s="701" t="s">
        <v>2399</v>
      </c>
      <c r="P468" s="701" t="s">
        <v>2399</v>
      </c>
    </row>
    <row r="469" spans="1:16" hidden="1" x14ac:dyDescent="0.3">
      <c r="A469" s="410" t="s">
        <v>958</v>
      </c>
      <c r="B469" s="407" t="s">
        <v>517</v>
      </c>
      <c r="C469" s="408">
        <v>1.8</v>
      </c>
      <c r="D469" s="408">
        <v>2</v>
      </c>
      <c r="E469" s="409">
        <v>1200</v>
      </c>
      <c r="F469" s="686" t="s">
        <v>1258</v>
      </c>
      <c r="G469" s="701" t="s">
        <v>2399</v>
      </c>
      <c r="H469" s="701" t="s">
        <v>2399</v>
      </c>
      <c r="I469" s="701" t="s">
        <v>2399</v>
      </c>
      <c r="J469" s="701" t="s">
        <v>2399</v>
      </c>
      <c r="K469" s="701" t="s">
        <v>2399</v>
      </c>
      <c r="L469" s="701" t="s">
        <v>2399</v>
      </c>
      <c r="M469" s="701" t="s">
        <v>2399</v>
      </c>
      <c r="N469" s="701" t="s">
        <v>2399</v>
      </c>
      <c r="O469" s="701" t="s">
        <v>2399</v>
      </c>
      <c r="P469" s="701" t="s">
        <v>2399</v>
      </c>
    </row>
    <row r="470" spans="1:16" hidden="1" x14ac:dyDescent="0.3">
      <c r="A470" s="410" t="s">
        <v>336</v>
      </c>
      <c r="B470" s="407" t="s">
        <v>517</v>
      </c>
      <c r="C470" s="408">
        <v>1.2</v>
      </c>
      <c r="D470" s="408">
        <v>2</v>
      </c>
      <c r="E470" s="409">
        <v>210</v>
      </c>
      <c r="F470" s="686" t="s">
        <v>1258</v>
      </c>
      <c r="G470" s="701" t="s">
        <v>2399</v>
      </c>
      <c r="H470" s="701" t="s">
        <v>2399</v>
      </c>
      <c r="I470" s="701" t="s">
        <v>2399</v>
      </c>
      <c r="J470" s="701" t="s">
        <v>2399</v>
      </c>
      <c r="K470" s="701" t="s">
        <v>2399</v>
      </c>
      <c r="L470" s="701" t="s">
        <v>2399</v>
      </c>
      <c r="M470" s="701" t="s">
        <v>2399</v>
      </c>
      <c r="N470" s="701" t="s">
        <v>2399</v>
      </c>
      <c r="O470" s="701" t="s">
        <v>2399</v>
      </c>
      <c r="P470" s="701" t="s">
        <v>2399</v>
      </c>
    </row>
    <row r="471" spans="1:16" hidden="1" x14ac:dyDescent="0.3">
      <c r="A471" s="410" t="s">
        <v>1173</v>
      </c>
      <c r="B471" s="407" t="s">
        <v>517</v>
      </c>
      <c r="C471" s="408">
        <v>0.3</v>
      </c>
      <c r="D471" s="408">
        <v>2</v>
      </c>
      <c r="E471" s="409">
        <f>8+7</f>
        <v>15</v>
      </c>
      <c r="F471" s="686" t="s">
        <v>1258</v>
      </c>
      <c r="G471" s="701" t="s">
        <v>2399</v>
      </c>
      <c r="H471" s="701" t="s">
        <v>2399</v>
      </c>
      <c r="I471" s="701" t="s">
        <v>2399</v>
      </c>
      <c r="J471" s="701" t="s">
        <v>2399</v>
      </c>
      <c r="K471" s="701" t="s">
        <v>2399</v>
      </c>
      <c r="L471" s="701" t="s">
        <v>2399</v>
      </c>
      <c r="M471" s="701" t="s">
        <v>2399</v>
      </c>
      <c r="N471" s="701" t="s">
        <v>2399</v>
      </c>
      <c r="O471" s="701" t="s">
        <v>2399</v>
      </c>
      <c r="P471" s="701" t="s">
        <v>2399</v>
      </c>
    </row>
    <row r="472" spans="1:16" hidden="1" x14ac:dyDescent="0.3">
      <c r="A472" s="410" t="s">
        <v>334</v>
      </c>
      <c r="B472" s="407" t="s">
        <v>517</v>
      </c>
      <c r="C472" s="408">
        <v>0.15</v>
      </c>
      <c r="D472" s="408">
        <v>2</v>
      </c>
      <c r="E472" s="409">
        <v>7</v>
      </c>
      <c r="F472" s="686" t="s">
        <v>1258</v>
      </c>
      <c r="G472" s="701" t="s">
        <v>2399</v>
      </c>
      <c r="H472" s="701" t="s">
        <v>2399</v>
      </c>
      <c r="I472" s="701" t="s">
        <v>2399</v>
      </c>
      <c r="J472" s="701" t="s">
        <v>2399</v>
      </c>
      <c r="K472" s="701" t="s">
        <v>2399</v>
      </c>
      <c r="L472" s="701" t="s">
        <v>2399</v>
      </c>
      <c r="M472" s="701" t="s">
        <v>2399</v>
      </c>
      <c r="N472" s="701" t="s">
        <v>2399</v>
      </c>
      <c r="O472" s="701" t="s">
        <v>2399</v>
      </c>
      <c r="P472" s="701" t="s">
        <v>2399</v>
      </c>
    </row>
    <row r="473" spans="1:16" hidden="1" x14ac:dyDescent="0.3">
      <c r="A473" s="410" t="s">
        <v>532</v>
      </c>
      <c r="B473" s="407" t="s">
        <v>517</v>
      </c>
      <c r="C473" s="408">
        <v>1</v>
      </c>
      <c r="D473" s="408">
        <v>2</v>
      </c>
      <c r="E473" s="409">
        <v>120</v>
      </c>
      <c r="F473" s="686" t="s">
        <v>1258</v>
      </c>
      <c r="G473" s="701" t="s">
        <v>2399</v>
      </c>
      <c r="H473" s="701" t="s">
        <v>2399</v>
      </c>
      <c r="I473" s="701" t="s">
        <v>2399</v>
      </c>
      <c r="J473" s="701" t="s">
        <v>2399</v>
      </c>
      <c r="K473" s="701" t="s">
        <v>2399</v>
      </c>
      <c r="L473" s="701" t="s">
        <v>2399</v>
      </c>
      <c r="M473" s="701" t="s">
        <v>2399</v>
      </c>
      <c r="N473" s="701" t="s">
        <v>2399</v>
      </c>
      <c r="O473" s="701" t="s">
        <v>2399</v>
      </c>
      <c r="P473" s="701" t="s">
        <v>2399</v>
      </c>
    </row>
    <row r="474" spans="1:16" hidden="1" x14ac:dyDescent="0.3">
      <c r="A474" s="410" t="s">
        <v>335</v>
      </c>
      <c r="B474" s="407" t="s">
        <v>517</v>
      </c>
      <c r="C474" s="408">
        <v>0.6</v>
      </c>
      <c r="D474" s="408"/>
      <c r="E474" s="409">
        <v>90</v>
      </c>
      <c r="F474" s="686" t="s">
        <v>1258</v>
      </c>
      <c r="G474" s="701" t="s">
        <v>2399</v>
      </c>
      <c r="H474" s="701" t="s">
        <v>2399</v>
      </c>
      <c r="I474" s="701" t="s">
        <v>2399</v>
      </c>
      <c r="J474" s="701" t="s">
        <v>2399</v>
      </c>
      <c r="K474" s="701" t="s">
        <v>2399</v>
      </c>
      <c r="L474" s="701" t="s">
        <v>2399</v>
      </c>
      <c r="M474" s="701" t="s">
        <v>2399</v>
      </c>
      <c r="N474" s="701" t="s">
        <v>2399</v>
      </c>
      <c r="O474" s="701" t="s">
        <v>2399</v>
      </c>
      <c r="P474" s="701" t="s">
        <v>2399</v>
      </c>
    </row>
    <row r="475" spans="1:16" hidden="1" x14ac:dyDescent="0.3">
      <c r="A475" s="410" t="s">
        <v>2963</v>
      </c>
      <c r="B475" s="407" t="s">
        <v>517</v>
      </c>
      <c r="C475" s="408">
        <v>0.3</v>
      </c>
      <c r="D475" s="408"/>
      <c r="E475" s="409">
        <v>900</v>
      </c>
      <c r="F475" s="686" t="s">
        <v>1258</v>
      </c>
      <c r="G475" s="701" t="s">
        <v>2399</v>
      </c>
      <c r="H475" s="701" t="s">
        <v>2399</v>
      </c>
      <c r="I475" s="701" t="s">
        <v>2399</v>
      </c>
      <c r="J475" s="701" t="s">
        <v>2399</v>
      </c>
      <c r="K475" s="701" t="s">
        <v>2399</v>
      </c>
      <c r="L475" s="701" t="s">
        <v>2399</v>
      </c>
      <c r="M475" s="701" t="s">
        <v>2399</v>
      </c>
      <c r="N475" s="701" t="s">
        <v>2399</v>
      </c>
      <c r="O475" s="701" t="s">
        <v>2399</v>
      </c>
      <c r="P475" s="701" t="s">
        <v>2399</v>
      </c>
    </row>
    <row r="476" spans="1:16" hidden="1" x14ac:dyDescent="0.3">
      <c r="A476" s="410" t="s">
        <v>3902</v>
      </c>
      <c r="B476" s="407" t="s">
        <v>517</v>
      </c>
      <c r="C476" s="408">
        <v>2.4</v>
      </c>
      <c r="D476" s="408"/>
      <c r="E476" s="409">
        <v>180</v>
      </c>
      <c r="F476" s="686" t="s">
        <v>1258</v>
      </c>
      <c r="G476" s="701" t="s">
        <v>2399</v>
      </c>
      <c r="H476" s="701" t="s">
        <v>2399</v>
      </c>
      <c r="I476" s="701" t="s">
        <v>2399</v>
      </c>
      <c r="J476" s="701" t="s">
        <v>2399</v>
      </c>
      <c r="K476" s="701" t="s">
        <v>2399</v>
      </c>
      <c r="L476" s="701" t="s">
        <v>2399</v>
      </c>
      <c r="M476" s="701" t="s">
        <v>2399</v>
      </c>
      <c r="N476" s="701" t="s">
        <v>2399</v>
      </c>
      <c r="O476" s="701" t="s">
        <v>2399</v>
      </c>
      <c r="P476" s="701" t="s">
        <v>2399</v>
      </c>
    </row>
    <row r="477" spans="1:16" hidden="1" x14ac:dyDescent="0.3">
      <c r="A477" s="410" t="s">
        <v>3903</v>
      </c>
      <c r="B477" s="407" t="s">
        <v>517</v>
      </c>
      <c r="C477" s="408">
        <v>1.2</v>
      </c>
      <c r="D477" s="408"/>
      <c r="E477" s="409">
        <v>2700</v>
      </c>
      <c r="F477" s="686" t="s">
        <v>1258</v>
      </c>
      <c r="G477" s="701" t="s">
        <v>2399</v>
      </c>
      <c r="H477" s="701" t="s">
        <v>2399</v>
      </c>
      <c r="I477" s="701" t="s">
        <v>2399</v>
      </c>
      <c r="J477" s="701" t="s">
        <v>2399</v>
      </c>
      <c r="K477" s="701" t="s">
        <v>2399</v>
      </c>
      <c r="L477" s="701" t="s">
        <v>2399</v>
      </c>
      <c r="M477" s="701" t="s">
        <v>2399</v>
      </c>
      <c r="N477" s="701" t="s">
        <v>2399</v>
      </c>
      <c r="O477" s="701" t="s">
        <v>2399</v>
      </c>
      <c r="P477" s="701" t="s">
        <v>2399</v>
      </c>
    </row>
    <row r="478" spans="1:16" hidden="1" x14ac:dyDescent="0.3">
      <c r="A478" s="410" t="s">
        <v>950</v>
      </c>
      <c r="B478" s="407" t="s">
        <v>517</v>
      </c>
      <c r="C478" s="408">
        <v>48</v>
      </c>
      <c r="D478" s="408">
        <v>4</v>
      </c>
      <c r="E478" s="409">
        <v>21000</v>
      </c>
      <c r="F478" s="686" t="s">
        <v>1258</v>
      </c>
      <c r="G478" s="701" t="s">
        <v>2399</v>
      </c>
      <c r="H478" s="701" t="s">
        <v>2399</v>
      </c>
      <c r="I478" s="701" t="s">
        <v>2399</v>
      </c>
      <c r="J478" s="701" t="s">
        <v>2399</v>
      </c>
      <c r="K478" s="701" t="s">
        <v>2399</v>
      </c>
      <c r="L478" s="701" t="s">
        <v>2399</v>
      </c>
      <c r="M478" s="701" t="s">
        <v>2399</v>
      </c>
      <c r="N478" s="701" t="s">
        <v>2399</v>
      </c>
      <c r="O478" s="701" t="s">
        <v>2399</v>
      </c>
      <c r="P478" s="701" t="s">
        <v>2399</v>
      </c>
    </row>
    <row r="479" spans="1:16" hidden="1" x14ac:dyDescent="0.3">
      <c r="A479" s="410" t="s">
        <v>338</v>
      </c>
      <c r="B479" s="407" t="s">
        <v>517</v>
      </c>
      <c r="C479" s="408">
        <v>3</v>
      </c>
      <c r="D479" s="408">
        <v>4</v>
      </c>
      <c r="E479" s="409">
        <v>120</v>
      </c>
      <c r="F479" s="686" t="s">
        <v>1258</v>
      </c>
      <c r="G479" s="701" t="s">
        <v>2399</v>
      </c>
      <c r="H479" s="701" t="s">
        <v>2399</v>
      </c>
      <c r="I479" s="701" t="s">
        <v>2399</v>
      </c>
      <c r="J479" s="701" t="s">
        <v>2399</v>
      </c>
      <c r="K479" s="701" t="s">
        <v>2399</v>
      </c>
      <c r="L479" s="701" t="s">
        <v>2399</v>
      </c>
      <c r="M479" s="701" t="s">
        <v>2399</v>
      </c>
      <c r="N479" s="701" t="s">
        <v>2399</v>
      </c>
      <c r="O479" s="701" t="s">
        <v>2399</v>
      </c>
      <c r="P479" s="701" t="s">
        <v>2399</v>
      </c>
    </row>
    <row r="480" spans="1:16" hidden="1" x14ac:dyDescent="0.3">
      <c r="A480" s="410" t="s">
        <v>341</v>
      </c>
      <c r="B480" s="407" t="s">
        <v>517</v>
      </c>
      <c r="C480" s="408">
        <v>12</v>
      </c>
      <c r="D480" s="408">
        <v>4</v>
      </c>
      <c r="E480" s="409">
        <v>1200</v>
      </c>
      <c r="F480" s="686" t="s">
        <v>1258</v>
      </c>
      <c r="G480" s="701" t="s">
        <v>2399</v>
      </c>
      <c r="H480" s="701" t="s">
        <v>2399</v>
      </c>
      <c r="I480" s="701" t="s">
        <v>2399</v>
      </c>
      <c r="J480" s="701" t="s">
        <v>2399</v>
      </c>
      <c r="K480" s="701" t="s">
        <v>2399</v>
      </c>
      <c r="L480" s="701" t="s">
        <v>2399</v>
      </c>
      <c r="M480" s="701" t="s">
        <v>2399</v>
      </c>
      <c r="N480" s="701" t="s">
        <v>2399</v>
      </c>
      <c r="O480" s="701" t="s">
        <v>2399</v>
      </c>
      <c r="P480" s="701" t="s">
        <v>2399</v>
      </c>
    </row>
    <row r="481" spans="1:16" hidden="1" x14ac:dyDescent="0.3">
      <c r="A481" s="410" t="s">
        <v>344</v>
      </c>
      <c r="B481" s="407" t="s">
        <v>517</v>
      </c>
      <c r="C481" s="408">
        <v>5.7</v>
      </c>
      <c r="D481" s="408">
        <v>4</v>
      </c>
      <c r="E481" s="409">
        <v>12100</v>
      </c>
      <c r="F481" s="686" t="s">
        <v>1258</v>
      </c>
      <c r="G481" s="701" t="s">
        <v>2399</v>
      </c>
      <c r="H481" s="701" t="s">
        <v>2399</v>
      </c>
      <c r="I481" s="701" t="s">
        <v>2399</v>
      </c>
      <c r="J481" s="701" t="s">
        <v>2399</v>
      </c>
      <c r="K481" s="701" t="s">
        <v>2399</v>
      </c>
      <c r="L481" s="701" t="s">
        <v>2399</v>
      </c>
      <c r="M481" s="701" t="s">
        <v>2399</v>
      </c>
      <c r="N481" s="701" t="s">
        <v>2399</v>
      </c>
      <c r="O481" s="701" t="s">
        <v>2399</v>
      </c>
      <c r="P481" s="701" t="s">
        <v>2399</v>
      </c>
    </row>
    <row r="482" spans="1:16" hidden="1" x14ac:dyDescent="0.3">
      <c r="A482" s="410" t="s">
        <v>342</v>
      </c>
      <c r="B482" s="407" t="s">
        <v>517</v>
      </c>
      <c r="C482" s="408">
        <v>24</v>
      </c>
      <c r="D482" s="408">
        <v>4</v>
      </c>
      <c r="E482" s="409">
        <v>2100</v>
      </c>
      <c r="F482" s="686" t="s">
        <v>1258</v>
      </c>
      <c r="G482" s="701" t="s">
        <v>2399</v>
      </c>
      <c r="H482" s="701" t="s">
        <v>2399</v>
      </c>
      <c r="I482" s="701" t="s">
        <v>2399</v>
      </c>
      <c r="J482" s="701" t="s">
        <v>2399</v>
      </c>
      <c r="K482" s="701" t="s">
        <v>2399</v>
      </c>
      <c r="L482" s="701" t="s">
        <v>2399</v>
      </c>
      <c r="M482" s="701" t="s">
        <v>2399</v>
      </c>
      <c r="N482" s="701" t="s">
        <v>2399</v>
      </c>
      <c r="O482" s="701" t="s">
        <v>2399</v>
      </c>
      <c r="P482" s="701" t="s">
        <v>2399</v>
      </c>
    </row>
    <row r="483" spans="1:16" hidden="1" x14ac:dyDescent="0.3">
      <c r="A483" s="410" t="s">
        <v>343</v>
      </c>
      <c r="B483" s="407" t="s">
        <v>517</v>
      </c>
      <c r="C483" s="408">
        <v>30</v>
      </c>
      <c r="D483" s="408">
        <v>4</v>
      </c>
      <c r="E483" s="409">
        <v>4200</v>
      </c>
      <c r="F483" s="686" t="s">
        <v>1258</v>
      </c>
      <c r="G483" s="701" t="s">
        <v>2399</v>
      </c>
      <c r="H483" s="701" t="s">
        <v>2399</v>
      </c>
      <c r="I483" s="701" t="s">
        <v>2399</v>
      </c>
      <c r="J483" s="701" t="s">
        <v>2399</v>
      </c>
      <c r="K483" s="701" t="s">
        <v>2399</v>
      </c>
      <c r="L483" s="701" t="s">
        <v>2399</v>
      </c>
      <c r="M483" s="701" t="s">
        <v>2399</v>
      </c>
      <c r="N483" s="701" t="s">
        <v>2399</v>
      </c>
      <c r="O483" s="701" t="s">
        <v>2399</v>
      </c>
      <c r="P483" s="701" t="s">
        <v>2399</v>
      </c>
    </row>
    <row r="484" spans="1:16" hidden="1" x14ac:dyDescent="0.3">
      <c r="A484" s="410" t="s">
        <v>339</v>
      </c>
      <c r="B484" s="407" t="s">
        <v>517</v>
      </c>
      <c r="C484" s="408">
        <v>10</v>
      </c>
      <c r="D484" s="408">
        <v>4</v>
      </c>
      <c r="E484" s="409">
        <v>600</v>
      </c>
      <c r="F484" s="686" t="s">
        <v>1258</v>
      </c>
      <c r="G484" s="701" t="s">
        <v>2399</v>
      </c>
      <c r="H484" s="701" t="s">
        <v>2399</v>
      </c>
      <c r="I484" s="701" t="s">
        <v>2399</v>
      </c>
      <c r="J484" s="701" t="s">
        <v>2399</v>
      </c>
      <c r="K484" s="701" t="s">
        <v>2399</v>
      </c>
      <c r="L484" s="701" t="s">
        <v>2399</v>
      </c>
      <c r="M484" s="701" t="s">
        <v>2399</v>
      </c>
      <c r="N484" s="701" t="s">
        <v>2399</v>
      </c>
      <c r="O484" s="701" t="s">
        <v>2399</v>
      </c>
      <c r="P484" s="701" t="s">
        <v>2399</v>
      </c>
    </row>
    <row r="485" spans="1:16" hidden="1" x14ac:dyDescent="0.3">
      <c r="A485" s="411" t="s">
        <v>337</v>
      </c>
      <c r="B485" s="407" t="s">
        <v>517</v>
      </c>
      <c r="C485" s="408">
        <v>1.8</v>
      </c>
      <c r="D485" s="408">
        <v>4</v>
      </c>
      <c r="E485" s="409">
        <v>60</v>
      </c>
      <c r="F485" s="686" t="s">
        <v>1258</v>
      </c>
      <c r="G485" s="701" t="s">
        <v>2399</v>
      </c>
      <c r="H485" s="701" t="s">
        <v>2399</v>
      </c>
      <c r="I485" s="701" t="s">
        <v>2399</v>
      </c>
      <c r="J485" s="701" t="s">
        <v>2399</v>
      </c>
      <c r="K485" s="701" t="s">
        <v>2399</v>
      </c>
      <c r="L485" s="701" t="s">
        <v>2399</v>
      </c>
      <c r="M485" s="701" t="s">
        <v>2399</v>
      </c>
      <c r="N485" s="701" t="s">
        <v>2399</v>
      </c>
      <c r="O485" s="701" t="s">
        <v>2399</v>
      </c>
      <c r="P485" s="701" t="s">
        <v>2399</v>
      </c>
    </row>
    <row r="486" spans="1:16" hidden="1" x14ac:dyDescent="0.3">
      <c r="A486" s="410" t="s">
        <v>340</v>
      </c>
      <c r="B486" s="407" t="s">
        <v>517</v>
      </c>
      <c r="C486" s="408">
        <v>8</v>
      </c>
      <c r="D486" s="408">
        <v>4</v>
      </c>
      <c r="E486" s="409">
        <v>300</v>
      </c>
      <c r="F486" s="686" t="s">
        <v>1258</v>
      </c>
      <c r="G486" s="701" t="s">
        <v>2399</v>
      </c>
      <c r="H486" s="701" t="s">
        <v>2399</v>
      </c>
      <c r="I486" s="701" t="s">
        <v>2399</v>
      </c>
      <c r="J486" s="701" t="s">
        <v>2399</v>
      </c>
      <c r="K486" s="701" t="s">
        <v>2399</v>
      </c>
      <c r="L486" s="701" t="s">
        <v>2399</v>
      </c>
      <c r="M486" s="701" t="s">
        <v>2399</v>
      </c>
      <c r="N486" s="701" t="s">
        <v>2399</v>
      </c>
      <c r="O486" s="701" t="s">
        <v>2399</v>
      </c>
      <c r="P486" s="701" t="s">
        <v>2399</v>
      </c>
    </row>
    <row r="487" spans="1:16" x14ac:dyDescent="0.3">
      <c r="A487" s="997" t="s">
        <v>2394</v>
      </c>
      <c r="B487" s="997" t="s">
        <v>518</v>
      </c>
      <c r="C487" s="155">
        <v>0.1</v>
      </c>
      <c r="D487" s="155">
        <v>1</v>
      </c>
      <c r="E487" s="387"/>
      <c r="F487" s="254" t="s">
        <v>1256</v>
      </c>
      <c r="G487" s="998" t="s">
        <v>2399</v>
      </c>
      <c r="H487" s="998" t="s">
        <v>2399</v>
      </c>
      <c r="I487" s="998" t="s">
        <v>2399</v>
      </c>
      <c r="J487" s="998" t="s">
        <v>2399</v>
      </c>
      <c r="K487" s="998" t="s">
        <v>260</v>
      </c>
      <c r="L487" s="998" t="s">
        <v>2399</v>
      </c>
      <c r="M487" s="998" t="s">
        <v>2399</v>
      </c>
      <c r="N487" s="998" t="s">
        <v>2399</v>
      </c>
      <c r="O487" s="998" t="s">
        <v>2399</v>
      </c>
      <c r="P487" s="998" t="s">
        <v>2399</v>
      </c>
    </row>
    <row r="488" spans="1:16" x14ac:dyDescent="0.3">
      <c r="A488" s="997" t="s">
        <v>524</v>
      </c>
      <c r="B488" s="997" t="s">
        <v>518</v>
      </c>
      <c r="C488" s="155">
        <v>0.2</v>
      </c>
      <c r="D488" s="155">
        <v>2</v>
      </c>
      <c r="E488" s="387"/>
      <c r="F488" s="254" t="s">
        <v>1256</v>
      </c>
      <c r="G488" s="998" t="s">
        <v>2399</v>
      </c>
      <c r="H488" s="998" t="s">
        <v>2399</v>
      </c>
      <c r="I488" s="998" t="s">
        <v>2399</v>
      </c>
      <c r="J488" s="998" t="s">
        <v>2399</v>
      </c>
      <c r="K488" s="998" t="s">
        <v>260</v>
      </c>
      <c r="L488" s="998" t="s">
        <v>2399</v>
      </c>
      <c r="M488" s="998" t="s">
        <v>2399</v>
      </c>
      <c r="N488" s="998" t="s">
        <v>2399</v>
      </c>
      <c r="O488" s="998" t="s">
        <v>2399</v>
      </c>
      <c r="P488" s="998" t="s">
        <v>2399</v>
      </c>
    </row>
    <row r="489" spans="1:16" x14ac:dyDescent="0.3">
      <c r="A489" s="647" t="s">
        <v>434</v>
      </c>
      <c r="B489" s="647" t="s">
        <v>518</v>
      </c>
      <c r="C489" s="648">
        <v>5</v>
      </c>
      <c r="D489" s="648">
        <v>4</v>
      </c>
      <c r="E489" s="649">
        <v>600</v>
      </c>
      <c r="F489" s="677" t="s">
        <v>206</v>
      </c>
      <c r="G489" s="692" t="s">
        <v>2399</v>
      </c>
      <c r="H489" s="692" t="s">
        <v>2399</v>
      </c>
      <c r="I489" s="692" t="s">
        <v>2399</v>
      </c>
      <c r="J489" s="692" t="s">
        <v>2399</v>
      </c>
      <c r="K489" s="692" t="s">
        <v>260</v>
      </c>
      <c r="L489" s="692" t="s">
        <v>2399</v>
      </c>
      <c r="M489" s="692" t="s">
        <v>2399</v>
      </c>
      <c r="N489" s="692" t="s">
        <v>2399</v>
      </c>
      <c r="O489" s="692" t="s">
        <v>2399</v>
      </c>
      <c r="P489" s="692" t="s">
        <v>2399</v>
      </c>
    </row>
    <row r="490" spans="1:16" x14ac:dyDescent="0.3">
      <c r="A490" s="647" t="s">
        <v>432</v>
      </c>
      <c r="B490" s="647" t="s">
        <v>518</v>
      </c>
      <c r="C490" s="648">
        <v>30</v>
      </c>
      <c r="D490" s="648">
        <v>4</v>
      </c>
      <c r="E490" s="649">
        <v>1200</v>
      </c>
      <c r="F490" s="677" t="s">
        <v>206</v>
      </c>
      <c r="G490" s="692" t="s">
        <v>2399</v>
      </c>
      <c r="H490" s="692" t="s">
        <v>2399</v>
      </c>
      <c r="I490" s="692" t="s">
        <v>2399</v>
      </c>
      <c r="J490" s="692" t="s">
        <v>2399</v>
      </c>
      <c r="K490" s="692" t="s">
        <v>2399</v>
      </c>
      <c r="L490" s="692" t="s">
        <v>2399</v>
      </c>
      <c r="M490" s="692" t="s">
        <v>2399</v>
      </c>
      <c r="N490" s="692" t="s">
        <v>2399</v>
      </c>
      <c r="O490" s="692" t="s">
        <v>2399</v>
      </c>
      <c r="P490" s="692" t="s">
        <v>2399</v>
      </c>
    </row>
    <row r="491" spans="1:16" x14ac:dyDescent="0.3">
      <c r="A491" s="647" t="s">
        <v>433</v>
      </c>
      <c r="B491" s="647" t="s">
        <v>518</v>
      </c>
      <c r="C491" s="648">
        <v>11</v>
      </c>
      <c r="D491" s="648">
        <v>4</v>
      </c>
      <c r="E491" s="649">
        <v>800</v>
      </c>
      <c r="F491" s="677" t="s">
        <v>206</v>
      </c>
      <c r="G491" s="692" t="s">
        <v>2399</v>
      </c>
      <c r="H491" s="692" t="s">
        <v>2399</v>
      </c>
      <c r="I491" s="692" t="s">
        <v>2399</v>
      </c>
      <c r="J491" s="692" t="s">
        <v>2399</v>
      </c>
      <c r="K491" s="692" t="s">
        <v>2399</v>
      </c>
      <c r="L491" s="692" t="s">
        <v>2399</v>
      </c>
      <c r="M491" s="692" t="s">
        <v>2399</v>
      </c>
      <c r="N491" s="692" t="s">
        <v>2399</v>
      </c>
      <c r="O491" s="692" t="s">
        <v>2399</v>
      </c>
      <c r="P491" s="692" t="s">
        <v>2399</v>
      </c>
    </row>
    <row r="492" spans="1:16" x14ac:dyDescent="0.3">
      <c r="A492" s="38" t="s">
        <v>2095</v>
      </c>
      <c r="B492" s="38" t="s">
        <v>518</v>
      </c>
      <c r="C492" s="927">
        <v>0.3</v>
      </c>
      <c r="D492" s="927">
        <v>1</v>
      </c>
      <c r="E492" s="393"/>
      <c r="F492" s="254" t="s">
        <v>1256</v>
      </c>
      <c r="G492" s="998" t="s">
        <v>2399</v>
      </c>
      <c r="H492" s="998" t="s">
        <v>2399</v>
      </c>
      <c r="I492" s="998" t="s">
        <v>2399</v>
      </c>
      <c r="J492" s="998" t="s">
        <v>2399</v>
      </c>
      <c r="K492" s="998" t="s">
        <v>260</v>
      </c>
      <c r="L492" s="998" t="s">
        <v>2399</v>
      </c>
      <c r="M492" s="998" t="s">
        <v>2399</v>
      </c>
      <c r="N492" s="998" t="s">
        <v>2399</v>
      </c>
      <c r="O492" s="998" t="s">
        <v>2399</v>
      </c>
      <c r="P492" s="998" t="s">
        <v>2399</v>
      </c>
    </row>
    <row r="493" spans="1:16" hidden="1" x14ac:dyDescent="0.3">
      <c r="A493" s="38" t="s">
        <v>2098</v>
      </c>
      <c r="B493" s="38" t="s">
        <v>518</v>
      </c>
      <c r="C493" s="927">
        <v>1E-3</v>
      </c>
      <c r="D493" s="927">
        <v>0</v>
      </c>
      <c r="E493" s="393"/>
      <c r="F493" s="691" t="s">
        <v>1256</v>
      </c>
      <c r="G493" s="996" t="s">
        <v>2399</v>
      </c>
      <c r="H493" s="996" t="s">
        <v>2399</v>
      </c>
      <c r="I493" s="996" t="s">
        <v>2399</v>
      </c>
      <c r="J493" s="996" t="s">
        <v>2399</v>
      </c>
      <c r="K493" s="996" t="s">
        <v>260</v>
      </c>
      <c r="L493" s="996" t="s">
        <v>2399</v>
      </c>
      <c r="M493" s="996" t="s">
        <v>2399</v>
      </c>
      <c r="N493" s="996" t="s">
        <v>2399</v>
      </c>
      <c r="O493" s="996" t="s">
        <v>2399</v>
      </c>
      <c r="P493" s="996" t="s">
        <v>2399</v>
      </c>
    </row>
    <row r="494" spans="1:16" x14ac:dyDescent="0.3">
      <c r="A494" s="38" t="s">
        <v>2096</v>
      </c>
      <c r="B494" s="38" t="s">
        <v>518</v>
      </c>
      <c r="C494" s="927">
        <v>0.25</v>
      </c>
      <c r="D494" s="927">
        <v>1</v>
      </c>
      <c r="E494" s="393"/>
      <c r="F494" s="691" t="s">
        <v>1256</v>
      </c>
      <c r="G494" s="998" t="s">
        <v>2399</v>
      </c>
      <c r="H494" s="998" t="s">
        <v>2399</v>
      </c>
      <c r="I494" s="998" t="s">
        <v>2399</v>
      </c>
      <c r="J494" s="998" t="s">
        <v>2399</v>
      </c>
      <c r="K494" s="998" t="s">
        <v>260</v>
      </c>
      <c r="L494" s="998" t="s">
        <v>2399</v>
      </c>
      <c r="M494" s="998" t="s">
        <v>2399</v>
      </c>
      <c r="N494" s="998" t="s">
        <v>2399</v>
      </c>
      <c r="O494" s="998" t="s">
        <v>2399</v>
      </c>
      <c r="P494" s="998" t="s">
        <v>2399</v>
      </c>
    </row>
    <row r="495" spans="1:16" x14ac:dyDescent="0.3">
      <c r="A495" s="647" t="s">
        <v>531</v>
      </c>
      <c r="B495" s="647" t="s">
        <v>518</v>
      </c>
      <c r="C495" s="648">
        <v>5</v>
      </c>
      <c r="D495" s="648">
        <v>2</v>
      </c>
      <c r="E495" s="649">
        <v>50</v>
      </c>
      <c r="F495" s="677" t="s">
        <v>206</v>
      </c>
      <c r="G495" s="692" t="s">
        <v>2399</v>
      </c>
      <c r="H495" s="692" t="s">
        <v>2399</v>
      </c>
      <c r="I495" s="692" t="s">
        <v>2399</v>
      </c>
      <c r="J495" s="692" t="s">
        <v>2399</v>
      </c>
      <c r="K495" s="692" t="s">
        <v>260</v>
      </c>
      <c r="L495" s="692" t="s">
        <v>2399</v>
      </c>
      <c r="M495" s="692" t="s">
        <v>2399</v>
      </c>
      <c r="N495" s="692" t="s">
        <v>2399</v>
      </c>
      <c r="O495" s="692" t="s">
        <v>2399</v>
      </c>
      <c r="P495" s="692" t="s">
        <v>2399</v>
      </c>
    </row>
    <row r="496" spans="1:16" x14ac:dyDescent="0.3">
      <c r="A496" s="997" t="s">
        <v>1213</v>
      </c>
      <c r="B496" s="997" t="s">
        <v>518</v>
      </c>
      <c r="C496" s="155">
        <v>0.4</v>
      </c>
      <c r="D496" s="155">
        <v>2</v>
      </c>
      <c r="E496" s="387"/>
      <c r="F496" s="254" t="s">
        <v>1256</v>
      </c>
      <c r="G496" s="998" t="s">
        <v>2399</v>
      </c>
      <c r="H496" s="998" t="s">
        <v>2399</v>
      </c>
      <c r="I496" s="998" t="s">
        <v>2399</v>
      </c>
      <c r="J496" s="998" t="s">
        <v>2399</v>
      </c>
      <c r="K496" s="998" t="s">
        <v>260</v>
      </c>
      <c r="L496" s="998" t="s">
        <v>2399</v>
      </c>
      <c r="M496" s="998" t="s">
        <v>2399</v>
      </c>
      <c r="N496" s="998" t="s">
        <v>2399</v>
      </c>
      <c r="O496" s="998" t="s">
        <v>2399</v>
      </c>
      <c r="P496" s="998" t="s">
        <v>2399</v>
      </c>
    </row>
    <row r="497" spans="1:16" hidden="1" x14ac:dyDescent="0.3">
      <c r="A497" s="997" t="s">
        <v>1218</v>
      </c>
      <c r="B497" s="997" t="s">
        <v>518</v>
      </c>
      <c r="C497" s="155">
        <v>0.05</v>
      </c>
      <c r="D497" s="155">
        <v>0</v>
      </c>
      <c r="E497" s="387"/>
      <c r="F497" s="254" t="s">
        <v>1256</v>
      </c>
      <c r="G497" s="998" t="s">
        <v>260</v>
      </c>
      <c r="H497" s="998" t="s">
        <v>2399</v>
      </c>
      <c r="I497" s="998" t="s">
        <v>2399</v>
      </c>
      <c r="J497" s="998" t="s">
        <v>2399</v>
      </c>
      <c r="K497" s="998" t="s">
        <v>260</v>
      </c>
      <c r="L497" s="998" t="s">
        <v>2399</v>
      </c>
      <c r="M497" s="998" t="s">
        <v>2399</v>
      </c>
      <c r="N497" s="998" t="s">
        <v>2399</v>
      </c>
      <c r="O497" s="998" t="s">
        <v>2399</v>
      </c>
      <c r="P497" s="998" t="s">
        <v>2399</v>
      </c>
    </row>
    <row r="498" spans="1:16" hidden="1" x14ac:dyDescent="0.3">
      <c r="A498" s="997" t="s">
        <v>522</v>
      </c>
      <c r="B498" s="997" t="s">
        <v>518</v>
      </c>
      <c r="C498" s="155">
        <v>0.08</v>
      </c>
      <c r="D498" s="155">
        <v>0</v>
      </c>
      <c r="E498" s="387"/>
      <c r="F498" s="254" t="s">
        <v>1256</v>
      </c>
      <c r="G498" s="998" t="s">
        <v>2399</v>
      </c>
      <c r="H498" s="998" t="s">
        <v>2399</v>
      </c>
      <c r="I498" s="998" t="s">
        <v>2399</v>
      </c>
      <c r="J498" s="998" t="s">
        <v>2399</v>
      </c>
      <c r="K498" s="998" t="s">
        <v>260</v>
      </c>
      <c r="L498" s="998" t="s">
        <v>2399</v>
      </c>
      <c r="M498" s="998" t="s">
        <v>2399</v>
      </c>
      <c r="N498" s="998" t="s">
        <v>2399</v>
      </c>
      <c r="O498" s="998" t="s">
        <v>2399</v>
      </c>
      <c r="P498" s="998" t="s">
        <v>2399</v>
      </c>
    </row>
    <row r="499" spans="1:16" x14ac:dyDescent="0.3">
      <c r="A499" s="997" t="s">
        <v>2110</v>
      </c>
      <c r="B499" s="38" t="s">
        <v>518</v>
      </c>
      <c r="C499" s="155">
        <v>0.06</v>
      </c>
      <c r="D499" s="155">
        <v>1</v>
      </c>
      <c r="E499" s="387"/>
      <c r="F499" s="254" t="s">
        <v>1256</v>
      </c>
      <c r="G499" s="998" t="s">
        <v>260</v>
      </c>
      <c r="H499" s="998" t="s">
        <v>2399</v>
      </c>
      <c r="I499" s="998" t="s">
        <v>260</v>
      </c>
      <c r="J499" s="998" t="s">
        <v>2399</v>
      </c>
      <c r="K499" s="998" t="s">
        <v>260</v>
      </c>
      <c r="L499" s="998" t="s">
        <v>2399</v>
      </c>
      <c r="M499" s="998" t="s">
        <v>2399</v>
      </c>
      <c r="N499" s="998" t="s">
        <v>2399</v>
      </c>
      <c r="O499" s="998" t="s">
        <v>2399</v>
      </c>
      <c r="P499" s="998" t="s">
        <v>2399</v>
      </c>
    </row>
    <row r="500" spans="1:16" x14ac:dyDescent="0.3">
      <c r="A500" s="647" t="s">
        <v>530</v>
      </c>
      <c r="B500" s="647" t="s">
        <v>518</v>
      </c>
      <c r="C500" s="648">
        <v>0.2</v>
      </c>
      <c r="D500" s="648">
        <v>2</v>
      </c>
      <c r="E500" s="649">
        <v>6</v>
      </c>
      <c r="F500" s="677" t="s">
        <v>206</v>
      </c>
      <c r="G500" s="692" t="s">
        <v>2399</v>
      </c>
      <c r="H500" s="692" t="s">
        <v>2399</v>
      </c>
      <c r="I500" s="692" t="s">
        <v>2399</v>
      </c>
      <c r="J500" s="692" t="s">
        <v>2399</v>
      </c>
      <c r="K500" s="692" t="s">
        <v>260</v>
      </c>
      <c r="L500" s="692" t="s">
        <v>2399</v>
      </c>
      <c r="M500" s="692" t="s">
        <v>2399</v>
      </c>
      <c r="N500" s="692" t="s">
        <v>2399</v>
      </c>
      <c r="O500" s="692" t="s">
        <v>2399</v>
      </c>
      <c r="P500" s="692" t="s">
        <v>2399</v>
      </c>
    </row>
    <row r="501" spans="1:16" x14ac:dyDescent="0.3">
      <c r="A501" s="38" t="s">
        <v>2101</v>
      </c>
      <c r="B501" s="38" t="s">
        <v>518</v>
      </c>
      <c r="C501" s="927">
        <v>0.08</v>
      </c>
      <c r="D501" s="927">
        <v>1</v>
      </c>
      <c r="E501" s="393"/>
      <c r="F501" s="254" t="s">
        <v>1256</v>
      </c>
      <c r="G501" s="998" t="s">
        <v>2399</v>
      </c>
      <c r="H501" s="998" t="s">
        <v>2399</v>
      </c>
      <c r="I501" s="998" t="s">
        <v>2399</v>
      </c>
      <c r="J501" s="998" t="s">
        <v>2399</v>
      </c>
      <c r="K501" s="998" t="s">
        <v>260</v>
      </c>
      <c r="L501" s="998" t="s">
        <v>2399</v>
      </c>
      <c r="M501" s="998" t="s">
        <v>260</v>
      </c>
      <c r="N501" s="998" t="s">
        <v>2399</v>
      </c>
      <c r="O501" s="998" t="s">
        <v>2399</v>
      </c>
      <c r="P501" s="998" t="s">
        <v>2399</v>
      </c>
    </row>
    <row r="502" spans="1:16" hidden="1" x14ac:dyDescent="0.3">
      <c r="A502" s="997" t="s">
        <v>2111</v>
      </c>
      <c r="B502" s="38" t="s">
        <v>518</v>
      </c>
      <c r="C502" s="155">
        <v>0.1</v>
      </c>
      <c r="D502" s="155">
        <v>0</v>
      </c>
      <c r="E502" s="387"/>
      <c r="F502" s="254" t="s">
        <v>1256</v>
      </c>
      <c r="G502" s="998" t="s">
        <v>260</v>
      </c>
      <c r="H502" s="998" t="s">
        <v>2399</v>
      </c>
      <c r="I502" s="998" t="s">
        <v>2399</v>
      </c>
      <c r="J502" s="998" t="s">
        <v>2399</v>
      </c>
      <c r="K502" s="998" t="s">
        <v>260</v>
      </c>
      <c r="L502" s="998" t="s">
        <v>2399</v>
      </c>
      <c r="M502" s="998" t="s">
        <v>2399</v>
      </c>
      <c r="N502" s="998" t="s">
        <v>2399</v>
      </c>
      <c r="O502" s="998" t="s">
        <v>2399</v>
      </c>
      <c r="P502" s="998" t="s">
        <v>2399</v>
      </c>
    </row>
    <row r="503" spans="1:16" hidden="1" x14ac:dyDescent="0.3">
      <c r="A503" s="38" t="s">
        <v>2100</v>
      </c>
      <c r="B503" s="38" t="s">
        <v>518</v>
      </c>
      <c r="C503" s="927">
        <v>0.01</v>
      </c>
      <c r="D503" s="927">
        <v>0</v>
      </c>
      <c r="E503" s="393"/>
      <c r="F503" s="691" t="s">
        <v>1256</v>
      </c>
      <c r="G503" s="998" t="s">
        <v>2399</v>
      </c>
      <c r="H503" s="998" t="s">
        <v>2399</v>
      </c>
      <c r="I503" s="998" t="s">
        <v>2399</v>
      </c>
      <c r="J503" s="998" t="s">
        <v>2399</v>
      </c>
      <c r="K503" s="998" t="s">
        <v>260</v>
      </c>
      <c r="L503" s="998" t="s">
        <v>2399</v>
      </c>
      <c r="M503" s="998" t="s">
        <v>2399</v>
      </c>
      <c r="N503" s="998" t="s">
        <v>2399</v>
      </c>
      <c r="O503" s="998" t="s">
        <v>2399</v>
      </c>
      <c r="P503" s="998" t="s">
        <v>2399</v>
      </c>
    </row>
    <row r="504" spans="1:16" hidden="1" x14ac:dyDescent="0.3">
      <c r="A504" s="38" t="s">
        <v>2099</v>
      </c>
      <c r="B504" s="38" t="s">
        <v>518</v>
      </c>
      <c r="C504" s="927">
        <v>0.02</v>
      </c>
      <c r="D504" s="927">
        <v>0</v>
      </c>
      <c r="E504" s="393"/>
      <c r="F504" s="254" t="s">
        <v>1256</v>
      </c>
      <c r="G504" s="998" t="s">
        <v>2399</v>
      </c>
      <c r="H504" s="998" t="s">
        <v>2399</v>
      </c>
      <c r="I504" s="998" t="s">
        <v>2399</v>
      </c>
      <c r="J504" s="998" t="s">
        <v>2399</v>
      </c>
      <c r="K504" s="998" t="s">
        <v>260</v>
      </c>
      <c r="L504" s="998" t="s">
        <v>2399</v>
      </c>
      <c r="M504" s="998" t="s">
        <v>2399</v>
      </c>
      <c r="N504" s="998" t="s">
        <v>2399</v>
      </c>
      <c r="O504" s="998" t="s">
        <v>2399</v>
      </c>
      <c r="P504" s="998" t="s">
        <v>2399</v>
      </c>
    </row>
    <row r="505" spans="1:16" x14ac:dyDescent="0.3">
      <c r="A505" s="38" t="s">
        <v>663</v>
      </c>
      <c r="B505" s="38" t="s">
        <v>518</v>
      </c>
      <c r="C505" s="927">
        <v>0.15</v>
      </c>
      <c r="D505" s="927">
        <v>1</v>
      </c>
      <c r="E505" s="393">
        <v>25</v>
      </c>
      <c r="F505" s="691" t="s">
        <v>26</v>
      </c>
      <c r="G505" s="996" t="s">
        <v>2399</v>
      </c>
      <c r="H505" s="996" t="s">
        <v>2399</v>
      </c>
      <c r="I505" s="996" t="s">
        <v>2399</v>
      </c>
      <c r="J505" s="996" t="s">
        <v>2399</v>
      </c>
      <c r="K505" s="996" t="s">
        <v>260</v>
      </c>
      <c r="L505" s="996" t="s">
        <v>2399</v>
      </c>
      <c r="M505" s="996" t="s">
        <v>260</v>
      </c>
      <c r="N505" s="996" t="s">
        <v>260</v>
      </c>
      <c r="O505" s="996" t="s">
        <v>2399</v>
      </c>
      <c r="P505" s="996" t="s">
        <v>2399</v>
      </c>
    </row>
    <row r="506" spans="1:16" hidden="1" x14ac:dyDescent="0.3">
      <c r="A506" s="997" t="s">
        <v>2396</v>
      </c>
      <c r="B506" s="997" t="s">
        <v>518</v>
      </c>
      <c r="C506" s="155">
        <v>0.05</v>
      </c>
      <c r="D506" s="155">
        <v>0</v>
      </c>
      <c r="E506" s="387"/>
      <c r="F506" s="254" t="s">
        <v>1256</v>
      </c>
      <c r="G506" s="998" t="s">
        <v>2399</v>
      </c>
      <c r="H506" s="998" t="s">
        <v>2399</v>
      </c>
      <c r="I506" s="998" t="s">
        <v>2399</v>
      </c>
      <c r="J506" s="998" t="s">
        <v>2399</v>
      </c>
      <c r="K506" s="998" t="s">
        <v>260</v>
      </c>
      <c r="L506" s="998" t="s">
        <v>2399</v>
      </c>
      <c r="M506" s="998" t="s">
        <v>2399</v>
      </c>
      <c r="N506" s="998" t="s">
        <v>2399</v>
      </c>
      <c r="O506" s="998" t="s">
        <v>2399</v>
      </c>
      <c r="P506" s="998" t="s">
        <v>2399</v>
      </c>
    </row>
    <row r="507" spans="1:16" x14ac:dyDescent="0.3">
      <c r="A507" s="647" t="s">
        <v>2386</v>
      </c>
      <c r="B507" s="647" t="s">
        <v>518</v>
      </c>
      <c r="C507" s="648">
        <v>0.2</v>
      </c>
      <c r="D507" s="648">
        <v>1</v>
      </c>
      <c r="E507" s="649">
        <v>7</v>
      </c>
      <c r="F507" s="677" t="s">
        <v>206</v>
      </c>
      <c r="G507" s="692" t="s">
        <v>260</v>
      </c>
      <c r="H507" s="692" t="s">
        <v>2399</v>
      </c>
      <c r="I507" s="692" t="s">
        <v>2399</v>
      </c>
      <c r="J507" s="692" t="s">
        <v>2399</v>
      </c>
      <c r="K507" s="692" t="s">
        <v>260</v>
      </c>
      <c r="L507" s="692" t="s">
        <v>2399</v>
      </c>
      <c r="M507" s="692" t="s">
        <v>2399</v>
      </c>
      <c r="N507" s="692" t="s">
        <v>2399</v>
      </c>
      <c r="O507" s="692" t="s">
        <v>2399</v>
      </c>
      <c r="P507" s="692" t="s">
        <v>2399</v>
      </c>
    </row>
    <row r="508" spans="1:16" hidden="1" x14ac:dyDescent="0.3">
      <c r="A508" s="38" t="s">
        <v>3936</v>
      </c>
      <c r="B508" s="38" t="s">
        <v>518</v>
      </c>
      <c r="C508" s="927">
        <v>0.05</v>
      </c>
      <c r="D508" s="927">
        <v>0</v>
      </c>
      <c r="E508" s="393">
        <v>70</v>
      </c>
      <c r="F508" s="691" t="s">
        <v>26</v>
      </c>
      <c r="G508" s="996" t="s">
        <v>260</v>
      </c>
      <c r="H508" s="996" t="s">
        <v>2399</v>
      </c>
      <c r="I508" s="996" t="s">
        <v>2399</v>
      </c>
      <c r="J508" s="996" t="s">
        <v>260</v>
      </c>
      <c r="K508" s="996" t="s">
        <v>260</v>
      </c>
      <c r="L508" s="996" t="s">
        <v>260</v>
      </c>
      <c r="M508" s="996" t="s">
        <v>2399</v>
      </c>
      <c r="N508" s="996" t="s">
        <v>2399</v>
      </c>
      <c r="O508" s="996" t="s">
        <v>2399</v>
      </c>
      <c r="P508" s="996" t="s">
        <v>2399</v>
      </c>
    </row>
    <row r="509" spans="1:16" x14ac:dyDescent="0.3">
      <c r="A509" s="647" t="s">
        <v>3792</v>
      </c>
      <c r="B509" s="647" t="s">
        <v>518</v>
      </c>
      <c r="C509" s="648">
        <v>0.5</v>
      </c>
      <c r="D509" s="648">
        <v>1</v>
      </c>
      <c r="E509" s="649">
        <v>240</v>
      </c>
      <c r="F509" s="677" t="s">
        <v>206</v>
      </c>
      <c r="G509" s="692" t="s">
        <v>2399</v>
      </c>
      <c r="H509" s="692" t="s">
        <v>2399</v>
      </c>
      <c r="I509" s="692" t="s">
        <v>2399</v>
      </c>
      <c r="J509" s="692" t="s">
        <v>2399</v>
      </c>
      <c r="K509" s="692" t="s">
        <v>260</v>
      </c>
      <c r="L509" s="692" t="s">
        <v>2399</v>
      </c>
      <c r="M509" s="692" t="s">
        <v>2399</v>
      </c>
      <c r="N509" s="692" t="s">
        <v>2399</v>
      </c>
      <c r="O509" s="692" t="s">
        <v>2399</v>
      </c>
      <c r="P509" s="692" t="s">
        <v>2399</v>
      </c>
    </row>
    <row r="510" spans="1:16" x14ac:dyDescent="0.3">
      <c r="A510" s="647" t="s">
        <v>3793</v>
      </c>
      <c r="B510" s="647" t="s">
        <v>518</v>
      </c>
      <c r="C510" s="648">
        <v>0.2</v>
      </c>
      <c r="D510" s="648">
        <v>1</v>
      </c>
      <c r="E510" s="649">
        <v>220</v>
      </c>
      <c r="F510" s="677" t="s">
        <v>206</v>
      </c>
      <c r="G510" s="692" t="s">
        <v>2399</v>
      </c>
      <c r="H510" s="692" t="s">
        <v>2399</v>
      </c>
      <c r="I510" s="692" t="s">
        <v>260</v>
      </c>
      <c r="J510" s="692" t="s">
        <v>2399</v>
      </c>
      <c r="K510" s="692" t="s">
        <v>260</v>
      </c>
      <c r="L510" s="692" t="s">
        <v>2399</v>
      </c>
      <c r="M510" s="692" t="s">
        <v>2399</v>
      </c>
      <c r="N510" s="692" t="s">
        <v>2399</v>
      </c>
      <c r="O510" s="692" t="s">
        <v>2399</v>
      </c>
      <c r="P510" s="692" t="s">
        <v>2399</v>
      </c>
    </row>
    <row r="511" spans="1:16" x14ac:dyDescent="0.3">
      <c r="A511" s="647" t="s">
        <v>3791</v>
      </c>
      <c r="B511" s="647" t="s">
        <v>518</v>
      </c>
      <c r="C511" s="648">
        <v>1</v>
      </c>
      <c r="D511" s="648">
        <v>2</v>
      </c>
      <c r="E511" s="649">
        <v>250</v>
      </c>
      <c r="F511" s="677" t="s">
        <v>206</v>
      </c>
      <c r="G511" s="692" t="s">
        <v>2399</v>
      </c>
      <c r="H511" s="692" t="s">
        <v>2399</v>
      </c>
      <c r="I511" s="692" t="s">
        <v>2399</v>
      </c>
      <c r="J511" s="692" t="s">
        <v>2399</v>
      </c>
      <c r="K511" s="692" t="s">
        <v>260</v>
      </c>
      <c r="L511" s="692" t="s">
        <v>2399</v>
      </c>
      <c r="M511" s="692" t="s">
        <v>2399</v>
      </c>
      <c r="N511" s="692" t="s">
        <v>2399</v>
      </c>
      <c r="O511" s="692" t="s">
        <v>2399</v>
      </c>
      <c r="P511" s="692" t="s">
        <v>2399</v>
      </c>
    </row>
    <row r="512" spans="1:16" x14ac:dyDescent="0.3">
      <c r="A512" s="38" t="s">
        <v>525</v>
      </c>
      <c r="B512" s="38" t="s">
        <v>518</v>
      </c>
      <c r="C512" s="927">
        <v>0.25</v>
      </c>
      <c r="D512" s="927">
        <v>1</v>
      </c>
      <c r="E512" s="393">
        <v>2.5</v>
      </c>
      <c r="F512" s="691" t="s">
        <v>26</v>
      </c>
      <c r="G512" s="996" t="s">
        <v>2399</v>
      </c>
      <c r="H512" s="996" t="s">
        <v>2399</v>
      </c>
      <c r="I512" s="996" t="s">
        <v>2399</v>
      </c>
      <c r="J512" s="996" t="s">
        <v>2399</v>
      </c>
      <c r="K512" s="996" t="s">
        <v>260</v>
      </c>
      <c r="L512" s="996" t="s">
        <v>2399</v>
      </c>
      <c r="M512" s="996" t="s">
        <v>2399</v>
      </c>
      <c r="N512" s="996" t="s">
        <v>2399</v>
      </c>
      <c r="O512" s="996" t="s">
        <v>2399</v>
      </c>
      <c r="P512" s="996" t="s">
        <v>2399</v>
      </c>
    </row>
    <row r="513" spans="1:16" x14ac:dyDescent="0.3">
      <c r="A513" s="997" t="s">
        <v>1140</v>
      </c>
      <c r="B513" s="997" t="s">
        <v>518</v>
      </c>
      <c r="C513" s="155">
        <v>1</v>
      </c>
      <c r="D513" s="155">
        <v>1</v>
      </c>
      <c r="E513" s="387"/>
      <c r="F513" s="254" t="s">
        <v>1256</v>
      </c>
      <c r="G513" s="998" t="s">
        <v>2399</v>
      </c>
      <c r="H513" s="998" t="s">
        <v>2399</v>
      </c>
      <c r="I513" s="998" t="s">
        <v>2399</v>
      </c>
      <c r="J513" s="998" t="s">
        <v>2399</v>
      </c>
      <c r="K513" s="998" t="s">
        <v>260</v>
      </c>
      <c r="L513" s="998" t="s">
        <v>2399</v>
      </c>
      <c r="M513" s="998" t="s">
        <v>2399</v>
      </c>
      <c r="N513" s="998" t="s">
        <v>2399</v>
      </c>
      <c r="O513" s="998" t="s">
        <v>2399</v>
      </c>
      <c r="P513" s="998" t="s">
        <v>2399</v>
      </c>
    </row>
    <row r="514" spans="1:16" x14ac:dyDescent="0.3">
      <c r="A514" s="38" t="s">
        <v>3938</v>
      </c>
      <c r="B514" s="38" t="s">
        <v>518</v>
      </c>
      <c r="C514" s="927">
        <v>0.3</v>
      </c>
      <c r="D514" s="927">
        <v>2</v>
      </c>
      <c r="E514" s="393"/>
      <c r="F514" s="254" t="s">
        <v>1256</v>
      </c>
      <c r="G514" s="998" t="s">
        <v>2399</v>
      </c>
      <c r="H514" s="998" t="s">
        <v>2399</v>
      </c>
      <c r="I514" s="998" t="s">
        <v>2399</v>
      </c>
      <c r="J514" s="998" t="s">
        <v>2399</v>
      </c>
      <c r="K514" s="998" t="s">
        <v>260</v>
      </c>
      <c r="L514" s="998" t="s">
        <v>2399</v>
      </c>
      <c r="M514" s="998" t="s">
        <v>260</v>
      </c>
      <c r="N514" s="998" t="s">
        <v>2399</v>
      </c>
      <c r="O514" s="998" t="s">
        <v>2399</v>
      </c>
      <c r="P514" s="998" t="s">
        <v>2399</v>
      </c>
    </row>
    <row r="515" spans="1:16" hidden="1" x14ac:dyDescent="0.3">
      <c r="A515" s="38" t="s">
        <v>2097</v>
      </c>
      <c r="B515" s="38" t="s">
        <v>518</v>
      </c>
      <c r="C515" s="927">
        <v>0.01</v>
      </c>
      <c r="D515" s="927">
        <v>0</v>
      </c>
      <c r="E515" s="393"/>
      <c r="F515" s="254" t="s">
        <v>1256</v>
      </c>
      <c r="G515" s="998" t="s">
        <v>2399</v>
      </c>
      <c r="H515" s="998" t="s">
        <v>2399</v>
      </c>
      <c r="I515" s="998" t="s">
        <v>2399</v>
      </c>
      <c r="J515" s="998" t="s">
        <v>2399</v>
      </c>
      <c r="K515" s="998" t="s">
        <v>260</v>
      </c>
      <c r="L515" s="998" t="s">
        <v>2399</v>
      </c>
      <c r="M515" s="998" t="s">
        <v>2399</v>
      </c>
      <c r="N515" s="998" t="s">
        <v>2399</v>
      </c>
      <c r="O515" s="998" t="s">
        <v>2399</v>
      </c>
      <c r="P515" s="998" t="s">
        <v>2399</v>
      </c>
    </row>
    <row r="516" spans="1:16" hidden="1" x14ac:dyDescent="0.3">
      <c r="A516" s="707" t="s">
        <v>529</v>
      </c>
      <c r="B516" s="707" t="s">
        <v>518</v>
      </c>
      <c r="C516" s="708">
        <v>1</v>
      </c>
      <c r="D516" s="708">
        <v>0</v>
      </c>
      <c r="E516" s="709">
        <v>6</v>
      </c>
      <c r="F516" s="710" t="s">
        <v>3931</v>
      </c>
      <c r="G516" s="711" t="s">
        <v>2399</v>
      </c>
      <c r="H516" s="711" t="s">
        <v>2399</v>
      </c>
      <c r="I516" s="711" t="s">
        <v>2399</v>
      </c>
      <c r="J516" s="711" t="s">
        <v>2399</v>
      </c>
      <c r="K516" s="711" t="s">
        <v>260</v>
      </c>
      <c r="L516" s="711" t="s">
        <v>2399</v>
      </c>
      <c r="M516" s="711" t="s">
        <v>2399</v>
      </c>
      <c r="N516" s="711" t="s">
        <v>2399</v>
      </c>
      <c r="O516" s="711" t="s">
        <v>2399</v>
      </c>
      <c r="P516" s="711" t="s">
        <v>2399</v>
      </c>
    </row>
    <row r="517" spans="1:16" hidden="1" x14ac:dyDescent="0.3">
      <c r="A517" s="997" t="s">
        <v>527</v>
      </c>
      <c r="B517" s="997" t="s">
        <v>518</v>
      </c>
      <c r="C517" s="155">
        <v>0.1</v>
      </c>
      <c r="D517" s="155">
        <v>0</v>
      </c>
      <c r="E517" s="387"/>
      <c r="F517" s="254" t="s">
        <v>1256</v>
      </c>
      <c r="G517" s="998" t="s">
        <v>2399</v>
      </c>
      <c r="H517" s="998" t="s">
        <v>2399</v>
      </c>
      <c r="I517" s="998" t="s">
        <v>2399</v>
      </c>
      <c r="J517" s="998" t="s">
        <v>2399</v>
      </c>
      <c r="K517" s="998" t="s">
        <v>260</v>
      </c>
      <c r="L517" s="998" t="s">
        <v>2399</v>
      </c>
      <c r="M517" s="998" t="s">
        <v>2399</v>
      </c>
      <c r="N517" s="998" t="s">
        <v>2399</v>
      </c>
      <c r="O517" s="998" t="s">
        <v>2399</v>
      </c>
      <c r="P517" s="998" t="s">
        <v>2399</v>
      </c>
    </row>
    <row r="518" spans="1:16" hidden="1" x14ac:dyDescent="0.3">
      <c r="A518" s="997" t="s">
        <v>1244</v>
      </c>
      <c r="B518" s="997" t="s">
        <v>518</v>
      </c>
      <c r="C518" s="155">
        <v>0.01</v>
      </c>
      <c r="D518" s="155">
        <v>0</v>
      </c>
      <c r="E518" s="387">
        <v>3</v>
      </c>
      <c r="F518" s="254" t="s">
        <v>1256</v>
      </c>
      <c r="G518" s="998" t="s">
        <v>2399</v>
      </c>
      <c r="H518" s="998" t="s">
        <v>2399</v>
      </c>
      <c r="I518" s="998" t="s">
        <v>2399</v>
      </c>
      <c r="J518" s="998" t="s">
        <v>2399</v>
      </c>
      <c r="K518" s="998" t="s">
        <v>260</v>
      </c>
      <c r="L518" s="998" t="s">
        <v>2399</v>
      </c>
      <c r="M518" s="998" t="s">
        <v>2399</v>
      </c>
      <c r="N518" s="998" t="s">
        <v>2399</v>
      </c>
      <c r="O518" s="998" t="s">
        <v>2399</v>
      </c>
      <c r="P518" s="998" t="s">
        <v>2399</v>
      </c>
    </row>
    <row r="519" spans="1:16" x14ac:dyDescent="0.3">
      <c r="A519" s="647" t="s">
        <v>1223</v>
      </c>
      <c r="B519" s="647" t="s">
        <v>518</v>
      </c>
      <c r="C519" s="648">
        <v>8</v>
      </c>
      <c r="D519" s="648">
        <v>4</v>
      </c>
      <c r="E519" s="649">
        <v>450</v>
      </c>
      <c r="F519" s="677" t="s">
        <v>206</v>
      </c>
      <c r="G519" s="692" t="s">
        <v>2399</v>
      </c>
      <c r="H519" s="692" t="s">
        <v>2399</v>
      </c>
      <c r="I519" s="692" t="s">
        <v>2399</v>
      </c>
      <c r="J519" s="692" t="s">
        <v>2399</v>
      </c>
      <c r="K519" s="692" t="s">
        <v>260</v>
      </c>
      <c r="L519" s="692" t="s">
        <v>2399</v>
      </c>
      <c r="M519" s="692" t="s">
        <v>2399</v>
      </c>
      <c r="N519" s="692" t="s">
        <v>2399</v>
      </c>
      <c r="O519" s="692" t="s">
        <v>2399</v>
      </c>
      <c r="P519" s="692" t="s">
        <v>2399</v>
      </c>
    </row>
    <row r="520" spans="1:16" hidden="1" x14ac:dyDescent="0.3">
      <c r="A520" s="647" t="s">
        <v>1224</v>
      </c>
      <c r="B520" s="647" t="s">
        <v>518</v>
      </c>
      <c r="C520" s="648">
        <v>20</v>
      </c>
      <c r="D520" s="648">
        <v>9</v>
      </c>
      <c r="E520" s="649">
        <v>600</v>
      </c>
      <c r="F520" s="677" t="s">
        <v>206</v>
      </c>
      <c r="G520" s="692" t="s">
        <v>2399</v>
      </c>
      <c r="H520" s="692" t="s">
        <v>2399</v>
      </c>
      <c r="I520" s="692" t="s">
        <v>2399</v>
      </c>
      <c r="J520" s="692" t="s">
        <v>2399</v>
      </c>
      <c r="K520" s="692" t="s">
        <v>2399</v>
      </c>
      <c r="L520" s="692" t="s">
        <v>2399</v>
      </c>
      <c r="M520" s="692" t="s">
        <v>2399</v>
      </c>
      <c r="N520" s="692" t="s">
        <v>2399</v>
      </c>
      <c r="O520" s="692" t="s">
        <v>2399</v>
      </c>
      <c r="P520" s="692" t="s">
        <v>2399</v>
      </c>
    </row>
    <row r="521" spans="1:16" hidden="1" x14ac:dyDescent="0.3">
      <c r="A521" s="647" t="s">
        <v>1225</v>
      </c>
      <c r="B521" s="647" t="s">
        <v>518</v>
      </c>
      <c r="C521" s="648">
        <v>50</v>
      </c>
      <c r="D521" s="648">
        <v>16</v>
      </c>
      <c r="E521" s="649">
        <v>750</v>
      </c>
      <c r="F521" s="677" t="s">
        <v>206</v>
      </c>
      <c r="G521" s="692" t="s">
        <v>2399</v>
      </c>
      <c r="H521" s="692" t="s">
        <v>2399</v>
      </c>
      <c r="I521" s="692" t="s">
        <v>2399</v>
      </c>
      <c r="J521" s="692" t="s">
        <v>2399</v>
      </c>
      <c r="K521" s="692" t="s">
        <v>2399</v>
      </c>
      <c r="L521" s="692" t="s">
        <v>2399</v>
      </c>
      <c r="M521" s="692" t="s">
        <v>2399</v>
      </c>
      <c r="N521" s="692" t="s">
        <v>2399</v>
      </c>
      <c r="O521" s="692" t="s">
        <v>2399</v>
      </c>
      <c r="P521" s="692" t="s">
        <v>2399</v>
      </c>
    </row>
    <row r="522" spans="1:16" x14ac:dyDescent="0.3">
      <c r="A522" s="647" t="s">
        <v>3794</v>
      </c>
      <c r="B522" s="647" t="s">
        <v>518</v>
      </c>
      <c r="C522" s="648">
        <v>0.25</v>
      </c>
      <c r="D522" s="648">
        <v>1</v>
      </c>
      <c r="E522" s="649">
        <v>0.35</v>
      </c>
      <c r="F522" s="677" t="s">
        <v>206</v>
      </c>
      <c r="G522" s="692" t="s">
        <v>2399</v>
      </c>
      <c r="H522" s="692" t="s">
        <v>2399</v>
      </c>
      <c r="I522" s="692" t="s">
        <v>2399</v>
      </c>
      <c r="J522" s="692" t="s">
        <v>2399</v>
      </c>
      <c r="K522" s="692" t="s">
        <v>260</v>
      </c>
      <c r="L522" s="692" t="s">
        <v>2399</v>
      </c>
      <c r="M522" s="692" t="s">
        <v>2399</v>
      </c>
      <c r="N522" s="692" t="s">
        <v>2399</v>
      </c>
      <c r="O522" s="692" t="s">
        <v>2399</v>
      </c>
      <c r="P522" s="692" t="s">
        <v>2399</v>
      </c>
    </row>
    <row r="523" spans="1:16" x14ac:dyDescent="0.3">
      <c r="A523" s="647" t="s">
        <v>3795</v>
      </c>
      <c r="B523" s="647" t="s">
        <v>518</v>
      </c>
      <c r="C523" s="648">
        <v>1.1000000000000001</v>
      </c>
      <c r="D523" s="648">
        <v>1</v>
      </c>
      <c r="E523" s="649">
        <v>50</v>
      </c>
      <c r="F523" s="677" t="s">
        <v>206</v>
      </c>
      <c r="G523" s="692" t="s">
        <v>2399</v>
      </c>
      <c r="H523" s="692" t="s">
        <v>2399</v>
      </c>
      <c r="I523" s="692" t="s">
        <v>2399</v>
      </c>
      <c r="J523" s="692" t="s">
        <v>2399</v>
      </c>
      <c r="K523" s="692" t="s">
        <v>260</v>
      </c>
      <c r="L523" s="692" t="s">
        <v>2399</v>
      </c>
      <c r="M523" s="692" t="s">
        <v>2399</v>
      </c>
      <c r="N523" s="692" t="s">
        <v>2399</v>
      </c>
      <c r="O523" s="692" t="s">
        <v>2399</v>
      </c>
      <c r="P523" s="692" t="s">
        <v>2399</v>
      </c>
    </row>
    <row r="524" spans="1:16" hidden="1" x14ac:dyDescent="0.3">
      <c r="A524" s="997" t="s">
        <v>1324</v>
      </c>
      <c r="B524" s="997" t="s">
        <v>518</v>
      </c>
      <c r="C524" s="155">
        <v>0.05</v>
      </c>
      <c r="D524" s="155">
        <v>0</v>
      </c>
      <c r="E524" s="387"/>
      <c r="F524" s="254" t="s">
        <v>1256</v>
      </c>
      <c r="G524" s="998" t="s">
        <v>2399</v>
      </c>
      <c r="H524" s="998" t="s">
        <v>2399</v>
      </c>
      <c r="I524" s="998" t="s">
        <v>260</v>
      </c>
      <c r="J524" s="998" t="s">
        <v>2399</v>
      </c>
      <c r="K524" s="998" t="s">
        <v>260</v>
      </c>
      <c r="L524" s="998" t="s">
        <v>2399</v>
      </c>
      <c r="M524" s="998" t="s">
        <v>2399</v>
      </c>
      <c r="N524" s="998" t="s">
        <v>2399</v>
      </c>
      <c r="O524" s="998" t="s">
        <v>2399</v>
      </c>
      <c r="P524" s="998" t="s">
        <v>2399</v>
      </c>
    </row>
    <row r="525" spans="1:16" x14ac:dyDescent="0.3">
      <c r="A525" s="997" t="s">
        <v>526</v>
      </c>
      <c r="B525" s="997" t="s">
        <v>518</v>
      </c>
      <c r="C525" s="155">
        <v>0.8</v>
      </c>
      <c r="D525" s="155">
        <v>1</v>
      </c>
      <c r="E525" s="387"/>
      <c r="F525" s="254" t="s">
        <v>1256</v>
      </c>
      <c r="G525" s="998" t="s">
        <v>2399</v>
      </c>
      <c r="H525" s="998" t="s">
        <v>2399</v>
      </c>
      <c r="I525" s="998" t="s">
        <v>2399</v>
      </c>
      <c r="J525" s="998" t="s">
        <v>2399</v>
      </c>
      <c r="K525" s="998" t="s">
        <v>260</v>
      </c>
      <c r="L525" s="998" t="s">
        <v>2399</v>
      </c>
      <c r="M525" s="998" t="s">
        <v>2399</v>
      </c>
      <c r="N525" s="998" t="s">
        <v>2399</v>
      </c>
      <c r="O525" s="998" t="s">
        <v>2399</v>
      </c>
      <c r="P525" s="998" t="s">
        <v>2399</v>
      </c>
    </row>
    <row r="526" spans="1:16" hidden="1" x14ac:dyDescent="0.3">
      <c r="A526" s="997" t="s">
        <v>2395</v>
      </c>
      <c r="B526" s="997" t="s">
        <v>518</v>
      </c>
      <c r="C526" s="155">
        <v>0.04</v>
      </c>
      <c r="D526" s="155">
        <v>0</v>
      </c>
      <c r="E526" s="387"/>
      <c r="F526" s="254" t="s">
        <v>1256</v>
      </c>
      <c r="G526" s="998" t="s">
        <v>2399</v>
      </c>
      <c r="H526" s="998" t="s">
        <v>2399</v>
      </c>
      <c r="I526" s="998" t="s">
        <v>2399</v>
      </c>
      <c r="J526" s="998" t="s">
        <v>2399</v>
      </c>
      <c r="K526" s="998" t="s">
        <v>260</v>
      </c>
      <c r="L526" s="998" t="s">
        <v>2399</v>
      </c>
      <c r="M526" s="998" t="s">
        <v>2399</v>
      </c>
      <c r="N526" s="998" t="s">
        <v>2399</v>
      </c>
      <c r="O526" s="998" t="s">
        <v>2399</v>
      </c>
      <c r="P526" s="998" t="s">
        <v>2399</v>
      </c>
    </row>
    <row r="527" spans="1:16" hidden="1" x14ac:dyDescent="0.3">
      <c r="A527" s="997" t="s">
        <v>2092</v>
      </c>
      <c r="B527" s="997" t="s">
        <v>2093</v>
      </c>
      <c r="C527" s="155">
        <v>0.04</v>
      </c>
      <c r="D527" s="155">
        <v>0</v>
      </c>
      <c r="E527" s="387"/>
      <c r="F527" s="254" t="s">
        <v>1256</v>
      </c>
      <c r="G527" s="998" t="s">
        <v>260</v>
      </c>
      <c r="H527" s="998" t="s">
        <v>2399</v>
      </c>
      <c r="I527" s="998" t="s">
        <v>2399</v>
      </c>
      <c r="J527" s="998" t="s">
        <v>2399</v>
      </c>
      <c r="K527" s="998" t="s">
        <v>260</v>
      </c>
      <c r="L527" s="998" t="s">
        <v>2399</v>
      </c>
      <c r="M527" s="998" t="s">
        <v>260</v>
      </c>
      <c r="N527" s="998" t="s">
        <v>2399</v>
      </c>
      <c r="O527" s="998" t="s">
        <v>2399</v>
      </c>
      <c r="P527" s="998" t="s">
        <v>2399</v>
      </c>
    </row>
    <row r="528" spans="1:16" x14ac:dyDescent="0.3">
      <c r="A528" s="33"/>
      <c r="B528" s="33"/>
      <c r="C528" s="155"/>
      <c r="D528" s="155"/>
      <c r="E528" s="387"/>
      <c r="F528" s="254"/>
      <c r="G528" s="669"/>
      <c r="H528" s="669"/>
      <c r="I528" s="669"/>
      <c r="J528" s="669"/>
      <c r="K528" s="669"/>
      <c r="L528" s="669"/>
      <c r="M528" s="669"/>
      <c r="N528" s="669"/>
      <c r="O528" s="669"/>
      <c r="P528" s="669"/>
    </row>
    <row r="529" spans="1:16" x14ac:dyDescent="0.3">
      <c r="A529" s="33"/>
      <c r="B529" s="33"/>
      <c r="C529" s="155"/>
      <c r="D529" s="155"/>
      <c r="E529" s="387"/>
      <c r="F529" s="254"/>
      <c r="G529" s="669"/>
      <c r="H529" s="669"/>
      <c r="I529" s="669"/>
      <c r="J529" s="669"/>
      <c r="K529" s="669"/>
      <c r="L529" s="669"/>
      <c r="M529" s="669"/>
      <c r="N529" s="669"/>
      <c r="O529" s="669"/>
      <c r="P529" s="669"/>
    </row>
  </sheetData>
  <autoFilter ref="A2:P527">
    <filterColumn colId="3">
      <filters>
        <filter val="1"/>
        <filter val="2"/>
        <filter val="4"/>
      </filters>
    </filterColumn>
    <filterColumn colId="5">
      <filters>
        <filter val="Alchymista"/>
        <filter val="Běžné vybavení"/>
        <filter val="Cestovní výbava"/>
        <filter val="Další vybavení"/>
        <filter val="Domácí výbava"/>
        <filter val="Jiné"/>
        <filter val="Kombinace"/>
        <filter val="NE"/>
        <filter val="Zbraně"/>
        <filter val="Žbraně"/>
      </filters>
    </filterColumn>
    <sortState ref="A3:O474">
      <sortCondition ref="B3:B474"/>
      <sortCondition ref="A3:A474"/>
    </sortState>
  </autoFilter>
  <sortState ref="A425:E498">
    <sortCondition ref="A425:A498"/>
  </sortState>
  <pageMargins left="0.7" right="0.7" top="0.78740157499999996" bottom="0.78740157499999996" header="0.3" footer="0.3"/>
  <pageSetup paperSize="9" orientation="portrait" horizontalDpi="0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6">
    <tabColor rgb="FF92D050"/>
  </sheetPr>
  <dimension ref="A1:CB106"/>
  <sheetViews>
    <sheetView tabSelected="1" topLeftCell="A52" zoomScaleNormal="100" zoomScaleSheetLayoutView="90" workbookViewId="0">
      <selection activeCell="O65" sqref="O65"/>
    </sheetView>
  </sheetViews>
  <sheetFormatPr defaultRowHeight="14.4" outlineLevelCol="1" x14ac:dyDescent="0.3"/>
  <cols>
    <col min="1" max="1" width="3" customWidth="1"/>
    <col min="2" max="2" width="11.44140625" customWidth="1"/>
    <col min="3" max="3" width="7.109375" customWidth="1"/>
    <col min="4" max="4" width="5" customWidth="1"/>
    <col min="5" max="5" width="5.5546875" customWidth="1"/>
    <col min="6" max="6" width="6.33203125" customWidth="1"/>
    <col min="7" max="7" width="2.88671875" customWidth="1"/>
    <col min="8" max="8" width="3.6640625" customWidth="1"/>
    <col min="9" max="9" width="7.5546875" customWidth="1"/>
    <col min="10" max="10" width="3.88671875" customWidth="1"/>
    <col min="11" max="11" width="5.5546875" customWidth="1"/>
    <col min="12" max="12" width="4.6640625" customWidth="1"/>
    <col min="13" max="13" width="5" customWidth="1"/>
    <col min="14" max="15" width="4.44140625" customWidth="1"/>
    <col min="16" max="16" width="7" customWidth="1"/>
    <col min="17" max="17" width="4.6640625" customWidth="1"/>
    <col min="18" max="19" width="4.44140625" customWidth="1"/>
    <col min="20" max="20" width="4.6640625" customWidth="1"/>
    <col min="21" max="21" width="3.33203125" customWidth="1"/>
    <col min="22" max="22" width="1.109375" customWidth="1"/>
    <col min="23" max="23" width="7.88671875" customWidth="1"/>
    <col min="24" max="24" width="15.109375" bestFit="1" customWidth="1"/>
    <col min="25" max="25" width="3.6640625" bestFit="1" customWidth="1"/>
    <col min="26" max="26" width="3.44140625" bestFit="1" customWidth="1"/>
    <col min="27" max="27" width="3" bestFit="1" customWidth="1"/>
    <col min="28" max="32" width="3.44140625" customWidth="1"/>
    <col min="33" max="33" width="7.88671875" customWidth="1"/>
    <col min="34" max="34" width="14" customWidth="1"/>
    <col min="35" max="35" width="9" customWidth="1"/>
    <col min="36" max="36" width="7.33203125" customWidth="1"/>
    <col min="37" max="37" width="6" customWidth="1"/>
    <col min="38" max="38" width="5.44140625" customWidth="1"/>
    <col min="39" max="42" width="4.5546875" customWidth="1"/>
    <col min="43" max="43" width="3.33203125" customWidth="1"/>
    <col min="44" max="44" width="7.109375" customWidth="1"/>
    <col min="45" max="45" width="6.5546875" customWidth="1"/>
    <col min="46" max="46" width="9.33203125" customWidth="1"/>
    <col min="47" max="47" width="2.33203125" customWidth="1"/>
    <col min="48" max="48" width="15.6640625" customWidth="1"/>
    <col min="49" max="49" width="8.33203125" customWidth="1"/>
    <col min="50" max="50" width="5.109375" customWidth="1"/>
    <col min="51" max="51" width="18.33203125" customWidth="1"/>
    <col min="52" max="52" width="11.88671875" customWidth="1"/>
    <col min="53" max="53" width="4.5546875" customWidth="1"/>
    <col min="54" max="54" width="6" customWidth="1"/>
    <col min="55" max="55" width="4.6640625" customWidth="1"/>
    <col min="56" max="56" width="3.44140625" customWidth="1"/>
    <col min="57" max="57" width="4.5546875" customWidth="1"/>
    <col min="58" max="58" width="7.33203125" customWidth="1"/>
    <col min="59" max="59" width="6.33203125" customWidth="1"/>
    <col min="60" max="60" width="4.6640625" customWidth="1"/>
    <col min="61" max="62" width="4.5546875" customWidth="1"/>
    <col min="63" max="63" width="5.44140625" customWidth="1"/>
    <col min="64" max="64" width="6.5546875" customWidth="1"/>
    <col min="65" max="65" width="9.109375" customWidth="1"/>
    <col min="67" max="67" width="18.109375" bestFit="1" customWidth="1" outlineLevel="1"/>
    <col min="68" max="80" width="8.88671875" outlineLevel="1"/>
  </cols>
  <sheetData>
    <row r="1" spans="1:80" ht="26.4" thickBot="1" x14ac:dyDescent="0.55000000000000004">
      <c r="A1" s="754"/>
      <c r="B1" s="755"/>
      <c r="C1" s="755"/>
      <c r="D1" s="755"/>
      <c r="E1" s="755"/>
      <c r="F1" s="755"/>
      <c r="G1" s="755"/>
      <c r="H1" s="755"/>
      <c r="I1" s="755"/>
      <c r="J1" s="756" t="s">
        <v>4267</v>
      </c>
      <c r="K1" s="756"/>
      <c r="L1" s="756"/>
      <c r="M1" s="756"/>
      <c r="N1" s="756"/>
      <c r="O1" s="756"/>
      <c r="P1" s="755"/>
      <c r="Q1" s="755"/>
      <c r="R1" s="755"/>
      <c r="S1" s="755"/>
      <c r="T1" s="755"/>
      <c r="U1" s="757" t="s">
        <v>38</v>
      </c>
      <c r="V1" s="758"/>
    </row>
    <row r="2" spans="1:80" ht="20.399999999999999" thickBot="1" x14ac:dyDescent="0.45">
      <c r="A2" s="768"/>
      <c r="B2" s="940" t="s">
        <v>4245</v>
      </c>
      <c r="C2" s="197"/>
      <c r="D2" s="197"/>
      <c r="E2" s="377"/>
      <c r="F2" s="197"/>
      <c r="G2" s="197"/>
      <c r="H2" s="197"/>
      <c r="I2" s="197"/>
      <c r="J2" s="942" t="s">
        <v>16</v>
      </c>
      <c r="K2" s="197"/>
      <c r="L2" s="197"/>
      <c r="M2" s="197"/>
      <c r="N2" s="197"/>
      <c r="O2" s="197"/>
      <c r="P2" s="197"/>
      <c r="Q2" s="197"/>
      <c r="R2" s="159" t="s">
        <v>4255</v>
      </c>
      <c r="S2" s="321">
        <f>'2-Vzhled a charakter'!L4+'2-Vzhled a charakter'!L5</f>
        <v>4</v>
      </c>
      <c r="T2" s="937" t="s">
        <v>4254</v>
      </c>
      <c r="U2" s="69">
        <f>LOOKUP(S2,$AR$9:AR49,$AS$9:$AS$49)</f>
        <v>1</v>
      </c>
      <c r="V2" s="761"/>
      <c r="X2" s="476" t="s">
        <v>2481</v>
      </c>
      <c r="BA2" s="1282" t="s">
        <v>305</v>
      </c>
      <c r="BB2" s="1283"/>
      <c r="BC2" s="1283"/>
      <c r="BD2" s="1284"/>
    </row>
    <row r="3" spans="1:80" ht="15" customHeight="1" thickBot="1" x14ac:dyDescent="0.35">
      <c r="A3" s="768"/>
      <c r="B3" s="2" t="s">
        <v>1</v>
      </c>
      <c r="C3" s="2" t="s">
        <v>2</v>
      </c>
      <c r="D3" s="938" t="s">
        <v>708</v>
      </c>
      <c r="E3" s="938" t="s">
        <v>4247</v>
      </c>
      <c r="F3" s="341" t="s">
        <v>2955</v>
      </c>
      <c r="G3" s="2"/>
      <c r="H3" s="341" t="s">
        <v>1156</v>
      </c>
      <c r="I3" s="197"/>
      <c r="J3" s="1192" t="s">
        <v>5600</v>
      </c>
      <c r="K3" s="1193"/>
      <c r="L3" s="1193"/>
      <c r="M3" s="1194"/>
      <c r="N3" s="925" t="s">
        <v>5598</v>
      </c>
      <c r="O3" s="911">
        <f>RCH+'2-Vzhled a charakter'!AC30+S11+IFERROR(HLOOKUP(COPY_Boj_ve_zbroji,'2-Vzhled a charakter'!$AJ$3:$AX$72,MATCH('2-Vzhled a charakter'!A25,'2-Vzhled a charakter'!$AJ$3:$AJ$72,0),FALSE),0)</f>
        <v>-5</v>
      </c>
      <c r="P3" s="197"/>
      <c r="R3" s="1111" t="s">
        <v>4256</v>
      </c>
      <c r="S3" s="323">
        <f>'Tvorba postavy'!AJ97</f>
        <v>16</v>
      </c>
      <c r="T3" s="66" t="s">
        <v>306</v>
      </c>
      <c r="U3" s="146">
        <f>IFERROR(ROUND(LOOKUP(($D$12),$BJ$9:$BJ$49,$BK$9:$BK$49)*S3,0)," ")</f>
        <v>3</v>
      </c>
      <c r="V3" s="761"/>
      <c r="X3" s="264" t="s">
        <v>45</v>
      </c>
      <c r="Y3" s="265" t="s">
        <v>33</v>
      </c>
      <c r="Z3" s="265" t="s">
        <v>81</v>
      </c>
      <c r="AA3" s="266" t="s">
        <v>314</v>
      </c>
      <c r="BA3" s="72" t="s">
        <v>173</v>
      </c>
      <c r="BB3" s="73" t="s">
        <v>305</v>
      </c>
    </row>
    <row r="4" spans="1:80" ht="15" customHeight="1" x14ac:dyDescent="0.3">
      <c r="A4" s="1264" t="s">
        <v>4243</v>
      </c>
      <c r="B4" s="932" t="s">
        <v>0</v>
      </c>
      <c r="C4" s="128">
        <f>'Tvorba postavy'!AJ91</f>
        <v>7</v>
      </c>
      <c r="D4" s="69">
        <f t="shared" ref="D4:D9" si="0">IFERROR(LOOKUP(C4,$BF$9:$BF$49,$BG$9:$BG$49)," ")</f>
        <v>-2</v>
      </c>
      <c r="E4" s="64" t="s">
        <v>173</v>
      </c>
      <c r="F4" s="928">
        <f>SIL+AP30</f>
        <v>-2</v>
      </c>
      <c r="G4" s="33" t="str">
        <f>IF('2-Vzhled a charakter'!$H$5=0,HLOOKUP(E4,Povolání!$B$3:$I$66,MATCH('2-Vzhled a charakter'!$H$4,Povolání!$B$3:$B$66,0),FALSE),IF(OR(HLOOKUP(E4,Povolání!$B$3:$I$66,MATCH('2-Vzhled a charakter'!$H$4,Povolání!$B$3:$B$66,0),FALSE)="H",HLOOKUP(E4,Povolání!$B$3:$I$66,MATCH('2-Vzhled a charakter'!$H$5,Povolání!$B$3:$B$66,0),FALSE)="H"),"H","V"))</f>
        <v>V</v>
      </c>
      <c r="H4" s="939">
        <f>HLOOKUP(CONCATENATE("M",E4),Rasy!$B$3:$T$125,MATCH('2-Vzhled a charakter'!$B$2,Rasy!$B$3:$B$125,0),FALSE)+IF(G4="H",3,0)</f>
        <v>16</v>
      </c>
      <c r="I4" s="197"/>
      <c r="J4" s="1192" t="s">
        <v>4260</v>
      </c>
      <c r="K4" s="1193"/>
      <c r="L4" s="1193"/>
      <c r="M4" s="1194"/>
      <c r="N4" s="925" t="s">
        <v>4258</v>
      </c>
      <c r="O4" s="928">
        <f>'1-Vlastnosti'!$F$5+'2-Vzhled a charakter'!AC31</f>
        <v>-6</v>
      </c>
      <c r="P4" s="197"/>
      <c r="Q4" s="197"/>
      <c r="R4" s="926" t="s">
        <v>1158</v>
      </c>
      <c r="S4" s="342">
        <f>IFERROR(FLOOR(S3/3,1)," ")+1</f>
        <v>6</v>
      </c>
      <c r="T4" s="197" t="s">
        <v>1157</v>
      </c>
      <c r="U4" s="146" t="str">
        <f>IFERROR(LOOKUP(($D$12+PBolesti),$BJ$9:$BJ$49,$BL$9:$BL$49)," ")</f>
        <v xml:space="preserve"> </v>
      </c>
      <c r="V4" s="761"/>
      <c r="X4" s="267" t="s">
        <v>115</v>
      </c>
      <c r="Y4" s="268">
        <v>-1</v>
      </c>
      <c r="Z4" s="268">
        <v>-2</v>
      </c>
      <c r="AA4" s="269">
        <v>-1</v>
      </c>
      <c r="BA4" s="74">
        <v>-6</v>
      </c>
      <c r="BB4" s="75">
        <v>1</v>
      </c>
      <c r="BC4" t="s">
        <v>15</v>
      </c>
    </row>
    <row r="5" spans="1:80" ht="15" customHeight="1" x14ac:dyDescent="0.3">
      <c r="A5" s="1264"/>
      <c r="B5" s="932" t="s">
        <v>4</v>
      </c>
      <c r="C5" s="128">
        <f>'Tvorba postavy'!AJ92</f>
        <v>3</v>
      </c>
      <c r="D5" s="69">
        <f t="shared" si="0"/>
        <v>-4</v>
      </c>
      <c r="E5" s="64" t="s">
        <v>178</v>
      </c>
      <c r="F5" s="928">
        <f>OBR+AP31+IFERROR(HLOOKUP(COPY_Boj_ve_zbroji,'2-Vzhled a charakter'!$AJ$3:$AX$72,MATCH('2-Vzhled a charakter'!$A$25,'2-Vzhled a charakter'!$AJ$3:$AJ$72,0),FALSE),0)</f>
        <v>-6</v>
      </c>
      <c r="G5" s="1110" t="str">
        <f>IF('2-Vzhled a charakter'!$H$5=0,HLOOKUP(E5,Povolání!$B$3:$I$66,MATCH('2-Vzhled a charakter'!$H$4,Povolání!$B$3:$B$66,0),FALSE),IF(OR(HLOOKUP(E5,Povolání!$B$3:$I$66,MATCH('2-Vzhled a charakter'!$H$4,Povolání!$B$3:$B$66,0),FALSE)="H",HLOOKUP(E5,Povolání!$B$3:$I$66,MATCH('2-Vzhled a charakter'!$H$5,Povolání!$B$3:$B$66,0),FALSE)="H"),"H","V"))</f>
        <v>H</v>
      </c>
      <c r="H5" s="939">
        <f>HLOOKUP(CONCATENATE("M",E5),Rasy!$B$3:$T$125,MATCH('2-Vzhled a charakter'!$B$2,Rasy!$B$3:$B$125,0),FALSE)+IF(G5="H",3,0)</f>
        <v>20</v>
      </c>
      <c r="I5" s="197"/>
      <c r="J5" s="1192" t="s">
        <v>4261</v>
      </c>
      <c r="K5" s="1193"/>
      <c r="L5" s="1193"/>
      <c r="M5" s="1194"/>
      <c r="N5" s="925" t="s">
        <v>4259</v>
      </c>
      <c r="O5" s="928">
        <f>'1-Vlastnosti'!$F$6</f>
        <v>-4</v>
      </c>
      <c r="P5" s="197"/>
      <c r="Q5" s="1217" t="s">
        <v>4251</v>
      </c>
      <c r="R5" s="1217"/>
      <c r="S5" s="1217"/>
      <c r="T5" s="1217"/>
      <c r="U5" s="1217"/>
      <c r="V5" s="761"/>
      <c r="X5" s="270" t="s">
        <v>4892</v>
      </c>
      <c r="Y5" s="271">
        <v>0</v>
      </c>
      <c r="Z5" s="271">
        <v>-1</v>
      </c>
      <c r="AA5" s="272">
        <v>-1</v>
      </c>
      <c r="AI5" s="197"/>
      <c r="BA5" s="76">
        <v>-5</v>
      </c>
      <c r="BB5" s="319">
        <v>2</v>
      </c>
      <c r="BC5" t="s">
        <v>15</v>
      </c>
    </row>
    <row r="6" spans="1:80" ht="15" customHeight="1" x14ac:dyDescent="0.3">
      <c r="A6" s="1264"/>
      <c r="B6" s="932" t="s">
        <v>5</v>
      </c>
      <c r="C6" s="128">
        <f>'Tvorba postavy'!AJ93</f>
        <v>6</v>
      </c>
      <c r="D6" s="69">
        <f t="shared" si="0"/>
        <v>-2</v>
      </c>
      <c r="E6" s="64" t="s">
        <v>188</v>
      </c>
      <c r="F6" s="928">
        <f>ZRČ+AP32+IFERROR(HLOOKUP(COPY_Boj_ve_zbroji,'2-Vzhled a charakter'!$AJ$3:$AX$72,MATCH('2-Vzhled a charakter'!$A$25,'2-Vzhled a charakter'!$AJ$3:$AJ$72,0),FALSE),0)</f>
        <v>-4</v>
      </c>
      <c r="G6" s="1110" t="str">
        <f>IF('2-Vzhled a charakter'!$H$5=0,HLOOKUP(E6,Povolání!$B$3:$I$66,MATCH('2-Vzhled a charakter'!$H$4,Povolání!$B$3:$B$66,0),FALSE),IF(OR(HLOOKUP(E6,Povolání!$B$3:$I$66,MATCH('2-Vzhled a charakter'!$H$4,Povolání!$B$3:$B$66,0),FALSE)="H",HLOOKUP(E6,Povolání!$B$3:$I$66,MATCH('2-Vzhled a charakter'!$H$5,Povolání!$B$3:$B$66,0),FALSE)="H"),"H","V"))</f>
        <v>H</v>
      </c>
      <c r="H6" s="939">
        <f>HLOOKUP(CONCATENATE("M",E6),Rasy!$B$3:$T$125,MATCH('2-Vzhled a charakter'!$B$2,Rasy!$B$3:$B$125,0),FALSE)+IF(G6="H",3,0)</f>
        <v>23</v>
      </c>
      <c r="I6" s="197"/>
      <c r="J6" s="1192" t="s">
        <v>4257</v>
      </c>
      <c r="K6" s="1193"/>
      <c r="L6" s="1193"/>
      <c r="M6" s="1194"/>
      <c r="N6" s="925" t="s">
        <v>4000</v>
      </c>
      <c r="O6" s="928">
        <f>'1-Vlastnosti'!$F$4</f>
        <v>-2</v>
      </c>
      <c r="P6" s="931"/>
      <c r="Q6" s="1268" t="s">
        <v>4248</v>
      </c>
      <c r="R6" s="1268"/>
      <c r="S6" s="1268"/>
      <c r="T6" s="1265"/>
      <c r="U6" s="1265"/>
      <c r="V6" s="761"/>
      <c r="X6" s="270" t="s">
        <v>83</v>
      </c>
      <c r="Y6" s="271">
        <v>0</v>
      </c>
      <c r="Z6" s="271">
        <v>-1</v>
      </c>
      <c r="AA6" s="272">
        <v>0</v>
      </c>
      <c r="AI6" s="197"/>
      <c r="AN6" s="197"/>
      <c r="BA6" s="76">
        <v>-4</v>
      </c>
      <c r="BB6" s="319">
        <v>3</v>
      </c>
      <c r="BC6" t="s">
        <v>15</v>
      </c>
    </row>
    <row r="7" spans="1:80" ht="15" customHeight="1" x14ac:dyDescent="0.3">
      <c r="A7" s="1264" t="s">
        <v>4244</v>
      </c>
      <c r="B7" s="932" t="s">
        <v>6</v>
      </c>
      <c r="C7" s="128">
        <f>'Tvorba postavy'!AJ94</f>
        <v>7</v>
      </c>
      <c r="D7" s="69">
        <f t="shared" si="0"/>
        <v>-2</v>
      </c>
      <c r="E7" s="64" t="s">
        <v>185</v>
      </c>
      <c r="F7" s="928">
        <f>VOL+AP33</f>
        <v>-2</v>
      </c>
      <c r="G7" s="1110" t="str">
        <f>IF('2-Vzhled a charakter'!$H$5=0,HLOOKUP(E7,Povolání!$B$3:$I$66,MATCH('2-Vzhled a charakter'!$H$4,Povolání!$B$3:$B$66,0),FALSE),IF(OR(HLOOKUP(E7,Povolání!$B$3:$I$66,MATCH('2-Vzhled a charakter'!$H$4,Povolání!$B$3:$B$66,0),FALSE)="H",HLOOKUP(E7,Povolání!$B$3:$I$66,MATCH('2-Vzhled a charakter'!$H$5,Povolání!$B$3:$B$66,0),FALSE)="H"),"H","V"))</f>
        <v>V</v>
      </c>
      <c r="H7" s="939">
        <f>HLOOKUP(CONCATENATE("M",E7),Rasy!$B$3:$T$125,MATCH('2-Vzhled a charakter'!$B$2,Rasy!$B$3:$B$125,0),FALSE)+IF(G7="H",3,0)</f>
        <v>16</v>
      </c>
      <c r="I7" s="197"/>
      <c r="J7" s="1285" t="s">
        <v>4161</v>
      </c>
      <c r="K7" s="1286"/>
      <c r="L7" s="1286"/>
      <c r="M7" s="1287"/>
      <c r="N7" s="925" t="s">
        <v>4157</v>
      </c>
      <c r="O7" s="928">
        <f>AOBR+HLOOKUP('2-Vzhled a charakter'!$P$16,'1-Vlastnosti'!$X$61:$AE$66,MATCH('1-Vlastnosti'!$X$65,'1-Vlastnosti'!$X$61:$X$66,0),FALSE)</f>
        <v>-6</v>
      </c>
      <c r="P7" s="197"/>
      <c r="Q7" s="1268" t="s">
        <v>4249</v>
      </c>
      <c r="R7" s="1268"/>
      <c r="S7" s="1268"/>
      <c r="T7" s="1265"/>
      <c r="U7" s="1266"/>
      <c r="V7" s="761"/>
      <c r="X7" s="270" t="s">
        <v>84</v>
      </c>
      <c r="Y7" s="271">
        <v>0</v>
      </c>
      <c r="Z7" s="271">
        <v>0</v>
      </c>
      <c r="AA7" s="272">
        <v>0</v>
      </c>
      <c r="AH7" s="1" t="s">
        <v>291</v>
      </c>
      <c r="AR7" s="58" t="s">
        <v>233</v>
      </c>
      <c r="BA7" s="76">
        <v>-3</v>
      </c>
      <c r="BB7" s="319">
        <v>4</v>
      </c>
      <c r="BC7" t="s">
        <v>15</v>
      </c>
      <c r="BF7" s="1" t="s">
        <v>276</v>
      </c>
      <c r="BO7" s="109" t="s">
        <v>325</v>
      </c>
      <c r="BP7" s="109" t="s">
        <v>386</v>
      </c>
      <c r="BQ7" s="89" t="s">
        <v>33</v>
      </c>
      <c r="BR7" s="89" t="s">
        <v>2399</v>
      </c>
      <c r="BS7" s="89" t="s">
        <v>278</v>
      </c>
      <c r="BT7" s="89" t="s">
        <v>183</v>
      </c>
      <c r="BU7" s="89" t="s">
        <v>314</v>
      </c>
      <c r="BV7" s="90" t="s">
        <v>315</v>
      </c>
      <c r="BW7" s="109" t="s">
        <v>353</v>
      </c>
      <c r="BX7" s="109" t="s">
        <v>354</v>
      </c>
      <c r="BY7" s="109" t="s">
        <v>355</v>
      </c>
      <c r="BZ7" s="109" t="s">
        <v>356</v>
      </c>
      <c r="CA7" s="109" t="s">
        <v>156</v>
      </c>
      <c r="CB7" s="109" t="s">
        <v>397</v>
      </c>
    </row>
    <row r="8" spans="1:80" ht="15" customHeight="1" x14ac:dyDescent="0.3">
      <c r="A8" s="1264"/>
      <c r="B8" s="932" t="s">
        <v>7</v>
      </c>
      <c r="C8" s="128">
        <f>'Tvorba postavy'!AJ95</f>
        <v>2</v>
      </c>
      <c r="D8" s="69">
        <f t="shared" si="0"/>
        <v>-4</v>
      </c>
      <c r="E8" s="64" t="s">
        <v>175</v>
      </c>
      <c r="F8" s="928">
        <f>INT+AP34</f>
        <v>-4</v>
      </c>
      <c r="G8" s="1110" t="str">
        <f>IF('2-Vzhled a charakter'!$H$5=0,HLOOKUP(E8,Povolání!$B$3:$I$66,MATCH('2-Vzhled a charakter'!$H$4,Povolání!$B$3:$B$66,0),FALSE),IF(OR(HLOOKUP(E8,Povolání!$B$3:$I$66,MATCH('2-Vzhled a charakter'!$H$4,Povolání!$B$3:$B$66,0),FALSE)="H",HLOOKUP(E8,Povolání!$B$3:$I$66,MATCH('2-Vzhled a charakter'!$H$5,Povolání!$B$3:$B$66,0),FALSE)="H"),"H","V"))</f>
        <v>V</v>
      </c>
      <c r="H8" s="939">
        <f>HLOOKUP(CONCATENATE("M",E8),Rasy!$B$3:$T$125,MATCH('2-Vzhled a charakter'!$B$2,Rasy!$B$3:$B$125,0),FALSE)+IF(G8="H",3,0)</f>
        <v>16</v>
      </c>
      <c r="I8" s="197"/>
      <c r="K8" s="197"/>
      <c r="P8" s="197"/>
      <c r="Q8" s="1268" t="s">
        <v>4250</v>
      </c>
      <c r="R8" s="1268"/>
      <c r="S8" s="1268"/>
      <c r="T8" s="1265"/>
      <c r="U8" s="1265"/>
      <c r="V8" s="761"/>
      <c r="X8" s="273" t="s">
        <v>85</v>
      </c>
      <c r="Y8" s="271">
        <v>0</v>
      </c>
      <c r="Z8" s="271">
        <v>1</v>
      </c>
      <c r="AA8" s="272">
        <v>0</v>
      </c>
      <c r="AH8" s="59" t="s">
        <v>232</v>
      </c>
      <c r="AR8" t="s">
        <v>234</v>
      </c>
      <c r="AS8" t="s">
        <v>3</v>
      </c>
      <c r="BA8" s="76">
        <v>-2</v>
      </c>
      <c r="BB8" s="319">
        <v>6</v>
      </c>
      <c r="BC8" t="s">
        <v>15</v>
      </c>
      <c r="BF8" t="s">
        <v>2</v>
      </c>
      <c r="BG8" t="s">
        <v>3</v>
      </c>
      <c r="BH8" t="s">
        <v>160</v>
      </c>
      <c r="BI8" t="s">
        <v>146</v>
      </c>
      <c r="BJ8" t="s">
        <v>708</v>
      </c>
      <c r="BK8" t="s">
        <v>306</v>
      </c>
      <c r="BL8" t="s">
        <v>307</v>
      </c>
      <c r="BO8" s="903">
        <f>'1-Vlastnosti'!B37</f>
        <v>0</v>
      </c>
      <c r="BP8" s="903">
        <f>'1-Vlastnosti'!E37</f>
        <v>0</v>
      </c>
      <c r="BQ8" s="904">
        <f>'1-Vlastnosti'!M37</f>
        <v>0</v>
      </c>
      <c r="BR8" s="904">
        <f>'1-Vlastnosti'!F37</f>
        <v>0</v>
      </c>
      <c r="BS8" s="904">
        <f>'1-Vlastnosti'!G37</f>
        <v>0</v>
      </c>
      <c r="BT8" s="904">
        <f>'1-Vlastnosti'!H37</f>
        <v>0</v>
      </c>
      <c r="BU8" s="904">
        <f>'1-Vlastnosti'!I37</f>
        <v>0</v>
      </c>
      <c r="BV8" s="904">
        <f>'1-Vlastnosti'!K37</f>
        <v>0</v>
      </c>
      <c r="BW8" s="904">
        <f>'1-Vlastnosti'!J37</f>
        <v>0</v>
      </c>
      <c r="BX8" s="904">
        <f>'1-Vlastnosti'!L37</f>
        <v>0</v>
      </c>
      <c r="BY8" s="905">
        <f>'1-Vlastnosti'!O37</f>
        <v>0</v>
      </c>
      <c r="BZ8" s="905">
        <f>'1-Vlastnosti'!P37</f>
        <v>0</v>
      </c>
      <c r="CA8" s="904">
        <f>'1-Vlastnosti'!N37</f>
        <v>0</v>
      </c>
      <c r="CB8" s="903">
        <f>'1-Vlastnosti'!Q37</f>
        <v>0</v>
      </c>
    </row>
    <row r="9" spans="1:80" ht="15" customHeight="1" x14ac:dyDescent="0.3">
      <c r="A9" s="1264"/>
      <c r="B9" s="932" t="s">
        <v>8</v>
      </c>
      <c r="C9" s="128">
        <f>'Tvorba postavy'!AJ96</f>
        <v>1</v>
      </c>
      <c r="D9" s="69">
        <f t="shared" si="0"/>
        <v>-5</v>
      </c>
      <c r="E9" s="64" t="s">
        <v>168</v>
      </c>
      <c r="F9" s="928">
        <f>CHR+AP35</f>
        <v>-5</v>
      </c>
      <c r="G9" s="1110" t="str">
        <f>IF('2-Vzhled a charakter'!$H$5=0,HLOOKUP(E9,Povolání!$B$3:$I$66,MATCH('2-Vzhled a charakter'!$H$4,Povolání!$B$3:$B$66,0),FALSE),IF(OR(HLOOKUP(E9,Povolání!$B$3:$I$66,MATCH('2-Vzhled a charakter'!$H$4,Povolání!$B$3:$B$66,0),FALSE)="H",HLOOKUP(E9,Povolání!$B$3:$I$66,MATCH('2-Vzhled a charakter'!$H$5,Povolání!$B$3:$B$66,0),FALSE)="H"),"H","V"))</f>
        <v>V</v>
      </c>
      <c r="H9" s="939">
        <f>HLOOKUP(CONCATENATE("M",E9),Rasy!$B$3:$T$125,MATCH('2-Vzhled a charakter'!$B$2,Rasy!$B$3:$B$125,0),FALSE)+IF(G9="H",3,0)</f>
        <v>16</v>
      </c>
      <c r="I9" s="197"/>
      <c r="J9" s="197"/>
      <c r="K9" s="197"/>
      <c r="N9" s="197"/>
      <c r="V9" s="761"/>
      <c r="X9" s="273" t="s">
        <v>86</v>
      </c>
      <c r="Y9" s="271">
        <v>1</v>
      </c>
      <c r="Z9" s="271">
        <v>1</v>
      </c>
      <c r="AA9" s="272">
        <v>1</v>
      </c>
      <c r="AH9" s="59" t="s">
        <v>294</v>
      </c>
      <c r="AR9" s="61">
        <v>0</v>
      </c>
      <c r="AS9" s="61">
        <v>0</v>
      </c>
      <c r="BA9" s="76">
        <v>-1</v>
      </c>
      <c r="BB9" s="319">
        <v>8</v>
      </c>
      <c r="BC9" t="s">
        <v>15</v>
      </c>
      <c r="BF9" s="63">
        <v>1</v>
      </c>
      <c r="BG9" s="63">
        <v>-5</v>
      </c>
      <c r="BH9" t="s">
        <v>277</v>
      </c>
      <c r="BI9">
        <v>-1</v>
      </c>
      <c r="BJ9" s="420">
        <v>-15</v>
      </c>
      <c r="BK9" s="421">
        <v>0.25</v>
      </c>
      <c r="BL9" s="421">
        <v>-4</v>
      </c>
      <c r="BO9" s="39" t="s">
        <v>3257</v>
      </c>
      <c r="BP9" s="39" t="s">
        <v>390</v>
      </c>
      <c r="BQ9" s="602">
        <v>0</v>
      </c>
      <c r="BR9" s="121">
        <v>4</v>
      </c>
      <c r="BS9" s="121">
        <v>0</v>
      </c>
      <c r="BT9" s="121">
        <v>6</v>
      </c>
      <c r="BU9" s="117">
        <v>14</v>
      </c>
      <c r="BV9" s="117">
        <v>3</v>
      </c>
      <c r="BW9" s="117">
        <v>15</v>
      </c>
      <c r="BX9" s="117">
        <v>60</v>
      </c>
      <c r="BY9" s="118" t="s">
        <v>95</v>
      </c>
      <c r="BZ9" s="118" t="s">
        <v>358</v>
      </c>
      <c r="CA9" s="117">
        <f>HLOOKUP(Věci!$C$2,Věci!$A$2:$C$529,MATCH(BO9,Věci!$A$2:$A$529,0),FALSE)</f>
        <v>2.5</v>
      </c>
      <c r="CB9" t="s">
        <v>2477</v>
      </c>
    </row>
    <row r="10" spans="1:80" ht="19.8" x14ac:dyDescent="0.4">
      <c r="A10" s="768"/>
      <c r="B10" s="940" t="s">
        <v>4246</v>
      </c>
      <c r="C10" s="579"/>
      <c r="D10" s="197"/>
      <c r="E10" s="518"/>
      <c r="F10" s="519"/>
      <c r="G10" s="197"/>
      <c r="H10" s="197"/>
      <c r="I10" s="197"/>
      <c r="J10" s="197"/>
      <c r="K10" s="942" t="s">
        <v>1124</v>
      </c>
      <c r="N10" s="197"/>
      <c r="O10" s="1271" t="s">
        <v>2953</v>
      </c>
      <c r="P10" s="1272"/>
      <c r="Q10" s="1272"/>
      <c r="R10" s="1273"/>
      <c r="S10" s="941" t="s">
        <v>4253</v>
      </c>
      <c r="T10" s="1288" t="s">
        <v>217</v>
      </c>
      <c r="U10" s="1289"/>
      <c r="V10" s="761"/>
      <c r="X10" s="273" t="s">
        <v>158</v>
      </c>
      <c r="Y10" s="271">
        <v>1</v>
      </c>
      <c r="Z10" s="271">
        <v>2</v>
      </c>
      <c r="AA10" s="272">
        <v>2</v>
      </c>
      <c r="AH10" s="59" t="s">
        <v>293</v>
      </c>
      <c r="AR10" s="61">
        <v>1</v>
      </c>
      <c r="AS10" s="61">
        <v>0</v>
      </c>
      <c r="BA10" s="76">
        <v>0</v>
      </c>
      <c r="BB10" s="319">
        <v>10</v>
      </c>
      <c r="BC10" t="s">
        <v>15</v>
      </c>
      <c r="BF10" s="63">
        <v>2</v>
      </c>
      <c r="BG10" s="63">
        <v>-4</v>
      </c>
      <c r="BH10">
        <v>12</v>
      </c>
      <c r="BI10">
        <v>0</v>
      </c>
      <c r="BJ10" s="420">
        <v>-14</v>
      </c>
      <c r="BK10" s="421">
        <v>0.25</v>
      </c>
      <c r="BL10" s="421">
        <v>-4</v>
      </c>
      <c r="BO10" s="39" t="s">
        <v>3258</v>
      </c>
      <c r="BP10" s="39" t="s">
        <v>390</v>
      </c>
      <c r="BQ10" s="602">
        <v>1</v>
      </c>
      <c r="BR10" s="121">
        <v>2</v>
      </c>
      <c r="BS10" s="121">
        <v>0</v>
      </c>
      <c r="BT10" s="121">
        <v>5</v>
      </c>
      <c r="BU10" s="117">
        <v>10</v>
      </c>
      <c r="BV10" s="117">
        <v>1</v>
      </c>
      <c r="BW10" s="117">
        <v>8</v>
      </c>
      <c r="BX10" s="117">
        <v>28</v>
      </c>
      <c r="BY10" s="118" t="s">
        <v>95</v>
      </c>
      <c r="BZ10" s="118" t="s">
        <v>358</v>
      </c>
      <c r="CA10" s="117">
        <f>HLOOKUP(Věci!$C$2,Věci!$A$2:$C$529,MATCH(BO10,Věci!$A$2:$A$529,0),FALSE)</f>
        <v>0.6</v>
      </c>
      <c r="CB10" t="s">
        <v>2477</v>
      </c>
    </row>
    <row r="11" spans="1:80" ht="15" customHeight="1" thickBot="1" x14ac:dyDescent="0.35">
      <c r="A11" s="768"/>
      <c r="B11" s="938" t="s">
        <v>1</v>
      </c>
      <c r="C11" s="2" t="s">
        <v>2</v>
      </c>
      <c r="D11" s="2" t="s">
        <v>708</v>
      </c>
      <c r="E11" s="938" t="s">
        <v>4247</v>
      </c>
      <c r="F11" s="341" t="s">
        <v>2955</v>
      </c>
      <c r="G11" s="197"/>
      <c r="H11" s="1261" t="s">
        <v>143</v>
      </c>
      <c r="I11" s="1261"/>
      <c r="J11" s="197"/>
      <c r="K11" s="1196" t="s">
        <v>18</v>
      </c>
      <c r="L11" s="1197"/>
      <c r="M11" s="323">
        <f>IFERROR('2-Vzhled a charakter'!L25+'2-Vzhled a charakter'!M25+HLOOKUP(Rasy!$AN$3,Rasy!$B$3:$AS$125,MATCH('2-Vzhled a charakter'!$B$2,Rasy!$B$3:$B$125,0),FALSE),0)+HLOOKUP('2-Vzhled a charakter'!$P$16,'1-Vlastnosti'!$X$61:$AE$66,MATCH('1-Vlastnosti'!$X$66,'1-Vlastnosti'!$X$61:$X$66,0),FALSE)</f>
        <v>3</v>
      </c>
      <c r="N11" s="197"/>
      <c r="O11" s="1196"/>
      <c r="P11" s="1260"/>
      <c r="Q11" s="1260"/>
      <c r="R11" s="1197"/>
      <c r="S11" s="1029"/>
      <c r="T11" s="1269" t="s">
        <v>33</v>
      </c>
      <c r="U11" s="1270"/>
      <c r="V11" s="761"/>
      <c r="X11" s="274" t="s">
        <v>194</v>
      </c>
      <c r="Y11" s="275">
        <v>2</v>
      </c>
      <c r="Z11" s="275">
        <v>3</v>
      </c>
      <c r="AA11" s="276">
        <v>2</v>
      </c>
      <c r="AH11" s="59" t="s">
        <v>295</v>
      </c>
      <c r="AR11" s="61">
        <v>2</v>
      </c>
      <c r="AS11" s="61">
        <v>1</v>
      </c>
      <c r="BA11" s="76">
        <v>1</v>
      </c>
      <c r="BB11" s="319">
        <v>12</v>
      </c>
      <c r="BC11" t="s">
        <v>15</v>
      </c>
      <c r="BF11" s="63">
        <v>3</v>
      </c>
      <c r="BG11" s="63">
        <v>-4</v>
      </c>
      <c r="BH11">
        <v>12</v>
      </c>
      <c r="BI11">
        <v>0</v>
      </c>
      <c r="BJ11" s="420">
        <v>-13</v>
      </c>
      <c r="BK11" s="421">
        <v>0.25</v>
      </c>
      <c r="BL11" s="421">
        <v>-4</v>
      </c>
      <c r="BO11" s="118" t="s">
        <v>3184</v>
      </c>
      <c r="BP11" s="39" t="s">
        <v>388</v>
      </c>
      <c r="BQ11" s="117">
        <v>0</v>
      </c>
      <c r="BR11" s="121">
        <v>0</v>
      </c>
      <c r="BS11" s="121">
        <v>2</v>
      </c>
      <c r="BT11" s="121" t="s">
        <v>181</v>
      </c>
      <c r="BU11" s="117">
        <v>0</v>
      </c>
      <c r="BV11" s="117">
        <v>1</v>
      </c>
      <c r="BW11" s="117">
        <v>5</v>
      </c>
      <c r="BX11" s="117">
        <v>4</v>
      </c>
      <c r="BY11" s="118" t="s">
        <v>183</v>
      </c>
      <c r="BZ11" s="118" t="s">
        <v>358</v>
      </c>
      <c r="CA11" s="117">
        <f>HLOOKUP(Věci!$C$2,Věci!$A$2:$C$529,MATCH(BO11,Věci!$A$2:$A$529,0),FALSE)</f>
        <v>0.4</v>
      </c>
      <c r="CB11" t="s">
        <v>2478</v>
      </c>
    </row>
    <row r="12" spans="1:80" ht="15" customHeight="1" thickBot="1" x14ac:dyDescent="0.35">
      <c r="A12" s="1277" t="s">
        <v>4243</v>
      </c>
      <c r="B12" s="933" t="s">
        <v>9</v>
      </c>
      <c r="C12" s="146">
        <f>IFERROR(C4+'Tvorba postavy'!W80," ")</f>
        <v>8</v>
      </c>
      <c r="D12" s="146">
        <f>IFERROR(LOOKUP(C12,$BF$9:$BF$49,$BG$9:$BG$49)," ")</f>
        <v>-1</v>
      </c>
      <c r="E12" s="145" t="s">
        <v>298</v>
      </c>
      <c r="F12" s="927">
        <f>D12</f>
        <v>-1</v>
      </c>
      <c r="G12" s="197"/>
      <c r="H12" s="927">
        <f>C18+F7+AP45</f>
        <v>0</v>
      </c>
      <c r="I12" s="70" t="s">
        <v>1125</v>
      </c>
      <c r="J12" s="197"/>
      <c r="K12" s="1196" t="s">
        <v>17</v>
      </c>
      <c r="L12" s="1197"/>
      <c r="M12" s="323">
        <f>HLOOKUP(Rasy!$AN$3,Rasy!$B$3:$AS$125,MATCH('2-Vzhled a charakter'!$B$2,Rasy!$B$3:$B$125,0),FALSE)+IF('2-Vzhled a charakter'!L27=" ",0,'2-Vzhled a charakter'!L27+'2-Vzhled a charakter'!M27)+HLOOKUP('2-Vzhled a charakter'!$P$16,'1-Vlastnosti'!$X$61:$AE$66,MATCH('1-Vlastnosti'!$X$66,'1-Vlastnosti'!$X$61:$X$66,0),FALSE)</f>
        <v>0</v>
      </c>
      <c r="N12" s="197"/>
      <c r="O12" s="1196"/>
      <c r="P12" s="1260"/>
      <c r="Q12" s="1260"/>
      <c r="R12" s="1197"/>
      <c r="S12" s="1029"/>
      <c r="T12" s="1269" t="s">
        <v>159</v>
      </c>
      <c r="U12" s="1270"/>
      <c r="V12" s="761"/>
      <c r="AH12" s="59" t="s">
        <v>296</v>
      </c>
      <c r="AR12" s="61">
        <v>3</v>
      </c>
      <c r="AS12" s="61">
        <v>1</v>
      </c>
      <c r="BA12" s="77">
        <v>2</v>
      </c>
      <c r="BB12" s="320">
        <v>15</v>
      </c>
      <c r="BC12" t="s">
        <v>15</v>
      </c>
      <c r="BF12" s="63">
        <v>4</v>
      </c>
      <c r="BG12" s="63">
        <v>-3</v>
      </c>
      <c r="BH12">
        <v>10</v>
      </c>
      <c r="BI12">
        <v>0</v>
      </c>
      <c r="BJ12" s="420">
        <v>-12</v>
      </c>
      <c r="BK12" s="421">
        <v>0.25</v>
      </c>
      <c r="BL12" s="421">
        <v>-4</v>
      </c>
      <c r="BO12" s="39" t="s">
        <v>969</v>
      </c>
      <c r="BP12" s="39" t="s">
        <v>385</v>
      </c>
      <c r="BQ12" s="602">
        <v>2</v>
      </c>
      <c r="BR12" s="121">
        <v>2</v>
      </c>
      <c r="BS12" s="121">
        <v>0</v>
      </c>
      <c r="BT12" s="121">
        <v>1</v>
      </c>
      <c r="BU12" s="117">
        <v>1</v>
      </c>
      <c r="BV12" s="117">
        <v>0</v>
      </c>
      <c r="BW12" s="117">
        <v>1</v>
      </c>
      <c r="BX12" s="117">
        <v>1</v>
      </c>
      <c r="BY12" s="118" t="s">
        <v>95</v>
      </c>
      <c r="BZ12" s="118" t="s">
        <v>358</v>
      </c>
      <c r="CA12" s="263">
        <v>0.05</v>
      </c>
      <c r="CB12" t="s">
        <v>5425</v>
      </c>
    </row>
    <row r="13" spans="1:80" ht="15" customHeight="1" thickBot="1" x14ac:dyDescent="0.35">
      <c r="A13" s="1278"/>
      <c r="C13" s="760" t="s">
        <v>2546</v>
      </c>
      <c r="D13" s="927">
        <f>Otužilost+AP47+S14</f>
        <v>-5</v>
      </c>
      <c r="E13" s="760" t="s">
        <v>5601</v>
      </c>
      <c r="F13" s="927">
        <f>'1-Vlastnosti'!D12+'1-Vlastnosti'!AP46+S13</f>
        <v>-1</v>
      </c>
      <c r="G13" s="197"/>
      <c r="H13" s="927">
        <f>C18+F9</f>
        <v>-3</v>
      </c>
      <c r="I13" s="70" t="s">
        <v>1126</v>
      </c>
      <c r="J13" s="197"/>
      <c r="K13" s="1196" t="s">
        <v>20</v>
      </c>
      <c r="L13" s="1197"/>
      <c r="M13" s="323">
        <f>IF('2-Vzhled a charakter'!L28=" ",0,'2-Vzhled a charakter'!L28+'2-Vzhled a charakter'!M28)+HLOOKUP(Rasy!$AN$3,Rasy!$B$3:$AS$125,MATCH('2-Vzhled a charakter'!$B$2,Rasy!$B$3:$B$125,0),FALSE)+HLOOKUP('2-Vzhled a charakter'!$P$16,'1-Vlastnosti'!$X$61:$AE$66,MATCH('1-Vlastnosti'!$X$66,'1-Vlastnosti'!$X$61:$X$66,0),FALSE)</f>
        <v>0</v>
      </c>
      <c r="N13" s="197"/>
      <c r="O13" s="1196"/>
      <c r="P13" s="1260"/>
      <c r="Q13" s="1260"/>
      <c r="R13" s="1197"/>
      <c r="S13" s="1029"/>
      <c r="T13" s="1269" t="s">
        <v>4958</v>
      </c>
      <c r="U13" s="1270"/>
      <c r="V13" s="761"/>
      <c r="X13" s="476" t="s">
        <v>2480</v>
      </c>
      <c r="AH13" s="59" t="s">
        <v>292</v>
      </c>
      <c r="AR13" s="61">
        <v>4</v>
      </c>
      <c r="AS13" s="61">
        <v>1</v>
      </c>
      <c r="BA13" s="76">
        <v>3</v>
      </c>
      <c r="BB13" s="319">
        <v>18</v>
      </c>
      <c r="BC13" t="s">
        <v>15</v>
      </c>
      <c r="BF13" s="63">
        <v>5</v>
      </c>
      <c r="BG13" s="63">
        <v>-3</v>
      </c>
      <c r="BH13">
        <v>10</v>
      </c>
      <c r="BI13">
        <v>0</v>
      </c>
      <c r="BJ13" s="420">
        <v>-11</v>
      </c>
      <c r="BK13" s="421">
        <v>0.25</v>
      </c>
      <c r="BL13" s="421">
        <v>-4</v>
      </c>
      <c r="BO13" s="39" t="s">
        <v>515</v>
      </c>
      <c r="BP13" s="39" t="s">
        <v>277</v>
      </c>
      <c r="BQ13" s="602">
        <v>-1</v>
      </c>
      <c r="BR13" s="121">
        <v>1</v>
      </c>
      <c r="BS13" s="121" t="s">
        <v>181</v>
      </c>
      <c r="BT13" s="121" t="s">
        <v>181</v>
      </c>
      <c r="BU13" s="117">
        <v>1</v>
      </c>
      <c r="BV13" s="117">
        <v>-1</v>
      </c>
      <c r="BW13" s="602">
        <v>2</v>
      </c>
      <c r="BX13" s="117">
        <v>1</v>
      </c>
      <c r="BY13" s="118" t="s">
        <v>97</v>
      </c>
      <c r="BZ13" s="118" t="s">
        <v>199</v>
      </c>
      <c r="CA13" s="1120">
        <v>0</v>
      </c>
      <c r="CB13" s="606" t="s">
        <v>5424</v>
      </c>
    </row>
    <row r="14" spans="1:80" ht="15" customHeight="1" x14ac:dyDescent="0.3">
      <c r="A14" s="1278"/>
      <c r="B14" s="933" t="s">
        <v>10</v>
      </c>
      <c r="C14" s="146">
        <f>IFERROR(ROUND((C12+C7)/2,0)+HLOOKUP($AJ$64,$AH$64:$AJ$72,MATCH('4-Dovednosti'!$I$15,$AH$64:$AH$72,0),FALSE)+IF('2-Vzhled a charakter'!$H$10=29,-2,0)," ")+AP43</f>
        <v>6</v>
      </c>
      <c r="D14" s="146">
        <f>IFERROR(LOOKUP(C14,$BF$9:$BF$49,$BG$9:$BG$49)," ")</f>
        <v>-2</v>
      </c>
      <c r="E14" s="145" t="s">
        <v>299</v>
      </c>
      <c r="F14" s="927">
        <f>D14</f>
        <v>-2</v>
      </c>
      <c r="G14" s="197"/>
      <c r="H14" s="197"/>
      <c r="I14" s="197"/>
      <c r="J14" s="197"/>
      <c r="K14" s="1196" t="s">
        <v>19</v>
      </c>
      <c r="L14" s="1197"/>
      <c r="M14" s="323">
        <f>IF('2-Vzhled a charakter'!L29=" ",0,'2-Vzhled a charakter'!L29+'2-Vzhled a charakter'!M29)+HLOOKUP(Rasy!$AN$3,Rasy!$B$3:$AS$125,MATCH('2-Vzhled a charakter'!$B$2,Rasy!$B$3:$B$125,0),FALSE)+HLOOKUP('2-Vzhled a charakter'!$P$16,'1-Vlastnosti'!$X$61:$AE$66,MATCH('1-Vlastnosti'!$X$66,'1-Vlastnosti'!$X$61:$X$66,0),FALSE)</f>
        <v>0</v>
      </c>
      <c r="N14" s="197"/>
      <c r="O14" s="1196"/>
      <c r="P14" s="1260"/>
      <c r="Q14" s="1260"/>
      <c r="R14" s="1197"/>
      <c r="S14" s="1029"/>
      <c r="T14" s="1269" t="s">
        <v>2546</v>
      </c>
      <c r="U14" s="1270"/>
      <c r="V14" s="761"/>
      <c r="X14" s="264" t="s">
        <v>45</v>
      </c>
      <c r="Y14" s="477" t="s">
        <v>315</v>
      </c>
      <c r="AR14" s="61">
        <v>5</v>
      </c>
      <c r="AS14" s="61">
        <v>1</v>
      </c>
      <c r="BA14" s="76">
        <v>4</v>
      </c>
      <c r="BB14" s="319">
        <v>21</v>
      </c>
      <c r="BC14" t="s">
        <v>15</v>
      </c>
      <c r="BF14" s="63">
        <v>6</v>
      </c>
      <c r="BG14" s="63">
        <v>-2</v>
      </c>
      <c r="BH14">
        <v>7</v>
      </c>
      <c r="BI14">
        <v>1</v>
      </c>
      <c r="BJ14" s="420">
        <v>-10</v>
      </c>
      <c r="BK14" s="421">
        <v>0.25</v>
      </c>
      <c r="BL14" s="421">
        <v>-4</v>
      </c>
      <c r="BO14" s="603" t="s">
        <v>2995</v>
      </c>
      <c r="BP14" s="603" t="s">
        <v>277</v>
      </c>
      <c r="BQ14" s="263">
        <v>0</v>
      </c>
      <c r="BR14" s="604">
        <v>1</v>
      </c>
      <c r="BS14" s="604" t="s">
        <v>181</v>
      </c>
      <c r="BT14" s="604" t="s">
        <v>181</v>
      </c>
      <c r="BU14" s="263">
        <v>1</v>
      </c>
      <c r="BV14" s="263">
        <v>-1</v>
      </c>
      <c r="BW14" s="263">
        <v>0</v>
      </c>
      <c r="BX14" s="263">
        <v>1</v>
      </c>
      <c r="BY14" s="605" t="s">
        <v>95</v>
      </c>
      <c r="BZ14" s="605" t="s">
        <v>199</v>
      </c>
      <c r="CA14" s="263">
        <v>0</v>
      </c>
      <c r="CB14" s="606" t="s">
        <v>5424</v>
      </c>
    </row>
    <row r="15" spans="1:80" ht="15" customHeight="1" x14ac:dyDescent="0.3">
      <c r="A15" s="1279"/>
      <c r="B15" s="933" t="s">
        <v>11</v>
      </c>
      <c r="C15" s="146">
        <f>IFERROR(ROUND((C4+C5)/2,0)+LOOKUP('2-Vzhled a charakter'!$B$2,Rasy!$B$4:$B$125,Rasy!$AK$4:$AK$125)," ")</f>
        <v>5</v>
      </c>
      <c r="D15" s="146">
        <f>IFERROR(LOOKUP(C15,$BF$9:$BF$49,$BG$9:$BG$49)," ")</f>
        <v>-3</v>
      </c>
      <c r="E15" s="145" t="s">
        <v>300</v>
      </c>
      <c r="F15" s="927">
        <f>D15+AP44</f>
        <v>-3</v>
      </c>
      <c r="G15" s="1261" t="s">
        <v>12</v>
      </c>
      <c r="H15" s="1261"/>
      <c r="I15" s="1261"/>
      <c r="N15" s="197" t="s">
        <v>232</v>
      </c>
      <c r="O15" s="1196"/>
      <c r="P15" s="1260"/>
      <c r="Q15" s="1260"/>
      <c r="R15" s="1197"/>
      <c r="S15" s="71"/>
      <c r="T15" s="1262"/>
      <c r="U15" s="1263"/>
      <c r="V15" s="761"/>
      <c r="X15" s="267" t="s">
        <v>115</v>
      </c>
      <c r="Y15" s="478">
        <v>-2</v>
      </c>
      <c r="AH15" s="1" t="s">
        <v>280</v>
      </c>
      <c r="AI15" s="1"/>
      <c r="AJ15" s="1"/>
      <c r="AK15" s="1"/>
      <c r="AR15" s="61">
        <v>6</v>
      </c>
      <c r="AS15" s="61">
        <v>2</v>
      </c>
      <c r="BA15" s="76">
        <v>5</v>
      </c>
      <c r="BB15" s="319">
        <v>24</v>
      </c>
      <c r="BC15" t="s">
        <v>15</v>
      </c>
      <c r="BF15" s="63">
        <v>7</v>
      </c>
      <c r="BG15" s="63">
        <v>-2</v>
      </c>
      <c r="BH15">
        <v>7</v>
      </c>
      <c r="BI15">
        <v>1</v>
      </c>
      <c r="BJ15" s="63">
        <v>-9</v>
      </c>
      <c r="BK15">
        <v>0.2</v>
      </c>
      <c r="BL15">
        <v>-3</v>
      </c>
      <c r="BO15" s="39" t="s">
        <v>966</v>
      </c>
      <c r="BP15" s="39" t="s">
        <v>385</v>
      </c>
      <c r="BQ15" s="602">
        <v>0</v>
      </c>
      <c r="BR15" s="121">
        <v>1</v>
      </c>
      <c r="BS15" s="121" t="s">
        <v>181</v>
      </c>
      <c r="BT15" s="121" t="s">
        <v>181</v>
      </c>
      <c r="BU15" s="117">
        <v>1</v>
      </c>
      <c r="BV15" s="117">
        <v>0</v>
      </c>
      <c r="BW15" s="602">
        <v>1</v>
      </c>
      <c r="BX15" s="117">
        <v>1</v>
      </c>
      <c r="BY15" s="118" t="s">
        <v>97</v>
      </c>
      <c r="BZ15" s="118" t="s">
        <v>358</v>
      </c>
      <c r="CA15" s="263">
        <v>0.15</v>
      </c>
      <c r="CB15" s="606" t="s">
        <v>5424</v>
      </c>
    </row>
    <row r="16" spans="1:80" ht="15" customHeight="1" x14ac:dyDescent="0.3">
      <c r="A16" s="1274" t="s">
        <v>4244</v>
      </c>
      <c r="B16" s="78" t="s">
        <v>144</v>
      </c>
      <c r="C16" s="360">
        <f>(bÚr+D7)+AP41</f>
        <v>-1</v>
      </c>
      <c r="D16" s="164"/>
      <c r="E16" s="516" t="s">
        <v>301</v>
      </c>
      <c r="F16" s="197"/>
      <c r="G16" s="1195" t="s">
        <v>292</v>
      </c>
      <c r="H16" s="1195"/>
      <c r="I16" s="146">
        <f>$D$17+AP36+IF('1-Vlastnosti'!$H$22=G16,1,0)</f>
        <v>-3</v>
      </c>
      <c r="J16" s="197"/>
      <c r="O16" s="1196"/>
      <c r="P16" s="1260"/>
      <c r="Q16" s="1260"/>
      <c r="R16" s="1197"/>
      <c r="S16" s="71"/>
      <c r="T16" s="1262"/>
      <c r="U16" s="1263"/>
      <c r="V16" s="761"/>
      <c r="X16" s="270" t="s">
        <v>4892</v>
      </c>
      <c r="Y16" s="479">
        <v>-1</v>
      </c>
      <c r="AH16" s="62" t="s">
        <v>283</v>
      </c>
      <c r="AI16" t="s">
        <v>284</v>
      </c>
      <c r="AJ16" t="s">
        <v>286</v>
      </c>
      <c r="AK16" t="s">
        <v>287</v>
      </c>
      <c r="AR16" s="61">
        <v>7</v>
      </c>
      <c r="AS16" s="61">
        <v>2</v>
      </c>
      <c r="BA16" s="76">
        <v>6</v>
      </c>
      <c r="BB16" s="319">
        <v>27</v>
      </c>
      <c r="BC16" t="s">
        <v>15</v>
      </c>
      <c r="BF16" s="63">
        <v>8</v>
      </c>
      <c r="BG16" s="63">
        <v>-1</v>
      </c>
      <c r="BH16">
        <v>4</v>
      </c>
      <c r="BI16">
        <v>1</v>
      </c>
      <c r="BJ16" s="63">
        <v>-8</v>
      </c>
      <c r="BK16">
        <v>0.2</v>
      </c>
      <c r="BL16">
        <v>-3</v>
      </c>
      <c r="BO16" s="118" t="s">
        <v>393</v>
      </c>
      <c r="BP16" s="39" t="s">
        <v>387</v>
      </c>
      <c r="BQ16" s="602">
        <v>-1</v>
      </c>
      <c r="BR16" s="121">
        <v>5</v>
      </c>
      <c r="BS16" s="121">
        <v>2</v>
      </c>
      <c r="BT16" s="121" t="s">
        <v>181</v>
      </c>
      <c r="BU16" s="117">
        <v>5</v>
      </c>
      <c r="BV16" s="117">
        <v>3</v>
      </c>
      <c r="BW16" s="117">
        <v>11</v>
      </c>
      <c r="BX16" s="117">
        <v>2</v>
      </c>
      <c r="BY16" s="118" t="s">
        <v>97</v>
      </c>
      <c r="BZ16" s="118" t="s">
        <v>361</v>
      </c>
      <c r="CA16" s="117">
        <f>HLOOKUP(Věci!$C$2,Věci!$A$2:$C$529,MATCH(BO16,Věci!$A$2:$A$529,0),FALSE)</f>
        <v>6</v>
      </c>
      <c r="CB16" t="s">
        <v>2476</v>
      </c>
    </row>
    <row r="17" spans="1:80" ht="15" customHeight="1" x14ac:dyDescent="0.3">
      <c r="A17" s="1275"/>
      <c r="B17" s="933" t="s">
        <v>12</v>
      </c>
      <c r="C17" s="146">
        <f>IFERROR(C6+LOOKUP('2-Vzhled a charakter'!$B$2,Rasy!$B$4:$B$125,Rasy!$AL$4:$AL$125)," ")</f>
        <v>5</v>
      </c>
      <c r="D17" s="927">
        <f>IFERROR(LOOKUP(C17,$BF$9:$BF$49,$BG$9:$BG$49)," ")+S12</f>
        <v>-3</v>
      </c>
      <c r="E17" s="145" t="s">
        <v>159</v>
      </c>
      <c r="F17" s="197"/>
      <c r="G17" s="1195" t="s">
        <v>296</v>
      </c>
      <c r="H17" s="1195"/>
      <c r="I17" s="146">
        <f>$D$17+AP37+IF('1-Vlastnosti'!$H$22=G17,1,0)</f>
        <v>-3</v>
      </c>
      <c r="J17" s="197"/>
      <c r="K17" s="1217" t="s">
        <v>2462</v>
      </c>
      <c r="L17" s="1217"/>
      <c r="M17" s="1217"/>
      <c r="N17" s="1217"/>
      <c r="O17" s="197"/>
      <c r="P17" s="765" t="s">
        <v>4252</v>
      </c>
      <c r="V17" s="761"/>
      <c r="X17" s="270" t="s">
        <v>83</v>
      </c>
      <c r="Y17" s="479">
        <v>-1</v>
      </c>
      <c r="AH17" s="59" t="s">
        <v>232</v>
      </c>
      <c r="AI17" s="59" t="s">
        <v>232</v>
      </c>
      <c r="AJ17" s="59" t="s">
        <v>232</v>
      </c>
      <c r="AK17" s="59" t="s">
        <v>232</v>
      </c>
      <c r="AR17" s="61">
        <v>8</v>
      </c>
      <c r="AS17" s="61">
        <v>2</v>
      </c>
      <c r="BA17" s="76">
        <v>7</v>
      </c>
      <c r="BB17" s="319">
        <v>30</v>
      </c>
      <c r="BC17" t="s">
        <v>15</v>
      </c>
      <c r="BF17" s="63">
        <v>9</v>
      </c>
      <c r="BG17" s="63">
        <v>-1</v>
      </c>
      <c r="BH17">
        <v>4</v>
      </c>
      <c r="BI17">
        <v>1</v>
      </c>
      <c r="BJ17" s="63">
        <v>-7</v>
      </c>
      <c r="BK17">
        <v>0.2</v>
      </c>
      <c r="BL17">
        <v>-3</v>
      </c>
      <c r="BO17" s="118" t="s">
        <v>974</v>
      </c>
      <c r="BP17" s="39" t="s">
        <v>385</v>
      </c>
      <c r="BQ17" s="602">
        <v>1</v>
      </c>
      <c r="BR17" s="121">
        <v>4</v>
      </c>
      <c r="BS17" s="121">
        <v>1</v>
      </c>
      <c r="BT17" s="121" t="s">
        <v>181</v>
      </c>
      <c r="BU17" s="117">
        <v>2</v>
      </c>
      <c r="BV17" s="117">
        <v>2</v>
      </c>
      <c r="BW17" s="602">
        <v>6</v>
      </c>
      <c r="BX17" s="117">
        <v>1</v>
      </c>
      <c r="BY17" s="118" t="s">
        <v>975</v>
      </c>
      <c r="BZ17" s="118" t="s">
        <v>358</v>
      </c>
      <c r="CA17" s="117">
        <f>HLOOKUP(Věci!$C$2,Věci!$A$2:$C$529,MATCH(BO17,Věci!$A$2:$A$529,0),FALSE)</f>
        <v>1.1000000000000001</v>
      </c>
      <c r="CB17" t="s">
        <v>2476</v>
      </c>
    </row>
    <row r="18" spans="1:80" ht="15" customHeight="1" x14ac:dyDescent="0.3">
      <c r="A18" s="1275"/>
      <c r="B18" s="933" t="s">
        <v>143</v>
      </c>
      <c r="C18" s="708">
        <f>IFERROR(IF('2-Vzhled a charakter'!H5=0,LOOKUP('2-Vzhled a charakter'!$H$4,Povolání!$B$4:$B$66,Povolání!$P$4:$P$66),IF(LOOKUP('2-Vzhled a charakter'!$H$4,Povolání!$B$4:$B$66,Povolání!$P$4:$P$66)&gt;LOOKUP('2-Vzhled a charakter'!$H$5,Povolání!$B$4:$B$66,Povolání!$P$4:$P$66),LOOKUP('2-Vzhled a charakter'!$H$4,Povolání!$B$4:$B$66,Povolání!$P$4:$P$66),LOOKUP('2-Vzhled a charakter'!$H$5,Povolání!$B$4:$B$66,Povolání!$P$4:$P$66)))+bÚr,"-")</f>
        <v>2</v>
      </c>
      <c r="D18" s="164"/>
      <c r="E18" s="145" t="s">
        <v>297</v>
      </c>
      <c r="F18" s="197"/>
      <c r="G18" s="1195" t="s">
        <v>294</v>
      </c>
      <c r="H18" s="1195"/>
      <c r="I18" s="146">
        <f>$D$17+AP38+IF('1-Vlastnosti'!$H$22=G18,1,0)</f>
        <v>-3</v>
      </c>
      <c r="J18" s="197"/>
      <c r="K18" s="197"/>
      <c r="L18" s="197"/>
      <c r="M18" s="763" t="s">
        <v>4264</v>
      </c>
      <c r="N18" s="69">
        <f>AOBR</f>
        <v>-6</v>
      </c>
      <c r="O18" s="197"/>
      <c r="P18" s="1267"/>
      <c r="Q18" s="1267"/>
      <c r="R18" s="1267"/>
      <c r="S18" s="1267"/>
      <c r="T18" s="38"/>
      <c r="U18" s="930" t="s">
        <v>1123</v>
      </c>
      <c r="V18" s="761"/>
      <c r="X18" s="270" t="s">
        <v>84</v>
      </c>
      <c r="Y18" s="479">
        <v>0</v>
      </c>
      <c r="AH18" s="59" t="s">
        <v>281</v>
      </c>
      <c r="AI18" s="60">
        <v>15</v>
      </c>
      <c r="AJ18" s="60">
        <v>1</v>
      </c>
      <c r="AK18" s="60">
        <v>2</v>
      </c>
      <c r="AR18" s="61">
        <v>9</v>
      </c>
      <c r="AS18" s="61">
        <v>2</v>
      </c>
      <c r="BA18" s="76">
        <v>8</v>
      </c>
      <c r="BB18" s="319">
        <v>34</v>
      </c>
      <c r="BC18" t="s">
        <v>15</v>
      </c>
      <c r="BF18" s="63">
        <v>10</v>
      </c>
      <c r="BG18" s="63">
        <v>0</v>
      </c>
      <c r="BH18">
        <v>2</v>
      </c>
      <c r="BI18">
        <v>2</v>
      </c>
      <c r="BJ18" s="63">
        <v>-6</v>
      </c>
      <c r="BK18">
        <v>0.2</v>
      </c>
      <c r="BL18">
        <v>-3</v>
      </c>
      <c r="BO18" s="118" t="s">
        <v>3185</v>
      </c>
      <c r="BP18" s="39" t="s">
        <v>388</v>
      </c>
      <c r="BQ18" s="117">
        <v>0</v>
      </c>
      <c r="BR18" s="121">
        <v>1</v>
      </c>
      <c r="BS18" s="121">
        <v>3</v>
      </c>
      <c r="BT18" s="121" t="s">
        <v>181</v>
      </c>
      <c r="BU18" s="117">
        <v>2</v>
      </c>
      <c r="BV18" s="117">
        <v>1</v>
      </c>
      <c r="BW18" s="117">
        <v>6</v>
      </c>
      <c r="BX18" s="117">
        <v>2</v>
      </c>
      <c r="BY18" s="118" t="s">
        <v>183</v>
      </c>
      <c r="BZ18" s="118" t="s">
        <v>358</v>
      </c>
      <c r="CA18" s="117">
        <f>HLOOKUP(Věci!$C$2,Věci!$A$2:$C$529,MATCH(BO18,Věci!$A$2:$A$529,0),FALSE)</f>
        <v>1.2</v>
      </c>
      <c r="CB18" t="s">
        <v>2478</v>
      </c>
    </row>
    <row r="19" spans="1:80" ht="15" customHeight="1" x14ac:dyDescent="0.3">
      <c r="A19" s="1276"/>
      <c r="B19" s="933" t="s">
        <v>4291</v>
      </c>
      <c r="C19" s="164"/>
      <c r="D19" s="927">
        <f>6+F7+AP49</f>
        <v>4</v>
      </c>
      <c r="E19" s="145" t="s">
        <v>4292</v>
      </c>
      <c r="F19" s="197"/>
      <c r="G19" s="1195" t="s">
        <v>295</v>
      </c>
      <c r="H19" s="1195"/>
      <c r="I19" s="146">
        <f>$D$17+AP39+IF('1-Vlastnosti'!$H$22=G19,1,0)</f>
        <v>-3</v>
      </c>
      <c r="J19" s="197"/>
      <c r="K19" s="197"/>
      <c r="L19" s="197"/>
      <c r="M19" s="763" t="s">
        <v>4265</v>
      </c>
      <c r="N19" s="69">
        <f>HLOOKUP('1-Vlastnosti'!$Y$38,'1-Vlastnosti'!$X$38:$Y$46,MATCH(COPY_Akrobacie,'1-Vlastnosti'!$X$38:$X$46,0),FALSE)</f>
        <v>0</v>
      </c>
      <c r="O19" s="197"/>
      <c r="P19" s="1267"/>
      <c r="Q19" s="1267"/>
      <c r="R19" s="1267"/>
      <c r="S19" s="1267"/>
      <c r="T19" s="38"/>
      <c r="U19" s="930" t="s">
        <v>1123</v>
      </c>
      <c r="V19" s="761"/>
      <c r="X19" s="273" t="s">
        <v>85</v>
      </c>
      <c r="Y19" s="479">
        <v>1</v>
      </c>
      <c r="AH19" s="59" t="s">
        <v>282</v>
      </c>
      <c r="AI19" s="60">
        <v>10</v>
      </c>
      <c r="AJ19" s="60">
        <v>2</v>
      </c>
      <c r="AK19" s="60">
        <v>4</v>
      </c>
      <c r="AR19" s="61">
        <v>10</v>
      </c>
      <c r="AS19" s="61">
        <v>3</v>
      </c>
      <c r="BA19" s="76">
        <v>9</v>
      </c>
      <c r="BB19" s="319">
        <v>38</v>
      </c>
      <c r="BC19" t="s">
        <v>15</v>
      </c>
      <c r="BF19" s="63">
        <v>11</v>
      </c>
      <c r="BG19" s="63">
        <v>0</v>
      </c>
      <c r="BH19">
        <v>2</v>
      </c>
      <c r="BI19">
        <v>2</v>
      </c>
      <c r="BJ19" s="63">
        <v>-5</v>
      </c>
      <c r="BK19">
        <v>0.2</v>
      </c>
      <c r="BL19">
        <v>-3</v>
      </c>
      <c r="BO19" s="39" t="s">
        <v>365</v>
      </c>
      <c r="BP19" s="39" t="s">
        <v>385</v>
      </c>
      <c r="BQ19" s="602">
        <v>2</v>
      </c>
      <c r="BR19" s="121">
        <v>2</v>
      </c>
      <c r="BS19" s="121">
        <v>1</v>
      </c>
      <c r="BT19" s="121" t="s">
        <v>181</v>
      </c>
      <c r="BU19" s="117">
        <v>2</v>
      </c>
      <c r="BV19" s="117">
        <v>1</v>
      </c>
      <c r="BW19" s="117">
        <v>2</v>
      </c>
      <c r="BX19" s="117">
        <v>0</v>
      </c>
      <c r="BY19" s="118" t="s">
        <v>95</v>
      </c>
      <c r="BZ19" s="118" t="s">
        <v>358</v>
      </c>
      <c r="CA19" s="117">
        <f>HLOOKUP(Věci!$C$2,Věci!$A$2:$C$529,MATCH(BO19,Věci!$A$2:$A$529,0),FALSE)</f>
        <v>0.2</v>
      </c>
      <c r="CB19" t="s">
        <v>5425</v>
      </c>
    </row>
    <row r="20" spans="1:80" ht="15" customHeight="1" thickBot="1" x14ac:dyDescent="0.35">
      <c r="A20" s="1264" t="s">
        <v>566</v>
      </c>
      <c r="B20" s="1196" t="s">
        <v>21</v>
      </c>
      <c r="C20" s="1197"/>
      <c r="D20" s="338">
        <f>IFERROR(IF(ROUND((CHR+OBR)/2,0)&lt;0,FLOOR((CHR+OBR)/2,-1),CEILING((CHR+OBR)/2,1))+LOOKUP('2-Vzhled a charakter'!$Q$18,'1-Vlastnosti'!$AI$57:$AI$61,'1-Vlastnosti'!$AJ$57:$AJ$61)+'2-Vzhled a charakter'!AC27+'2-Vzhled a charakter'!D36+IF(OR(COPY_Rasa="Elf",COPY_Rasa="Elfka"),1,0)," ")</f>
        <v>-5</v>
      </c>
      <c r="E20" s="145" t="s">
        <v>302</v>
      </c>
      <c r="F20" s="197"/>
      <c r="G20" s="1195" t="s">
        <v>293</v>
      </c>
      <c r="H20" s="1195"/>
      <c r="I20" s="146">
        <f>$D$17+AP40+IF('1-Vlastnosti'!$H$22=G20,1,0)</f>
        <v>-2</v>
      </c>
      <c r="J20" s="197"/>
      <c r="K20" s="197"/>
      <c r="L20" s="197"/>
      <c r="M20" s="763" t="s">
        <v>4263</v>
      </c>
      <c r="N20" s="69">
        <f>HLOOKUP('1-Vlastnosti'!$Y$26,'1-Vlastnosti'!$X$26:$Y$34,MATCH(COPY_Zápas,'1-Vlastnosti'!$X$26:$X$34,0),FALSE)</f>
        <v>0</v>
      </c>
      <c r="O20" s="197"/>
      <c r="P20" s="1267"/>
      <c r="Q20" s="1267"/>
      <c r="R20" s="1267"/>
      <c r="S20" s="1267"/>
      <c r="T20" s="38"/>
      <c r="U20" s="968" t="s">
        <v>1123</v>
      </c>
      <c r="V20" s="761"/>
      <c r="X20" s="273" t="s">
        <v>86</v>
      </c>
      <c r="Y20" s="479">
        <v>2</v>
      </c>
      <c r="AH20" s="59" t="s">
        <v>285</v>
      </c>
      <c r="AI20" s="60">
        <v>5</v>
      </c>
      <c r="AJ20" s="60">
        <v>3</v>
      </c>
      <c r="AK20" s="60">
        <v>6</v>
      </c>
      <c r="AR20" s="61">
        <v>11</v>
      </c>
      <c r="AS20" s="61">
        <v>3</v>
      </c>
      <c r="BA20" s="77">
        <v>10</v>
      </c>
      <c r="BB20" s="320">
        <v>42</v>
      </c>
      <c r="BC20" t="s">
        <v>15</v>
      </c>
      <c r="BF20" s="63">
        <v>12</v>
      </c>
      <c r="BG20" s="63">
        <v>0</v>
      </c>
      <c r="BH20">
        <v>3</v>
      </c>
      <c r="BI20">
        <v>2</v>
      </c>
      <c r="BJ20" s="63">
        <v>-4</v>
      </c>
      <c r="BK20">
        <f>1/6</f>
        <v>0.16666666666666666</v>
      </c>
      <c r="BL20">
        <v>-2</v>
      </c>
      <c r="BO20" s="118" t="s">
        <v>501</v>
      </c>
      <c r="BP20" s="39" t="s">
        <v>388</v>
      </c>
      <c r="BQ20" s="117">
        <v>0</v>
      </c>
      <c r="BR20" s="121">
        <v>1</v>
      </c>
      <c r="BS20" s="121">
        <v>2</v>
      </c>
      <c r="BT20" s="121" t="s">
        <v>181</v>
      </c>
      <c r="BU20" s="117">
        <v>1</v>
      </c>
      <c r="BV20" s="117">
        <v>0</v>
      </c>
      <c r="BW20" s="602">
        <v>2</v>
      </c>
      <c r="BX20" s="117">
        <v>10</v>
      </c>
      <c r="BY20" s="118" t="s">
        <v>95</v>
      </c>
      <c r="BZ20" s="118" t="s">
        <v>358</v>
      </c>
      <c r="CA20" s="117">
        <f>HLOOKUP(Věci!$C$2,Věci!$A$2:$C$529,MATCH(BO20,Věci!$A$2:$A$529,0),FALSE)</f>
        <v>0.15</v>
      </c>
      <c r="CB20" t="s">
        <v>2478</v>
      </c>
    </row>
    <row r="21" spans="1:80" ht="15" customHeight="1" x14ac:dyDescent="0.3">
      <c r="A21" s="1264"/>
      <c r="B21" s="1196" t="s">
        <v>22</v>
      </c>
      <c r="C21" s="1197"/>
      <c r="D21" s="338">
        <f>IFERROR(IF(ROUND((SIL+VOL)/2,0)&lt;0,FLOOR((SIL+VOL)/2,-1),CEILING((SIL+VOL)/2,1))+LOOKUP('2-Vzhled a charakter'!$Q$18,'1-Vlastnosti'!$AI$57:$AI$61,'1-Vlastnosti'!$AK$57:$AK$61)+'2-Vzhled a charakter'!AC28+'2-Vzhled a charakter'!E36," ")</f>
        <v>-2</v>
      </c>
      <c r="E21" s="145" t="s">
        <v>303</v>
      </c>
      <c r="G21" s="1195" t="s">
        <v>5403</v>
      </c>
      <c r="H21" s="1195"/>
      <c r="I21" s="146">
        <f>$D$17</f>
        <v>-3</v>
      </c>
      <c r="J21" s="197"/>
      <c r="K21" s="197"/>
      <c r="L21" s="197"/>
      <c r="M21" s="763" t="s">
        <v>4160</v>
      </c>
      <c r="N21" s="69">
        <f>HLOOKUP('2-Vzhled a charakter'!$P$16,'1-Vlastnosti'!$X$61:$AE$66,MATCH("OU",'1-Vlastnosti'!$X$61:$X$66,0),FALSE)</f>
        <v>0</v>
      </c>
      <c r="O21" s="197"/>
      <c r="Q21" s="197"/>
      <c r="R21" s="760" t="s">
        <v>4293</v>
      </c>
      <c r="S21" s="928">
        <f>2+IF('1-Vlastnosti'!D15&lt;=-3,-1,IF('1-Vlastnosti'!D15&gt;=0,FLOOR('1-Vlastnosti'!D15/3,1),0))</f>
        <v>1</v>
      </c>
      <c r="T21" s="197" t="s">
        <v>1122</v>
      </c>
      <c r="V21" s="761"/>
      <c r="X21" s="273" t="s">
        <v>158</v>
      </c>
      <c r="Y21" s="479">
        <v>3</v>
      </c>
      <c r="AR21" s="61">
        <v>12</v>
      </c>
      <c r="AS21" s="61">
        <v>3</v>
      </c>
      <c r="BA21" s="76">
        <v>11</v>
      </c>
      <c r="BB21" s="319">
        <v>46</v>
      </c>
      <c r="BC21" t="s">
        <v>15</v>
      </c>
      <c r="BF21" s="63">
        <v>13</v>
      </c>
      <c r="BG21" s="63">
        <v>1</v>
      </c>
      <c r="BH21">
        <v>3</v>
      </c>
      <c r="BI21">
        <v>2</v>
      </c>
      <c r="BJ21" s="63">
        <v>-3</v>
      </c>
      <c r="BK21">
        <f>1/6</f>
        <v>0.16666666666666666</v>
      </c>
      <c r="BL21">
        <v>-2</v>
      </c>
      <c r="BO21" s="118" t="s">
        <v>967</v>
      </c>
      <c r="BP21" s="39" t="s">
        <v>385</v>
      </c>
      <c r="BQ21" s="602">
        <v>2</v>
      </c>
      <c r="BR21" s="121">
        <v>2</v>
      </c>
      <c r="BS21" s="121">
        <v>1</v>
      </c>
      <c r="BT21" s="121" t="s">
        <v>181</v>
      </c>
      <c r="BU21" s="117">
        <v>4</v>
      </c>
      <c r="BV21" s="117">
        <v>1</v>
      </c>
      <c r="BW21" s="117">
        <v>2</v>
      </c>
      <c r="BX21" s="117">
        <v>1</v>
      </c>
      <c r="BY21" s="118" t="s">
        <v>95</v>
      </c>
      <c r="BZ21" s="118" t="s">
        <v>358</v>
      </c>
      <c r="CA21" s="117">
        <f>HLOOKUP(Věci!$C$2,Věci!$A$2:$C$529,MATCH(BO21,Věci!$A$2:$A$529,0),FALSE)</f>
        <v>0.2</v>
      </c>
      <c r="CB21" t="s">
        <v>5425</v>
      </c>
    </row>
    <row r="22" spans="1:80" ht="15" customHeight="1" thickBot="1" x14ac:dyDescent="0.35">
      <c r="A22" s="1264"/>
      <c r="B22" s="1196" t="s">
        <v>23</v>
      </c>
      <c r="C22" s="1197"/>
      <c r="D22" s="338">
        <f>IFERROR(IF(ROUND((INT+ZRČ)/2,0)&lt;0,FLOOR((INT+ZRČ)/2,-1),ROUND((INT+ZRČ)/2,0))+LOOKUP('2-Vzhled a charakter'!$Q$18,'1-Vlastnosti'!$AI$57:$AI$61,'1-Vlastnosti'!AL57:AL61)+'2-Vzhled a charakter'!AC29+'2-Vzhled a charakter'!F36," ")</f>
        <v>-2</v>
      </c>
      <c r="E22" s="145" t="s">
        <v>304</v>
      </c>
      <c r="G22" s="197"/>
      <c r="H22" s="1196" t="str">
        <f>LOOKUP('2-Vzhled a charakter'!B2,Rasy!B4:B125,Rasy!W4:W125)</f>
        <v>Hmat</v>
      </c>
      <c r="I22" s="1197"/>
      <c r="J22" s="197"/>
      <c r="K22" s="197"/>
      <c r="L22" s="197"/>
      <c r="M22" s="763" t="s">
        <v>4266</v>
      </c>
      <c r="N22" s="69"/>
      <c r="O22" s="197"/>
      <c r="Q22" s="197"/>
      <c r="R22" s="760" t="s">
        <v>4294</v>
      </c>
      <c r="S22" s="928">
        <f>IFERROR(12+'1-Vlastnosti'!D15+HLOOKUP("K RCH",'1-Vlastnosti'!$AH$64:$AJ$72,MATCH(COPY_Akrobacie,'1-Vlastnosti'!$AH$64:$AH$72,0),FALSE)," ")</f>
        <v>8</v>
      </c>
      <c r="T22" s="197" t="s">
        <v>1121</v>
      </c>
      <c r="V22" s="761"/>
      <c r="X22" s="274" t="s">
        <v>194</v>
      </c>
      <c r="Y22" s="480">
        <v>4</v>
      </c>
      <c r="AH22" s="253" t="s">
        <v>1092</v>
      </c>
      <c r="AR22" s="61">
        <v>13</v>
      </c>
      <c r="AS22" s="61">
        <v>3</v>
      </c>
      <c r="BA22" s="76">
        <v>12</v>
      </c>
      <c r="BB22" s="319">
        <v>50</v>
      </c>
      <c r="BC22" t="s">
        <v>15</v>
      </c>
      <c r="BF22" s="63">
        <v>14</v>
      </c>
      <c r="BG22" s="63">
        <v>1</v>
      </c>
      <c r="BH22">
        <v>4</v>
      </c>
      <c r="BI22">
        <v>3</v>
      </c>
      <c r="BJ22" s="63">
        <v>-2</v>
      </c>
      <c r="BK22">
        <f>1/6</f>
        <v>0.16666666666666666</v>
      </c>
      <c r="BL22">
        <v>-2</v>
      </c>
      <c r="BO22" s="118" t="s">
        <v>431</v>
      </c>
      <c r="BP22" s="39" t="s">
        <v>388</v>
      </c>
      <c r="BQ22" s="117">
        <v>0</v>
      </c>
      <c r="BR22" s="121">
        <v>0</v>
      </c>
      <c r="BS22" s="121">
        <v>0</v>
      </c>
      <c r="BT22" s="121" t="s">
        <v>181</v>
      </c>
      <c r="BU22" s="117">
        <v>-3</v>
      </c>
      <c r="BV22" s="117">
        <v>0</v>
      </c>
      <c r="BW22" s="117">
        <v>2</v>
      </c>
      <c r="BX22" s="117">
        <v>10</v>
      </c>
      <c r="BY22" s="118" t="s">
        <v>97</v>
      </c>
      <c r="BZ22" s="118" t="s">
        <v>358</v>
      </c>
      <c r="CA22" s="117" t="e">
        <f>HLOOKUP(Věci!$C$2,Věci!$A$2:$C$529,MATCH(BO22,Věci!$A$2:$A$529,0),FALSE)</f>
        <v>#N/A</v>
      </c>
      <c r="CB22" t="s">
        <v>2478</v>
      </c>
    </row>
    <row r="23" spans="1:80" ht="15" customHeight="1" x14ac:dyDescent="0.3">
      <c r="A23" s="768"/>
      <c r="E23" s="1121" t="s">
        <v>232</v>
      </c>
      <c r="G23" s="197"/>
      <c r="H23" s="197"/>
      <c r="I23" s="197"/>
      <c r="J23" s="197"/>
      <c r="K23" s="197"/>
      <c r="L23" s="197"/>
      <c r="M23" s="159" t="s">
        <v>4162</v>
      </c>
      <c r="N23" s="928">
        <f>SUM(N18:N22)</f>
        <v>-6</v>
      </c>
      <c r="O23" s="197"/>
      <c r="P23" s="197"/>
      <c r="U23" s="197"/>
      <c r="V23" s="761"/>
      <c r="AH23" s="155" t="s">
        <v>948</v>
      </c>
      <c r="AI23" s="155" t="s">
        <v>11</v>
      </c>
      <c r="AJ23" s="155" t="s">
        <v>49</v>
      </c>
      <c r="AK23" s="155" t="s">
        <v>178</v>
      </c>
      <c r="AL23" s="255" t="s">
        <v>947</v>
      </c>
      <c r="AM23" s="251"/>
      <c r="AR23" s="61">
        <v>14</v>
      </c>
      <c r="AS23" s="61">
        <v>4</v>
      </c>
      <c r="BA23" s="76">
        <v>13</v>
      </c>
      <c r="BB23" s="319">
        <v>55</v>
      </c>
      <c r="BC23" t="s">
        <v>15</v>
      </c>
      <c r="BF23" s="63">
        <v>15</v>
      </c>
      <c r="BG23" s="63">
        <v>2</v>
      </c>
      <c r="BH23">
        <v>4</v>
      </c>
      <c r="BI23">
        <v>3</v>
      </c>
      <c r="BJ23" s="63">
        <v>-1</v>
      </c>
      <c r="BK23">
        <f>1/6</f>
        <v>0.16666666666666666</v>
      </c>
      <c r="BL23">
        <v>-2</v>
      </c>
      <c r="BO23" s="118" t="s">
        <v>939</v>
      </c>
      <c r="BP23" s="39" t="s">
        <v>388</v>
      </c>
      <c r="BQ23" s="117">
        <v>0</v>
      </c>
      <c r="BR23" s="121">
        <v>1</v>
      </c>
      <c r="BS23" s="121">
        <v>3</v>
      </c>
      <c r="BT23" s="121" t="s">
        <v>181</v>
      </c>
      <c r="BU23" s="117">
        <v>-1</v>
      </c>
      <c r="BV23" s="117">
        <v>1</v>
      </c>
      <c r="BW23" s="117">
        <v>4</v>
      </c>
      <c r="BX23" s="117">
        <v>6</v>
      </c>
      <c r="BY23" s="118" t="s">
        <v>95</v>
      </c>
      <c r="BZ23" s="118" t="s">
        <v>358</v>
      </c>
      <c r="CA23">
        <f>HLOOKUP(Věci!$C$2,Věci!$A$2:$C$529,MATCH(BO23,Věci!$A$2:$A$529,0),FALSE)</f>
        <v>0.3</v>
      </c>
      <c r="CB23" t="s">
        <v>2478</v>
      </c>
    </row>
    <row r="24" spans="1:80" ht="15" customHeight="1" x14ac:dyDescent="0.3">
      <c r="A24" s="768"/>
      <c r="B24" s="1231" t="s">
        <v>703</v>
      </c>
      <c r="C24" s="1231"/>
      <c r="D24" s="1231"/>
      <c r="E24" s="1231"/>
      <c r="Q24" s="1225" t="s">
        <v>4262</v>
      </c>
      <c r="R24" s="1226"/>
      <c r="S24" s="1226"/>
      <c r="T24" s="1227"/>
      <c r="U24" s="197"/>
      <c r="V24" s="761"/>
      <c r="AH24" s="233" t="s">
        <v>943</v>
      </c>
      <c r="AI24" s="252">
        <v>1</v>
      </c>
      <c r="AJ24" s="252">
        <v>1</v>
      </c>
      <c r="AK24" s="277">
        <v>0</v>
      </c>
      <c r="AL24" s="254" t="s">
        <v>1067</v>
      </c>
      <c r="AM24" s="32"/>
      <c r="AR24" s="61">
        <v>15</v>
      </c>
      <c r="AS24" s="61">
        <v>4</v>
      </c>
      <c r="BA24" s="76">
        <v>14</v>
      </c>
      <c r="BB24" s="319">
        <v>60</v>
      </c>
      <c r="BC24" t="s">
        <v>15</v>
      </c>
      <c r="BF24" s="63">
        <v>16</v>
      </c>
      <c r="BG24" s="63">
        <v>2</v>
      </c>
      <c r="BH24">
        <v>5</v>
      </c>
      <c r="BI24">
        <v>3</v>
      </c>
      <c r="BJ24" s="63">
        <v>0</v>
      </c>
      <c r="BK24">
        <f>1/6</f>
        <v>0.16666666666666666</v>
      </c>
      <c r="BL24">
        <v>-2</v>
      </c>
      <c r="BO24" s="39" t="s">
        <v>3256</v>
      </c>
      <c r="BP24" s="39" t="s">
        <v>390</v>
      </c>
      <c r="BQ24" s="602">
        <v>-1</v>
      </c>
      <c r="BR24" s="121">
        <v>3</v>
      </c>
      <c r="BS24" s="121">
        <v>0</v>
      </c>
      <c r="BT24" s="121">
        <v>3</v>
      </c>
      <c r="BU24" s="117">
        <v>12</v>
      </c>
      <c r="BV24" s="117">
        <v>2</v>
      </c>
      <c r="BW24" s="117">
        <v>19</v>
      </c>
      <c r="BX24" s="117">
        <v>40</v>
      </c>
      <c r="BY24" s="118" t="s">
        <v>95</v>
      </c>
      <c r="BZ24" s="118" t="s">
        <v>361</v>
      </c>
      <c r="CA24" s="117">
        <f>HLOOKUP(Věci!$C$2,Věci!$A$2:$C$529,MATCH(BO24,Věci!$A$2:$A$529,0),FALSE)</f>
        <v>6</v>
      </c>
      <c r="CB24" t="s">
        <v>2477</v>
      </c>
    </row>
    <row r="25" spans="1:80" ht="15" customHeight="1" thickBot="1" x14ac:dyDescent="0.35">
      <c r="A25" s="768"/>
      <c r="B25" s="779" t="s">
        <v>150</v>
      </c>
      <c r="C25" s="119"/>
      <c r="D25" s="1211" t="s">
        <v>319</v>
      </c>
      <c r="E25" s="1212"/>
      <c r="F25" s="1212"/>
      <c r="G25" s="1213"/>
      <c r="H25" s="120" t="s">
        <v>156</v>
      </c>
      <c r="I25" s="116" t="s">
        <v>350</v>
      </c>
      <c r="J25" s="116" t="s">
        <v>354</v>
      </c>
      <c r="K25" s="1203" t="s">
        <v>155</v>
      </c>
      <c r="L25" s="1204"/>
      <c r="M25" s="1205"/>
      <c r="N25" s="1203" t="s">
        <v>309</v>
      </c>
      <c r="O25" s="1204"/>
      <c r="P25" s="1205"/>
      <c r="Q25" s="116" t="s">
        <v>313</v>
      </c>
      <c r="R25" s="116" t="s">
        <v>310</v>
      </c>
      <c r="S25" s="116" t="s">
        <v>311</v>
      </c>
      <c r="T25" s="116" t="s">
        <v>312</v>
      </c>
      <c r="U25" s="197"/>
      <c r="V25" s="761"/>
      <c r="X25" s="476" t="s">
        <v>186</v>
      </c>
      <c r="AH25" s="233" t="s">
        <v>944</v>
      </c>
      <c r="AI25" s="252">
        <v>1</v>
      </c>
      <c r="AJ25" s="252">
        <v>1.33</v>
      </c>
      <c r="AK25" s="277">
        <v>0</v>
      </c>
      <c r="AL25" s="254" t="s">
        <v>113</v>
      </c>
      <c r="AM25" s="32"/>
      <c r="AR25" s="61">
        <v>16</v>
      </c>
      <c r="AS25" s="61">
        <v>4</v>
      </c>
      <c r="BA25" s="77">
        <v>15</v>
      </c>
      <c r="BB25" s="320">
        <v>66</v>
      </c>
      <c r="BC25" t="s">
        <v>15</v>
      </c>
      <c r="BF25" s="63">
        <v>17</v>
      </c>
      <c r="BG25" s="63">
        <v>3</v>
      </c>
      <c r="BH25">
        <v>5</v>
      </c>
      <c r="BI25">
        <v>4</v>
      </c>
      <c r="BJ25" s="63">
        <v>1</v>
      </c>
      <c r="BK25">
        <f>1/8</f>
        <v>0.125</v>
      </c>
      <c r="BL25">
        <v>-1</v>
      </c>
      <c r="BO25" s="118" t="s">
        <v>369</v>
      </c>
      <c r="BP25" s="39" t="s">
        <v>387</v>
      </c>
      <c r="BQ25" s="117">
        <v>-1</v>
      </c>
      <c r="BR25" s="121">
        <v>5</v>
      </c>
      <c r="BS25" s="121">
        <v>2</v>
      </c>
      <c r="BT25" s="121" t="s">
        <v>181</v>
      </c>
      <c r="BU25" s="117">
        <v>9</v>
      </c>
      <c r="BV25" s="117">
        <v>3</v>
      </c>
      <c r="BW25" s="117">
        <v>16</v>
      </c>
      <c r="BX25" s="117">
        <v>2</v>
      </c>
      <c r="BY25" s="118" t="s">
        <v>183</v>
      </c>
      <c r="BZ25" s="118" t="s">
        <v>361</v>
      </c>
      <c r="CA25" s="117">
        <f>HLOOKUP(Věci!$C$2,Věci!$A$2:$C$529,MATCH(BO25,Věci!$A$2:$A$529,0),FALSE)</f>
        <v>5</v>
      </c>
      <c r="CB25" t="s">
        <v>5426</v>
      </c>
    </row>
    <row r="26" spans="1:80" ht="15" customHeight="1" x14ac:dyDescent="0.3">
      <c r="A26" s="768"/>
      <c r="B26" s="1232"/>
      <c r="C26" s="1208"/>
      <c r="D26" s="1214"/>
      <c r="E26" s="1215"/>
      <c r="F26" s="1215"/>
      <c r="G26" s="1216"/>
      <c r="H26" s="112">
        <f>IFERROR(IF(OR(K26="Nosič (kůň)",K26="Nemá u sebe",K26="Jinde"),0,HLOOKUP($CA$7,'1-Vlastnosti'!$BO$7:$CA$106,MATCH(B26,'1-Vlastnosti'!$BO$7:$BO$106,0),FALSE))," ")</f>
        <v>0</v>
      </c>
      <c r="I26" s="112" t="str">
        <f>IFERROR(IF(K26="Ruce",HLOOKUP('1-Vlastnosti'!$BW$7,'1-Vlastnosti'!$BO$7:$BZ$106,MATCH(B26,'1-Vlastnosti'!$BO$7:$BO$106,0),FALSE)," ")," ")</f>
        <v xml:space="preserve"> </v>
      </c>
      <c r="J26" s="112">
        <f>IFERROR(HLOOKUP('1-Vlastnosti'!$BX$7,'1-Vlastnosti'!$BO$7:$BZ$106,MATCH(B26,'1-Vlastnosti'!$BO$7:$BO$106,0),FALSE)," ")</f>
        <v>0</v>
      </c>
      <c r="K26" s="1206"/>
      <c r="L26" s="1207"/>
      <c r="M26" s="1208"/>
      <c r="N26" s="1235" t="str">
        <f>IFERROR(IF(HLOOKUP('1-Vlastnosti'!$CB$7,'1-Vlastnosti'!$BO$7:$CB$106,MATCH(B26,'1-Vlastnosti'!$BO$7:$BO$106,0),FALSE)="Střelba",COPY_Střelba,IF(HLOOKUP('1-Vlastnosti'!$CB$7,'1-Vlastnosti'!$BO$7:$CB$106,MATCH(B26,'1-Vlastnosti'!$BO$7:$BO$106,0),FALSE)="Vrh",COPY_Vrh,LOOKUP(HLOOKUP('1-Vlastnosti'!$CB$7,'1-Vlastnosti'!$BO$7:$CB$106,MATCH(B26,'1-Vlastnosti'!$BO$7:$BO$106,0),FALSE),'4-Dovednosti'!$A$3:$A$42,'4-Dovednosti'!$C$3:$C$42)))," ")</f>
        <v xml:space="preserve"> </v>
      </c>
      <c r="O26" s="1236"/>
      <c r="P26" s="1237"/>
      <c r="Q26" s="137"/>
      <c r="R26" s="137"/>
      <c r="S26" s="137"/>
      <c r="T26" s="137"/>
      <c r="U26" s="197"/>
      <c r="V26" s="761"/>
      <c r="X26" s="264" t="s">
        <v>700</v>
      </c>
      <c r="Y26" s="477" t="s">
        <v>1354</v>
      </c>
      <c r="AH26" s="233" t="s">
        <v>945</v>
      </c>
      <c r="AI26" s="252">
        <v>0.75</v>
      </c>
      <c r="AJ26" s="252">
        <v>2</v>
      </c>
      <c r="AK26" s="494">
        <v>0</v>
      </c>
      <c r="AL26" s="254" t="s">
        <v>946</v>
      </c>
      <c r="AM26" s="32"/>
      <c r="AR26" s="61">
        <v>17</v>
      </c>
      <c r="AS26" s="61">
        <v>4</v>
      </c>
      <c r="BA26" s="76">
        <v>16</v>
      </c>
      <c r="BB26" s="319">
        <v>72</v>
      </c>
      <c r="BC26" t="s">
        <v>15</v>
      </c>
      <c r="BF26" s="63">
        <v>18</v>
      </c>
      <c r="BG26" s="63">
        <v>3</v>
      </c>
      <c r="BH26">
        <v>6</v>
      </c>
      <c r="BI26">
        <v>4</v>
      </c>
      <c r="BJ26" s="63">
        <v>2</v>
      </c>
      <c r="BK26">
        <f>1/8</f>
        <v>0.125</v>
      </c>
      <c r="BL26">
        <v>-1</v>
      </c>
      <c r="BO26" s="118" t="s">
        <v>5022</v>
      </c>
      <c r="BP26" s="39" t="s">
        <v>388</v>
      </c>
      <c r="BQ26" s="117">
        <v>0</v>
      </c>
      <c r="BR26" s="121">
        <v>3</v>
      </c>
      <c r="BS26" s="121">
        <v>3</v>
      </c>
      <c r="BT26" s="121" t="s">
        <v>181</v>
      </c>
      <c r="BU26" s="117">
        <v>5</v>
      </c>
      <c r="BV26" s="117">
        <v>2</v>
      </c>
      <c r="BW26" s="117">
        <v>10</v>
      </c>
      <c r="BX26" s="117">
        <v>14</v>
      </c>
      <c r="BY26" s="118" t="s">
        <v>95</v>
      </c>
      <c r="BZ26" s="118" t="s">
        <v>358</v>
      </c>
      <c r="CA26" s="117">
        <v>3.5</v>
      </c>
      <c r="CB26" t="s">
        <v>2478</v>
      </c>
    </row>
    <row r="27" spans="1:80" ht="15" customHeight="1" x14ac:dyDescent="0.3">
      <c r="A27" s="768"/>
      <c r="B27" s="1201"/>
      <c r="C27" s="1202"/>
      <c r="D27" s="1198"/>
      <c r="E27" s="1199"/>
      <c r="F27" s="1199"/>
      <c r="G27" s="1200"/>
      <c r="H27" s="69">
        <f>IFERROR(IF(OR(K27="Nosič (kůň)",K27="Nemá u sebe",K27="Jinde"),0,HLOOKUP($CA$7,'1-Vlastnosti'!$BO$7:$CA$106,MATCH(B27,'1-Vlastnosti'!$BO$7:$BO$106,0),FALSE))," ")</f>
        <v>0</v>
      </c>
      <c r="I27" s="69" t="str">
        <f>IFERROR(IF(K27="Ruce",HLOOKUP('1-Vlastnosti'!$BW$7,'1-Vlastnosti'!$BO$7:$BZ$106,MATCH(B27,'1-Vlastnosti'!$BO$7:$BO$106,0),FALSE)," ")," ")</f>
        <v xml:space="preserve"> </v>
      </c>
      <c r="J27" s="69">
        <f>IFERROR(HLOOKUP('1-Vlastnosti'!$BX$7,'1-Vlastnosti'!$BO$7:$BZ$106,MATCH(B27,'1-Vlastnosti'!$BO$7:$BO$106,0),FALSE)," ")</f>
        <v>0</v>
      </c>
      <c r="K27" s="1209"/>
      <c r="L27" s="1210"/>
      <c r="M27" s="1202"/>
      <c r="N27" s="1228" t="str">
        <f>IFERROR(IF(HLOOKUP('1-Vlastnosti'!$CB$7,'1-Vlastnosti'!$BO$7:$CB$106,MATCH(B27,'1-Vlastnosti'!$BO$7:$BO$106,0),FALSE)="Střelba",COPY_Střelba,IF(HLOOKUP('1-Vlastnosti'!$CB$7,'1-Vlastnosti'!$BO$7:$CB$106,MATCH(B27,'1-Vlastnosti'!$BO$7:$BO$106,0),FALSE)="Vrh",COPY_Vrh,LOOKUP(HLOOKUP('1-Vlastnosti'!$CB$7,'1-Vlastnosti'!$BO$7:$CB$106,MATCH(B27,'1-Vlastnosti'!$BO$7:$BO$106,0),FALSE),'4-Dovednosti'!$A$3:$A$42,'4-Dovednosti'!$C$3:$C$42)))," ")</f>
        <v xml:space="preserve"> </v>
      </c>
      <c r="O27" s="1229"/>
      <c r="P27" s="1230"/>
      <c r="Q27" s="136"/>
      <c r="R27" s="136"/>
      <c r="S27" s="136"/>
      <c r="T27" s="136"/>
      <c r="U27" s="197"/>
      <c r="V27" s="761"/>
      <c r="X27" s="267" t="s">
        <v>115</v>
      </c>
      <c r="Y27" s="478">
        <v>0</v>
      </c>
      <c r="AH27" s="233" t="s">
        <v>1066</v>
      </c>
      <c r="AI27" s="252">
        <v>0.5</v>
      </c>
      <c r="AJ27" s="252">
        <v>4</v>
      </c>
      <c r="AK27" s="494">
        <v>0</v>
      </c>
      <c r="AL27" s="254" t="s">
        <v>1068</v>
      </c>
      <c r="AM27" s="32"/>
      <c r="AR27" s="61">
        <v>18</v>
      </c>
      <c r="AS27" s="61">
        <v>5</v>
      </c>
      <c r="BA27" s="76">
        <v>17</v>
      </c>
      <c r="BB27" s="319">
        <v>80</v>
      </c>
      <c r="BC27" t="s">
        <v>15</v>
      </c>
      <c r="BF27" s="63">
        <v>19</v>
      </c>
      <c r="BG27" s="63">
        <v>4</v>
      </c>
      <c r="BH27">
        <v>6</v>
      </c>
      <c r="BI27">
        <v>4</v>
      </c>
      <c r="BJ27" s="63">
        <v>3</v>
      </c>
      <c r="BK27">
        <f>1/8</f>
        <v>0.125</v>
      </c>
      <c r="BL27">
        <v>-1</v>
      </c>
      <c r="BO27" s="574" t="str">
        <f>HLOOKUP(Rasy!$AC$3,Rasy!$B$3:$AN$125,MATCH(Rasa,Rasy!$B$3:$B$125,0),FALSE)</f>
        <v>Hlava</v>
      </c>
      <c r="BP27" s="39" t="s">
        <v>277</v>
      </c>
      <c r="BQ27" s="117">
        <v>0</v>
      </c>
      <c r="BR27" s="575">
        <f>HLOOKUP(Rasy!$AD$3,Rasy!$B$3:$AN$125,MATCH(Rasa,Rasy!$B$3:$B$125,0),FALSE)</f>
        <v>0</v>
      </c>
      <c r="BS27" s="121" t="s">
        <v>181</v>
      </c>
      <c r="BT27" s="121" t="s">
        <v>181</v>
      </c>
      <c r="BU27" s="575">
        <f>HLOOKUP(Rasy!$AE$3,Rasy!$B$3:$AN$125,MATCH(Rasa,Rasy!$B$3:$B$125,0),FALSE)</f>
        <v>1</v>
      </c>
      <c r="BV27" s="117">
        <v>-3</v>
      </c>
      <c r="BW27" s="117">
        <v>0</v>
      </c>
      <c r="BX27" s="117">
        <v>0</v>
      </c>
      <c r="BY27" s="118" t="s">
        <v>97</v>
      </c>
      <c r="BZ27" s="118" t="s">
        <v>199</v>
      </c>
      <c r="CA27" s="263">
        <v>0</v>
      </c>
      <c r="CB27" s="606" t="s">
        <v>5424</v>
      </c>
    </row>
    <row r="28" spans="1:80" ht="15" customHeight="1" x14ac:dyDescent="0.3">
      <c r="A28" s="768"/>
      <c r="B28" s="1201"/>
      <c r="C28" s="1202"/>
      <c r="D28" s="1198"/>
      <c r="E28" s="1199"/>
      <c r="F28" s="1199"/>
      <c r="G28" s="1200"/>
      <c r="H28" s="69">
        <f>IFERROR(IF(OR(K28="Nosič (kůň)",K28="Nemá u sebe",K28="Jinde"),0,HLOOKUP($CA$7,'1-Vlastnosti'!$BO$7:$CA$106,MATCH(B28,'1-Vlastnosti'!$BO$7:$BO$106,0),FALSE))," ")</f>
        <v>0</v>
      </c>
      <c r="I28" s="69" t="str">
        <f>IFERROR(IF(K28="Ruce",HLOOKUP('1-Vlastnosti'!$BW$7,'1-Vlastnosti'!$BO$7:$BZ$106,MATCH(B28,'1-Vlastnosti'!$BO$7:$BO$106,0),FALSE)," ")," ")</f>
        <v xml:space="preserve"> </v>
      </c>
      <c r="J28" s="69">
        <f>IFERROR(HLOOKUP('1-Vlastnosti'!$BX$7,'1-Vlastnosti'!$BO$7:$BZ$106,MATCH(B28,'1-Vlastnosti'!$BO$7:$BO$106,0),FALSE)," ")</f>
        <v>0</v>
      </c>
      <c r="K28" s="1209"/>
      <c r="L28" s="1210"/>
      <c r="M28" s="1202"/>
      <c r="N28" s="1228" t="str">
        <f>IFERROR(IF(HLOOKUP('1-Vlastnosti'!$CB$7,'1-Vlastnosti'!$BO$7:$CB$106,MATCH(B28,'1-Vlastnosti'!$BO$7:$BO$106,0),FALSE)="Střelba",COPY_Střelba,IF(HLOOKUP('1-Vlastnosti'!$CB$7,'1-Vlastnosti'!$BO$7:$CB$106,MATCH(B28,'1-Vlastnosti'!$BO$7:$BO$106,0),FALSE)="Vrh",COPY_Vrh,LOOKUP(HLOOKUP('1-Vlastnosti'!$CB$7,'1-Vlastnosti'!$BO$7:$CB$106,MATCH(B28,'1-Vlastnosti'!$BO$7:$BO$106,0),FALSE),'4-Dovednosti'!$A$3:$A$42,'4-Dovednosti'!$C$3:$C$42)))," ")</f>
        <v xml:space="preserve"> </v>
      </c>
      <c r="O28" s="1229"/>
      <c r="P28" s="1230"/>
      <c r="Q28" s="136"/>
      <c r="R28" s="136"/>
      <c r="S28" s="136"/>
      <c r="T28" s="136"/>
      <c r="U28" s="197"/>
      <c r="V28" s="761"/>
      <c r="X28" s="270" t="s">
        <v>4892</v>
      </c>
      <c r="Y28" s="479">
        <v>0</v>
      </c>
      <c r="AL28" s="62"/>
      <c r="AM28" s="62"/>
      <c r="AN28" s="62"/>
      <c r="AO28" s="62"/>
      <c r="AP28" s="62"/>
      <c r="AR28" s="61">
        <v>19</v>
      </c>
      <c r="AS28" s="61">
        <v>5</v>
      </c>
      <c r="BA28" s="76">
        <v>18</v>
      </c>
      <c r="BB28" s="319">
        <v>90</v>
      </c>
      <c r="BC28" t="s">
        <v>15</v>
      </c>
      <c r="BF28" s="63">
        <v>20</v>
      </c>
      <c r="BG28" s="63">
        <v>4</v>
      </c>
      <c r="BH28">
        <v>7</v>
      </c>
      <c r="BI28">
        <v>5</v>
      </c>
      <c r="BJ28" s="63">
        <v>4</v>
      </c>
      <c r="BK28">
        <f>1/8</f>
        <v>0.125</v>
      </c>
      <c r="BL28">
        <v>-1</v>
      </c>
      <c r="BO28" s="118" t="s">
        <v>3183</v>
      </c>
      <c r="BP28" s="39" t="s">
        <v>387</v>
      </c>
      <c r="BQ28" s="117">
        <v>0</v>
      </c>
      <c r="BR28" s="608">
        <v>4</v>
      </c>
      <c r="BS28" s="121">
        <v>0</v>
      </c>
      <c r="BT28" s="121" t="s">
        <v>181</v>
      </c>
      <c r="BU28" s="117">
        <v>1</v>
      </c>
      <c r="BV28" s="117">
        <v>3</v>
      </c>
      <c r="BW28" s="602">
        <v>5</v>
      </c>
      <c r="BX28" s="117">
        <v>2</v>
      </c>
      <c r="BY28" s="118" t="s">
        <v>97</v>
      </c>
      <c r="BZ28" s="118" t="s">
        <v>358</v>
      </c>
      <c r="CA28" s="117">
        <f>HLOOKUP(Věci!$C$2,Věci!$A$2:$C$529,MATCH(BO28,Věci!$A$2:$A$529,0),FALSE)</f>
        <v>1</v>
      </c>
      <c r="CB28" t="s">
        <v>5426</v>
      </c>
    </row>
    <row r="29" spans="1:80" ht="15" customHeight="1" x14ac:dyDescent="0.3">
      <c r="A29" s="768"/>
      <c r="B29" s="1201"/>
      <c r="C29" s="1202"/>
      <c r="D29" s="1198"/>
      <c r="E29" s="1199"/>
      <c r="F29" s="1199"/>
      <c r="G29" s="1200"/>
      <c r="H29" s="69">
        <f>IFERROR(IF(OR(K29="Nosič (kůň)",K29="Nemá u sebe",K29="Jinde"),0,HLOOKUP($CA$7,'1-Vlastnosti'!$BO$7:$CA$106,MATCH(B29,'1-Vlastnosti'!$BO$7:$BO$106,0),FALSE))," ")</f>
        <v>0</v>
      </c>
      <c r="I29" s="69" t="str">
        <f>IFERROR(IF(K29="Ruce",HLOOKUP('1-Vlastnosti'!$BW$7,'1-Vlastnosti'!$BO$7:$BZ$106,MATCH(B29,'1-Vlastnosti'!$BO$7:$BO$106,0),FALSE)," ")," ")</f>
        <v xml:space="preserve"> </v>
      </c>
      <c r="J29" s="69">
        <f>IFERROR(HLOOKUP('1-Vlastnosti'!$BX$7,'1-Vlastnosti'!$BO$7:$BZ$106,MATCH(B29,'1-Vlastnosti'!$BO$7:$BO$106,0),FALSE)," ")</f>
        <v>0</v>
      </c>
      <c r="K29" s="1209"/>
      <c r="L29" s="1210"/>
      <c r="M29" s="1202"/>
      <c r="N29" s="1228" t="str">
        <f>IFERROR(IF(HLOOKUP('1-Vlastnosti'!$CB$7,'1-Vlastnosti'!$BO$7:$CB$106,MATCH(B29,'1-Vlastnosti'!$BO$7:$BO$106,0),FALSE)="Střelba",COPY_Střelba,IF(HLOOKUP('1-Vlastnosti'!$CB$7,'1-Vlastnosti'!$BO$7:$CB$106,MATCH(B29,'1-Vlastnosti'!$BO$7:$BO$106,0),FALSE)="Vrh",COPY_Vrh,LOOKUP(HLOOKUP('1-Vlastnosti'!$CB$7,'1-Vlastnosti'!$BO$7:$CB$106,MATCH(B29,'1-Vlastnosti'!$BO$7:$BO$106,0),FALSE),'4-Dovednosti'!$A$3:$A$42,'4-Dovednosti'!$C$3:$C$42)))," ")</f>
        <v xml:space="preserve"> </v>
      </c>
      <c r="O29" s="1229"/>
      <c r="P29" s="1230"/>
      <c r="Q29" s="136"/>
      <c r="R29" s="136"/>
      <c r="S29" s="136"/>
      <c r="T29" s="136"/>
      <c r="U29" s="197"/>
      <c r="V29" s="761"/>
      <c r="X29" s="270" t="s">
        <v>83</v>
      </c>
      <c r="Y29" s="479">
        <v>0</v>
      </c>
      <c r="AH29" t="s">
        <v>2891</v>
      </c>
      <c r="AJ29" t="s">
        <v>2892</v>
      </c>
      <c r="AK29" t="s">
        <v>2893</v>
      </c>
      <c r="AL29" t="s">
        <v>2894</v>
      </c>
      <c r="AM29" t="s">
        <v>2895</v>
      </c>
      <c r="AN29" t="s">
        <v>2896</v>
      </c>
      <c r="AO29" t="s">
        <v>2897</v>
      </c>
      <c r="AP29" t="s">
        <v>2087</v>
      </c>
      <c r="AR29" s="61">
        <v>20</v>
      </c>
      <c r="AS29" s="61">
        <v>5</v>
      </c>
      <c r="BA29" s="76">
        <v>19</v>
      </c>
      <c r="BB29" s="319">
        <v>100</v>
      </c>
      <c r="BC29" t="s">
        <v>15</v>
      </c>
      <c r="BF29" s="63">
        <v>21</v>
      </c>
      <c r="BG29" s="63">
        <v>5</v>
      </c>
      <c r="BH29">
        <v>7</v>
      </c>
      <c r="BI29">
        <v>5</v>
      </c>
      <c r="BJ29" s="63">
        <v>5</v>
      </c>
      <c r="BK29">
        <v>0.1</v>
      </c>
      <c r="BL29">
        <v>0</v>
      </c>
      <c r="BO29" s="39" t="s">
        <v>981</v>
      </c>
      <c r="BP29" s="39" t="s">
        <v>387</v>
      </c>
      <c r="BQ29" s="117">
        <v>0</v>
      </c>
      <c r="BR29" s="121">
        <v>4</v>
      </c>
      <c r="BS29" s="121">
        <v>1</v>
      </c>
      <c r="BT29" s="121" t="s">
        <v>181</v>
      </c>
      <c r="BU29" s="117">
        <v>2</v>
      </c>
      <c r="BV29" s="117">
        <v>4</v>
      </c>
      <c r="BW29" s="602">
        <v>4</v>
      </c>
      <c r="BX29" s="117">
        <v>2</v>
      </c>
      <c r="BY29" s="118" t="s">
        <v>97</v>
      </c>
      <c r="BZ29" s="118" t="s">
        <v>358</v>
      </c>
      <c r="CA29" s="117">
        <f>HLOOKUP(Věci!$C$2,Věci!$A$2:$C$529,MATCH(BO29,Věci!$A$2:$A$529,0),FALSE)</f>
        <v>0.5</v>
      </c>
      <c r="CB29" t="s">
        <v>5426</v>
      </c>
    </row>
    <row r="30" spans="1:80" ht="15" customHeight="1" thickBot="1" x14ac:dyDescent="0.35">
      <c r="A30" s="768"/>
      <c r="B30" s="1201"/>
      <c r="C30" s="1202"/>
      <c r="D30" s="1198"/>
      <c r="E30" s="1199"/>
      <c r="F30" s="1199"/>
      <c r="G30" s="1200"/>
      <c r="H30" s="69">
        <f>IFERROR(IF(OR(K30="Nosič (kůň)",K30="Nemá u sebe",K30="Jinde"),0,HLOOKUP($CA$7,'1-Vlastnosti'!$BO$7:$CA$106,MATCH(B30,'1-Vlastnosti'!$BO$7:$BO$106,0),FALSE))," ")</f>
        <v>0</v>
      </c>
      <c r="I30" s="69" t="str">
        <f>IFERROR(IF(K30="Ruce",HLOOKUP('1-Vlastnosti'!$BW$7,'1-Vlastnosti'!$BO$7:$BZ$106,MATCH(B30,'1-Vlastnosti'!$BO$7:$BO$106,0),FALSE)," ")," ")</f>
        <v xml:space="preserve"> </v>
      </c>
      <c r="J30" s="69">
        <f>IFERROR(HLOOKUP('1-Vlastnosti'!$BX$7,'1-Vlastnosti'!$BO$7:$BZ$106,MATCH(B30,'1-Vlastnosti'!$BO$7:$BO$106,0),FALSE)," ")</f>
        <v>0</v>
      </c>
      <c r="K30" s="1209"/>
      <c r="L30" s="1210"/>
      <c r="M30" s="1202"/>
      <c r="N30" s="1228" t="str">
        <f>IFERROR(IF(HLOOKUP('1-Vlastnosti'!$CB$7,'1-Vlastnosti'!$BO$7:$CB$106,MATCH(B30,'1-Vlastnosti'!$BO$7:$BO$106,0),FALSE)="Střelba",COPY_Střelba,IF(HLOOKUP('1-Vlastnosti'!$CB$7,'1-Vlastnosti'!$BO$7:$CB$106,MATCH(B30,'1-Vlastnosti'!$BO$7:$BO$106,0),FALSE)="Vrh",COPY_Vrh,LOOKUP(HLOOKUP('1-Vlastnosti'!$CB$7,'1-Vlastnosti'!$BO$7:$CB$106,MATCH(B30,'1-Vlastnosti'!$BO$7:$BO$106,0),FALSE),'4-Dovednosti'!$A$3:$A$42,'4-Dovednosti'!$C$3:$C$42)))," ")</f>
        <v xml:space="preserve"> </v>
      </c>
      <c r="O30" s="1229"/>
      <c r="P30" s="1230"/>
      <c r="Q30" s="136"/>
      <c r="R30" s="136"/>
      <c r="S30" s="136"/>
      <c r="T30" s="136"/>
      <c r="U30" s="197"/>
      <c r="V30" s="761"/>
      <c r="X30" s="270" t="s">
        <v>84</v>
      </c>
      <c r="Y30" s="479">
        <v>0</v>
      </c>
      <c r="AI30" t="s">
        <v>173</v>
      </c>
      <c r="AJ30" s="164">
        <f>HLOOKUP($AI30,Veverka!$A$2:$AJ$204,MATCH(ZV_1,Veverka!$A$2:$A$204,0),FALSE)</f>
        <v>0</v>
      </c>
      <c r="AK30" s="164">
        <f>IFERROR(HLOOKUP($AI30,Veverka!$A$2:$AJ$204,MATCH(ZV_2,Veverka!$A$2:$A$204,0),FALSE),0)</f>
        <v>0</v>
      </c>
      <c r="AL30" s="164">
        <f>IFERROR(HLOOKUP($AI30,Veverka!$A$2:$AJ$204,MATCH(ZV_3,Veverka!$A$2:$A$204,0),FALSE),0)</f>
        <v>0</v>
      </c>
      <c r="AM30" s="164">
        <f>HLOOKUP($AI30,Veverka!$A$2:$AJ$204,MATCH(KV_1,Veverka!$A$2:$A$204,0),FALSE)</f>
        <v>0</v>
      </c>
      <c r="AN30" s="164">
        <f>IFERROR(HLOOKUP($AI30,Veverka!$A$2:$AJ$204,MATCH(KV_2,Veverka!$A$2:$A$204,0),FALSE),0)</f>
        <v>0</v>
      </c>
      <c r="AO30" s="164">
        <f>IFERROR(HLOOKUP($AI30,Veverka!$A$2:$AJ$204,MATCH(KV_3,Veverka!$A$2:$A$204,0),FALSE),0)</f>
        <v>0</v>
      </c>
      <c r="AP30" s="530">
        <f>SUM(AJ30:AO30)</f>
        <v>0</v>
      </c>
      <c r="AR30" s="61">
        <v>21</v>
      </c>
      <c r="AS30" s="61">
        <v>5</v>
      </c>
      <c r="BA30" s="77">
        <v>20</v>
      </c>
      <c r="BB30" s="320">
        <v>110</v>
      </c>
      <c r="BC30" t="s">
        <v>15</v>
      </c>
      <c r="BF30" s="63">
        <v>22</v>
      </c>
      <c r="BG30" s="63">
        <v>5</v>
      </c>
      <c r="BH30">
        <v>8</v>
      </c>
      <c r="BI30">
        <v>5</v>
      </c>
      <c r="BJ30" s="63">
        <v>6</v>
      </c>
      <c r="BK30">
        <v>0.1</v>
      </c>
      <c r="BL30">
        <v>0</v>
      </c>
      <c r="BO30" s="118" t="s">
        <v>980</v>
      </c>
      <c r="BP30" s="39" t="s">
        <v>387</v>
      </c>
      <c r="BQ30" s="117">
        <v>0</v>
      </c>
      <c r="BR30" s="121">
        <v>4</v>
      </c>
      <c r="BS30" s="121">
        <v>1</v>
      </c>
      <c r="BT30" s="121" t="s">
        <v>181</v>
      </c>
      <c r="BU30" s="117">
        <v>2</v>
      </c>
      <c r="BV30" s="117">
        <v>4</v>
      </c>
      <c r="BW30" s="602">
        <v>5</v>
      </c>
      <c r="BX30" s="117">
        <v>2</v>
      </c>
      <c r="BY30" s="118" t="s">
        <v>97</v>
      </c>
      <c r="BZ30" s="118" t="s">
        <v>358</v>
      </c>
      <c r="CA30" s="117">
        <f>HLOOKUP(Věci!$C$2,Věci!$A$2:$C$529,MATCH(BO30,Věci!$A$2:$A$529,0),FALSE)</f>
        <v>1</v>
      </c>
      <c r="CB30" t="s">
        <v>5426</v>
      </c>
    </row>
    <row r="31" spans="1:80" ht="15" customHeight="1" x14ac:dyDescent="0.3">
      <c r="A31" s="768"/>
      <c r="B31" s="1201"/>
      <c r="C31" s="1202"/>
      <c r="D31" s="1198"/>
      <c r="E31" s="1199"/>
      <c r="F31" s="1199"/>
      <c r="G31" s="1200"/>
      <c r="H31" s="69">
        <f>IFERROR(IF(OR(K31="Nosič (kůň)",K31="Nemá u sebe",K31="Jinde"),0,HLOOKUP($CA$7,'1-Vlastnosti'!$BO$7:$CA$106,MATCH(B31,'1-Vlastnosti'!$BO$7:$BO$106,0),FALSE))," ")</f>
        <v>0</v>
      </c>
      <c r="I31" s="69" t="str">
        <f>IFERROR(IF(K31="Ruce",HLOOKUP('1-Vlastnosti'!$BW$7,'1-Vlastnosti'!$BO$7:$BZ$106,MATCH(B31,'1-Vlastnosti'!$BO$7:$BO$106,0),FALSE)," ")," ")</f>
        <v xml:space="preserve"> </v>
      </c>
      <c r="J31" s="69">
        <f>IFERROR(HLOOKUP('1-Vlastnosti'!$BX$7,'1-Vlastnosti'!$BO$7:$BZ$106,MATCH(B31,'1-Vlastnosti'!$BO$7:$BO$106,0),FALSE)," ")</f>
        <v>0</v>
      </c>
      <c r="K31" s="1209"/>
      <c r="L31" s="1210"/>
      <c r="M31" s="1202"/>
      <c r="N31" s="1228" t="str">
        <f>IFERROR(IF(HLOOKUP('1-Vlastnosti'!$CB$7,'1-Vlastnosti'!$BO$7:$CB$106,MATCH(B31,'1-Vlastnosti'!$BO$7:$BO$106,0),FALSE)="Střelba",COPY_Střelba,IF(HLOOKUP('1-Vlastnosti'!$CB$7,'1-Vlastnosti'!$BO$7:$CB$106,MATCH(B31,'1-Vlastnosti'!$BO$7:$BO$106,0),FALSE)="Vrh",COPY_Vrh,LOOKUP(HLOOKUP('1-Vlastnosti'!$CB$7,'1-Vlastnosti'!$BO$7:$CB$106,MATCH(B31,'1-Vlastnosti'!$BO$7:$BO$106,0),FALSE),'4-Dovednosti'!$A$3:$A$42,'4-Dovednosti'!$C$3:$C$42)))," ")</f>
        <v xml:space="preserve"> </v>
      </c>
      <c r="O31" s="1229"/>
      <c r="P31" s="1230"/>
      <c r="Q31" s="136"/>
      <c r="R31" s="136"/>
      <c r="S31" s="136"/>
      <c r="T31" s="136"/>
      <c r="U31" s="197"/>
      <c r="V31" s="761"/>
      <c r="X31" s="273" t="s">
        <v>85</v>
      </c>
      <c r="Y31" s="479">
        <v>1</v>
      </c>
      <c r="AI31" t="s">
        <v>178</v>
      </c>
      <c r="AJ31" s="164">
        <f>HLOOKUP($AI31,Veverka!$A$2:$AJ$204,MATCH(ZV_1,Veverka!$A$2:$A$204,0),FALSE)</f>
        <v>0</v>
      </c>
      <c r="AK31" s="164">
        <f>IFERROR(HLOOKUP($AI31,Veverka!$A$2:$AJ$204,MATCH(ZV_2,Veverka!$A$2:$A$204,0),FALSE),0)</f>
        <v>0</v>
      </c>
      <c r="AL31" s="164">
        <f>IFERROR(HLOOKUP($AI31,Veverka!$A$2:$AJ$204,MATCH(ZV_3,Veverka!$A$2:$A$204,0),FALSE),0)</f>
        <v>0</v>
      </c>
      <c r="AM31" s="164">
        <f>HLOOKUP($AI31,Veverka!$A$2:$AJ$204,MATCH(KV_1,Veverka!$A$2:$A$204,0),FALSE)</f>
        <v>0</v>
      </c>
      <c r="AN31" s="164">
        <f>IFERROR(HLOOKUP($AI31,Veverka!$A$2:$AJ$204,MATCH(KV_2,Veverka!$A$2:$A$204,0),FALSE),0)</f>
        <v>0</v>
      </c>
      <c r="AO31" s="164">
        <f>IFERROR(HLOOKUP($AI31,Veverka!$A$2:$AJ$204,MATCH(KV_3,Veverka!$A$2:$A$204,0),FALSE),0)</f>
        <v>0</v>
      </c>
      <c r="AP31" s="530">
        <f t="shared" ref="AP31:AP40" si="1">SUM(AJ31:AO31)</f>
        <v>0</v>
      </c>
      <c r="AR31" s="61">
        <v>22</v>
      </c>
      <c r="AS31" s="61">
        <v>6</v>
      </c>
      <c r="AV31" s="115" t="s">
        <v>401</v>
      </c>
      <c r="BF31" s="63">
        <v>23</v>
      </c>
      <c r="BG31" s="63">
        <v>6</v>
      </c>
      <c r="BH31">
        <v>8</v>
      </c>
      <c r="BI31">
        <v>6</v>
      </c>
      <c r="BJ31" s="63">
        <v>7</v>
      </c>
      <c r="BK31">
        <v>0.1</v>
      </c>
      <c r="BL31">
        <v>0</v>
      </c>
      <c r="BO31" s="118" t="s">
        <v>497</v>
      </c>
      <c r="BP31" s="39" t="s">
        <v>387</v>
      </c>
      <c r="BQ31" s="117">
        <v>0</v>
      </c>
      <c r="BR31" s="121">
        <v>4</v>
      </c>
      <c r="BS31" s="121">
        <v>1</v>
      </c>
      <c r="BT31" s="121" t="s">
        <v>181</v>
      </c>
      <c r="BU31" s="117">
        <v>2</v>
      </c>
      <c r="BV31" s="117">
        <v>4</v>
      </c>
      <c r="BW31" s="117">
        <v>6</v>
      </c>
      <c r="BX31" s="117">
        <v>2</v>
      </c>
      <c r="BY31" s="118" t="s">
        <v>97</v>
      </c>
      <c r="BZ31" s="118" t="s">
        <v>358</v>
      </c>
      <c r="CA31" s="117">
        <f>HLOOKUP(Věci!$C$2,Věci!$A$2:$C$529,MATCH(BO31,Věci!$A$2:$A$529,0),FALSE)</f>
        <v>1.2</v>
      </c>
      <c r="CB31" t="s">
        <v>5426</v>
      </c>
    </row>
    <row r="32" spans="1:80" ht="15" customHeight="1" x14ac:dyDescent="0.3">
      <c r="A32" s="768"/>
      <c r="B32" s="1201" t="s">
        <v>4881</v>
      </c>
      <c r="C32" s="1202"/>
      <c r="D32" s="1198"/>
      <c r="E32" s="1199"/>
      <c r="F32" s="1199"/>
      <c r="G32" s="1200"/>
      <c r="H32" s="69">
        <f>IFERROR(IF(OR(K32="Nosič (kůň)",K32="Nemá u sebe",K32="Jinde"),0,HLOOKUP($CA$7,'1-Vlastnosti'!$BO$7:$CA$106,MATCH(B32,'1-Vlastnosti'!$BO$7:$BO$106,0),FALSE))," ")</f>
        <v>0</v>
      </c>
      <c r="I32" s="69" t="str">
        <f>IFERROR(IF(K32="Ruce",HLOOKUP('1-Vlastnosti'!$BW$7,'1-Vlastnosti'!$BO$7:$BZ$106,MATCH(B32,'1-Vlastnosti'!$BO$7:$BO$106,0),FALSE)," ")," ")</f>
        <v xml:space="preserve"> </v>
      </c>
      <c r="J32" s="69">
        <f>IFERROR(HLOOKUP('1-Vlastnosti'!$BX$7,'1-Vlastnosti'!$BO$7:$BZ$106,MATCH(B32,'1-Vlastnosti'!$BO$7:$BO$106,0),FALSE)," ")</f>
        <v>1</v>
      </c>
      <c r="K32" s="1209"/>
      <c r="L32" s="1210"/>
      <c r="M32" s="1202"/>
      <c r="N32" s="1228" t="str">
        <f>IFERROR(IF(HLOOKUP('1-Vlastnosti'!$CB$7,'1-Vlastnosti'!$BO$7:$CB$106,MATCH(B32,'1-Vlastnosti'!$BO$7:$BO$106,0),FALSE)="Střelba",COPY_Střelba,IF(HLOOKUP('1-Vlastnosti'!$CB$7,'1-Vlastnosti'!$BO$7:$CB$106,MATCH(B32,'1-Vlastnosti'!$BO$7:$BO$106,0),FALSE)="Vrh",COPY_Vrh,LOOKUP(HLOOKUP('1-Vlastnosti'!$CB$7,'1-Vlastnosti'!$BO$7:$CB$106,MATCH(B32,'1-Vlastnosti'!$BO$7:$BO$106,0),FALSE),'4-Dovednosti'!$A$3:$A$42,'4-Dovednosti'!$C$3:$C$42)))," ")</f>
        <v xml:space="preserve"> </v>
      </c>
      <c r="O32" s="1229"/>
      <c r="P32" s="1230"/>
      <c r="Q32" s="497"/>
      <c r="R32" s="497"/>
      <c r="S32" s="497"/>
      <c r="T32" s="497"/>
      <c r="U32" s="197"/>
      <c r="V32" s="761"/>
      <c r="X32" s="273" t="s">
        <v>86</v>
      </c>
      <c r="Y32" s="479">
        <v>2</v>
      </c>
      <c r="AI32" t="s">
        <v>188</v>
      </c>
      <c r="AJ32" s="164">
        <f>HLOOKUP($AI32,Veverka!$A$2:$AJ$204,MATCH(ZV_1,Veverka!$A$2:$A$204,0),FALSE)</f>
        <v>0</v>
      </c>
      <c r="AK32" s="164">
        <f>IFERROR(HLOOKUP($AI32,Veverka!$A$2:$AJ$204,MATCH(ZV_2,Veverka!$A$2:$A$204,0),FALSE),0)</f>
        <v>0</v>
      </c>
      <c r="AL32" s="164">
        <f>IFERROR(HLOOKUP($AI32,Veverka!$A$2:$AJ$204,MATCH(ZV_3,Veverka!$A$2:$A$204,0),FALSE),0)</f>
        <v>0</v>
      </c>
      <c r="AM32" s="164">
        <f>HLOOKUP($AI32,Veverka!$A$2:$AJ$204,MATCH(KV_1,Veverka!$A$2:$A$204,0),FALSE)</f>
        <v>0</v>
      </c>
      <c r="AN32" s="164">
        <f>IFERROR(HLOOKUP($AI32,Veverka!$A$2:$AJ$204,MATCH(KV_2,Veverka!$A$2:$A$204,0),FALSE),0)</f>
        <v>0</v>
      </c>
      <c r="AO32" s="164">
        <f>IFERROR(HLOOKUP($AI32,Veverka!$A$2:$AJ$204,MATCH(KV_3,Veverka!$A$2:$A$204,0),FALSE),0)</f>
        <v>0</v>
      </c>
      <c r="AP32" s="530">
        <f t="shared" si="1"/>
        <v>0</v>
      </c>
      <c r="AR32" s="61">
        <v>23</v>
      </c>
      <c r="AS32" s="61">
        <v>6</v>
      </c>
      <c r="AV32" s="314">
        <v>0</v>
      </c>
      <c r="BF32" s="63">
        <v>24</v>
      </c>
      <c r="BG32" s="63">
        <v>6</v>
      </c>
      <c r="BH32">
        <v>8</v>
      </c>
      <c r="BI32">
        <v>6</v>
      </c>
      <c r="BJ32" s="63">
        <v>8</v>
      </c>
      <c r="BK32">
        <v>0.1</v>
      </c>
      <c r="BL32">
        <v>0</v>
      </c>
      <c r="BO32" s="118" t="s">
        <v>3182</v>
      </c>
      <c r="BP32" s="39" t="s">
        <v>385</v>
      </c>
      <c r="BQ32" s="117">
        <v>0</v>
      </c>
      <c r="BR32" s="121">
        <v>3</v>
      </c>
      <c r="BS32" s="121">
        <v>0</v>
      </c>
      <c r="BT32" s="121" t="s">
        <v>181</v>
      </c>
      <c r="BU32" s="117">
        <v>0</v>
      </c>
      <c r="BV32" s="117">
        <v>2</v>
      </c>
      <c r="BW32" s="602">
        <v>4</v>
      </c>
      <c r="BX32" s="117">
        <v>1</v>
      </c>
      <c r="BY32" s="118" t="s">
        <v>97</v>
      </c>
      <c r="BZ32" s="118" t="s">
        <v>358</v>
      </c>
      <c r="CA32" s="117">
        <f>HLOOKUP(Věci!$C$2,Věci!$A$2:$C$529,MATCH(BO32,Věci!$A$2:$A$529,0),FALSE)</f>
        <v>0.7</v>
      </c>
      <c r="CB32" t="s">
        <v>5426</v>
      </c>
    </row>
    <row r="33" spans="1:80" ht="15" customHeight="1" thickBot="1" x14ac:dyDescent="0.35">
      <c r="A33" s="768"/>
      <c r="B33" s="1233" t="s">
        <v>357</v>
      </c>
      <c r="C33" s="1234"/>
      <c r="D33" s="1242"/>
      <c r="E33" s="1243"/>
      <c r="F33" s="1243"/>
      <c r="G33" s="1244"/>
      <c r="H33" s="69">
        <f>IFERROR(IF(OR(K33="Nosič (kůň)",K33="Nemá u sebe",K33="Jinde"),0,HLOOKUP($CA$7,'1-Vlastnosti'!$BO$7:$CA$106,MATCH(B33,'1-Vlastnosti'!$BO$7:$BO$106,0),FALSE))," ")</f>
        <v>0</v>
      </c>
      <c r="I33" s="113" t="str">
        <f>IFERROR(IF(K33="Ruce",HLOOKUP('1-Vlastnosti'!$BW$7,'1-Vlastnosti'!$BO$7:$BZ$106,MATCH(B33,'1-Vlastnosti'!$BO$7:$BO$106,0),FALSE)," ")," ")</f>
        <v xml:space="preserve"> </v>
      </c>
      <c r="J33" s="113">
        <f>IFERROR(HLOOKUP('1-Vlastnosti'!$BX$7,'1-Vlastnosti'!$BO$7:$BZ$106,MATCH(B33,'1-Vlastnosti'!$BO$7:$BO$106,0),FALSE)," ")</f>
        <v>1</v>
      </c>
      <c r="K33" s="1209"/>
      <c r="L33" s="1210"/>
      <c r="M33" s="1202"/>
      <c r="N33" s="1228" t="str">
        <f>IFERROR(IF(HLOOKUP('1-Vlastnosti'!$CB$7,'1-Vlastnosti'!$BO$7:$CB$106,MATCH(B33,'1-Vlastnosti'!$BO$7:$BO$106,0),FALSE)="Střelba",COPY_Střelba,IF(HLOOKUP('1-Vlastnosti'!$CB$7,'1-Vlastnosti'!$BO$7:$CB$106,MATCH(B33,'1-Vlastnosti'!$BO$7:$BO$106,0),FALSE)="Vrh",COPY_Vrh,LOOKUP(HLOOKUP('1-Vlastnosti'!$CB$7,'1-Vlastnosti'!$BO$7:$CB$106,MATCH(B33,'1-Vlastnosti'!$BO$7:$BO$106,0),FALSE),'4-Dovednosti'!$A$3:$A$42,'4-Dovednosti'!$C$3:$C$42)))," ")</f>
        <v>Vůbec</v>
      </c>
      <c r="O33" s="1229"/>
      <c r="P33" s="1230"/>
      <c r="Q33" s="138"/>
      <c r="R33" s="138"/>
      <c r="S33" s="138"/>
      <c r="T33" s="138"/>
      <c r="U33" s="197"/>
      <c r="V33" s="761"/>
      <c r="X33" s="273" t="s">
        <v>158</v>
      </c>
      <c r="Y33" s="479">
        <v>3</v>
      </c>
      <c r="AI33" t="s">
        <v>185</v>
      </c>
      <c r="AJ33" s="164">
        <f>HLOOKUP($AI33,Veverka!$A$2:$AJ$204,MATCH(ZV_1,Veverka!$A$2:$A$204,0),FALSE)</f>
        <v>0</v>
      </c>
      <c r="AK33" s="164">
        <f>IFERROR(HLOOKUP($AI33,Veverka!$A$2:$AJ$204,MATCH(ZV_2,Veverka!$A$2:$A$204,0),FALSE),0)</f>
        <v>0</v>
      </c>
      <c r="AL33" s="164">
        <f>IFERROR(HLOOKUP($AI33,Veverka!$A$2:$AJ$204,MATCH(ZV_3,Veverka!$A$2:$A$204,0),FALSE),0)</f>
        <v>0</v>
      </c>
      <c r="AM33" s="164">
        <f>HLOOKUP($AI33,Veverka!$A$2:$AJ$204,MATCH(KV_1,Veverka!$A$2:$A$204,0),FALSE)</f>
        <v>0</v>
      </c>
      <c r="AN33" s="164">
        <f>IFERROR(HLOOKUP($AI33,Veverka!$A$2:$AJ$204,MATCH(KV_2,Veverka!$A$2:$A$204,0),FALSE),0)</f>
        <v>0</v>
      </c>
      <c r="AO33" s="164">
        <f>IFERROR(HLOOKUP($AI33,Veverka!$A$2:$AJ$204,MATCH(KV_3,Veverka!$A$2:$A$204,0),FALSE),0)</f>
        <v>0</v>
      </c>
      <c r="AP33" s="530">
        <f t="shared" si="1"/>
        <v>0</v>
      </c>
      <c r="AR33" s="61">
        <v>24</v>
      </c>
      <c r="AS33" s="61">
        <v>6</v>
      </c>
      <c r="AV33" s="115" t="s">
        <v>402</v>
      </c>
      <c r="BF33" s="63">
        <v>25</v>
      </c>
      <c r="BG33" s="63">
        <v>7</v>
      </c>
      <c r="BH33">
        <v>9</v>
      </c>
      <c r="BI33">
        <v>6</v>
      </c>
      <c r="BJ33" s="63">
        <v>9</v>
      </c>
      <c r="BK33">
        <v>0.01</v>
      </c>
      <c r="BL33">
        <v>0</v>
      </c>
      <c r="BO33" s="118" t="s">
        <v>979</v>
      </c>
      <c r="BP33" s="39" t="s">
        <v>385</v>
      </c>
      <c r="BQ33" s="117">
        <v>0</v>
      </c>
      <c r="BR33" s="121">
        <v>3</v>
      </c>
      <c r="BS33" s="121">
        <v>0</v>
      </c>
      <c r="BT33" s="121" t="s">
        <v>181</v>
      </c>
      <c r="BU33" s="117">
        <v>0</v>
      </c>
      <c r="BV33" s="117">
        <v>2</v>
      </c>
      <c r="BW33" s="602">
        <v>4</v>
      </c>
      <c r="BX33" s="117">
        <v>1</v>
      </c>
      <c r="BY33" s="118" t="s">
        <v>97</v>
      </c>
      <c r="BZ33" s="118" t="s">
        <v>358</v>
      </c>
      <c r="CA33" s="117">
        <f>HLOOKUP(Věci!$C$2,Věci!$A$2:$C$529,MATCH(BO33,Věci!$A$2:$A$529,0),FALSE)</f>
        <v>0.6</v>
      </c>
      <c r="CB33" t="s">
        <v>5426</v>
      </c>
    </row>
    <row r="34" spans="1:80" ht="15" thickBot="1" x14ac:dyDescent="0.35">
      <c r="A34" s="768"/>
      <c r="B34" s="197"/>
      <c r="C34" s="197"/>
      <c r="D34" s="197"/>
      <c r="E34" s="197"/>
      <c r="F34" s="197"/>
      <c r="G34" s="197"/>
      <c r="H34" s="924">
        <f>SUM(H26:H33)</f>
        <v>0</v>
      </c>
      <c r="I34" s="924">
        <f>SUM(I26:I33)</f>
        <v>0</v>
      </c>
      <c r="J34" s="197"/>
      <c r="K34" s="1245" t="s">
        <v>321</v>
      </c>
      <c r="L34" s="1245"/>
      <c r="M34" s="1245"/>
      <c r="O34" s="197"/>
      <c r="P34" s="197"/>
      <c r="Q34" s="197"/>
      <c r="R34" s="197"/>
      <c r="U34" s="197"/>
      <c r="V34" s="761"/>
      <c r="X34" s="274" t="s">
        <v>194</v>
      </c>
      <c r="Y34" s="480">
        <v>4</v>
      </c>
      <c r="AI34" t="s">
        <v>175</v>
      </c>
      <c r="AJ34" s="164">
        <f>HLOOKUP($AI34,Veverka!$A$2:$AJ$204,MATCH(ZV_1,Veverka!$A$2:$A$204,0),FALSE)</f>
        <v>0</v>
      </c>
      <c r="AK34" s="164">
        <f>IFERROR(HLOOKUP($AI34,Veverka!$A$2:$AJ$204,MATCH(ZV_2,Veverka!$A$2:$A$204,0),FALSE),0)</f>
        <v>0</v>
      </c>
      <c r="AL34" s="164">
        <f>IFERROR(HLOOKUP($AI34,Veverka!$A$2:$AJ$204,MATCH(ZV_3,Veverka!$A$2:$A$204,0),FALSE),0)</f>
        <v>0</v>
      </c>
      <c r="AM34" s="164">
        <f>HLOOKUP($AI34,Veverka!$A$2:$AJ$204,MATCH(KV_1,Veverka!$A$2:$A$204,0),FALSE)</f>
        <v>0</v>
      </c>
      <c r="AN34" s="164">
        <f>IFERROR(HLOOKUP($AI34,Veverka!$A$2:$AJ$204,MATCH(KV_2,Veverka!$A$2:$A$204,0),FALSE),0)</f>
        <v>0</v>
      </c>
      <c r="AO34" s="164">
        <f>IFERROR(HLOOKUP($AI34,Veverka!$A$2:$AJ$204,MATCH(KV_3,Veverka!$A$2:$A$204,0),FALSE),0)</f>
        <v>0</v>
      </c>
      <c r="AP34" s="530">
        <f t="shared" si="1"/>
        <v>0</v>
      </c>
      <c r="AR34" s="61">
        <v>25</v>
      </c>
      <c r="AS34" s="61">
        <v>6</v>
      </c>
      <c r="AV34" s="115" t="s">
        <v>403</v>
      </c>
      <c r="BF34" s="63">
        <v>26</v>
      </c>
      <c r="BG34" s="63">
        <v>7</v>
      </c>
      <c r="BH34">
        <v>9</v>
      </c>
      <c r="BI34">
        <v>7</v>
      </c>
      <c r="BJ34" s="63">
        <v>10</v>
      </c>
      <c r="BK34">
        <v>0.01</v>
      </c>
      <c r="BL34">
        <v>0</v>
      </c>
      <c r="BO34" s="118" t="s">
        <v>1307</v>
      </c>
      <c r="BP34" s="39" t="s">
        <v>385</v>
      </c>
      <c r="BQ34" s="117">
        <v>0</v>
      </c>
      <c r="BR34" s="121">
        <v>3</v>
      </c>
      <c r="BS34" s="121">
        <v>0</v>
      </c>
      <c r="BT34" s="121" t="s">
        <v>181</v>
      </c>
      <c r="BU34" s="117">
        <v>2</v>
      </c>
      <c r="BV34" s="117">
        <v>2</v>
      </c>
      <c r="BW34" s="117">
        <v>5</v>
      </c>
      <c r="BX34" s="117">
        <v>1</v>
      </c>
      <c r="BY34" s="118" t="s">
        <v>95</v>
      </c>
      <c r="BZ34" s="118" t="s">
        <v>358</v>
      </c>
      <c r="CA34" s="117">
        <v>1</v>
      </c>
      <c r="CB34" t="s">
        <v>5426</v>
      </c>
    </row>
    <row r="35" spans="1:80" ht="15" customHeight="1" x14ac:dyDescent="0.3">
      <c r="A35" s="768"/>
      <c r="B35" s="894" t="s">
        <v>4165</v>
      </c>
      <c r="C35" s="895"/>
      <c r="D35" s="895"/>
      <c r="E35" s="895"/>
      <c r="F35" s="895"/>
      <c r="G35" s="895"/>
      <c r="H35" s="895"/>
      <c r="I35" s="895"/>
      <c r="J35" s="895"/>
      <c r="K35" s="895"/>
      <c r="L35" s="895"/>
      <c r="M35" s="895"/>
      <c r="N35" s="895"/>
      <c r="O35" s="895"/>
      <c r="P35" s="895"/>
      <c r="Q35" s="895"/>
      <c r="R35" s="895"/>
      <c r="S35" s="895"/>
      <c r="T35" s="895"/>
      <c r="U35" s="197"/>
      <c r="V35" s="761"/>
      <c r="AI35" t="s">
        <v>168</v>
      </c>
      <c r="AJ35" s="164">
        <f>HLOOKUP($AI35,Veverka!$A$2:$AJ$204,MATCH(ZV_1,Veverka!$A$2:$A$204,0),FALSE)</f>
        <v>0</v>
      </c>
      <c r="AK35" s="164">
        <f>IFERROR(HLOOKUP($AI35,Veverka!$A$2:$AJ$204,MATCH(ZV_2,Veverka!$A$2:$A$204,0),FALSE),0)</f>
        <v>0</v>
      </c>
      <c r="AL35" s="164">
        <f>IFERROR(HLOOKUP($AI35,Veverka!$A$2:$AJ$204,MATCH(ZV_3,Veverka!$A$2:$A$204,0),FALSE),0)</f>
        <v>0</v>
      </c>
      <c r="AM35" s="164">
        <f>HLOOKUP($AI35,Veverka!$A$2:$AJ$204,MATCH(KV_1,Veverka!$A$2:$A$204,0),FALSE)</f>
        <v>0</v>
      </c>
      <c r="AN35" s="164">
        <f>IFERROR(HLOOKUP($AI35,Veverka!$A$2:$AJ$204,MATCH(KV_2,Veverka!$A$2:$A$204,0),FALSE),0)</f>
        <v>0</v>
      </c>
      <c r="AO35" s="164">
        <f>IFERROR(HLOOKUP($AI35,Veverka!$A$2:$AJ$204,MATCH(KV_3,Veverka!$A$2:$A$204,0),FALSE),0)</f>
        <v>0</v>
      </c>
      <c r="AP35" s="530">
        <f t="shared" si="1"/>
        <v>0</v>
      </c>
      <c r="AR35" s="61">
        <v>26</v>
      </c>
      <c r="AS35" s="61">
        <v>7</v>
      </c>
      <c r="AV35" s="115" t="s">
        <v>404</v>
      </c>
      <c r="BF35" s="63">
        <v>27</v>
      </c>
      <c r="BG35" s="63">
        <v>8</v>
      </c>
      <c r="BH35">
        <v>9</v>
      </c>
      <c r="BI35">
        <v>7</v>
      </c>
      <c r="BJ35" s="63">
        <v>11</v>
      </c>
      <c r="BK35">
        <v>0.01</v>
      </c>
      <c r="BL35">
        <v>0</v>
      </c>
      <c r="BO35" s="118" t="s">
        <v>1214</v>
      </c>
      <c r="BP35" s="39" t="s">
        <v>385</v>
      </c>
      <c r="BQ35" s="602">
        <v>2</v>
      </c>
      <c r="BR35" s="121">
        <v>2</v>
      </c>
      <c r="BS35" s="121">
        <v>0</v>
      </c>
      <c r="BT35" s="121" t="s">
        <v>181</v>
      </c>
      <c r="BU35" s="117">
        <v>-2</v>
      </c>
      <c r="BV35" s="117">
        <v>0</v>
      </c>
      <c r="BW35" s="117">
        <v>1</v>
      </c>
      <c r="BX35" s="117">
        <v>1</v>
      </c>
      <c r="BY35" s="118" t="s">
        <v>95</v>
      </c>
      <c r="BZ35" s="118" t="s">
        <v>358</v>
      </c>
      <c r="CA35" s="117">
        <f>HLOOKUP(Věci!$C$2,Věci!$A$2:$C$529,MATCH(BO35,Věci!$A$2:$A$529,0),FALSE)</f>
        <v>0.1</v>
      </c>
      <c r="CB35" t="s">
        <v>5425</v>
      </c>
    </row>
    <row r="36" spans="1:80" ht="15" customHeight="1" x14ac:dyDescent="0.3">
      <c r="A36" s="768"/>
      <c r="B36" s="1218" t="s">
        <v>4166</v>
      </c>
      <c r="C36" s="1218"/>
      <c r="D36" s="1218"/>
      <c r="E36" s="896" t="s">
        <v>386</v>
      </c>
      <c r="F36" s="897" t="s">
        <v>2399</v>
      </c>
      <c r="G36" s="897" t="s">
        <v>278</v>
      </c>
      <c r="H36" s="897" t="s">
        <v>183</v>
      </c>
      <c r="I36" s="897" t="s">
        <v>314</v>
      </c>
      <c r="J36" s="896" t="s">
        <v>4167</v>
      </c>
      <c r="K36" s="897" t="s">
        <v>315</v>
      </c>
      <c r="L36" s="896" t="s">
        <v>354</v>
      </c>
      <c r="M36" s="897" t="s">
        <v>33</v>
      </c>
      <c r="N36" s="896" t="s">
        <v>156</v>
      </c>
      <c r="O36" s="896" t="s">
        <v>355</v>
      </c>
      <c r="P36" s="896" t="s">
        <v>356</v>
      </c>
      <c r="Q36" s="1218" t="s">
        <v>397</v>
      </c>
      <c r="R36" s="1218"/>
      <c r="S36" s="1218"/>
      <c r="T36" s="1218"/>
      <c r="U36" s="197"/>
      <c r="V36" s="761"/>
      <c r="AI36" t="s">
        <v>292</v>
      </c>
      <c r="AJ36" s="164">
        <f>HLOOKUP($AI36,Veverka!$A$2:$AJ$204,MATCH(ZV_1,Veverka!$A$2:$A$204,0),FALSE)</f>
        <v>0</v>
      </c>
      <c r="AK36" s="164">
        <f>IFERROR(HLOOKUP($AI36,Veverka!$A$2:$AJ$204,MATCH(ZV_2,Veverka!$A$2:$A$204,0),FALSE),0)</f>
        <v>0</v>
      </c>
      <c r="AL36" s="164">
        <f>IFERROR(HLOOKUP($AI36,Veverka!$A$2:$AJ$204,MATCH(ZV_3,Veverka!$A$2:$A$204,0),FALSE),0)</f>
        <v>0</v>
      </c>
      <c r="AM36" s="164">
        <f>HLOOKUP($AI36,Veverka!$A$2:$AJ$204,MATCH(KV_1,Veverka!$A$2:$A$204,0),FALSE)</f>
        <v>0</v>
      </c>
      <c r="AN36" s="164">
        <f>IFERROR(HLOOKUP($AI36,Veverka!$A$2:$AJ$204,MATCH(KV_2,Veverka!$A$2:$A$204,0),FALSE),0)</f>
        <v>0</v>
      </c>
      <c r="AO36" s="164">
        <f>IFERROR(HLOOKUP($AI36,Veverka!$A$2:$AJ$204,MATCH(KV_3,Veverka!$A$2:$A$204,0),FALSE),0)</f>
        <v>0</v>
      </c>
      <c r="AP36" s="530">
        <f t="shared" si="1"/>
        <v>0</v>
      </c>
      <c r="AR36" s="61">
        <v>27</v>
      </c>
      <c r="AS36" s="61">
        <v>7</v>
      </c>
      <c r="AV36" s="115" t="s">
        <v>405</v>
      </c>
      <c r="AX36" s="58" t="s">
        <v>162</v>
      </c>
      <c r="AY36" s="115"/>
      <c r="BF36" s="63">
        <v>28</v>
      </c>
      <c r="BG36" s="63">
        <v>8</v>
      </c>
      <c r="BH36">
        <v>10</v>
      </c>
      <c r="BI36">
        <v>7</v>
      </c>
      <c r="BJ36" s="63">
        <v>12</v>
      </c>
      <c r="BK36">
        <v>0.01</v>
      </c>
      <c r="BL36">
        <v>0</v>
      </c>
      <c r="BO36" s="118" t="s">
        <v>381</v>
      </c>
      <c r="BP36" s="39" t="s">
        <v>388</v>
      </c>
      <c r="BQ36" s="117">
        <v>0</v>
      </c>
      <c r="BR36" s="121">
        <v>1</v>
      </c>
      <c r="BS36" s="121">
        <v>1</v>
      </c>
      <c r="BT36" s="121" t="s">
        <v>181</v>
      </c>
      <c r="BU36" s="117">
        <v>0</v>
      </c>
      <c r="BV36" s="117">
        <v>0</v>
      </c>
      <c r="BW36" s="117">
        <v>8</v>
      </c>
      <c r="BX36" s="117">
        <v>8</v>
      </c>
      <c r="BY36" s="118" t="s">
        <v>95</v>
      </c>
      <c r="BZ36" s="118" t="s">
        <v>358</v>
      </c>
      <c r="CA36" s="117">
        <f>HLOOKUP(Věci!$C$2,Věci!$A$2:$C$529,MATCH(BO36,Věci!$A$2:$A$529,0),FALSE)</f>
        <v>0.1</v>
      </c>
      <c r="CB36" t="s">
        <v>2478</v>
      </c>
    </row>
    <row r="37" spans="1:80" ht="15" customHeight="1" thickBot="1" x14ac:dyDescent="0.35">
      <c r="A37" s="768"/>
      <c r="B37" s="1219"/>
      <c r="C37" s="1220"/>
      <c r="D37" s="1221"/>
      <c r="E37" s="898"/>
      <c r="F37" s="899"/>
      <c r="G37" s="899"/>
      <c r="H37" s="899"/>
      <c r="I37" s="898"/>
      <c r="J37" s="898"/>
      <c r="K37" s="898"/>
      <c r="L37" s="898"/>
      <c r="M37" s="900"/>
      <c r="N37" s="899"/>
      <c r="O37" s="901"/>
      <c r="P37" s="901"/>
      <c r="Q37" s="1222"/>
      <c r="R37" s="1223"/>
      <c r="S37" s="1223"/>
      <c r="T37" s="1224"/>
      <c r="U37" s="197"/>
      <c r="V37" s="761"/>
      <c r="X37" s="476" t="s">
        <v>1460</v>
      </c>
      <c r="AI37" t="s">
        <v>296</v>
      </c>
      <c r="AJ37" s="164">
        <f>HLOOKUP($AI37,Veverka!$A$2:$AJ$204,MATCH(ZV_1,Veverka!$A$2:$A$204,0),FALSE)</f>
        <v>0</v>
      </c>
      <c r="AK37" s="164">
        <f>IFERROR(HLOOKUP($AI37,Veverka!$A$2:$AJ$204,MATCH(ZV_2,Veverka!$A$2:$A$204,0),FALSE),0)</f>
        <v>0</v>
      </c>
      <c r="AL37" s="164">
        <f>IFERROR(HLOOKUP($AI37,Veverka!$A$2:$AJ$204,MATCH(ZV_3,Veverka!$A$2:$A$204,0),FALSE),0)</f>
        <v>0</v>
      </c>
      <c r="AM37" s="164">
        <f>HLOOKUP($AI37,Veverka!$A$2:$AJ$204,MATCH(KV_1,Veverka!$A$2:$A$204,0),FALSE)</f>
        <v>0</v>
      </c>
      <c r="AN37" s="164">
        <f>IFERROR(HLOOKUP($AI37,Veverka!$A$2:$AJ$204,MATCH(KV_2,Veverka!$A$2:$A$204,0),FALSE),0)</f>
        <v>0</v>
      </c>
      <c r="AO37" s="164">
        <f>IFERROR(HLOOKUP($AI37,Veverka!$A$2:$AJ$204,MATCH(KV_3,Veverka!$A$2:$A$204,0),FALSE),0)</f>
        <v>0</v>
      </c>
      <c r="AP37" s="530">
        <f t="shared" si="1"/>
        <v>0</v>
      </c>
      <c r="AR37" s="61">
        <v>28</v>
      </c>
      <c r="AS37" s="61">
        <v>7</v>
      </c>
      <c r="AV37" s="115" t="s">
        <v>278</v>
      </c>
      <c r="AX37" s="130" t="s">
        <v>168</v>
      </c>
      <c r="AY37" s="131" t="s">
        <v>8</v>
      </c>
      <c r="BF37" s="63">
        <v>29</v>
      </c>
      <c r="BG37" s="63">
        <v>9</v>
      </c>
      <c r="BH37">
        <v>10</v>
      </c>
      <c r="BI37">
        <v>8</v>
      </c>
      <c r="BJ37" s="420">
        <v>13</v>
      </c>
      <c r="BK37" s="421">
        <v>0.01</v>
      </c>
      <c r="BL37" s="421">
        <v>0</v>
      </c>
      <c r="BO37" s="118" t="s">
        <v>1142</v>
      </c>
      <c r="BP37" s="39" t="s">
        <v>388</v>
      </c>
      <c r="BQ37" s="117">
        <v>0</v>
      </c>
      <c r="BR37" s="121">
        <v>1</v>
      </c>
      <c r="BS37" s="121">
        <v>1</v>
      </c>
      <c r="BT37" s="121" t="s">
        <v>181</v>
      </c>
      <c r="BU37" s="117">
        <v>0</v>
      </c>
      <c r="BV37" s="117">
        <v>0</v>
      </c>
      <c r="BW37" s="117">
        <v>8</v>
      </c>
      <c r="BX37" s="117">
        <v>8</v>
      </c>
      <c r="BY37" s="118" t="s">
        <v>95</v>
      </c>
      <c r="BZ37" s="118" t="s">
        <v>358</v>
      </c>
      <c r="CA37" s="117">
        <f>HLOOKUP(Věci!$C$2,Věci!$A$2:$C$529,MATCH(BO37,Věci!$A$2:$A$529,0),FALSE)</f>
        <v>0.1</v>
      </c>
      <c r="CB37" t="s">
        <v>2478</v>
      </c>
    </row>
    <row r="38" spans="1:80" ht="15" customHeight="1" x14ac:dyDescent="0.3">
      <c r="A38" s="768"/>
      <c r="B38" s="197"/>
      <c r="C38" s="197"/>
      <c r="D38" s="197"/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197"/>
      <c r="P38" s="197"/>
      <c r="Q38" s="197"/>
      <c r="R38" s="197"/>
      <c r="S38" s="197"/>
      <c r="T38" s="197"/>
      <c r="U38" s="197"/>
      <c r="V38" s="761"/>
      <c r="X38" s="264" t="s">
        <v>2</v>
      </c>
      <c r="Y38" s="477" t="s">
        <v>1354</v>
      </c>
      <c r="AI38" t="s">
        <v>294</v>
      </c>
      <c r="AJ38" s="164">
        <f>HLOOKUP($AI38,Veverka!$A$2:$AJ$204,MATCH(ZV_1,Veverka!$A$2:$A$204,0),FALSE)</f>
        <v>0</v>
      </c>
      <c r="AK38" s="164">
        <f>IFERROR(HLOOKUP($AI38,Veverka!$A$2:$AJ$204,MATCH(ZV_2,Veverka!$A$2:$A$204,0),FALSE),0)</f>
        <v>0</v>
      </c>
      <c r="AL38" s="164">
        <f>IFERROR(HLOOKUP($AI38,Veverka!$A$2:$AJ$204,MATCH(ZV_3,Veverka!$A$2:$A$204,0),FALSE),0)</f>
        <v>0</v>
      </c>
      <c r="AM38" s="164">
        <f>HLOOKUP($AI38,Veverka!$A$2:$AJ$204,MATCH(KV_1,Veverka!$A$2:$A$204,0),FALSE)</f>
        <v>0</v>
      </c>
      <c r="AN38" s="164">
        <f>IFERROR(HLOOKUP($AI38,Veverka!$A$2:$AJ$204,MATCH(KV_2,Veverka!$A$2:$A$204,0),FALSE),0)</f>
        <v>0</v>
      </c>
      <c r="AO38" s="164">
        <f>IFERROR(HLOOKUP($AI38,Veverka!$A$2:$AJ$204,MATCH(KV_3,Veverka!$A$2:$A$204,0),FALSE),0)</f>
        <v>0</v>
      </c>
      <c r="AP38" s="530">
        <f t="shared" si="1"/>
        <v>0</v>
      </c>
      <c r="AR38" s="61">
        <v>29</v>
      </c>
      <c r="AS38" s="61">
        <v>7</v>
      </c>
      <c r="AV38" s="115" t="s">
        <v>406</v>
      </c>
      <c r="AX38" s="130" t="s">
        <v>175</v>
      </c>
      <c r="AY38" s="131" t="s">
        <v>7</v>
      </c>
      <c r="BF38" s="63">
        <v>30</v>
      </c>
      <c r="BG38" s="63">
        <v>9</v>
      </c>
      <c r="BH38">
        <v>10</v>
      </c>
      <c r="BI38">
        <v>8</v>
      </c>
      <c r="BJ38" s="420">
        <v>14</v>
      </c>
      <c r="BK38" s="421">
        <v>0.01</v>
      </c>
      <c r="BL38" s="421">
        <v>0</v>
      </c>
      <c r="BO38" s="118" t="s">
        <v>4881</v>
      </c>
      <c r="BP38" s="39" t="s">
        <v>387</v>
      </c>
      <c r="BQ38" s="117">
        <v>-2</v>
      </c>
      <c r="BR38" s="121">
        <v>0</v>
      </c>
      <c r="BS38" s="121">
        <v>-3</v>
      </c>
      <c r="BT38" s="121" t="s">
        <v>181</v>
      </c>
      <c r="BU38" s="117">
        <v>-2</v>
      </c>
      <c r="BV38" s="117">
        <v>0</v>
      </c>
      <c r="BW38" s="117">
        <v>0</v>
      </c>
      <c r="BX38" s="117">
        <v>1</v>
      </c>
      <c r="BY38" s="118" t="s">
        <v>4882</v>
      </c>
      <c r="BZ38" s="118" t="s">
        <v>358</v>
      </c>
      <c r="CA38" s="117">
        <v>0</v>
      </c>
      <c r="CB38" t="s">
        <v>277</v>
      </c>
    </row>
    <row r="39" spans="1:80" ht="15" customHeight="1" x14ac:dyDescent="0.3">
      <c r="A39" s="768"/>
      <c r="B39" s="780" t="s">
        <v>316</v>
      </c>
      <c r="C39" s="1210"/>
      <c r="D39" s="1210"/>
      <c r="E39" s="1210"/>
      <c r="F39" s="1202"/>
      <c r="G39" s="197"/>
      <c r="H39" s="93" t="s">
        <v>1190</v>
      </c>
      <c r="I39" s="1228"/>
      <c r="J39" s="1230"/>
      <c r="K39" s="93" t="s">
        <v>1191</v>
      </c>
      <c r="L39" s="1228"/>
      <c r="M39" s="1230"/>
      <c r="N39" s="197"/>
      <c r="O39" s="1246" t="s">
        <v>316</v>
      </c>
      <c r="P39" s="1247"/>
      <c r="Q39" s="1210"/>
      <c r="R39" s="1210"/>
      <c r="S39" s="1210"/>
      <c r="T39" s="1202"/>
      <c r="U39" s="197"/>
      <c r="V39" s="761"/>
      <c r="X39" s="267" t="s">
        <v>115</v>
      </c>
      <c r="Y39" s="478">
        <v>0</v>
      </c>
      <c r="AI39" t="s">
        <v>295</v>
      </c>
      <c r="AJ39" s="164">
        <f>HLOOKUP($AI39,Veverka!$A$2:$AJ$204,MATCH(ZV_1,Veverka!$A$2:$A$204,0),FALSE)</f>
        <v>0</v>
      </c>
      <c r="AK39" s="164">
        <f>IFERROR(HLOOKUP($AI39,Veverka!$A$2:$AJ$204,MATCH(ZV_2,Veverka!$A$2:$A$204,0),FALSE),0)</f>
        <v>0</v>
      </c>
      <c r="AL39" s="164">
        <f>IFERROR(HLOOKUP($AI39,Veverka!$A$2:$AJ$204,MATCH(ZV_3,Veverka!$A$2:$A$204,0),FALSE),0)</f>
        <v>0</v>
      </c>
      <c r="AM39" s="164">
        <f>HLOOKUP($AI39,Veverka!$A$2:$AJ$204,MATCH(KV_1,Veverka!$A$2:$A$204,0),FALSE)</f>
        <v>0</v>
      </c>
      <c r="AN39" s="164">
        <f>IFERROR(HLOOKUP($AI39,Veverka!$A$2:$AJ$204,MATCH(KV_2,Veverka!$A$2:$A$204,0),FALSE),0)</f>
        <v>0</v>
      </c>
      <c r="AO39" s="164">
        <f>IFERROR(HLOOKUP($AI39,Veverka!$A$2:$AJ$204,MATCH(KV_3,Veverka!$A$2:$A$204,0),FALSE),0)</f>
        <v>0</v>
      </c>
      <c r="AP39" s="530">
        <f t="shared" si="1"/>
        <v>0</v>
      </c>
      <c r="AR39" s="61">
        <v>30</v>
      </c>
      <c r="AS39" s="61">
        <v>8</v>
      </c>
      <c r="AV39" s="115" t="s">
        <v>407</v>
      </c>
      <c r="AX39" s="130" t="s">
        <v>178</v>
      </c>
      <c r="AY39" s="131" t="s">
        <v>4</v>
      </c>
      <c r="BF39" s="63">
        <v>31</v>
      </c>
      <c r="BG39" s="63">
        <v>10</v>
      </c>
      <c r="BH39">
        <v>11</v>
      </c>
      <c r="BI39">
        <v>8</v>
      </c>
      <c r="BJ39" s="420">
        <v>15</v>
      </c>
      <c r="BK39" s="421">
        <v>0.01</v>
      </c>
      <c r="BL39" s="421">
        <v>0</v>
      </c>
      <c r="BO39" s="118" t="s">
        <v>376</v>
      </c>
      <c r="BP39" s="39" t="s">
        <v>388</v>
      </c>
      <c r="BQ39" s="117">
        <v>0</v>
      </c>
      <c r="BR39" s="121">
        <v>1</v>
      </c>
      <c r="BS39" s="121">
        <v>1</v>
      </c>
      <c r="BT39" s="121" t="s">
        <v>181</v>
      </c>
      <c r="BU39" s="117">
        <v>-1</v>
      </c>
      <c r="BV39" s="117">
        <v>0</v>
      </c>
      <c r="BW39" s="117">
        <v>4</v>
      </c>
      <c r="BX39" s="117">
        <v>10</v>
      </c>
      <c r="BY39" s="118" t="s">
        <v>97</v>
      </c>
      <c r="BZ39" s="118" t="s">
        <v>358</v>
      </c>
      <c r="CA39" s="117">
        <f>HLOOKUP(Věci!$C$2,Věci!$A$2:$C$529,MATCH(BO39,Věci!$A$2:$A$529,0),FALSE)</f>
        <v>0.1</v>
      </c>
      <c r="CB39" t="s">
        <v>2478</v>
      </c>
    </row>
    <row r="40" spans="1:80" ht="15" customHeight="1" x14ac:dyDescent="0.3">
      <c r="A40" s="768"/>
      <c r="B40" s="781" t="s">
        <v>2472</v>
      </c>
      <c r="C40" s="1238"/>
      <c r="D40" s="1238"/>
      <c r="E40" s="1238"/>
      <c r="F40" s="1239"/>
      <c r="G40" s="197"/>
      <c r="H40" s="1240" t="s">
        <v>2472</v>
      </c>
      <c r="I40" s="1241"/>
      <c r="J40" s="1238"/>
      <c r="K40" s="1238"/>
      <c r="L40" s="1238"/>
      <c r="M40" s="1239"/>
      <c r="N40" s="197"/>
      <c r="O40" s="1240" t="s">
        <v>2472</v>
      </c>
      <c r="P40" s="1241"/>
      <c r="Q40" s="1238"/>
      <c r="R40" s="1238"/>
      <c r="S40" s="1238"/>
      <c r="T40" s="1239"/>
      <c r="U40" s="197"/>
      <c r="V40" s="761"/>
      <c r="X40" s="270" t="s">
        <v>4892</v>
      </c>
      <c r="Y40" s="479">
        <v>0</v>
      </c>
      <c r="AI40" t="s">
        <v>293</v>
      </c>
      <c r="AJ40" s="164">
        <f>HLOOKUP($AI40,Veverka!$A$2:$AJ$204,MATCH(ZV_1,Veverka!$A$2:$A$204,0),FALSE)</f>
        <v>0</v>
      </c>
      <c r="AK40" s="164">
        <f>IFERROR(HLOOKUP($AI40,Veverka!$A$2:$AJ$204,MATCH(ZV_2,Veverka!$A$2:$A$204,0),FALSE),0)</f>
        <v>0</v>
      </c>
      <c r="AL40" s="164">
        <f>IFERROR(HLOOKUP($AI40,Veverka!$A$2:$AJ$204,MATCH(ZV_3,Veverka!$A$2:$A$204,0),FALSE),0)</f>
        <v>0</v>
      </c>
      <c r="AM40" s="164">
        <f>HLOOKUP($AI40,Veverka!$A$2:$AJ$204,MATCH(KV_1,Veverka!$A$2:$A$204,0),FALSE)</f>
        <v>0</v>
      </c>
      <c r="AN40" s="164">
        <f>IFERROR(HLOOKUP($AI40,Veverka!$A$2:$AJ$204,MATCH(KV_2,Veverka!$A$2:$A$204,0),FALSE),0)</f>
        <v>0</v>
      </c>
      <c r="AO40" s="164">
        <f>IFERROR(HLOOKUP($AI40,Veverka!$A$2:$AJ$204,MATCH(KV_3,Veverka!$A$2:$A$204,0),FALSE),0)</f>
        <v>0</v>
      </c>
      <c r="AP40" s="530">
        <f t="shared" si="1"/>
        <v>0</v>
      </c>
      <c r="AR40" s="61">
        <v>31</v>
      </c>
      <c r="AS40" s="61">
        <v>8</v>
      </c>
      <c r="AV40" s="115" t="s">
        <v>408</v>
      </c>
      <c r="AX40" s="130" t="s">
        <v>173</v>
      </c>
      <c r="AY40" s="131" t="s">
        <v>0</v>
      </c>
      <c r="BF40" s="63">
        <v>32</v>
      </c>
      <c r="BG40" s="63">
        <v>10</v>
      </c>
      <c r="BH40">
        <v>11</v>
      </c>
      <c r="BI40">
        <v>9</v>
      </c>
      <c r="BJ40" s="420">
        <v>16</v>
      </c>
      <c r="BK40" s="421">
        <v>0.01</v>
      </c>
      <c r="BL40" s="421">
        <v>0</v>
      </c>
      <c r="BO40" s="118" t="s">
        <v>3186</v>
      </c>
      <c r="BP40" s="39" t="s">
        <v>388</v>
      </c>
      <c r="BQ40" s="117">
        <v>-1</v>
      </c>
      <c r="BR40" s="121">
        <v>1</v>
      </c>
      <c r="BS40" s="121">
        <v>2</v>
      </c>
      <c r="BT40" s="121" t="s">
        <v>181</v>
      </c>
      <c r="BU40" s="117">
        <v>0</v>
      </c>
      <c r="BV40" s="117">
        <v>0</v>
      </c>
      <c r="BW40" s="117">
        <v>13</v>
      </c>
      <c r="BX40" s="117">
        <v>8</v>
      </c>
      <c r="BY40" s="118" t="s">
        <v>97</v>
      </c>
      <c r="BZ40" s="118" t="s">
        <v>361</v>
      </c>
      <c r="CA40" s="117">
        <f>HLOOKUP(Věci!$C$2,Věci!$A$2:$C$529,MATCH(BO40,Věci!$A$2:$A$529,0),FALSE)</f>
        <v>0.5</v>
      </c>
      <c r="CB40" t="s">
        <v>2478</v>
      </c>
    </row>
    <row r="41" spans="1:80" ht="15" customHeight="1" x14ac:dyDescent="0.3">
      <c r="A41" s="768"/>
      <c r="B41" s="782"/>
      <c r="C41" s="89" t="s">
        <v>33</v>
      </c>
      <c r="D41" s="89" t="s">
        <v>81</v>
      </c>
      <c r="E41" s="89" t="s">
        <v>314</v>
      </c>
      <c r="F41" s="90" t="s">
        <v>315</v>
      </c>
      <c r="G41" s="197"/>
      <c r="H41" s="1250"/>
      <c r="I41" s="1251"/>
      <c r="J41" s="929" t="s">
        <v>33</v>
      </c>
      <c r="K41" s="89" t="s">
        <v>81</v>
      </c>
      <c r="L41" s="89" t="s">
        <v>314</v>
      </c>
      <c r="M41" s="293" t="s">
        <v>315</v>
      </c>
      <c r="N41" s="197"/>
      <c r="O41" s="1250"/>
      <c r="P41" s="1251"/>
      <c r="Q41" s="89" t="s">
        <v>33</v>
      </c>
      <c r="R41" s="89" t="s">
        <v>81</v>
      </c>
      <c r="S41" s="89" t="s">
        <v>314</v>
      </c>
      <c r="T41" s="90" t="s">
        <v>315</v>
      </c>
      <c r="U41" s="197"/>
      <c r="V41" s="761"/>
      <c r="X41" s="270" t="s">
        <v>83</v>
      </c>
      <c r="Y41" s="479">
        <v>0</v>
      </c>
      <c r="AI41" t="s">
        <v>301</v>
      </c>
      <c r="AJ41" s="164">
        <f>HLOOKUP($AI41,Veverka!$A$2:$AJ$204,MATCH(ZV_1,Veverka!$A$2:$A$204,0),FALSE)</f>
        <v>0</v>
      </c>
      <c r="AK41" s="164">
        <f>IFERROR(HLOOKUP($AI41,Veverka!$A$2:$AJ$204,MATCH(ZV_2,Veverka!$A$2:$A$204,0),FALSE),0)</f>
        <v>0</v>
      </c>
      <c r="AL41" s="164">
        <f>IFERROR(HLOOKUP($AI41,Veverka!$A$2:$AJ$204,MATCH(ZV_3,Veverka!$A$2:$A$204,0),FALSE),0)</f>
        <v>0</v>
      </c>
      <c r="AM41" s="164">
        <f>HLOOKUP($AI41,Veverka!$A$2:$AJ$204,MATCH(KV_1,Veverka!$A$2:$A$204,0),FALSE)</f>
        <v>0</v>
      </c>
      <c r="AN41" s="164">
        <f>IFERROR(HLOOKUP($AI41,Veverka!$A$2:$AJ$204,MATCH(KV_2,Veverka!$A$2:$A$204,0),FALSE),0)</f>
        <v>0</v>
      </c>
      <c r="AO41" s="164">
        <f>IFERROR(HLOOKUP($AI41,Veverka!$A$2:$AJ$204,MATCH(KV_3,Veverka!$A$2:$A$204,0),FALSE),0)</f>
        <v>0</v>
      </c>
      <c r="AP41" s="530">
        <f t="shared" ref="AP41:AP44" si="2">SUM(AJ41:AO41)</f>
        <v>0</v>
      </c>
      <c r="AR41" s="61">
        <v>32</v>
      </c>
      <c r="AS41" s="61">
        <v>8</v>
      </c>
      <c r="AV41" s="115" t="s">
        <v>409</v>
      </c>
      <c r="AX41" s="130" t="s">
        <v>185</v>
      </c>
      <c r="AY41" s="131" t="s">
        <v>6</v>
      </c>
      <c r="BF41" s="63">
        <v>33</v>
      </c>
      <c r="BG41" s="63">
        <v>11</v>
      </c>
      <c r="BH41">
        <v>11</v>
      </c>
      <c r="BI41">
        <v>9</v>
      </c>
      <c r="BJ41" s="420">
        <v>17</v>
      </c>
      <c r="BK41" s="421">
        <v>0.01</v>
      </c>
      <c r="BL41" s="421">
        <v>0</v>
      </c>
      <c r="BO41" s="39" t="s">
        <v>373</v>
      </c>
      <c r="BP41" s="39" t="s">
        <v>385</v>
      </c>
      <c r="BQ41" s="117">
        <v>0</v>
      </c>
      <c r="BR41" s="121">
        <v>6</v>
      </c>
      <c r="BS41" s="121">
        <v>3</v>
      </c>
      <c r="BT41" s="121" t="s">
        <v>181</v>
      </c>
      <c r="BU41" s="117">
        <v>5</v>
      </c>
      <c r="BV41" s="117">
        <v>3</v>
      </c>
      <c r="BW41" s="602">
        <v>12</v>
      </c>
      <c r="BX41" s="117">
        <v>1</v>
      </c>
      <c r="BY41" s="118" t="s">
        <v>183</v>
      </c>
      <c r="BZ41" s="118" t="s">
        <v>358</v>
      </c>
      <c r="CA41" s="117">
        <f>HLOOKUP(Věci!$C$2,Věci!$A$2:$C$529,MATCH(BO41,Věci!$A$2:$A$529,0),FALSE)</f>
        <v>1.3</v>
      </c>
      <c r="CB41" t="s">
        <v>1914</v>
      </c>
    </row>
    <row r="42" spans="1:80" ht="15" customHeight="1" x14ac:dyDescent="0.3">
      <c r="A42" s="768"/>
      <c r="B42" s="783" t="s">
        <v>317</v>
      </c>
      <c r="C42" s="82">
        <f>IFERROR(HLOOKUP(C$41,'1-Vlastnosti'!$BO$7:$BZ$106,MATCH($C$39,'1-Vlastnosti'!$BO$7:$BO$106,0),FALSE)," ")</f>
        <v>0</v>
      </c>
      <c r="D42" s="498">
        <f>IFERROR(HLOOKUP(IF(C40="Střelba","S",IF(C40="Vrh","V","N")),'1-Vlastnosti'!$BO$7:$BZ$106,MATCH($C$39,'1-Vlastnosti'!$BO$7:$BO$106,0),FALSE)," ")</f>
        <v>0</v>
      </c>
      <c r="E42" s="82">
        <f>IFERROR(HLOOKUP(E$41,'1-Vlastnosti'!$BO$7:$BZ$106,MATCH($C$39,'1-Vlastnosti'!$BO$7:$BO$106,0),FALSE)," ")</f>
        <v>0</v>
      </c>
      <c r="F42" s="83">
        <f>IFERROR(HLOOKUP(F$41,'1-Vlastnosti'!$BO$7:$BZ$106,MATCH($C$39,'1-Vlastnosti'!$BO$7:$BO$106,0),FALSE)," ")</f>
        <v>0</v>
      </c>
      <c r="G42" s="197"/>
      <c r="H42" s="1252" t="s">
        <v>317</v>
      </c>
      <c r="I42" s="1253"/>
      <c r="J42" s="351">
        <f>IFERROR(HLOOKUP(J$41,'1-Vlastnosti'!$BO$7:$BZ$106,MATCH($I$39,'1-Vlastnosti'!$BO$7:$BO$106,0),FALSE)," ")</f>
        <v>0</v>
      </c>
      <c r="K42" s="498">
        <f>IFERROR(HLOOKUP(IF(J40="Střelba","S",IF(J40="Vrh","V","N")),'1-Vlastnosti'!$BO$7:$BZ$106,MATCH($I$39,'1-Vlastnosti'!$BO$7:$BO$106,0),FALSE)," ")</f>
        <v>0</v>
      </c>
      <c r="L42" s="82">
        <f>IFERROR(HLOOKUP(L$41,'1-Vlastnosti'!$BO$7:$BZ$106,MATCH($I$39,'1-Vlastnosti'!$BO$7:$BO$106,0),FALSE)," ")</f>
        <v>0</v>
      </c>
      <c r="M42" s="123">
        <f>IFERROR(HLOOKUP(M$41,'1-Vlastnosti'!$BO$7:$BZ$106,MATCH(IF($L$39="",$I$39,$L$39),'1-Vlastnosti'!$BO$7:$BO$106,0),FALSE)," ")</f>
        <v>0</v>
      </c>
      <c r="N42" s="197"/>
      <c r="O42" s="1252" t="s">
        <v>317</v>
      </c>
      <c r="P42" s="1253"/>
      <c r="Q42" s="82">
        <f>IFERROR(HLOOKUP(Q$41,'1-Vlastnosti'!$BO$7:$BZ$106,MATCH($Q$39,'1-Vlastnosti'!$BO$7:$BO$106,0),FALSE)," ")</f>
        <v>0</v>
      </c>
      <c r="R42" s="498">
        <f>IFERROR(HLOOKUP(IF(Q40="Střelba","S",IF(Q40="Vrh","V","N")),'1-Vlastnosti'!$BO$7:$BZ$106,MATCH($Q$39,'1-Vlastnosti'!$BO$7:$BO$106,0),FALSE)," ")</f>
        <v>0</v>
      </c>
      <c r="S42" s="82">
        <f>IFERROR(HLOOKUP(S$41,'1-Vlastnosti'!$BO$7:$BZ$106,MATCH($Q$39,'1-Vlastnosti'!$BO$7:$BO$106,0),FALSE)," ")</f>
        <v>0</v>
      </c>
      <c r="T42" s="83">
        <f>IFERROR(HLOOKUP(T$41,'1-Vlastnosti'!$BO$7:$BZ$106,MATCH($Q$39,'1-Vlastnosti'!$BO$7:$BO$106,0),FALSE)," ")</f>
        <v>0</v>
      </c>
      <c r="U42" s="197"/>
      <c r="V42" s="761"/>
      <c r="X42" s="270" t="s">
        <v>84</v>
      </c>
      <c r="Y42" s="479">
        <v>0</v>
      </c>
      <c r="AI42" t="s">
        <v>2547</v>
      </c>
      <c r="AJ42" s="164">
        <f>HLOOKUP($AI42,Veverka!$A$2:$AJ$204,MATCH(ZV_1,Veverka!$A$2:$A$204,0),FALSE)</f>
        <v>0</v>
      </c>
      <c r="AK42" s="164">
        <f>IFERROR(HLOOKUP($AI42,Veverka!$A$2:$AJ$204,MATCH(ZV_2,Veverka!$A$2:$A$204,0),FALSE),0)</f>
        <v>0</v>
      </c>
      <c r="AL42" s="164">
        <f>IFERROR(HLOOKUP($AI42,Veverka!$A$2:$AJ$204,MATCH(ZV_3,Veverka!$A$2:$A$204,0),FALSE),0)</f>
        <v>0</v>
      </c>
      <c r="AM42" s="164">
        <f>HLOOKUP($AI42,Veverka!$A$2:$AJ$204,MATCH(KV_1,Veverka!$A$2:$A$204,0),FALSE)</f>
        <v>0</v>
      </c>
      <c r="AN42" s="164">
        <f>IFERROR(HLOOKUP($AI42,Veverka!$A$2:$AJ$204,MATCH(KV_2,Veverka!$A$2:$A$204,0),FALSE),0)</f>
        <v>0</v>
      </c>
      <c r="AO42" s="164">
        <f>IFERROR(HLOOKUP($AI42,Veverka!$A$2:$AJ$204,MATCH(KV_3,Veverka!$A$2:$A$204,0),FALSE),0)</f>
        <v>0</v>
      </c>
      <c r="AP42" s="530">
        <f t="shared" si="2"/>
        <v>0</v>
      </c>
      <c r="AR42" s="61">
        <v>33</v>
      </c>
      <c r="AS42" s="61">
        <v>8</v>
      </c>
      <c r="AT42" s="40"/>
      <c r="AV42" s="115" t="s">
        <v>410</v>
      </c>
      <c r="AX42" s="130" t="s">
        <v>188</v>
      </c>
      <c r="AY42" s="131" t="s">
        <v>5</v>
      </c>
      <c r="BF42" s="63">
        <v>34</v>
      </c>
      <c r="BG42" s="63">
        <v>11</v>
      </c>
      <c r="BH42">
        <v>12</v>
      </c>
      <c r="BI42">
        <v>9</v>
      </c>
      <c r="BJ42" s="420">
        <v>18</v>
      </c>
      <c r="BK42" s="421">
        <v>0.01</v>
      </c>
      <c r="BL42" s="421">
        <v>0</v>
      </c>
      <c r="BO42" s="39" t="s">
        <v>971</v>
      </c>
      <c r="BP42" s="39" t="s">
        <v>385</v>
      </c>
      <c r="BQ42" s="117">
        <v>0</v>
      </c>
      <c r="BR42" s="121">
        <v>4</v>
      </c>
      <c r="BS42" s="121">
        <v>1</v>
      </c>
      <c r="BT42" s="121" t="s">
        <v>181</v>
      </c>
      <c r="BU42" s="117">
        <v>3</v>
      </c>
      <c r="BV42" s="117">
        <v>2</v>
      </c>
      <c r="BW42" s="602">
        <v>8</v>
      </c>
      <c r="BX42" s="117">
        <v>1</v>
      </c>
      <c r="BY42" s="118" t="s">
        <v>183</v>
      </c>
      <c r="BZ42" s="118" t="s">
        <v>358</v>
      </c>
      <c r="CA42" s="117">
        <f>HLOOKUP(Věci!$C$2,Věci!$A$2:$C$529,MATCH(BO42,Věci!$A$2:$A$529,0),FALSE)</f>
        <v>1</v>
      </c>
      <c r="CB42" t="s">
        <v>1914</v>
      </c>
    </row>
    <row r="43" spans="1:80" ht="15" customHeight="1" x14ac:dyDescent="0.3">
      <c r="A43" s="768"/>
      <c r="B43" s="784" t="s">
        <v>318</v>
      </c>
      <c r="C43" s="85" t="str">
        <f>IFERROR(HLOOKUP('1-Vlastnosti'!Q$25,'1-Vlastnosti'!$B$25:$T$33,MATCH($C$39,'1-Vlastnosti'!$B$25:$B$33,0),FALSE)," ")</f>
        <v xml:space="preserve"> </v>
      </c>
      <c r="D43" s="85" t="str">
        <f>IFERROR(HLOOKUP('1-Vlastnosti'!R$25,'1-Vlastnosti'!$B$25:$T$33,MATCH($C$39,'1-Vlastnosti'!$B$25:$B$33,0),FALSE)," ")</f>
        <v xml:space="preserve"> </v>
      </c>
      <c r="E43" s="85" t="str">
        <f>IFERROR(HLOOKUP('1-Vlastnosti'!S$25,'1-Vlastnosti'!$B$25:$T$33,MATCH($C$39,'1-Vlastnosti'!$B$25:$B$33,0),FALSE)," ")</f>
        <v xml:space="preserve"> </v>
      </c>
      <c r="F43" s="86" t="str">
        <f>IFERROR(HLOOKUP('1-Vlastnosti'!T$25,'1-Vlastnosti'!$B$25:$T$33,MATCH($C$39,'1-Vlastnosti'!$B$25:$B$33,0),FALSE)," ")</f>
        <v xml:space="preserve"> </v>
      </c>
      <c r="G43" s="197"/>
      <c r="H43" s="1248" t="s">
        <v>318</v>
      </c>
      <c r="I43" s="1249"/>
      <c r="J43" s="352" t="str">
        <f>IFERROR(HLOOKUP('1-Vlastnosti'!Q$25,'1-Vlastnosti'!$B$25:$T$33,MATCH($I$39,'1-Vlastnosti'!$B$25:$B$33,0),FALSE)," ")</f>
        <v xml:space="preserve"> </v>
      </c>
      <c r="K43" s="352" t="str">
        <f>IFERROR(HLOOKUP('1-Vlastnosti'!R$25,'1-Vlastnosti'!$B$25:$T$33,MATCH($I$39,'1-Vlastnosti'!$B$25:$B$33,0),FALSE)," ")</f>
        <v xml:space="preserve"> </v>
      </c>
      <c r="L43" s="352" t="str">
        <f>IFERROR(HLOOKUP('1-Vlastnosti'!S$25,'1-Vlastnosti'!$B$25:$T$33,MATCH($I$39,'1-Vlastnosti'!$B$25:$B$33,0),FALSE)," ")</f>
        <v xml:space="preserve"> </v>
      </c>
      <c r="M43" s="500" t="str">
        <f>IFERROR(HLOOKUP('1-Vlastnosti'!T$25,'1-Vlastnosti'!$B$25:$T$33,MATCH(IF($L$39="",$I$39,$L$39),'1-Vlastnosti'!$B$25:$B$33,0),FALSE)," ")</f>
        <v xml:space="preserve"> </v>
      </c>
      <c r="N43" s="197"/>
      <c r="O43" s="1248" t="s">
        <v>318</v>
      </c>
      <c r="P43" s="1249"/>
      <c r="Q43" s="85" t="str">
        <f>IFERROR(HLOOKUP('1-Vlastnosti'!Q$25,'1-Vlastnosti'!$B$25:$T$33,MATCH($Q$39,'1-Vlastnosti'!$B$25:$B$33,0),FALSE)," ")</f>
        <v xml:space="preserve"> </v>
      </c>
      <c r="R43" s="85" t="str">
        <f>IFERROR(HLOOKUP('1-Vlastnosti'!R$25,'1-Vlastnosti'!$B$25:$T$33,MATCH($Q$39,'1-Vlastnosti'!$B$25:$B$33,0),FALSE)," ")</f>
        <v xml:space="preserve"> </v>
      </c>
      <c r="S43" s="85" t="str">
        <f>IFERROR(HLOOKUP('1-Vlastnosti'!S$25,'1-Vlastnosti'!$B$25:$T$33,MATCH($Q$39,'1-Vlastnosti'!$B$25:$B$33,0),FALSE)," ")</f>
        <v xml:space="preserve"> </v>
      </c>
      <c r="T43" s="86" t="str">
        <f>IFERROR(HLOOKUP('1-Vlastnosti'!T$25,'1-Vlastnosti'!$B$25:$T$33,MATCH($Q$39,'1-Vlastnosti'!$B$25:$B$33,0),FALSE)," ")</f>
        <v xml:space="preserve"> </v>
      </c>
      <c r="U43" s="197"/>
      <c r="V43" s="761"/>
      <c r="X43" s="273" t="s">
        <v>85</v>
      </c>
      <c r="Y43" s="479">
        <v>1</v>
      </c>
      <c r="AI43" t="s">
        <v>5398</v>
      </c>
      <c r="AJ43" s="164">
        <f>HLOOKUP($AI43,Veverka!$A$2:$AJ$204,MATCH(ZV_1,Veverka!$A$2:$A$204,0),FALSE)</f>
        <v>0</v>
      </c>
      <c r="AK43" s="164">
        <f>IFERROR(HLOOKUP($AI43,Veverka!$A$2:$AJ$204,MATCH(ZV_2,Veverka!$A$2:$A$204,0),FALSE),0)</f>
        <v>0</v>
      </c>
      <c r="AL43" s="164">
        <f>IFERROR(HLOOKUP($AI43,Veverka!$A$2:$AJ$204,MATCH(ZV_3,Veverka!$A$2:$A$204,0),FALSE),0)</f>
        <v>0</v>
      </c>
      <c r="AM43" s="164">
        <f>HLOOKUP($AI43,Veverka!$A$2:$AJ$204,MATCH(KV_1,Veverka!$A$2:$A$204,0),FALSE)</f>
        <v>0</v>
      </c>
      <c r="AN43" s="164">
        <f>IFERROR(HLOOKUP($AI43,Veverka!$A$2:$AJ$204,MATCH(KV_2,Veverka!$A$2:$A$204,0),FALSE),0)</f>
        <v>0</v>
      </c>
      <c r="AO43" s="164">
        <f>IFERROR(HLOOKUP($AI43,Veverka!$A$2:$AJ$204,MATCH(KV_3,Veverka!$A$2:$A$204,0),FALSE),0)</f>
        <v>0</v>
      </c>
      <c r="AP43" s="530">
        <f t="shared" si="2"/>
        <v>0</v>
      </c>
      <c r="AR43" s="61">
        <v>34</v>
      </c>
      <c r="AS43" s="61">
        <v>9</v>
      </c>
      <c r="AV43" s="115" t="s">
        <v>411</v>
      </c>
      <c r="AX43" s="130"/>
      <c r="AY43" s="131"/>
      <c r="BF43" s="63">
        <v>35</v>
      </c>
      <c r="BG43" s="63">
        <v>12</v>
      </c>
      <c r="BH43">
        <v>12</v>
      </c>
      <c r="BI43">
        <v>10</v>
      </c>
      <c r="BJ43" s="420">
        <v>19</v>
      </c>
      <c r="BK43" s="421">
        <v>0.01</v>
      </c>
      <c r="BL43" s="421">
        <v>0</v>
      </c>
      <c r="BO43" s="39" t="s">
        <v>473</v>
      </c>
      <c r="BP43" s="39" t="s">
        <v>385</v>
      </c>
      <c r="BQ43" s="117">
        <v>0</v>
      </c>
      <c r="BR43" s="121">
        <v>2</v>
      </c>
      <c r="BS43" s="121">
        <v>0</v>
      </c>
      <c r="BT43" s="121" t="s">
        <v>181</v>
      </c>
      <c r="BU43" s="117">
        <v>3</v>
      </c>
      <c r="BV43" s="117">
        <v>1</v>
      </c>
      <c r="BW43" s="602">
        <v>6</v>
      </c>
      <c r="BX43" s="117">
        <v>1</v>
      </c>
      <c r="BY43" s="118" t="s">
        <v>97</v>
      </c>
      <c r="BZ43" s="118" t="s">
        <v>358</v>
      </c>
      <c r="CA43" s="117">
        <f>HLOOKUP(Věci!$C$2,Věci!$A$2:$C$529,MATCH(BO43,Věci!$A$2:$A$529,0),FALSE)</f>
        <v>0.5</v>
      </c>
      <c r="CB43" t="s">
        <v>2476</v>
      </c>
    </row>
    <row r="44" spans="1:80" ht="15" customHeight="1" x14ac:dyDescent="0.3">
      <c r="A44" s="768"/>
      <c r="B44" s="784" t="s">
        <v>309</v>
      </c>
      <c r="C44" s="85" t="str">
        <f>IFERROR(IF($C40="Vrh",HLOOKUP(C$41,'1-Vlastnosti'!$X$3:$AA$11,MATCH(COPY_Vrh,'1-Vlastnosti'!$X$3:$X$11,0),FALSE),HLOOKUP(C$41,'1-Vlastnosti'!$X$3:$AA$11,MATCH(HLOOKUP('1-Vlastnosti'!$N$25,'1-Vlastnosti'!$B$25:$T$33,MATCH($C$39,'1-Vlastnosti'!$B$25:$B$33,0),FALSE),'1-Vlastnosti'!$X$3:$X$11,0),FALSE))," ")</f>
        <v xml:space="preserve"> </v>
      </c>
      <c r="D44" s="85" t="str">
        <f>IFERROR(IF($C40="Vrh",HLOOKUP(D$41,'1-Vlastnosti'!$X$3:$AA$11,MATCH(COPY_Vrh,'1-Vlastnosti'!$X$3:$X$11,0),FALSE),HLOOKUP(D$41,'1-Vlastnosti'!$X$3:$AA$11,MATCH(HLOOKUP('1-Vlastnosti'!$N$25,'1-Vlastnosti'!$B$25:$T$33,MATCH($C$39,'1-Vlastnosti'!$B$25:$B$33,0),FALSE),'1-Vlastnosti'!$X$3:$X$11,0),FALSE))," ")</f>
        <v xml:space="preserve"> </v>
      </c>
      <c r="E44" s="85" t="str">
        <f>IFERROR(IF($C40="Vrh",HLOOKUP(E$41,'1-Vlastnosti'!$X$3:$AA$11,MATCH(COPY_Vrh,'1-Vlastnosti'!$X$3:$X$11,0),FALSE),HLOOKUP(E$41,'1-Vlastnosti'!$X$3:$AA$11,MATCH(HLOOKUP('1-Vlastnosti'!$N$25,'1-Vlastnosti'!$B$25:$T$33,MATCH($C$39,'1-Vlastnosti'!$B$25:$B$33,0),FALSE),'1-Vlastnosti'!$X$3:$X$11,0),FALSE))," ")</f>
        <v xml:space="preserve"> </v>
      </c>
      <c r="F44" s="86">
        <f>IFERROR(HLOOKUP("OZ",'1-Vlastnosti'!$X$14:$Y$22,MATCH(COPY_Blokování,'1-Vlastnosti'!$X$14:$X$22,0),FALSE)," ")</f>
        <v>-2</v>
      </c>
      <c r="G44" s="197"/>
      <c r="H44" s="1248" t="s">
        <v>309</v>
      </c>
      <c r="I44" s="1249"/>
      <c r="J44" s="352" t="str">
        <f>IFERROR(IF($J40="Vrh",HLOOKUP(J$41,'1-Vlastnosti'!$X$3:$AA$11,MATCH(COPY_Vrh,'1-Vlastnosti'!$X$3:$X$11,0),FALSE),HLOOKUP(J$41,'1-Vlastnosti'!$X$3:$AA$11,MATCH(HLOOKUP('1-Vlastnosti'!$N$25,'1-Vlastnosti'!$B$25:$T$33,MATCH($I$39,'1-Vlastnosti'!$B$25:$B$33,0),FALSE),'1-Vlastnosti'!$X$3:$X$11,0),FALSE))," ")</f>
        <v xml:space="preserve"> </v>
      </c>
      <c r="K44" s="352" t="str">
        <f>IFERROR(IF($J40="Vrh",HLOOKUP(K$41,'1-Vlastnosti'!$X$3:$AA$11,MATCH(COPY_Vrh,'1-Vlastnosti'!$X$3:$X$11,0),FALSE),HLOOKUP(K$41,'1-Vlastnosti'!$X$3:$AA$11,MATCH(HLOOKUP('1-Vlastnosti'!$N$25,'1-Vlastnosti'!$B$25:$T$33,MATCH($I$39,'1-Vlastnosti'!$B$25:$B$33,0),FALSE),'1-Vlastnosti'!$X$3:$X$11,0),FALSE))," ")</f>
        <v xml:space="preserve"> </v>
      </c>
      <c r="L44" s="352" t="str">
        <f>IFERROR(IF($J40="Vrh",HLOOKUP(L$41,'1-Vlastnosti'!$X$3:$AA$11,MATCH(COPY_Vrh,'1-Vlastnosti'!$X$3:$X$11,0),FALSE),HLOOKUP(L$41,'1-Vlastnosti'!$X$3:$AA$11,MATCH(HLOOKUP('1-Vlastnosti'!$N$25,'1-Vlastnosti'!$B$25:$T$33,MATCH($I$39,'1-Vlastnosti'!$B$25:$B$33,0),FALSE),'1-Vlastnosti'!$X$3:$X$11,0),FALSE))," ")</f>
        <v xml:space="preserve"> </v>
      </c>
      <c r="M44" s="86">
        <f>IFERROR(HLOOKUP("OZ",'1-Vlastnosti'!$X$14:$Y$22,MATCH(COPY_Blokování,'1-Vlastnosti'!$X$14:$X$22,0),FALSE)," ")</f>
        <v>-2</v>
      </c>
      <c r="N44" s="197"/>
      <c r="O44" s="1248" t="s">
        <v>309</v>
      </c>
      <c r="P44" s="1249"/>
      <c r="Q44" s="85" t="str">
        <f>IFERROR(IF($Q40="Vrh",HLOOKUP(Q$41,'1-Vlastnosti'!$X$3:$AA$11,MATCH(COPY_Vrh,'1-Vlastnosti'!$X$3:$X$11,0),FALSE),HLOOKUP(Q$41,'1-Vlastnosti'!$X$3:$AA$11,MATCH(HLOOKUP('1-Vlastnosti'!$N$25,'1-Vlastnosti'!$B$25:$T$33,MATCH($Q$39,'1-Vlastnosti'!$B$25:$B$33,0),FALSE),'1-Vlastnosti'!$X$3:$X$11,0),FALSE))," ")</f>
        <v xml:space="preserve"> </v>
      </c>
      <c r="R44" s="85" t="str">
        <f>IFERROR(IF($Q40="Vrh",HLOOKUP(R$41,'1-Vlastnosti'!$X$3:$AA$11,MATCH(COPY_Vrh,'1-Vlastnosti'!$X$3:$X$11,0),FALSE),HLOOKUP(R$41,'1-Vlastnosti'!$X$3:$AA$11,MATCH(HLOOKUP('1-Vlastnosti'!$N$25,'1-Vlastnosti'!$B$25:$T$33,MATCH($Q$39,'1-Vlastnosti'!$B$25:$B$33,0),FALSE),'1-Vlastnosti'!$X$3:$X$11,0),FALSE))," ")</f>
        <v xml:space="preserve"> </v>
      </c>
      <c r="S44" s="85" t="str">
        <f>IFERROR(IF($Q40="Vrh",HLOOKUP(S$41,'1-Vlastnosti'!$X$3:$AA$11,MATCH(COPY_Vrh,'1-Vlastnosti'!$X$3:$X$11,0),FALSE),HLOOKUP(S$41,'1-Vlastnosti'!$X$3:$AA$11,MATCH(HLOOKUP('1-Vlastnosti'!$N$25,'1-Vlastnosti'!$B$25:$T$33,MATCH($Q$39,'1-Vlastnosti'!$B$25:$B$33,0),FALSE),'1-Vlastnosti'!$X$3:$X$11,0),FALSE))," ")</f>
        <v xml:space="preserve"> </v>
      </c>
      <c r="T44" s="86">
        <f>IFERROR(HLOOKUP("OZ",'1-Vlastnosti'!$X$14:$Y$22,MATCH(COPY_Blokování,'1-Vlastnosti'!$X$14:$X$22,0),FALSE)," ")</f>
        <v>-2</v>
      </c>
      <c r="U44" s="197"/>
      <c r="V44" s="761"/>
      <c r="X44" s="273" t="s">
        <v>86</v>
      </c>
      <c r="Y44" s="479">
        <v>2</v>
      </c>
      <c r="AI44" t="s">
        <v>300</v>
      </c>
      <c r="AJ44" s="164">
        <f>HLOOKUP($AI44,Veverka!$A$2:$AJ$204,MATCH(ZV_1,Veverka!$A$2:$A$204,0),FALSE)</f>
        <v>0</v>
      </c>
      <c r="AK44" s="164">
        <f>IFERROR(HLOOKUP($AI44,Veverka!$A$2:$AJ$204,MATCH(ZV_2,Veverka!$A$2:$A$204,0),FALSE),0)</f>
        <v>0</v>
      </c>
      <c r="AL44" s="164">
        <f>IFERROR(HLOOKUP($AI44,Veverka!$A$2:$AJ$204,MATCH(ZV_3,Veverka!$A$2:$A$204,0),FALSE),0)</f>
        <v>0</v>
      </c>
      <c r="AM44" s="164">
        <f>HLOOKUP($AI44,Veverka!$A$2:$AJ$204,MATCH(KV_1,Veverka!$A$2:$A$204,0),FALSE)</f>
        <v>0</v>
      </c>
      <c r="AN44" s="164">
        <f>IFERROR(HLOOKUP($AI44,Veverka!$A$2:$AJ$204,MATCH(KV_2,Veverka!$A$2:$A$204,0),FALSE),0)</f>
        <v>0</v>
      </c>
      <c r="AO44" s="164">
        <f>IFERROR(HLOOKUP($AI44,Veverka!$A$2:$AJ$204,MATCH(KV_3,Veverka!$A$2:$A$204,0),FALSE),0)</f>
        <v>0</v>
      </c>
      <c r="AP44" s="530">
        <f t="shared" si="2"/>
        <v>0</v>
      </c>
      <c r="AR44" s="61">
        <v>35</v>
      </c>
      <c r="AS44" s="61">
        <v>9</v>
      </c>
      <c r="AV44" s="115" t="s">
        <v>412</v>
      </c>
      <c r="BF44" s="63">
        <v>36</v>
      </c>
      <c r="BG44" s="63">
        <v>12</v>
      </c>
      <c r="BH44">
        <v>12</v>
      </c>
      <c r="BI44">
        <v>10</v>
      </c>
      <c r="BJ44" s="420">
        <v>20</v>
      </c>
      <c r="BK44" s="421">
        <v>0.01</v>
      </c>
      <c r="BL44" s="421">
        <v>0</v>
      </c>
      <c r="BO44" s="118" t="s">
        <v>514</v>
      </c>
      <c r="BP44" s="39" t="s">
        <v>387</v>
      </c>
      <c r="BQ44" s="602">
        <v>-2</v>
      </c>
      <c r="BR44" s="121">
        <v>6</v>
      </c>
      <c r="BS44" s="121">
        <v>3</v>
      </c>
      <c r="BT44" s="121" t="s">
        <v>181</v>
      </c>
      <c r="BU44" s="117">
        <v>8</v>
      </c>
      <c r="BV44" s="117">
        <v>4</v>
      </c>
      <c r="BW44" s="117">
        <v>18</v>
      </c>
      <c r="BX44" s="117">
        <v>1</v>
      </c>
      <c r="BY44" s="118" t="s">
        <v>97</v>
      </c>
      <c r="BZ44" s="118" t="s">
        <v>361</v>
      </c>
      <c r="CA44" s="117">
        <f>HLOOKUP(Věci!$C$2,Věci!$A$2:$C$529,MATCH(BO44,Věci!$A$2:$A$529,0),FALSE)</f>
        <v>12</v>
      </c>
      <c r="CB44" t="s">
        <v>2476</v>
      </c>
    </row>
    <row r="45" spans="1:80" ht="15" customHeight="1" x14ac:dyDescent="0.3">
      <c r="A45" s="768"/>
      <c r="B45" s="784" t="s">
        <v>4883</v>
      </c>
      <c r="C45" s="304">
        <v>0</v>
      </c>
      <c r="D45" s="304">
        <f>IF(COPY_Pouziti1="Na blízko",HLOOKUP('2-Vzhled a charakter'!$P$16,'1-Vlastnosti'!$X$61:$AE$66,MATCH('1-Vlastnosti'!$X$62,'1-Vlastnosti'!$X$61:$X$66,0),FALSE),0)</f>
        <v>0</v>
      </c>
      <c r="E45" s="304">
        <f>IF(COPY_Pouziti1="Na blízko",HLOOKUP('2-Vzhled a charakter'!$P$16,'1-Vlastnosti'!$X$61:$AE$66,MATCH('1-Vlastnosti'!$X$63,'1-Vlastnosti'!$X$61:$X$66,0),FALSE),0)</f>
        <v>0</v>
      </c>
      <c r="F45" s="306">
        <v>0</v>
      </c>
      <c r="H45" s="784" t="s">
        <v>4883</v>
      </c>
      <c r="I45" s="921"/>
      <c r="J45" s="352">
        <v>0</v>
      </c>
      <c r="K45" s="304">
        <f>IF(COPY_Pouziti2="Na blízko",HLOOKUP('2-Vzhled a charakter'!$P$16,'1-Vlastnosti'!$X$61:$AE$66,MATCH('1-Vlastnosti'!$X$62,'1-Vlastnosti'!$X$61:$X$66,0),FALSE),0)</f>
        <v>0</v>
      </c>
      <c r="L45" s="304">
        <f>IF(COPY_Pouziti2="Na blízko",HLOOKUP('2-Vzhled a charakter'!$P$16,'1-Vlastnosti'!$X$61:$AE$66,MATCH('1-Vlastnosti'!$X$63,'1-Vlastnosti'!$X$61:$X$66,0),FALSE),0)</f>
        <v>0</v>
      </c>
      <c r="M45" s="305">
        <v>0</v>
      </c>
      <c r="O45" s="784" t="s">
        <v>4883</v>
      </c>
      <c r="P45" s="921"/>
      <c r="Q45" s="304">
        <v>0</v>
      </c>
      <c r="R45" s="304">
        <f>IF(COPY_Pouziti3="Na blízko",HLOOKUP('2-Vzhled a charakter'!$P$16,'1-Vlastnosti'!$X$61:$AE$66,MATCH('1-Vlastnosti'!$X$62,'1-Vlastnosti'!$X$61:$X$66,0),FALSE),0)</f>
        <v>0</v>
      </c>
      <c r="S45" s="304">
        <f>IF(COPY_Pouziti3="Na blízko",HLOOKUP('2-Vzhled a charakter'!$P$16,'1-Vlastnosti'!$X$61:$AE$66,MATCH('1-Vlastnosti'!$X$63,'1-Vlastnosti'!$X$61:$X$66,0),FALSE),0)</f>
        <v>0</v>
      </c>
      <c r="T45" s="306">
        <v>0</v>
      </c>
      <c r="V45" s="761"/>
      <c r="X45" s="273" t="s">
        <v>158</v>
      </c>
      <c r="Y45" s="479">
        <v>3</v>
      </c>
      <c r="AI45" t="s">
        <v>1125</v>
      </c>
      <c r="AJ45" s="164">
        <f>HLOOKUP($AI45,Veverka!$A$2:$AJ$204,MATCH(ZV_1,Veverka!$A$2:$A$204,0),FALSE)</f>
        <v>0</v>
      </c>
      <c r="AK45" s="164">
        <f>IFERROR(HLOOKUP($AI45,Veverka!$A$2:$AJ$204,MATCH(ZV_2,Veverka!$A$2:$A$204,0),FALSE),0)</f>
        <v>0</v>
      </c>
      <c r="AL45" s="164">
        <f>IFERROR(HLOOKUP($AI45,Veverka!$A$2:$AJ$204,MATCH(ZV_3,Veverka!$A$2:$A$204,0),FALSE),0)</f>
        <v>0</v>
      </c>
      <c r="AM45" s="164">
        <f>HLOOKUP($AI45,Veverka!$A$2:$AJ$204,MATCH(KV_1,Veverka!$A$2:$A$204,0),FALSE)</f>
        <v>0</v>
      </c>
      <c r="AN45" s="164">
        <f>IFERROR(HLOOKUP($AI45,Veverka!$A$2:$AJ$204,MATCH(KV_2,Veverka!$A$2:$A$204,0),FALSE),0)</f>
        <v>0</v>
      </c>
      <c r="AO45" s="164">
        <f>IFERROR(HLOOKUP($AI45,Veverka!$A$2:$AJ$204,MATCH(KV_3,Veverka!$A$2:$A$204,0),FALSE),0)</f>
        <v>0</v>
      </c>
      <c r="AP45" s="530">
        <f>SUM(AJ45:AO45)</f>
        <v>0</v>
      </c>
      <c r="AR45" s="61">
        <v>36</v>
      </c>
      <c r="AS45" s="61">
        <v>9</v>
      </c>
      <c r="AV45" s="115" t="s">
        <v>413</v>
      </c>
      <c r="BF45" s="63">
        <v>37</v>
      </c>
      <c r="BG45" s="63">
        <v>13</v>
      </c>
      <c r="BH45">
        <v>13</v>
      </c>
      <c r="BI45">
        <v>10</v>
      </c>
      <c r="BJ45" s="420">
        <v>21</v>
      </c>
      <c r="BK45" s="421">
        <v>0.01</v>
      </c>
      <c r="BL45" s="421">
        <v>0</v>
      </c>
      <c r="BO45" s="39" t="s">
        <v>500</v>
      </c>
      <c r="BP45" s="39" t="s">
        <v>385</v>
      </c>
      <c r="BQ45" s="117">
        <v>-1</v>
      </c>
      <c r="BR45" s="121">
        <v>5</v>
      </c>
      <c r="BS45" s="121">
        <v>2</v>
      </c>
      <c r="BT45" s="121" t="s">
        <v>181</v>
      </c>
      <c r="BU45" s="117">
        <v>4</v>
      </c>
      <c r="BV45" s="117">
        <v>3</v>
      </c>
      <c r="BW45" s="602">
        <v>14</v>
      </c>
      <c r="BX45" s="117">
        <v>1</v>
      </c>
      <c r="BY45" s="118" t="s">
        <v>97</v>
      </c>
      <c r="BZ45" s="118" t="s">
        <v>358</v>
      </c>
      <c r="CA45" s="117">
        <f>HLOOKUP(Věci!$C$2,Věci!$A$2:$C$529,MATCH(BO45,Věci!$A$2:$A$529,0),FALSE)</f>
        <v>4.5</v>
      </c>
      <c r="CB45" t="s">
        <v>2476</v>
      </c>
    </row>
    <row r="46" spans="1:80" ht="15" customHeight="1" thickBot="1" x14ac:dyDescent="0.35">
      <c r="A46" s="768"/>
      <c r="B46" s="784" t="s">
        <v>320</v>
      </c>
      <c r="C46" s="792"/>
      <c r="D46" s="792"/>
      <c r="E46" s="792"/>
      <c r="F46" s="793"/>
      <c r="G46" s="197"/>
      <c r="H46" s="1248" t="s">
        <v>320</v>
      </c>
      <c r="I46" s="1249"/>
      <c r="J46" s="794"/>
      <c r="K46" s="792"/>
      <c r="L46" s="792"/>
      <c r="M46" s="793"/>
      <c r="N46" s="197"/>
      <c r="O46" s="1248" t="s">
        <v>320</v>
      </c>
      <c r="P46" s="1249"/>
      <c r="Q46" s="792"/>
      <c r="R46" s="792"/>
      <c r="S46" s="792"/>
      <c r="T46" s="793"/>
      <c r="U46" s="197"/>
      <c r="V46" s="761"/>
      <c r="X46" s="274" t="s">
        <v>194</v>
      </c>
      <c r="Y46" s="480">
        <v>4</v>
      </c>
      <c r="AI46" t="s">
        <v>2544</v>
      </c>
      <c r="AJ46" s="164">
        <f>HLOOKUP($AI46,Veverka!$A$2:$AJ$204,MATCH(ZV_1,Veverka!$A$2:$A$204,0),FALSE)</f>
        <v>0</v>
      </c>
      <c r="AK46" s="164">
        <f>IFERROR(HLOOKUP($AI46,Veverka!$A$2:$AJ$204,MATCH(ZV_2,Veverka!$A$2:$A$204,0),FALSE),0)</f>
        <v>0</v>
      </c>
      <c r="AL46" s="164">
        <f>IFERROR(HLOOKUP($AI46,Veverka!$A$2:$AJ$204,MATCH(ZV_3,Veverka!$A$2:$A$204,0),FALSE),0)</f>
        <v>0</v>
      </c>
      <c r="AM46" s="164">
        <f>HLOOKUP($AI46,Veverka!$A$2:$AJ$204,MATCH(KV_1,Veverka!$A$2:$A$204,0),FALSE)</f>
        <v>0</v>
      </c>
      <c r="AN46" s="164">
        <f>IFERROR(HLOOKUP($AI46,Veverka!$A$2:$AJ$204,MATCH(KV_2,Veverka!$A$2:$A$204,0),FALSE),0)</f>
        <v>0</v>
      </c>
      <c r="AO46" s="164">
        <f>IFERROR(HLOOKUP($AI46,Veverka!$A$2:$AJ$204,MATCH(KV_3,Veverka!$A$2:$A$204,0),FALSE),0)</f>
        <v>0</v>
      </c>
      <c r="AP46" s="530">
        <f>SUM(AJ46:AO46)</f>
        <v>0</v>
      </c>
      <c r="AR46" s="61">
        <v>37</v>
      </c>
      <c r="AS46" s="61">
        <v>9</v>
      </c>
      <c r="AV46" s="115" t="s">
        <v>414</v>
      </c>
      <c r="BF46" s="63">
        <v>38</v>
      </c>
      <c r="BG46" s="63">
        <v>13</v>
      </c>
      <c r="BH46">
        <v>13</v>
      </c>
      <c r="BI46">
        <v>10</v>
      </c>
      <c r="BJ46" s="420">
        <v>22</v>
      </c>
      <c r="BK46" s="421">
        <v>0.01</v>
      </c>
      <c r="BL46" s="421">
        <v>0</v>
      </c>
      <c r="BO46" s="118" t="s">
        <v>360</v>
      </c>
      <c r="BP46" s="39" t="s">
        <v>387</v>
      </c>
      <c r="BQ46" s="602">
        <v>1</v>
      </c>
      <c r="BR46" s="121">
        <v>5</v>
      </c>
      <c r="BS46" s="121">
        <v>4</v>
      </c>
      <c r="BT46" s="121" t="s">
        <v>181</v>
      </c>
      <c r="BU46" s="602">
        <v>3</v>
      </c>
      <c r="BV46" s="117">
        <v>3</v>
      </c>
      <c r="BW46" s="117">
        <v>9</v>
      </c>
      <c r="BX46" s="117">
        <v>2</v>
      </c>
      <c r="BY46" s="118" t="s">
        <v>95</v>
      </c>
      <c r="BZ46" s="609" t="s">
        <v>358</v>
      </c>
      <c r="CA46" s="117">
        <f>HLOOKUP(Věci!$C$2,Věci!$A$2:$C$529,MATCH(BO46,Věci!$A$2:$A$529,0),FALSE)</f>
        <v>1.7</v>
      </c>
      <c r="CB46" t="s">
        <v>5426</v>
      </c>
    </row>
    <row r="47" spans="1:80" ht="15" customHeight="1" x14ac:dyDescent="0.3">
      <c r="A47" s="768"/>
      <c r="B47" s="785" t="s">
        <v>397</v>
      </c>
      <c r="C47" s="87">
        <f>'1-Vlastnosti'!$O$3</f>
        <v>-5</v>
      </c>
      <c r="D47" s="87">
        <f>IFERROR(IF(OR(C40="Střelba",C40="Vrh"),'1-Vlastnosti'!$O$5,'1-Vlastnosti'!$O$4)," ")</f>
        <v>-6</v>
      </c>
      <c r="E47" s="87">
        <f>IF(AND(C40="Střelba",OR(C39="Minikuše",C39="Kuše lehká",C39="Kuše vojenská",C39="Kuše těžká")),0,'1-Vlastnosti'!$O$6)</f>
        <v>-2</v>
      </c>
      <c r="F47" s="88">
        <f>AOBR</f>
        <v>-6</v>
      </c>
      <c r="G47" s="197"/>
      <c r="H47" s="1254" t="s">
        <v>397</v>
      </c>
      <c r="I47" s="1255"/>
      <c r="J47" s="353">
        <f>'1-Vlastnosti'!$O$3</f>
        <v>-5</v>
      </c>
      <c r="K47" s="87">
        <f>IFERROR(IF(OR(J40="Střelba",J40="Vrh"),'1-Vlastnosti'!$O$5,'1-Vlastnosti'!$O$4)," ")</f>
        <v>-6</v>
      </c>
      <c r="L47" s="87">
        <f>IF(AND(J40="Střelba",OR(I39="Minikuše",I39="Kuše lehká",I39="Kuše vojenská",I39="Kuše těžká")),0,'1-Vlastnosti'!$O$6)</f>
        <v>-2</v>
      </c>
      <c r="M47" s="122">
        <f>AOBR</f>
        <v>-6</v>
      </c>
      <c r="N47" s="197"/>
      <c r="O47" s="1254" t="s">
        <v>397</v>
      </c>
      <c r="P47" s="1255"/>
      <c r="Q47" s="87">
        <f>'1-Vlastnosti'!$O$3</f>
        <v>-5</v>
      </c>
      <c r="R47" s="87">
        <f>IFERROR(IF(OR(Q40="Střelba",Q40="Vrh"),'1-Vlastnosti'!$O$5,'1-Vlastnosti'!$O$4)," ")</f>
        <v>-6</v>
      </c>
      <c r="S47" s="87">
        <f>IF(AND(Q40="Střelba",OR(Q39="Minikuše",Q39="Kuše lehká",Q39="Kuše vojenská",Q39="Kuše těžká")),0,'1-Vlastnosti'!$O$6)</f>
        <v>-2</v>
      </c>
      <c r="T47" s="88">
        <f>AOBR</f>
        <v>-6</v>
      </c>
      <c r="U47" s="197"/>
      <c r="V47" s="761"/>
      <c r="AI47" t="s">
        <v>2546</v>
      </c>
      <c r="AJ47" s="164">
        <f>HLOOKUP($AI47,Veverka!$A$2:$AJ$204,MATCH(ZV_1,Veverka!$A$2:$A$204,0),FALSE)</f>
        <v>0</v>
      </c>
      <c r="AK47" s="164">
        <f>IFERROR(HLOOKUP($AI47,Veverka!$A$2:$AJ$204,MATCH(ZV_2,Veverka!$A$2:$A$204,0),FALSE),0)</f>
        <v>0</v>
      </c>
      <c r="AL47" s="164">
        <f>IFERROR(HLOOKUP($AI47,Veverka!$A$2:$AJ$204,MATCH(ZV_3,Veverka!$A$2:$A$204,0),FALSE),0)</f>
        <v>0</v>
      </c>
      <c r="AM47" s="164">
        <f>HLOOKUP($AI47,Veverka!$A$2:$AJ$204,MATCH(KV_1,Veverka!$A$2:$A$204,0),FALSE)</f>
        <v>0</v>
      </c>
      <c r="AN47" s="164">
        <f>IFERROR(HLOOKUP($AI47,Veverka!$A$2:$AJ$204,MATCH(KV_2,Veverka!$A$2:$A$204,0),FALSE),0)</f>
        <v>0</v>
      </c>
      <c r="AO47" s="164">
        <f>IFERROR(HLOOKUP($AI47,Veverka!$A$2:$AJ$204,MATCH(KV_3,Veverka!$A$2:$A$204,0),FALSE),0)</f>
        <v>0</v>
      </c>
      <c r="AP47" s="530">
        <f>SUM(AJ47:AO47)</f>
        <v>0</v>
      </c>
      <c r="AR47" s="61">
        <v>38</v>
      </c>
      <c r="AS47" s="61">
        <v>10</v>
      </c>
      <c r="AV47" s="115" t="s">
        <v>415</v>
      </c>
      <c r="BF47" s="63">
        <v>39</v>
      </c>
      <c r="BG47" s="63">
        <v>14</v>
      </c>
      <c r="BH47">
        <v>13</v>
      </c>
      <c r="BI47">
        <v>11</v>
      </c>
      <c r="BJ47" s="420">
        <v>23</v>
      </c>
      <c r="BK47" s="421">
        <v>0.01</v>
      </c>
      <c r="BL47" s="421">
        <v>0</v>
      </c>
      <c r="BO47" s="118" t="s">
        <v>513</v>
      </c>
      <c r="BP47" s="39" t="s">
        <v>387</v>
      </c>
      <c r="BQ47" s="602">
        <v>0</v>
      </c>
      <c r="BR47" s="121">
        <v>5</v>
      </c>
      <c r="BS47" s="121">
        <v>2</v>
      </c>
      <c r="BT47" s="121" t="s">
        <v>181</v>
      </c>
      <c r="BU47" s="602">
        <v>3</v>
      </c>
      <c r="BV47" s="117">
        <v>2</v>
      </c>
      <c r="BW47" s="117">
        <v>15</v>
      </c>
      <c r="BX47" s="117">
        <v>4</v>
      </c>
      <c r="BY47" s="118" t="s">
        <v>95</v>
      </c>
      <c r="BZ47" s="118" t="s">
        <v>361</v>
      </c>
      <c r="CA47" s="117">
        <f>HLOOKUP(Věci!$C$2,Věci!$A$2:$C$529,MATCH(BO47,Věci!$A$2:$A$529,0),FALSE)</f>
        <v>5.5</v>
      </c>
      <c r="CB47" t="s">
        <v>5426</v>
      </c>
    </row>
    <row r="48" spans="1:80" ht="15" customHeight="1" x14ac:dyDescent="0.3">
      <c r="A48" s="768"/>
      <c r="B48" s="786" t="s">
        <v>321</v>
      </c>
      <c r="C48" s="91">
        <f>SUM(C42:C47)</f>
        <v>-5</v>
      </c>
      <c r="D48" s="91">
        <f>SUM(D42:D47)</f>
        <v>-6</v>
      </c>
      <c r="E48" s="91">
        <f>SUM(E42:E47)</f>
        <v>-2</v>
      </c>
      <c r="F48" s="92">
        <f>SUM(F42:F47)</f>
        <v>-8</v>
      </c>
      <c r="G48" s="197"/>
      <c r="H48" s="1258" t="s">
        <v>321</v>
      </c>
      <c r="I48" s="1259"/>
      <c r="J48" s="354">
        <f>SUM(J42:J47)</f>
        <v>-5</v>
      </c>
      <c r="K48" s="91">
        <f>SUM(K42:K47)</f>
        <v>-6</v>
      </c>
      <c r="L48" s="91">
        <f>SUM(L42:L47)</f>
        <v>-2</v>
      </c>
      <c r="M48" s="92">
        <f>SUM(M42:M47)</f>
        <v>-8</v>
      </c>
      <c r="N48" s="197"/>
      <c r="O48" s="1258" t="s">
        <v>321</v>
      </c>
      <c r="P48" s="1259"/>
      <c r="Q48" s="325">
        <f>SUM(Q42:Q47)</f>
        <v>-5</v>
      </c>
      <c r="R48" s="325">
        <f>SUM(R42:R47)</f>
        <v>-6</v>
      </c>
      <c r="S48" s="325">
        <f>SUM(S42:S47)</f>
        <v>-2</v>
      </c>
      <c r="T48" s="325">
        <f>SUM(T42:T47)</f>
        <v>-8</v>
      </c>
      <c r="U48" s="197"/>
      <c r="V48" s="761"/>
      <c r="AI48" t="s">
        <v>571</v>
      </c>
      <c r="AJ48" s="164">
        <f>HLOOKUP($AI48,Veverka!$A$2:$AJ$204,MATCH(ZV_1,Veverka!$A$2:$A$204,0),FALSE)</f>
        <v>0</v>
      </c>
      <c r="AK48" s="164">
        <f>IFERROR(HLOOKUP($AI48,Veverka!$A$2:$AJ$204,MATCH(ZV_2,Veverka!$A$2:$A$204,0),FALSE),0)</f>
        <v>0</v>
      </c>
      <c r="AL48" s="164">
        <f>IFERROR(HLOOKUP($AI48,Veverka!$A$2:$AJ$204,MATCH(ZV_3,Veverka!$A$2:$A$204,0),FALSE),0)</f>
        <v>0</v>
      </c>
      <c r="AM48" s="164">
        <f>HLOOKUP($AI48,Veverka!$A$2:$AJ$204,MATCH(KV_1,Veverka!$A$2:$A$204,0),FALSE)</f>
        <v>0</v>
      </c>
      <c r="AN48" s="164">
        <f>IFERROR(HLOOKUP($AI48,Veverka!$A$2:$AJ$204,MATCH(KV_2,Veverka!$A$2:$A$204,0),FALSE),0)</f>
        <v>0</v>
      </c>
      <c r="AO48" s="164">
        <f>IFERROR(HLOOKUP($AI48,Veverka!$A$2:$AJ$204,MATCH(KV_3,Veverka!$A$2:$A$204,0),FALSE),0)</f>
        <v>0</v>
      </c>
      <c r="AP48" s="530">
        <f>SUM(AJ48:AO48)</f>
        <v>0</v>
      </c>
      <c r="AR48" s="61">
        <v>39</v>
      </c>
      <c r="AS48" s="61">
        <v>10</v>
      </c>
      <c r="AV48" s="115"/>
      <c r="BF48" s="63">
        <v>40</v>
      </c>
      <c r="BG48" s="63">
        <v>14</v>
      </c>
      <c r="BH48">
        <v>14</v>
      </c>
      <c r="BI48">
        <v>11</v>
      </c>
      <c r="BJ48" s="420">
        <v>24</v>
      </c>
      <c r="BK48" s="421">
        <v>0.01</v>
      </c>
      <c r="BL48" s="421">
        <v>0</v>
      </c>
      <c r="BO48" s="39" t="s">
        <v>372</v>
      </c>
      <c r="BP48" s="39" t="s">
        <v>385</v>
      </c>
      <c r="BQ48" s="602">
        <v>1</v>
      </c>
      <c r="BR48" s="121">
        <v>5</v>
      </c>
      <c r="BS48" s="121">
        <v>2</v>
      </c>
      <c r="BT48" s="121" t="s">
        <v>181</v>
      </c>
      <c r="BU48" s="117">
        <v>4</v>
      </c>
      <c r="BV48" s="117">
        <v>2</v>
      </c>
      <c r="BW48" s="117">
        <v>8</v>
      </c>
      <c r="BX48" s="117">
        <v>1</v>
      </c>
      <c r="BY48" s="118" t="s">
        <v>95</v>
      </c>
      <c r="BZ48" s="118" t="s">
        <v>358</v>
      </c>
      <c r="CA48" s="117">
        <f>HLOOKUP(Věci!$C$2,Věci!$A$2:$C$529,MATCH(BO48,Věci!$A$2:$A$529,0),FALSE)</f>
        <v>1.1000000000000001</v>
      </c>
      <c r="CB48" t="s">
        <v>1914</v>
      </c>
    </row>
    <row r="49" spans="1:80" ht="15" customHeight="1" x14ac:dyDescent="0.3">
      <c r="A49" s="768"/>
      <c r="B49" s="768"/>
      <c r="C49" s="197"/>
      <c r="D49" s="197"/>
      <c r="E49" s="197"/>
      <c r="F49" s="171"/>
      <c r="G49" s="171"/>
      <c r="H49" s="197"/>
      <c r="I49" s="197"/>
      <c r="J49" s="197"/>
      <c r="K49" s="197"/>
      <c r="L49" s="197"/>
      <c r="M49" s="197"/>
      <c r="N49" s="197"/>
      <c r="O49" s="197"/>
      <c r="P49" s="197"/>
      <c r="Q49" s="197"/>
      <c r="R49" s="197"/>
      <c r="S49" s="197"/>
      <c r="T49" s="197"/>
      <c r="U49" s="197"/>
      <c r="V49" s="761"/>
      <c r="X49" t="s">
        <v>2952</v>
      </c>
      <c r="AI49" t="s">
        <v>4291</v>
      </c>
      <c r="AJ49" s="164">
        <f>HLOOKUP($AI49,Veverka!$A$2:$AJ$204,MATCH(ZV_1,Veverka!$A$2:$A$204,0),FALSE)</f>
        <v>0</v>
      </c>
      <c r="AK49" s="164">
        <f>IFERROR(HLOOKUP($AI49,Veverka!$A$2:$AJ$204,MATCH(ZV_2,Veverka!$A$2:$A$204,0),FALSE),0)</f>
        <v>0</v>
      </c>
      <c r="AL49" s="164">
        <f>IFERROR(HLOOKUP($AI49,Veverka!$A$2:$AJ$204,MATCH(ZV_3,Veverka!$A$2:$A$204,0),FALSE),0)</f>
        <v>0</v>
      </c>
      <c r="AM49" s="164">
        <f>HLOOKUP($AI49,Veverka!$A$2:$AJ$204,MATCH(KV_1,Veverka!$A$2:$A$204,0),FALSE)</f>
        <v>0</v>
      </c>
      <c r="AN49" s="164">
        <f>IFERROR(HLOOKUP($AI49,Veverka!$A$2:$AJ$204,MATCH(KV_2,Veverka!$A$2:$A$204,0),FALSE),0)</f>
        <v>0</v>
      </c>
      <c r="AO49" s="164">
        <f>IFERROR(HLOOKUP($AI49,Veverka!$A$2:$AJ$204,MATCH(KV_3,Veverka!$A$2:$A$204,0),FALSE),0)</f>
        <v>0</v>
      </c>
      <c r="AP49" s="530">
        <f t="shared" ref="AP49" si="3">SUM(AJ49:AO49)</f>
        <v>0</v>
      </c>
      <c r="AR49" s="61">
        <v>40</v>
      </c>
      <c r="AS49" s="61">
        <v>10</v>
      </c>
      <c r="BF49" s="63" t="s">
        <v>232</v>
      </c>
      <c r="BG49" s="63" t="s">
        <v>232</v>
      </c>
      <c r="BH49" s="63" t="s">
        <v>232</v>
      </c>
      <c r="BI49" s="63" t="s">
        <v>232</v>
      </c>
      <c r="BJ49" s="63"/>
      <c r="BK49" s="63" t="s">
        <v>232</v>
      </c>
      <c r="BL49" s="63" t="s">
        <v>232</v>
      </c>
      <c r="BO49" s="39" t="s">
        <v>471</v>
      </c>
      <c r="BP49" s="39" t="s">
        <v>387</v>
      </c>
      <c r="BQ49" s="602">
        <v>1</v>
      </c>
      <c r="BR49" s="121">
        <v>4</v>
      </c>
      <c r="BS49" s="121">
        <v>1</v>
      </c>
      <c r="BT49" s="121" t="s">
        <v>181</v>
      </c>
      <c r="BU49" s="117">
        <v>3</v>
      </c>
      <c r="BV49" s="602">
        <v>1</v>
      </c>
      <c r="BW49" s="602">
        <v>7</v>
      </c>
      <c r="BX49" s="117">
        <v>1</v>
      </c>
      <c r="BY49" s="118" t="s">
        <v>183</v>
      </c>
      <c r="BZ49" s="118" t="s">
        <v>358</v>
      </c>
      <c r="CA49" s="117">
        <f>HLOOKUP(Věci!$C$2,Věci!$A$2:$C$529,MATCH(BO49,Věci!$A$2:$A$529,0),FALSE)</f>
        <v>1.6</v>
      </c>
      <c r="CB49" t="s">
        <v>5426</v>
      </c>
    </row>
    <row r="50" spans="1:80" ht="15" customHeight="1" x14ac:dyDescent="0.3">
      <c r="A50" s="768"/>
      <c r="B50" s="780" t="s">
        <v>316</v>
      </c>
      <c r="C50" s="1210" t="s">
        <v>357</v>
      </c>
      <c r="D50" s="1210"/>
      <c r="E50" s="1210"/>
      <c r="F50" s="1202"/>
      <c r="G50" s="197"/>
      <c r="H50" s="93" t="s">
        <v>1190</v>
      </c>
      <c r="I50" s="1228"/>
      <c r="J50" s="1230"/>
      <c r="K50" s="93" t="s">
        <v>1191</v>
      </c>
      <c r="L50" s="1228"/>
      <c r="M50" s="1230"/>
      <c r="N50" s="197"/>
      <c r="O50" s="1246" t="s">
        <v>316</v>
      </c>
      <c r="P50" s="1247"/>
      <c r="Q50" s="1210" t="s">
        <v>4881</v>
      </c>
      <c r="R50" s="1210"/>
      <c r="S50" s="1210"/>
      <c r="T50" s="1202"/>
      <c r="U50" s="197"/>
      <c r="V50" s="761"/>
      <c r="X50" s="1281" t="s">
        <v>4597</v>
      </c>
      <c r="Y50" s="1281"/>
      <c r="Z50" s="1281"/>
      <c r="AA50" s="1280" t="s">
        <v>4598</v>
      </c>
      <c r="AB50" s="1280"/>
      <c r="AC50" s="1280"/>
      <c r="AD50" s="1280"/>
      <c r="AE50" s="1280"/>
      <c r="AF50" s="1024"/>
      <c r="BO50" s="118" t="s">
        <v>3187</v>
      </c>
      <c r="BP50" s="39" t="s">
        <v>388</v>
      </c>
      <c r="BQ50" s="117">
        <v>-2</v>
      </c>
      <c r="BR50" s="121">
        <v>1</v>
      </c>
      <c r="BS50" s="121">
        <v>3</v>
      </c>
      <c r="BT50" s="121" t="s">
        <v>181</v>
      </c>
      <c r="BU50" s="117">
        <v>1</v>
      </c>
      <c r="BV50" s="117">
        <v>0</v>
      </c>
      <c r="BW50" s="117">
        <v>21</v>
      </c>
      <c r="BX50" s="117">
        <v>6</v>
      </c>
      <c r="BY50" s="118" t="s">
        <v>97</v>
      </c>
      <c r="BZ50" s="118" t="s">
        <v>96</v>
      </c>
      <c r="CA50" s="117">
        <f>HLOOKUP(Věci!$C$2,Věci!$A$2:$C$529,MATCH(BO50,Věci!$A$2:$A$529,0),FALSE)</f>
        <v>5</v>
      </c>
      <c r="CB50" t="s">
        <v>2478</v>
      </c>
    </row>
    <row r="51" spans="1:80" ht="15" customHeight="1" x14ac:dyDescent="0.3">
      <c r="A51" s="768"/>
      <c r="B51" s="781" t="s">
        <v>2472</v>
      </c>
      <c r="C51" s="1238" t="s">
        <v>2479</v>
      </c>
      <c r="D51" s="1238"/>
      <c r="E51" s="1238"/>
      <c r="F51" s="1239"/>
      <c r="G51" s="197"/>
      <c r="H51" s="1240" t="s">
        <v>2472</v>
      </c>
      <c r="I51" s="1241"/>
      <c r="J51" s="1238"/>
      <c r="K51" s="1238"/>
      <c r="L51" s="1238"/>
      <c r="M51" s="1239"/>
      <c r="N51" s="197"/>
      <c r="O51" s="1240" t="s">
        <v>2472</v>
      </c>
      <c r="P51" s="1241"/>
      <c r="Q51" s="1238" t="s">
        <v>2479</v>
      </c>
      <c r="R51" s="1238"/>
      <c r="S51" s="1238"/>
      <c r="T51" s="1239"/>
      <c r="U51" s="197"/>
      <c r="V51" s="761"/>
      <c r="X51" s="155" t="s">
        <v>517</v>
      </c>
      <c r="Y51" s="155" t="s">
        <v>1098</v>
      </c>
      <c r="Z51" s="155" t="s">
        <v>4913</v>
      </c>
      <c r="AA51" s="155" t="s">
        <v>1099</v>
      </c>
      <c r="AB51" s="155" t="s">
        <v>1100</v>
      </c>
      <c r="AC51" s="330" t="s">
        <v>1103</v>
      </c>
      <c r="AD51" s="330" t="s">
        <v>1101</v>
      </c>
      <c r="AE51" s="330" t="s">
        <v>1102</v>
      </c>
      <c r="AF51" s="472" t="s">
        <v>2471</v>
      </c>
      <c r="AN51" s="62"/>
      <c r="AO51" s="62"/>
      <c r="AP51" s="62"/>
      <c r="BO51" s="39" t="s">
        <v>982</v>
      </c>
      <c r="BP51" s="39" t="s">
        <v>387</v>
      </c>
      <c r="BQ51" s="602">
        <v>1</v>
      </c>
      <c r="BR51" s="121">
        <v>4</v>
      </c>
      <c r="BS51" s="121">
        <v>1</v>
      </c>
      <c r="BT51" s="121" t="s">
        <v>181</v>
      </c>
      <c r="BU51" s="117">
        <v>3</v>
      </c>
      <c r="BV51" s="117">
        <v>2</v>
      </c>
      <c r="BW51" s="117">
        <v>9</v>
      </c>
      <c r="BX51" s="117">
        <v>1</v>
      </c>
      <c r="BY51" s="118" t="s">
        <v>983</v>
      </c>
      <c r="BZ51" s="118" t="s">
        <v>358</v>
      </c>
      <c r="CA51" s="117">
        <f>HLOOKUP(Věci!$C$2,Věci!$A$2:$C$529,MATCH(BO51,Věci!$A$2:$A$529,0),FALSE)</f>
        <v>2.2000000000000002</v>
      </c>
      <c r="CB51" t="s">
        <v>5426</v>
      </c>
    </row>
    <row r="52" spans="1:80" ht="15" customHeight="1" x14ac:dyDescent="0.3">
      <c r="A52" s="768"/>
      <c r="B52" s="782"/>
      <c r="C52" s="89" t="s">
        <v>33</v>
      </c>
      <c r="D52" s="89" t="s">
        <v>81</v>
      </c>
      <c r="E52" s="89" t="s">
        <v>314</v>
      </c>
      <c r="F52" s="90" t="s">
        <v>315</v>
      </c>
      <c r="G52" s="197"/>
      <c r="H52" s="1250"/>
      <c r="I52" s="1251"/>
      <c r="J52" s="355" t="s">
        <v>33</v>
      </c>
      <c r="K52" s="89" t="s">
        <v>81</v>
      </c>
      <c r="L52" s="89" t="s">
        <v>314</v>
      </c>
      <c r="M52" s="90" t="s">
        <v>315</v>
      </c>
      <c r="N52" s="197"/>
      <c r="O52" s="1250"/>
      <c r="P52" s="1251"/>
      <c r="Q52" s="89" t="s">
        <v>33</v>
      </c>
      <c r="R52" s="89" t="s">
        <v>81</v>
      </c>
      <c r="S52" s="89" t="s">
        <v>314</v>
      </c>
      <c r="T52" s="90" t="s">
        <v>315</v>
      </c>
      <c r="U52" s="197"/>
      <c r="V52" s="761"/>
      <c r="X52" s="168" t="s">
        <v>3891</v>
      </c>
      <c r="Y52" s="1012">
        <f>IF($AA$50=$X$83,-1,0)</f>
        <v>-1</v>
      </c>
      <c r="Z52" s="1012" t="s">
        <v>66</v>
      </c>
      <c r="AA52" s="1012" t="s">
        <v>66</v>
      </c>
      <c r="AB52" s="1012">
        <v>0</v>
      </c>
      <c r="AC52" s="1012">
        <v>0</v>
      </c>
      <c r="AD52" s="1012">
        <v>0</v>
      </c>
      <c r="AE52" s="1012" t="s">
        <v>66</v>
      </c>
      <c r="AF52" s="1012" t="s">
        <v>66</v>
      </c>
      <c r="BO52" s="39" t="s">
        <v>506</v>
      </c>
      <c r="BP52" s="39" t="s">
        <v>390</v>
      </c>
      <c r="BQ52" s="602">
        <v>1</v>
      </c>
      <c r="BR52" s="121">
        <v>3</v>
      </c>
      <c r="BS52" s="121">
        <v>0</v>
      </c>
      <c r="BT52" s="121">
        <v>4</v>
      </c>
      <c r="BU52" s="117">
        <v>5</v>
      </c>
      <c r="BV52" s="117">
        <v>2</v>
      </c>
      <c r="BW52" s="602">
        <v>7</v>
      </c>
      <c r="BX52" s="117">
        <v>16</v>
      </c>
      <c r="BY52" s="118" t="s">
        <v>95</v>
      </c>
      <c r="BZ52" s="118" t="s">
        <v>358</v>
      </c>
      <c r="CA52" s="117">
        <f>HLOOKUP(Věci!$C$2,Věci!$A$2:$C$529,MATCH(BO52,Věci!$A$2:$A$529,0),FALSE)</f>
        <v>2</v>
      </c>
      <c r="CB52" t="s">
        <v>2477</v>
      </c>
    </row>
    <row r="53" spans="1:80" ht="15" customHeight="1" x14ac:dyDescent="0.3">
      <c r="A53" s="768"/>
      <c r="B53" s="783" t="s">
        <v>317</v>
      </c>
      <c r="C53" s="141">
        <f>IFERROR(HLOOKUP(C$52,'1-Vlastnosti'!$BO$7:$BZ$106,MATCH($C$50,'1-Vlastnosti'!$BO$7:$BO$106,0),FALSE)," ")</f>
        <v>1</v>
      </c>
      <c r="D53" s="498">
        <f>IFERROR(HLOOKUP(IF(C51="Střelba","S",IF(C51="Vrh","V","N")),'1-Vlastnosti'!$BO$7:$BZ$106,MATCH($C$50,'1-Vlastnosti'!$BO$7:$BO$106,0),FALSE)," ")</f>
        <v>1</v>
      </c>
      <c r="E53" s="141">
        <f>IFERROR(HLOOKUP(E$52,'1-Vlastnosti'!$BO$7:$BZ$106,MATCH($C$50,'1-Vlastnosti'!$BO$7:$BO$106,0),FALSE)," ")</f>
        <v>-1</v>
      </c>
      <c r="F53" s="303">
        <f>IFERROR(HLOOKUP(F$52,'1-Vlastnosti'!$BO$7:$BZ$106,MATCH($C$50,'1-Vlastnosti'!$BO$7:$BO$106,0),FALSE)," ")</f>
        <v>1</v>
      </c>
      <c r="G53" s="197"/>
      <c r="H53" s="1252" t="s">
        <v>317</v>
      </c>
      <c r="I53" s="1253"/>
      <c r="J53" s="356">
        <f>IFERROR(HLOOKUP(J$52,'1-Vlastnosti'!$BO$7:$BZ$106,MATCH($I$50,'1-Vlastnosti'!$BO$7:$BO$106,0),FALSE)," ")</f>
        <v>0</v>
      </c>
      <c r="K53" s="498">
        <f>IFERROR(HLOOKUP(IF(J51="Střelba","S",IF(J51="Vrh","V","N")),'1-Vlastnosti'!$BO$7:$BZ$106,MATCH($I$50,'1-Vlastnosti'!$BO$7:$BO$106,0),FALSE)," ")</f>
        <v>0</v>
      </c>
      <c r="L53" s="142">
        <f>IFERROR(HLOOKUP(L$52,'1-Vlastnosti'!$BO$7:$BZ$106,MATCH($I$50,'1-Vlastnosti'!$BO$7:$BO$106,0),FALSE)," ")</f>
        <v>0</v>
      </c>
      <c r="M53" s="302">
        <f>IFERROR(HLOOKUP(M$52,'1-Vlastnosti'!$BO$7:$BZ$106,MATCH(IF(Copy_Zbran5B="",COPY_Zbran5,Copy_Zbran5B),'1-Vlastnosti'!$BO$7:$BO$106,0),FALSE)," ")</f>
        <v>0</v>
      </c>
      <c r="N53" s="197"/>
      <c r="O53" s="1252" t="s">
        <v>317</v>
      </c>
      <c r="P53" s="1253"/>
      <c r="Q53" s="82">
        <f>IFERROR(HLOOKUP(Q$52,'1-Vlastnosti'!$BO$7:$BZ$106,MATCH($Q$50,'1-Vlastnosti'!$BO$7:$BO$106,0),FALSE)," ")</f>
        <v>-2</v>
      </c>
      <c r="R53" s="498">
        <f>IFERROR(HLOOKUP(IF(Q51="Střelba","S",IF(Q51="Vrh","V","N")),'1-Vlastnosti'!$BO$7:$BZ$106,MATCH($Q$50,'1-Vlastnosti'!$BO$7:$BO$106,0),FALSE)," ")</f>
        <v>0</v>
      </c>
      <c r="S53" s="82">
        <f>IFERROR(HLOOKUP(S$52,'1-Vlastnosti'!$BO$7:$BZ$106,MATCH($Q$50,'1-Vlastnosti'!$BO$7:$BO$106,0),FALSE)," ")</f>
        <v>-2</v>
      </c>
      <c r="T53" s="83">
        <f>IFERROR(HLOOKUP(T$52,'1-Vlastnosti'!$BO$7:$BZ$106,MATCH($Q$50,'1-Vlastnosti'!$BO$7:$BO$106,0),FALSE)," ")</f>
        <v>0</v>
      </c>
      <c r="U53" s="197"/>
      <c r="V53" s="761"/>
      <c r="X53" s="168" t="s">
        <v>3892</v>
      </c>
      <c r="Y53" s="1012">
        <f>-2+IF($AA$50=$X$84,1,0)+IF($AA$50=$X$85,2,0)</f>
        <v>-2</v>
      </c>
      <c r="Z53" s="1012">
        <f>IF($AA$50=$X$83,-1,0)</f>
        <v>-1</v>
      </c>
      <c r="AA53" s="1013" t="s">
        <v>66</v>
      </c>
      <c r="AB53" s="1012">
        <v>0</v>
      </c>
      <c r="AC53" s="1012">
        <v>0</v>
      </c>
      <c r="AD53" s="1012">
        <v>0</v>
      </c>
      <c r="AE53" s="1012" t="s">
        <v>66</v>
      </c>
      <c r="AF53" s="1012" t="s">
        <v>66</v>
      </c>
      <c r="BO53" s="39" t="s">
        <v>508</v>
      </c>
      <c r="BP53" s="39" t="s">
        <v>390</v>
      </c>
      <c r="BQ53" s="602">
        <v>-1</v>
      </c>
      <c r="BR53" s="121">
        <v>3</v>
      </c>
      <c r="BS53" s="121">
        <v>0</v>
      </c>
      <c r="BT53" s="121">
        <v>6</v>
      </c>
      <c r="BU53" s="117">
        <v>9</v>
      </c>
      <c r="BV53" s="117">
        <v>2</v>
      </c>
      <c r="BW53" s="602">
        <v>19</v>
      </c>
      <c r="BX53" s="117">
        <v>28</v>
      </c>
      <c r="BY53" s="118" t="s">
        <v>95</v>
      </c>
      <c r="BZ53" s="118" t="s">
        <v>361</v>
      </c>
      <c r="CA53" s="117">
        <f>HLOOKUP(Věci!$C$2,Věci!$A$2:$C$529,MATCH(BO53,Věci!$A$2:$A$529,0),FALSE)</f>
        <v>5</v>
      </c>
      <c r="CB53" t="s">
        <v>2477</v>
      </c>
    </row>
    <row r="54" spans="1:80" ht="15" customHeight="1" x14ac:dyDescent="0.3">
      <c r="A54" s="768"/>
      <c r="B54" s="784" t="s">
        <v>318</v>
      </c>
      <c r="C54" s="139">
        <f>IFERROR(HLOOKUP('1-Vlastnosti'!Q$25,'1-Vlastnosti'!$B$25:$T$33,MATCH($C$50,'1-Vlastnosti'!$B$25:$B$33,0),FALSE)," ")</f>
        <v>0</v>
      </c>
      <c r="D54" s="139">
        <f>IFERROR(HLOOKUP('1-Vlastnosti'!R$25,'1-Vlastnosti'!$B$25:$T$33,MATCH($C$50,'1-Vlastnosti'!$B$25:$B$33,0),FALSE)," ")</f>
        <v>0</v>
      </c>
      <c r="E54" s="139">
        <f>IFERROR(HLOOKUP('1-Vlastnosti'!S$25,'1-Vlastnosti'!$B$25:$T$33,MATCH($C$50,'1-Vlastnosti'!$B$25:$B$33,0),FALSE)," ")</f>
        <v>0</v>
      </c>
      <c r="F54" s="140">
        <f>IFERROR(HLOOKUP('1-Vlastnosti'!T$25,'1-Vlastnosti'!$B$25:$T$33,MATCH($C$50,'1-Vlastnosti'!$B$25:$B$33,0),FALSE)," ")</f>
        <v>0</v>
      </c>
      <c r="G54" s="197"/>
      <c r="H54" s="1248" t="s">
        <v>318</v>
      </c>
      <c r="I54" s="1249"/>
      <c r="J54" s="357" t="str">
        <f>IFERROR(HLOOKUP('1-Vlastnosti'!Q$25,'1-Vlastnosti'!$B$25:$T$33,MATCH($I$50,'1-Vlastnosti'!$B$25:$B$33,0),FALSE)," ")</f>
        <v xml:space="preserve"> </v>
      </c>
      <c r="K54" s="357" t="str">
        <f>IFERROR(HLOOKUP('1-Vlastnosti'!R$25,'1-Vlastnosti'!$B$25:$T$33,MATCH($I$50,'1-Vlastnosti'!$B$25:$B$33,0),FALSE)," ")</f>
        <v xml:space="preserve"> </v>
      </c>
      <c r="L54" s="357" t="str">
        <f>IFERROR(HLOOKUP('1-Vlastnosti'!S$25,'1-Vlastnosti'!$B$25:$T$33,MATCH($I$50,'1-Vlastnosti'!$B$25:$B$33,0),FALSE)," ")</f>
        <v xml:space="preserve"> </v>
      </c>
      <c r="M54" s="499" t="str">
        <f>IFERROR(HLOOKUP('1-Vlastnosti'!T$25,'1-Vlastnosti'!$B$25:$T$33,MATCH(IF(Copy_Zbran5B="",COPY_Zbran5,Copy_Zbran5B),'1-Vlastnosti'!$B$25:$B$33,0),FALSE)," ")</f>
        <v xml:space="preserve"> </v>
      </c>
      <c r="N54" s="197"/>
      <c r="O54" s="1248" t="s">
        <v>318</v>
      </c>
      <c r="P54" s="1249"/>
      <c r="Q54" s="85">
        <f>IFERROR(HLOOKUP('1-Vlastnosti'!Q$25,'1-Vlastnosti'!$B$25:$T$33,MATCH($Q$50,'1-Vlastnosti'!$B$25:$B$33,0),FALSE)," ")</f>
        <v>0</v>
      </c>
      <c r="R54" s="85">
        <f>IFERROR(HLOOKUP('1-Vlastnosti'!R$25,'1-Vlastnosti'!$B$25:$T$33,MATCH($Q$50,'1-Vlastnosti'!$B$25:$B$33,0),FALSE)," ")</f>
        <v>0</v>
      </c>
      <c r="S54" s="85">
        <f>IFERROR(HLOOKUP('1-Vlastnosti'!S$25,'1-Vlastnosti'!$B$25:$T$33,MATCH($Q$50,'1-Vlastnosti'!$B$25:$B$33,0),FALSE)," ")</f>
        <v>0</v>
      </c>
      <c r="T54" s="86">
        <f>IFERROR(HLOOKUP('1-Vlastnosti'!T$25,'1-Vlastnosti'!$B$25:$T$33,MATCH($Q$50,'1-Vlastnosti'!$B$25:$B$33,0),FALSE)," ")</f>
        <v>0</v>
      </c>
      <c r="U54" s="197"/>
      <c r="V54" s="761"/>
      <c r="X54" s="168" t="s">
        <v>2470</v>
      </c>
      <c r="Y54" s="1012">
        <f>-3+IF($AA$50=$X$84,1,0)+IF($AA$50=$X$85,2,0)</f>
        <v>-3</v>
      </c>
      <c r="Z54" s="1012">
        <f>-2+IF($AA$50=$X$84,1,0)+IF($AA$50=$X$85,2,0)</f>
        <v>-2</v>
      </c>
      <c r="AA54" s="1012">
        <f>IF($AA$50=$X$83,-1,0)</f>
        <v>-1</v>
      </c>
      <c r="AB54" s="1013" t="s">
        <v>66</v>
      </c>
      <c r="AC54" s="1012" t="s">
        <v>66</v>
      </c>
      <c r="AD54" s="1012" t="s">
        <v>66</v>
      </c>
      <c r="AE54" s="1012" t="s">
        <v>66</v>
      </c>
      <c r="AF54" s="1012" t="s">
        <v>66</v>
      </c>
      <c r="BO54" s="39" t="s">
        <v>507</v>
      </c>
      <c r="BP54" s="39" t="s">
        <v>390</v>
      </c>
      <c r="BQ54" s="602">
        <v>0</v>
      </c>
      <c r="BR54" s="121">
        <v>3</v>
      </c>
      <c r="BS54" s="121">
        <v>0</v>
      </c>
      <c r="BT54" s="121">
        <v>5</v>
      </c>
      <c r="BU54" s="117">
        <v>7</v>
      </c>
      <c r="BV54" s="117">
        <v>2</v>
      </c>
      <c r="BW54" s="602">
        <v>14</v>
      </c>
      <c r="BX54" s="117">
        <v>20</v>
      </c>
      <c r="BY54" s="118" t="s">
        <v>95</v>
      </c>
      <c r="BZ54" s="118" t="s">
        <v>361</v>
      </c>
      <c r="CA54" s="117">
        <f>HLOOKUP(Věci!$C$2,Věci!$A$2:$C$529,MATCH(BO54,Věci!$A$2:$A$529,0),FALSE)</f>
        <v>3.5</v>
      </c>
      <c r="CB54" t="s">
        <v>2477</v>
      </c>
    </row>
    <row r="55" spans="1:80" ht="15" customHeight="1" x14ac:dyDescent="0.3">
      <c r="A55" s="768"/>
      <c r="B55" s="784" t="s">
        <v>309</v>
      </c>
      <c r="C55" s="85">
        <f>IFERROR(IF($C51="Vrh",HLOOKUP(C$52,'1-Vlastnosti'!$X$3:$AA$11,MATCH(COPY_Vrh,'1-Vlastnosti'!$X$3:$X$11,0),FALSE),HLOOKUP(C$52,'1-Vlastnosti'!$X$3:$AA$11,MATCH(HLOOKUP('1-Vlastnosti'!$N$25,'1-Vlastnosti'!$B$25:$T$33,MATCH($C$50,'1-Vlastnosti'!$B$25:$B$33,0),FALSE),'1-Vlastnosti'!$X$3:$X$11,0),FALSE))," ")</f>
        <v>-1</v>
      </c>
      <c r="D55" s="85">
        <f>IFERROR(IF($C51="Vrh",HLOOKUP(D$52,'1-Vlastnosti'!$X$3:$AA$11,MATCH(COPY_Vrh,'1-Vlastnosti'!$X$3:$X$11,0),FALSE),HLOOKUP(D$52,'1-Vlastnosti'!$X$3:$AA$11,MATCH(HLOOKUP('1-Vlastnosti'!$N$25,'1-Vlastnosti'!$B$25:$T$33,MATCH($C$50,'1-Vlastnosti'!$B$25:$B$33,0),FALSE),'1-Vlastnosti'!$X$3:$X$11,0),FALSE))," ")</f>
        <v>-2</v>
      </c>
      <c r="E55" s="85">
        <f>IFERROR(IF($C51="Vrh",HLOOKUP(E$52,'1-Vlastnosti'!$X$3:$AA$11,MATCH(COPY_Vrh,'1-Vlastnosti'!$X$3:$X$11,0),FALSE),HLOOKUP(E$52,'1-Vlastnosti'!$X$3:$AA$11,MATCH(HLOOKUP('1-Vlastnosti'!$N$25,'1-Vlastnosti'!$B$25:$T$33,MATCH($C$50,'1-Vlastnosti'!$B$25:$B$33,0),FALSE),'1-Vlastnosti'!$X$3:$X$11,0),FALSE))," ")</f>
        <v>-1</v>
      </c>
      <c r="F55" s="86">
        <f>IFERROR(HLOOKUP("OZ",'1-Vlastnosti'!$X$14:$Y$22,MATCH(COPY_Blokování,'1-Vlastnosti'!$X$14:$X$22,0),FALSE)," ")</f>
        <v>-2</v>
      </c>
      <c r="G55" s="197"/>
      <c r="H55" s="1248" t="s">
        <v>309</v>
      </c>
      <c r="I55" s="1249"/>
      <c r="J55" s="357" t="str">
        <f>IFERROR(IF($J51="Vrh",HLOOKUP(J$52,'1-Vlastnosti'!$X$3:$AA$11,MATCH(COPY_Vrh,'1-Vlastnosti'!$X$3:$X$11,0),FALSE),HLOOKUP(J$52,'1-Vlastnosti'!$X$3:$AA$11,MATCH(HLOOKUP('1-Vlastnosti'!$N$25,'1-Vlastnosti'!$B$25:$T$33,MATCH($I$50,'1-Vlastnosti'!$B$25:$B$33,0),FALSE),'1-Vlastnosti'!$X$3:$X$11,0),FALSE))," ")</f>
        <v xml:space="preserve"> </v>
      </c>
      <c r="K55" s="357" t="str">
        <f>IFERROR(IF($J51="Vrh",HLOOKUP(K$52,'1-Vlastnosti'!$X$3:$AA$11,MATCH(COPY_Vrh,'1-Vlastnosti'!$X$3:$X$11,0),FALSE),HLOOKUP(K$52,'1-Vlastnosti'!$X$3:$AA$11,MATCH(HLOOKUP('1-Vlastnosti'!$N$25,'1-Vlastnosti'!$B$25:$T$33,MATCH($I$50,'1-Vlastnosti'!$B$25:$B$33,0),FALSE),'1-Vlastnosti'!$X$3:$X$11,0),FALSE))," ")</f>
        <v xml:space="preserve"> </v>
      </c>
      <c r="L55" s="357" t="str">
        <f>IFERROR(IF($J51="Vrh",HLOOKUP(L$52,'1-Vlastnosti'!$X$3:$AA$11,MATCH(COPY_Vrh,'1-Vlastnosti'!$X$3:$X$11,0),FALSE),HLOOKUP(L$52,'1-Vlastnosti'!$X$3:$AA$11,MATCH(HLOOKUP('1-Vlastnosti'!$N$25,'1-Vlastnosti'!$B$25:$T$33,MATCH($I$50,'1-Vlastnosti'!$B$25:$B$33,0),FALSE),'1-Vlastnosti'!$X$3:$X$11,0),FALSE))," ")</f>
        <v xml:space="preserve"> </v>
      </c>
      <c r="M55" s="86">
        <f>IFERROR(HLOOKUP("OZ",'1-Vlastnosti'!$X$14:$Y$22,MATCH(COPY_Blokování,'1-Vlastnosti'!$X$14:$X$22,0),FALSE)," ")</f>
        <v>-2</v>
      </c>
      <c r="N55" s="197"/>
      <c r="O55" s="1248" t="s">
        <v>309</v>
      </c>
      <c r="P55" s="1249"/>
      <c r="Q55" s="85" t="str">
        <f>IFERROR(IF($Q51="Vrh",HLOOKUP(Q$52,'1-Vlastnosti'!$X$3:$AA$11,MATCH(COPY_Vrh,'1-Vlastnosti'!$X$3:$X$11,0),FALSE),HLOOKUP(Q$52,'1-Vlastnosti'!$X$3:$AA$11,MATCH(HLOOKUP('1-Vlastnosti'!$N$25,'1-Vlastnosti'!$B$25:$T$33,MATCH($Q$50,'1-Vlastnosti'!$B$25:$B$33,0),FALSE),'1-Vlastnosti'!$X$3:$X$11,0),FALSE))," ")</f>
        <v xml:space="preserve"> </v>
      </c>
      <c r="R55" s="85" t="str">
        <f>IFERROR(IF($Q51="Vrh",HLOOKUP(R$52,'1-Vlastnosti'!$X$3:$AA$11,MATCH(COPY_Vrh,'1-Vlastnosti'!$X$3:$X$11,0),FALSE),HLOOKUP(R$52,'1-Vlastnosti'!$X$3:$AA$11,MATCH(HLOOKUP('1-Vlastnosti'!$N$25,'1-Vlastnosti'!$B$25:$T$33,MATCH($Q$50,'1-Vlastnosti'!$B$25:$B$33,0),FALSE),'1-Vlastnosti'!$X$3:$X$11,0),FALSE))," ")</f>
        <v xml:space="preserve"> </v>
      </c>
      <c r="S55" s="85" t="str">
        <f>IFERROR(IF($Q51="Vrh",HLOOKUP(S$52,'1-Vlastnosti'!$X$3:$AA$11,MATCH(COPY_Vrh,'1-Vlastnosti'!$X$3:$X$11,0),FALSE),HLOOKUP(S$52,'1-Vlastnosti'!$X$3:$AA$11,MATCH(HLOOKUP('1-Vlastnosti'!$N$25,'1-Vlastnosti'!$B$25:$T$33,MATCH($Q$50,'1-Vlastnosti'!$B$25:$B$33,0),FALSE),'1-Vlastnosti'!$X$3:$X$11,0),FALSE))," ")</f>
        <v xml:space="preserve"> </v>
      </c>
      <c r="T55" s="86">
        <f>IFERROR(HLOOKUP("OZ",'1-Vlastnosti'!$X$14:$Y$22,MATCH(COPY_Blokování,'1-Vlastnosti'!$X$14:$X$22,0),FALSE)," ")</f>
        <v>-2</v>
      </c>
      <c r="U55" s="197"/>
      <c r="V55" s="761"/>
      <c r="X55" s="168" t="s">
        <v>1105</v>
      </c>
      <c r="Y55" s="1012">
        <f>-4+IF($AA$50=$X$84,1,0)+IF($AA$50=$X$85,2,0)</f>
        <v>-4</v>
      </c>
      <c r="Z55" s="1012">
        <f>-3+IF($AA$50=$X$84,1,0)+IF($AA$50=$X$85,2,0)</f>
        <v>-3</v>
      </c>
      <c r="AA55" s="1012">
        <f>-2+IF($AA$50=$X$84,1,0)+IF($AA$50=$X$85,2,0)</f>
        <v>-2</v>
      </c>
      <c r="AB55" s="1012">
        <f>IF($AA$50=$X$83,-1,0)</f>
        <v>-1</v>
      </c>
      <c r="AC55" s="1013" t="s">
        <v>66</v>
      </c>
      <c r="AD55" s="1012" t="s">
        <v>66</v>
      </c>
      <c r="AE55" s="1012" t="s">
        <v>66</v>
      </c>
      <c r="AF55" s="1012" t="s">
        <v>66</v>
      </c>
      <c r="AH55" s="248" t="s">
        <v>1093</v>
      </c>
      <c r="BO55" s="39" t="s">
        <v>377</v>
      </c>
      <c r="BP55" s="39" t="s">
        <v>385</v>
      </c>
      <c r="BQ55" s="117">
        <v>-1</v>
      </c>
      <c r="BR55" s="121">
        <v>3</v>
      </c>
      <c r="BS55" s="121">
        <v>0</v>
      </c>
      <c r="BT55" s="121" t="s">
        <v>181</v>
      </c>
      <c r="BU55" s="117">
        <v>2</v>
      </c>
      <c r="BV55" s="117">
        <v>1</v>
      </c>
      <c r="BW55" s="117">
        <v>10</v>
      </c>
      <c r="BX55" s="117">
        <v>1</v>
      </c>
      <c r="BY55" s="118" t="s">
        <v>97</v>
      </c>
      <c r="BZ55" s="118" t="s">
        <v>358</v>
      </c>
      <c r="CA55" s="117">
        <f>HLOOKUP(Věci!$C$2,Věci!$A$2:$C$529,MATCH(BO55,Věci!$A$2:$A$529,0),FALSE)</f>
        <v>1.2</v>
      </c>
      <c r="CB55" t="s">
        <v>2476</v>
      </c>
    </row>
    <row r="56" spans="1:80" ht="15" customHeight="1" x14ac:dyDescent="0.3">
      <c r="A56" s="768"/>
      <c r="B56" s="784" t="s">
        <v>4883</v>
      </c>
      <c r="C56" s="309">
        <v>0</v>
      </c>
      <c r="D56" s="309">
        <f>IF(COPY_Pouziti4="Na blízko",HLOOKUP('2-Vzhled a charakter'!$P$16,'1-Vlastnosti'!$X$61:$AE$66,MATCH('1-Vlastnosti'!$X$62,'1-Vlastnosti'!$X$61:$X$66,0),FALSE),0)</f>
        <v>0</v>
      </c>
      <c r="E56" s="309">
        <f>IF(COPY_Pouziti4="Na blízko",HLOOKUP('2-Vzhled a charakter'!$P$16,'1-Vlastnosti'!$X$61:$AE$66,MATCH('1-Vlastnosti'!$X$63,'1-Vlastnosti'!$X$61:$X$66,0),FALSE),0)</f>
        <v>0</v>
      </c>
      <c r="F56" s="310">
        <v>0</v>
      </c>
      <c r="G56" s="197"/>
      <c r="H56" s="784" t="s">
        <v>4883</v>
      </c>
      <c r="I56" s="921"/>
      <c r="J56" s="357">
        <v>0</v>
      </c>
      <c r="K56" s="307">
        <f>IF(COPY_Pouziti5="Na blízko",HLOOKUP('2-Vzhled a charakter'!$P$16,'1-Vlastnosti'!$X$61:$AE$66,MATCH('1-Vlastnosti'!$X$62,'1-Vlastnosti'!$X$61:$X$66,0),FALSE),0)</f>
        <v>0</v>
      </c>
      <c r="L56" s="307">
        <f>IF(COPY_Pouziti5="Na blízko",HLOOKUP('2-Vzhled a charakter'!$P$16,'1-Vlastnosti'!$X$61:$AE$66,MATCH('1-Vlastnosti'!$X$63,'1-Vlastnosti'!$X$61:$X$66,0),FALSE),0)</f>
        <v>0</v>
      </c>
      <c r="M56" s="308">
        <v>0</v>
      </c>
      <c r="O56" s="84" t="s">
        <v>4883</v>
      </c>
      <c r="P56" s="921"/>
      <c r="Q56" s="304">
        <v>0</v>
      </c>
      <c r="R56" s="304">
        <f>IF(COPY_Pouziti6="Na blízko",HLOOKUP('2-Vzhled a charakter'!$P$16,'1-Vlastnosti'!$X$61:$AE$66,MATCH('1-Vlastnosti'!$X$62,'1-Vlastnosti'!$X$61:$X$66,0),FALSE),0)</f>
        <v>0</v>
      </c>
      <c r="S56" s="304">
        <f>IF(COPY_Pouziti6="Na blízko",HLOOKUP('2-Vzhled a charakter'!$P$16,'1-Vlastnosti'!$X$61:$AE$66,MATCH('1-Vlastnosti'!$X$63,'1-Vlastnosti'!$X$61:$X$66,0),FALSE),0)</f>
        <v>0</v>
      </c>
      <c r="T56" s="306">
        <v>0</v>
      </c>
      <c r="V56" s="761"/>
      <c r="X56" s="168" t="s">
        <v>563</v>
      </c>
      <c r="Y56" s="1012">
        <f>-5+IF($AA$50=$X$84,1,0)+IF($AA$50=$X$85,2,0)</f>
        <v>-5</v>
      </c>
      <c r="Z56" s="1012">
        <f>-4+IF($AA$50=$X$84,1,0)+IF($AA$50=$X$85,2,0)</f>
        <v>-4</v>
      </c>
      <c r="AA56" s="1012">
        <f>-3+IF($AA$50=$X$84,1,0)+IF($AA$50=$X$85,2,0)</f>
        <v>-3</v>
      </c>
      <c r="AB56" s="1012">
        <f>-2+IF($AA$50=$X$84,1,0)+IF($AA$50=$X$85,2,0)</f>
        <v>-2</v>
      </c>
      <c r="AC56" s="1012">
        <f>IF($AA$50=$X$83,-1,0)</f>
        <v>-1</v>
      </c>
      <c r="AD56" s="1013" t="s">
        <v>66</v>
      </c>
      <c r="AE56" s="1012" t="s">
        <v>66</v>
      </c>
      <c r="AF56" s="1012" t="s">
        <v>66</v>
      </c>
      <c r="AI56" t="s">
        <v>255</v>
      </c>
      <c r="AJ56" t="s">
        <v>302</v>
      </c>
      <c r="AK56" t="s">
        <v>303</v>
      </c>
      <c r="AL56" t="s">
        <v>304</v>
      </c>
      <c r="BO56" s="118" t="s">
        <v>498</v>
      </c>
      <c r="BP56" s="39" t="s">
        <v>387</v>
      </c>
      <c r="BQ56" s="117">
        <v>-2</v>
      </c>
      <c r="BR56" s="121">
        <v>5</v>
      </c>
      <c r="BS56" s="121">
        <v>2</v>
      </c>
      <c r="BT56" s="121" t="s">
        <v>181</v>
      </c>
      <c r="BU56" s="117">
        <v>10</v>
      </c>
      <c r="BV56" s="117">
        <v>3</v>
      </c>
      <c r="BW56" s="117">
        <v>19</v>
      </c>
      <c r="BX56" s="117">
        <v>1</v>
      </c>
      <c r="BY56" s="118" t="s">
        <v>97</v>
      </c>
      <c r="BZ56" s="118" t="s">
        <v>361</v>
      </c>
      <c r="CA56" s="117">
        <f>HLOOKUP(Věci!$C$2,Věci!$A$2:$C$529,MATCH(BO56,Věci!$A$2:$A$529,0),FALSE)</f>
        <v>12</v>
      </c>
      <c r="CB56" t="s">
        <v>2476</v>
      </c>
    </row>
    <row r="57" spans="1:80" ht="15" customHeight="1" x14ac:dyDescent="0.3">
      <c r="A57" s="768"/>
      <c r="B57" s="784" t="s">
        <v>320</v>
      </c>
      <c r="C57" s="792"/>
      <c r="D57" s="792"/>
      <c r="E57" s="792"/>
      <c r="F57" s="793"/>
      <c r="G57" s="197"/>
      <c r="H57" s="1248" t="s">
        <v>320</v>
      </c>
      <c r="I57" s="1249"/>
      <c r="J57" s="792"/>
      <c r="K57" s="792"/>
      <c r="L57" s="792"/>
      <c r="M57" s="793"/>
      <c r="N57" s="197"/>
      <c r="O57" s="1248" t="s">
        <v>320</v>
      </c>
      <c r="P57" s="1249"/>
      <c r="Q57" s="792"/>
      <c r="R57" s="792"/>
      <c r="S57" s="792"/>
      <c r="T57" s="793"/>
      <c r="U57" s="197"/>
      <c r="V57" s="761"/>
      <c r="X57" s="168" t="s">
        <v>564</v>
      </c>
      <c r="Y57" s="1012">
        <f>-6+IF($AA$50=$X$84,1,0)+IF($AA$50=$X$85,2,0)</f>
        <v>-6</v>
      </c>
      <c r="Z57" s="1012">
        <f>-5+IF($AA$50=$X$84,1,0)+IF($AA$50=$X$85,2,0)</f>
        <v>-5</v>
      </c>
      <c r="AA57" s="1012">
        <f>-4+IF($AA$50=$X$84,1,0)+IF($AA$50=$X$85,2,0)</f>
        <v>-4</v>
      </c>
      <c r="AB57" s="1012">
        <f>-3+IF($AA$50=$X$84,1,0)+IF($AA$50=$X$85,2,0)</f>
        <v>-3</v>
      </c>
      <c r="AC57" s="1012">
        <f>-2+IF($AA$50=$X$84,1,0)+IF($AA$50=$X$85,2,0)</f>
        <v>-2</v>
      </c>
      <c r="AD57" s="1012">
        <f>IF($AA$50=$X$83,-1,0)</f>
        <v>-1</v>
      </c>
      <c r="AE57" s="1013" t="s">
        <v>66</v>
      </c>
      <c r="AF57" s="1012" t="s">
        <v>66</v>
      </c>
      <c r="AI57" s="3" t="s">
        <v>423</v>
      </c>
      <c r="AJ57" s="148">
        <v>2</v>
      </c>
      <c r="AK57" s="148">
        <v>-2</v>
      </c>
      <c r="AL57" s="148">
        <v>-2</v>
      </c>
      <c r="BO57" s="39" t="s">
        <v>504</v>
      </c>
      <c r="BP57" s="39" t="s">
        <v>390</v>
      </c>
      <c r="BQ57" s="117">
        <v>0</v>
      </c>
      <c r="BR57" s="121">
        <v>4</v>
      </c>
      <c r="BS57" s="121">
        <v>0</v>
      </c>
      <c r="BT57" s="121">
        <v>5</v>
      </c>
      <c r="BU57" s="117">
        <v>4</v>
      </c>
      <c r="BV57" s="117">
        <v>1</v>
      </c>
      <c r="BW57" s="602">
        <v>10</v>
      </c>
      <c r="BX57" s="117">
        <v>32</v>
      </c>
      <c r="BY57" s="118" t="s">
        <v>95</v>
      </c>
      <c r="BZ57" s="118" t="s">
        <v>361</v>
      </c>
      <c r="CA57" s="117">
        <f>HLOOKUP(Věci!$C$2,Věci!$A$2:$C$529,MATCH(BO57,Věci!$A$2:$A$529,0),FALSE)</f>
        <v>1.5</v>
      </c>
      <c r="CB57" t="s">
        <v>2477</v>
      </c>
    </row>
    <row r="58" spans="1:80" ht="15" customHeight="1" x14ac:dyDescent="0.3">
      <c r="A58" s="768"/>
      <c r="B58" s="785" t="s">
        <v>397</v>
      </c>
      <c r="C58" s="87">
        <f>'1-Vlastnosti'!$O$3</f>
        <v>-5</v>
      </c>
      <c r="D58" s="87">
        <f>IFERROR(IF(OR(C51="Střelba",C51="Vrh"),'1-Vlastnosti'!$O$5,'1-Vlastnosti'!$O$4)," ")</f>
        <v>-6</v>
      </c>
      <c r="E58" s="87">
        <f>IF(AND(C51="Střelba",OR(C50="Minikuše",C50="Kuše lehká",C50="Kuše vojenská",C50="Kuše těžká")),0,'1-Vlastnosti'!$O$6)</f>
        <v>-2</v>
      </c>
      <c r="F58" s="88">
        <f>AOBR</f>
        <v>-6</v>
      </c>
      <c r="G58" s="197"/>
      <c r="H58" s="1254" t="s">
        <v>397</v>
      </c>
      <c r="I58" s="1255"/>
      <c r="J58" s="353">
        <f>'1-Vlastnosti'!$O$3</f>
        <v>-5</v>
      </c>
      <c r="K58" s="87">
        <f>IFERROR(IF(OR(J51="Střelba",J51="Vrh"),'1-Vlastnosti'!$O$5,'1-Vlastnosti'!$O$4)," ")</f>
        <v>-6</v>
      </c>
      <c r="L58" s="87">
        <f>IF(AND(J51="Střelba",OR(I50="Minikuše",I50="Kuše lehká",I50="Kuše vojenská",I50="Kuše těžká")),0,'1-Vlastnosti'!$O$6)</f>
        <v>-2</v>
      </c>
      <c r="M58" s="88">
        <f>AOBR</f>
        <v>-6</v>
      </c>
      <c r="N58" s="197"/>
      <c r="O58" s="1254" t="s">
        <v>397</v>
      </c>
      <c r="P58" s="1255"/>
      <c r="Q58" s="87">
        <f>'1-Vlastnosti'!$O$3</f>
        <v>-5</v>
      </c>
      <c r="R58" s="87">
        <f>IFERROR(IF(OR(Q51="Střelba",Q51="Vrh"),'1-Vlastnosti'!$O$5,'1-Vlastnosti'!$O$4)," ")</f>
        <v>-6</v>
      </c>
      <c r="S58" s="87">
        <f>IF(AND(Q51="Střelba",OR(Q50="Minikuše",Q50="Kuše lehká",Q50="Kuše vojenská",Q50="Kuše těžká")),0,'1-Vlastnosti'!$O$6)</f>
        <v>-2</v>
      </c>
      <c r="T58" s="88">
        <f>AOBR</f>
        <v>-6</v>
      </c>
      <c r="U58" s="197"/>
      <c r="V58" s="761"/>
      <c r="X58" s="168" t="s">
        <v>949</v>
      </c>
      <c r="Y58" s="1012">
        <v>-7</v>
      </c>
      <c r="Z58" s="1012">
        <f>-6+IF($AA$50=$X$84,1,0)+IF($AA$50=$X$85,2,0)</f>
        <v>-6</v>
      </c>
      <c r="AA58" s="1012">
        <f>-5+IF($AA$50=$X$84,1,0)+IF($AA$50=$X$85,2,0)</f>
        <v>-5</v>
      </c>
      <c r="AB58" s="1012">
        <f>-4+IF($AA$50=$X$84,1,0)+IF($AA$50=$X$85,2,0)</f>
        <v>-4</v>
      </c>
      <c r="AC58" s="1012">
        <f>-3+IF($AA$50=$X$84,1,0)+IF($AA$50=$X$85,2,0)</f>
        <v>-3</v>
      </c>
      <c r="AD58" s="1012">
        <f>-2+IF($AA$50=$X$84,1,0)+IF($AA$50=$X$85,2,0)</f>
        <v>-2</v>
      </c>
      <c r="AE58" s="1012">
        <f>IF($AA$50=$X$83,-1,0)</f>
        <v>-1</v>
      </c>
      <c r="AF58" s="1013" t="s">
        <v>66</v>
      </c>
      <c r="AI58" s="3" t="s">
        <v>426</v>
      </c>
      <c r="AJ58" s="148">
        <v>-3</v>
      </c>
      <c r="AK58" s="148">
        <v>-2</v>
      </c>
      <c r="AL58" s="148">
        <v>2</v>
      </c>
      <c r="BO58" s="39" t="s">
        <v>495</v>
      </c>
      <c r="BP58" s="39" t="s">
        <v>390</v>
      </c>
      <c r="BQ58" s="117">
        <v>0</v>
      </c>
      <c r="BR58" s="121">
        <v>4</v>
      </c>
      <c r="BS58" s="121">
        <v>0</v>
      </c>
      <c r="BT58" s="121">
        <v>6</v>
      </c>
      <c r="BU58" s="117">
        <v>5</v>
      </c>
      <c r="BV58" s="117">
        <v>1</v>
      </c>
      <c r="BW58" s="602">
        <v>14</v>
      </c>
      <c r="BX58" s="117">
        <v>44</v>
      </c>
      <c r="BY58" s="118" t="s">
        <v>95</v>
      </c>
      <c r="BZ58" s="118" t="s">
        <v>361</v>
      </c>
      <c r="CA58" s="117">
        <f>HLOOKUP(Věci!$C$2,Věci!$A$2:$C$529,MATCH(BO58,Věci!$A$2:$A$529,0),FALSE)</f>
        <v>1.8</v>
      </c>
      <c r="CB58" t="s">
        <v>2477</v>
      </c>
    </row>
    <row r="59" spans="1:80" ht="15" customHeight="1" thickBot="1" x14ac:dyDescent="0.35">
      <c r="A59" s="812"/>
      <c r="B59" s="787" t="s">
        <v>321</v>
      </c>
      <c r="C59" s="788">
        <f>SUM(C53:C58)</f>
        <v>-5</v>
      </c>
      <c r="D59" s="788">
        <f>SUM(D53:D58)</f>
        <v>-7</v>
      </c>
      <c r="E59" s="788">
        <f>SUM(E53:E58)</f>
        <v>-4</v>
      </c>
      <c r="F59" s="789">
        <f>SUM(F53:F58)</f>
        <v>-7</v>
      </c>
      <c r="G59" s="769"/>
      <c r="H59" s="1256" t="s">
        <v>321</v>
      </c>
      <c r="I59" s="1257"/>
      <c r="J59" s="790">
        <f>SUM(J53:J58)</f>
        <v>-5</v>
      </c>
      <c r="K59" s="788">
        <f>SUM(K53:K58)</f>
        <v>-6</v>
      </c>
      <c r="L59" s="788">
        <f>SUM(L53:L58)</f>
        <v>-2</v>
      </c>
      <c r="M59" s="789">
        <f>SUM(M53:M58)</f>
        <v>-8</v>
      </c>
      <c r="N59" s="769"/>
      <c r="O59" s="1256" t="s">
        <v>321</v>
      </c>
      <c r="P59" s="1257"/>
      <c r="Q59" s="791">
        <f>SUM(Q53:Q58)</f>
        <v>-7</v>
      </c>
      <c r="R59" s="791">
        <f>SUM(R53:R58)</f>
        <v>-6</v>
      </c>
      <c r="S59" s="791">
        <f>SUM(S53:S58)</f>
        <v>-4</v>
      </c>
      <c r="T59" s="791">
        <f>SUM(T53:T58)</f>
        <v>-8</v>
      </c>
      <c r="U59" s="769"/>
      <c r="V59" s="770"/>
      <c r="AI59" s="3" t="s">
        <v>424</v>
      </c>
      <c r="AJ59" s="148">
        <v>1</v>
      </c>
      <c r="AK59" s="148">
        <v>0</v>
      </c>
      <c r="AL59" s="148">
        <v>-1</v>
      </c>
      <c r="BO59" s="39" t="s">
        <v>503</v>
      </c>
      <c r="BP59" s="39" t="s">
        <v>390</v>
      </c>
      <c r="BQ59" s="602">
        <v>1</v>
      </c>
      <c r="BR59" s="121">
        <v>3</v>
      </c>
      <c r="BS59" s="121">
        <v>0</v>
      </c>
      <c r="BT59" s="121">
        <v>4</v>
      </c>
      <c r="BU59" s="117">
        <v>2</v>
      </c>
      <c r="BV59" s="117">
        <v>1</v>
      </c>
      <c r="BW59" s="602">
        <v>6</v>
      </c>
      <c r="BX59" s="117">
        <v>20</v>
      </c>
      <c r="BY59" s="118" t="s">
        <v>95</v>
      </c>
      <c r="BZ59" s="118" t="s">
        <v>358</v>
      </c>
      <c r="CA59" s="117">
        <f>HLOOKUP(Věci!$C$2,Věci!$A$2:$C$529,MATCH(BO59,Věci!$A$2:$A$529,0),FALSE)</f>
        <v>0.8</v>
      </c>
      <c r="CB59" t="s">
        <v>2477</v>
      </c>
    </row>
    <row r="60" spans="1:80" ht="15" customHeight="1" x14ac:dyDescent="0.3">
      <c r="X60" s="8" t="s">
        <v>4159</v>
      </c>
      <c r="AI60" s="3" t="s">
        <v>5636</v>
      </c>
      <c r="AJ60" s="148">
        <v>-1</v>
      </c>
      <c r="AK60" s="148">
        <v>0</v>
      </c>
      <c r="AL60" s="148">
        <v>1</v>
      </c>
      <c r="BO60" s="39" t="s">
        <v>496</v>
      </c>
      <c r="BP60" s="39" t="s">
        <v>390</v>
      </c>
      <c r="BQ60" s="602">
        <v>1</v>
      </c>
      <c r="BR60" s="121">
        <v>3</v>
      </c>
      <c r="BS60" s="121">
        <v>0</v>
      </c>
      <c r="BT60" s="121">
        <v>5</v>
      </c>
      <c r="BU60" s="117">
        <v>3</v>
      </c>
      <c r="BV60" s="117">
        <v>1</v>
      </c>
      <c r="BW60" s="602">
        <v>7</v>
      </c>
      <c r="BX60" s="117">
        <v>30</v>
      </c>
      <c r="BY60" s="118" t="s">
        <v>95</v>
      </c>
      <c r="BZ60" s="118" t="s">
        <v>358</v>
      </c>
      <c r="CA60" s="117">
        <f>HLOOKUP(Věci!$C$2,Věci!$A$2:$C$529,MATCH(BO60,Věci!$A$2:$A$529,0),FALSE)</f>
        <v>1.1000000000000001</v>
      </c>
      <c r="CB60" t="s">
        <v>2477</v>
      </c>
    </row>
    <row r="61" spans="1:80" ht="15" customHeight="1" x14ac:dyDescent="0.3">
      <c r="X61" s="231" t="s">
        <v>4154</v>
      </c>
      <c r="Y61" s="364" t="s">
        <v>93</v>
      </c>
      <c r="Z61" s="364" t="s">
        <v>260</v>
      </c>
      <c r="AA61" s="364" t="s">
        <v>95</v>
      </c>
      <c r="AB61" s="364" t="s">
        <v>96</v>
      </c>
      <c r="AC61" s="364" t="s">
        <v>97</v>
      </c>
      <c r="AD61" s="364" t="s">
        <v>98</v>
      </c>
      <c r="AE61" s="364" t="s">
        <v>99</v>
      </c>
      <c r="AF61" s="1025"/>
      <c r="AI61" s="3" t="s">
        <v>425</v>
      </c>
      <c r="AJ61" s="148">
        <v>0</v>
      </c>
      <c r="AK61" s="148">
        <v>1</v>
      </c>
      <c r="AL61" s="148">
        <v>0</v>
      </c>
      <c r="BO61" s="39" t="s">
        <v>505</v>
      </c>
      <c r="BP61" s="39" t="s">
        <v>390</v>
      </c>
      <c r="BQ61" s="602">
        <v>-1</v>
      </c>
      <c r="BR61" s="121">
        <v>4</v>
      </c>
      <c r="BS61" s="121">
        <v>0</v>
      </c>
      <c r="BT61" s="121">
        <v>7</v>
      </c>
      <c r="BU61" s="117">
        <v>7</v>
      </c>
      <c r="BV61" s="117">
        <v>1</v>
      </c>
      <c r="BW61" s="117">
        <v>19</v>
      </c>
      <c r="BX61" s="117">
        <v>52</v>
      </c>
      <c r="BY61" s="118" t="s">
        <v>95</v>
      </c>
      <c r="BZ61" s="118" t="s">
        <v>361</v>
      </c>
      <c r="CA61" s="117">
        <f>HLOOKUP(Věci!$C$2,Věci!$A$2:$C$529,MATCH(BO61,Věci!$A$2:$A$529,0),FALSE)</f>
        <v>2.5</v>
      </c>
      <c r="CB61" t="s">
        <v>2477</v>
      </c>
    </row>
    <row r="62" spans="1:80" ht="15" customHeight="1" x14ac:dyDescent="0.3">
      <c r="B62" s="902" t="s">
        <v>35</v>
      </c>
      <c r="C62" s="895"/>
      <c r="D62" s="895"/>
      <c r="E62" s="895"/>
      <c r="F62" s="902" t="s">
        <v>34</v>
      </c>
      <c r="G62" s="902"/>
      <c r="H62" s="902"/>
      <c r="I62" s="895"/>
      <c r="X62" s="231" t="s">
        <v>4155</v>
      </c>
      <c r="Y62" s="893">
        <v>-2</v>
      </c>
      <c r="Z62" s="893">
        <v>-1</v>
      </c>
      <c r="AA62" s="893">
        <v>0</v>
      </c>
      <c r="AB62" s="893">
        <v>1</v>
      </c>
      <c r="AC62" s="893">
        <v>2</v>
      </c>
      <c r="AD62" s="893">
        <v>3</v>
      </c>
      <c r="AE62" s="893">
        <v>4</v>
      </c>
      <c r="AF62" s="1026"/>
      <c r="BO62" s="39" t="s">
        <v>370</v>
      </c>
      <c r="BP62" s="39" t="s">
        <v>385</v>
      </c>
      <c r="BQ62" s="602">
        <v>1</v>
      </c>
      <c r="BR62" s="121">
        <v>3</v>
      </c>
      <c r="BS62" s="121">
        <v>0</v>
      </c>
      <c r="BT62" s="121" t="s">
        <v>181</v>
      </c>
      <c r="BU62" s="117">
        <v>3</v>
      </c>
      <c r="BV62" s="117">
        <v>1</v>
      </c>
      <c r="BW62" s="117">
        <v>6</v>
      </c>
      <c r="BX62" s="117">
        <v>1</v>
      </c>
      <c r="BY62" s="118" t="s">
        <v>183</v>
      </c>
      <c r="BZ62" s="118" t="s">
        <v>358</v>
      </c>
      <c r="CA62" s="117">
        <f>HLOOKUP(Věci!$C$2,Věci!$A$2:$C$529,MATCH(BO62,Věci!$A$2:$A$529,0),FALSE)</f>
        <v>0.9</v>
      </c>
      <c r="CB62" t="s">
        <v>1914</v>
      </c>
    </row>
    <row r="63" spans="1:80" ht="15" customHeight="1" x14ac:dyDescent="0.3">
      <c r="B63" s="902" t="s">
        <v>37</v>
      </c>
      <c r="C63" s="895"/>
      <c r="D63" s="895"/>
      <c r="E63" s="895"/>
      <c r="F63" s="902" t="s">
        <v>36</v>
      </c>
      <c r="G63" s="902"/>
      <c r="H63" s="902"/>
      <c r="I63" s="895"/>
      <c r="X63" s="231" t="s">
        <v>4156</v>
      </c>
      <c r="Y63" s="893">
        <v>0</v>
      </c>
      <c r="Z63" s="893">
        <v>0</v>
      </c>
      <c r="AA63" s="893">
        <v>0</v>
      </c>
      <c r="AB63" s="893">
        <v>0</v>
      </c>
      <c r="AC63" s="893">
        <v>0</v>
      </c>
      <c r="AD63" s="893">
        <v>0</v>
      </c>
      <c r="AE63" s="893">
        <v>0</v>
      </c>
      <c r="AF63" s="1026"/>
      <c r="AH63" t="s">
        <v>713</v>
      </c>
      <c r="BO63" s="39" t="s">
        <v>374</v>
      </c>
      <c r="BP63" s="39" t="s">
        <v>385</v>
      </c>
      <c r="BQ63" s="117">
        <v>-1</v>
      </c>
      <c r="BR63" s="121">
        <v>7</v>
      </c>
      <c r="BS63" s="121">
        <v>4</v>
      </c>
      <c r="BT63" s="121" t="s">
        <v>181</v>
      </c>
      <c r="BU63" s="117">
        <v>6</v>
      </c>
      <c r="BV63" s="117">
        <v>4</v>
      </c>
      <c r="BW63" s="117">
        <v>17</v>
      </c>
      <c r="BX63" s="117">
        <v>1</v>
      </c>
      <c r="BY63" s="118" t="s">
        <v>183</v>
      </c>
      <c r="BZ63" s="118" t="s">
        <v>361</v>
      </c>
      <c r="CA63" s="117">
        <f>HLOOKUP(Věci!$C$2,Věci!$A$2:$C$529,MATCH(BO63,Věci!$A$2:$A$529,0),FALSE)</f>
        <v>3</v>
      </c>
      <c r="CB63" t="s">
        <v>1914</v>
      </c>
    </row>
    <row r="64" spans="1:80" ht="15" customHeight="1" x14ac:dyDescent="0.3">
      <c r="X64" s="231" t="s">
        <v>1354</v>
      </c>
      <c r="Y64" s="893">
        <v>2</v>
      </c>
      <c r="Z64" s="893">
        <v>1</v>
      </c>
      <c r="AA64" s="893">
        <v>0</v>
      </c>
      <c r="AB64" s="893">
        <v>-1</v>
      </c>
      <c r="AC64" s="893">
        <v>-2</v>
      </c>
      <c r="AD64" s="893">
        <v>-3</v>
      </c>
      <c r="AE64" s="893">
        <v>-4</v>
      </c>
      <c r="AF64" s="1026"/>
      <c r="AH64" s="161" t="s">
        <v>2</v>
      </c>
      <c r="AI64" s="161" t="s">
        <v>711</v>
      </c>
      <c r="AJ64" s="155" t="s">
        <v>10</v>
      </c>
      <c r="BO64" s="39" t="s">
        <v>972</v>
      </c>
      <c r="BP64" s="39" t="s">
        <v>385</v>
      </c>
      <c r="BQ64" s="602">
        <v>-1</v>
      </c>
      <c r="BR64" s="121">
        <v>5</v>
      </c>
      <c r="BS64" s="121">
        <v>2</v>
      </c>
      <c r="BT64" s="121" t="s">
        <v>181</v>
      </c>
      <c r="BU64" s="117">
        <v>4</v>
      </c>
      <c r="BV64" s="117">
        <v>3</v>
      </c>
      <c r="BW64" s="602">
        <v>8</v>
      </c>
      <c r="BX64" s="117">
        <v>1</v>
      </c>
      <c r="BY64" s="118" t="s">
        <v>97</v>
      </c>
      <c r="BZ64" s="118" t="s">
        <v>358</v>
      </c>
      <c r="CA64" s="117">
        <f>HLOOKUP(Věci!$C$2,Věci!$A$2:$C$529,MATCH(BO64,Věci!$A$2:$A$529,0),FALSE)</f>
        <v>0.5</v>
      </c>
      <c r="CB64" t="s">
        <v>1914</v>
      </c>
    </row>
    <row r="65" spans="24:80" ht="15" customHeight="1" x14ac:dyDescent="0.3">
      <c r="X65" s="231" t="s">
        <v>4157</v>
      </c>
      <c r="Y65" s="893">
        <v>2</v>
      </c>
      <c r="Z65" s="893">
        <v>1</v>
      </c>
      <c r="AA65" s="893">
        <v>0</v>
      </c>
      <c r="AB65" s="893">
        <v>-1</v>
      </c>
      <c r="AC65" s="893">
        <v>-2</v>
      </c>
      <c r="AD65" s="893">
        <v>-3</v>
      </c>
      <c r="AE65" s="893">
        <v>-4</v>
      </c>
      <c r="AF65" s="1026"/>
      <c r="AH65" s="220" t="s">
        <v>115</v>
      </c>
      <c r="AI65" s="234">
        <v>-1</v>
      </c>
      <c r="AJ65" s="234">
        <v>-2</v>
      </c>
      <c r="BO65" s="39" t="s">
        <v>509</v>
      </c>
      <c r="BP65" s="39" t="s">
        <v>385</v>
      </c>
      <c r="BQ65" s="117">
        <v>0</v>
      </c>
      <c r="BR65" s="121">
        <v>8</v>
      </c>
      <c r="BS65" s="121">
        <v>5</v>
      </c>
      <c r="BT65" s="121" t="s">
        <v>181</v>
      </c>
      <c r="BU65" s="117">
        <v>5</v>
      </c>
      <c r="BV65" s="117">
        <v>4</v>
      </c>
      <c r="BW65" s="117">
        <v>15</v>
      </c>
      <c r="BX65" s="117">
        <v>2</v>
      </c>
      <c r="BY65" s="118" t="s">
        <v>183</v>
      </c>
      <c r="BZ65" s="118" t="s">
        <v>361</v>
      </c>
      <c r="CA65" s="117">
        <f>HLOOKUP(Věci!$C$2,Věci!$A$2:$C$529,MATCH(BO65,Věci!$A$2:$A$529,0),FALSE)</f>
        <v>2.5</v>
      </c>
      <c r="CB65" t="s">
        <v>1914</v>
      </c>
    </row>
    <row r="66" spans="24:80" ht="15" customHeight="1" x14ac:dyDescent="0.3">
      <c r="X66" s="231" t="s">
        <v>4076</v>
      </c>
      <c r="Y66" s="893">
        <v>0</v>
      </c>
      <c r="Z66" s="893">
        <v>0</v>
      </c>
      <c r="AA66" s="893">
        <v>0</v>
      </c>
      <c r="AB66" s="893">
        <v>0</v>
      </c>
      <c r="AC66" s="893">
        <v>0</v>
      </c>
      <c r="AD66" s="893">
        <v>0</v>
      </c>
      <c r="AE66" s="893">
        <v>0</v>
      </c>
      <c r="AF66" s="1026"/>
      <c r="AH66" s="221" t="s">
        <v>4892</v>
      </c>
      <c r="AI66" s="221">
        <v>-1</v>
      </c>
      <c r="AJ66" s="221">
        <v>-1</v>
      </c>
      <c r="BO66" s="39" t="s">
        <v>512</v>
      </c>
      <c r="BP66" s="39" t="s">
        <v>385</v>
      </c>
      <c r="BQ66" s="602">
        <v>2</v>
      </c>
      <c r="BR66" s="121">
        <v>4</v>
      </c>
      <c r="BS66" s="121">
        <v>1</v>
      </c>
      <c r="BT66" s="121" t="s">
        <v>181</v>
      </c>
      <c r="BU66" s="117">
        <v>2</v>
      </c>
      <c r="BV66" s="117">
        <v>2</v>
      </c>
      <c r="BW66" s="117">
        <v>4</v>
      </c>
      <c r="BX66" s="117">
        <v>1</v>
      </c>
      <c r="BY66" s="118" t="s">
        <v>95</v>
      </c>
      <c r="BZ66" s="118" t="s">
        <v>358</v>
      </c>
      <c r="CA66" s="117">
        <f>HLOOKUP(Věci!$C$2,Věci!$A$2:$C$529,MATCH(BO66,Věci!$A$2:$A$529,0),FALSE)</f>
        <v>0.6</v>
      </c>
      <c r="CB66" t="s">
        <v>1914</v>
      </c>
    </row>
    <row r="67" spans="24:80" ht="15" customHeight="1" x14ac:dyDescent="0.3">
      <c r="AH67" s="221" t="s">
        <v>83</v>
      </c>
      <c r="AI67" s="221">
        <v>0</v>
      </c>
      <c r="AJ67" s="221">
        <v>-1</v>
      </c>
      <c r="BO67" s="118" t="s">
        <v>510</v>
      </c>
      <c r="BP67" s="39" t="s">
        <v>387</v>
      </c>
      <c r="BQ67" s="117">
        <v>-1</v>
      </c>
      <c r="BR67" s="121">
        <v>8</v>
      </c>
      <c r="BS67" s="121">
        <v>5</v>
      </c>
      <c r="BT67" s="121" t="s">
        <v>181</v>
      </c>
      <c r="BU67" s="117">
        <v>8</v>
      </c>
      <c r="BV67" s="117">
        <v>4</v>
      </c>
      <c r="BW67" s="117">
        <v>18</v>
      </c>
      <c r="BX67" s="117">
        <v>2</v>
      </c>
      <c r="BY67" s="118" t="s">
        <v>183</v>
      </c>
      <c r="BZ67" s="118" t="s">
        <v>361</v>
      </c>
      <c r="CA67" s="117">
        <f>HLOOKUP(Věci!$C$2,Věci!$A$2:$C$529,MATCH(BO67,Věci!$A$2:$A$529,0),FALSE)</f>
        <v>6</v>
      </c>
      <c r="CB67" t="s">
        <v>1914</v>
      </c>
    </row>
    <row r="68" spans="24:80" ht="15" customHeight="1" x14ac:dyDescent="0.3">
      <c r="AH68" s="221" t="s">
        <v>84</v>
      </c>
      <c r="AI68" s="221">
        <v>0</v>
      </c>
      <c r="AJ68" s="221">
        <v>0</v>
      </c>
      <c r="BO68" s="39" t="s">
        <v>511</v>
      </c>
      <c r="BP68" s="39" t="s">
        <v>385</v>
      </c>
      <c r="BQ68" s="117">
        <v>0</v>
      </c>
      <c r="BR68" s="121">
        <v>5</v>
      </c>
      <c r="BS68" s="121">
        <v>2</v>
      </c>
      <c r="BT68" s="121" t="s">
        <v>181</v>
      </c>
      <c r="BU68" s="117">
        <v>4</v>
      </c>
      <c r="BV68" s="117">
        <v>3</v>
      </c>
      <c r="BW68" s="117">
        <v>10</v>
      </c>
      <c r="BX68" s="117">
        <v>1</v>
      </c>
      <c r="BY68" s="118" t="s">
        <v>183</v>
      </c>
      <c r="BZ68" s="118" t="s">
        <v>358</v>
      </c>
      <c r="CA68" s="117">
        <f>HLOOKUP(Věci!$C$2,Věci!$A$2:$C$529,MATCH(BO68,Věci!$A$2:$A$529,0),FALSE)</f>
        <v>1.5</v>
      </c>
      <c r="CB68" t="s">
        <v>1914</v>
      </c>
    </row>
    <row r="69" spans="24:80" ht="15" customHeight="1" x14ac:dyDescent="0.3">
      <c r="AH69" s="222" t="s">
        <v>85</v>
      </c>
      <c r="AI69" s="235">
        <v>1</v>
      </c>
      <c r="AJ69" s="235">
        <v>1</v>
      </c>
      <c r="BO69" s="39" t="s">
        <v>1147</v>
      </c>
      <c r="BP69" s="39" t="s">
        <v>385</v>
      </c>
      <c r="BQ69" s="117">
        <v>0</v>
      </c>
      <c r="BR69" s="121">
        <v>7</v>
      </c>
      <c r="BS69" s="121">
        <v>4</v>
      </c>
      <c r="BT69" s="121" t="s">
        <v>181</v>
      </c>
      <c r="BU69" s="117">
        <v>5</v>
      </c>
      <c r="BV69" s="117">
        <v>3</v>
      </c>
      <c r="BW69" s="602">
        <v>11</v>
      </c>
      <c r="BX69" s="117">
        <v>2</v>
      </c>
      <c r="BY69" s="118" t="s">
        <v>183</v>
      </c>
      <c r="BZ69" s="118" t="s">
        <v>1148</v>
      </c>
      <c r="CA69" s="117">
        <f>HLOOKUP(Věci!$C$2,Věci!$A$2:$C$529,MATCH(BO69,Věci!$A$2:$A$529,0),FALSE)</f>
        <v>0.5</v>
      </c>
      <c r="CB69" t="s">
        <v>1914</v>
      </c>
    </row>
    <row r="70" spans="24:80" ht="15" customHeight="1" x14ac:dyDescent="0.3">
      <c r="AH70" s="222" t="s">
        <v>86</v>
      </c>
      <c r="AI70" s="235">
        <v>1</v>
      </c>
      <c r="AJ70" s="235">
        <v>2</v>
      </c>
      <c r="BO70" s="39" t="s">
        <v>383</v>
      </c>
      <c r="BP70" s="39" t="s">
        <v>390</v>
      </c>
      <c r="BQ70" s="602">
        <v>1</v>
      </c>
      <c r="BR70" s="121">
        <v>2</v>
      </c>
      <c r="BS70" s="121">
        <v>0</v>
      </c>
      <c r="BT70" s="121">
        <v>3</v>
      </c>
      <c r="BU70" s="117">
        <v>3</v>
      </c>
      <c r="BV70" s="117">
        <v>1</v>
      </c>
      <c r="BW70" s="117">
        <v>5</v>
      </c>
      <c r="BX70" s="117">
        <v>12</v>
      </c>
      <c r="BY70" s="118" t="s">
        <v>95</v>
      </c>
      <c r="BZ70" s="118" t="s">
        <v>358</v>
      </c>
      <c r="CA70" s="117">
        <f>HLOOKUP(Věci!$C$2,Věci!$A$2:$C$529,MATCH(BO70,Věci!$A$2:$A$529,0),FALSE)</f>
        <v>0.7</v>
      </c>
      <c r="CB70" t="s">
        <v>2477</v>
      </c>
    </row>
    <row r="71" spans="24:80" ht="15" customHeight="1" x14ac:dyDescent="0.3">
      <c r="X71" s="114" t="s">
        <v>348</v>
      </c>
      <c r="Z71" s="476" t="s">
        <v>2473</v>
      </c>
      <c r="AH71" s="222" t="s">
        <v>158</v>
      </c>
      <c r="AI71" s="235">
        <v>2</v>
      </c>
      <c r="AJ71" s="235">
        <v>3</v>
      </c>
      <c r="BO71" s="39" t="s">
        <v>359</v>
      </c>
      <c r="BP71" s="39" t="s">
        <v>277</v>
      </c>
      <c r="BQ71" s="117">
        <v>0</v>
      </c>
      <c r="BR71" s="121">
        <v>1</v>
      </c>
      <c r="BS71" s="121" t="s">
        <v>181</v>
      </c>
      <c r="BT71" s="121" t="s">
        <v>181</v>
      </c>
      <c r="BU71" s="117">
        <v>0</v>
      </c>
      <c r="BV71" s="263">
        <v>-1</v>
      </c>
      <c r="BW71" s="117">
        <v>0</v>
      </c>
      <c r="BX71" s="117">
        <v>1</v>
      </c>
      <c r="BY71" s="118" t="s">
        <v>97</v>
      </c>
      <c r="BZ71" s="118" t="s">
        <v>199</v>
      </c>
      <c r="CA71" s="263">
        <v>0</v>
      </c>
      <c r="CB71" s="606" t="s">
        <v>5424</v>
      </c>
    </row>
    <row r="72" spans="24:80" ht="15" customHeight="1" x14ac:dyDescent="0.3">
      <c r="X72" s="115" t="s">
        <v>19</v>
      </c>
      <c r="Z72" s="8" t="s">
        <v>2479</v>
      </c>
      <c r="AC72" s="475" t="s">
        <v>2474</v>
      </c>
      <c r="AH72" s="223" t="s">
        <v>194</v>
      </c>
      <c r="AI72" s="236">
        <v>2</v>
      </c>
      <c r="AJ72" s="236">
        <v>4</v>
      </c>
      <c r="BO72" s="39" t="s">
        <v>973</v>
      </c>
      <c r="BP72" s="39" t="s">
        <v>387</v>
      </c>
      <c r="BQ72" s="117">
        <v>0</v>
      </c>
      <c r="BR72" s="121">
        <v>2</v>
      </c>
      <c r="BS72" s="121">
        <v>0</v>
      </c>
      <c r="BT72" s="121" t="s">
        <v>181</v>
      </c>
      <c r="BU72" s="117">
        <v>3</v>
      </c>
      <c r="BV72" s="117">
        <v>2</v>
      </c>
      <c r="BW72" s="602">
        <v>5</v>
      </c>
      <c r="BX72" s="117">
        <v>1</v>
      </c>
      <c r="BY72" s="118" t="s">
        <v>97</v>
      </c>
      <c r="BZ72" s="118" t="s">
        <v>358</v>
      </c>
      <c r="CA72" s="263">
        <v>0.8</v>
      </c>
      <c r="CB72" t="s">
        <v>2476</v>
      </c>
    </row>
    <row r="73" spans="24:80" ht="15" customHeight="1" x14ac:dyDescent="0.3">
      <c r="X73" s="115" t="s">
        <v>391</v>
      </c>
      <c r="Z73" s="8" t="s">
        <v>2477</v>
      </c>
      <c r="AC73" s="475" t="s">
        <v>2475</v>
      </c>
      <c r="BO73" s="39" t="s">
        <v>363</v>
      </c>
      <c r="BP73" s="39" t="s">
        <v>385</v>
      </c>
      <c r="BQ73" s="602">
        <v>2</v>
      </c>
      <c r="BR73" s="121">
        <v>1</v>
      </c>
      <c r="BS73" s="121">
        <v>1</v>
      </c>
      <c r="BT73" s="121" t="s">
        <v>181</v>
      </c>
      <c r="BU73" s="117">
        <v>1</v>
      </c>
      <c r="BV73" s="117">
        <v>0</v>
      </c>
      <c r="BW73" s="117">
        <v>1</v>
      </c>
      <c r="BX73" s="117">
        <v>0</v>
      </c>
      <c r="BY73" s="118" t="s">
        <v>95</v>
      </c>
      <c r="BZ73" s="118" t="s">
        <v>358</v>
      </c>
      <c r="CA73" s="117">
        <f>HLOOKUP(Věci!$C$2,Věci!$A$2:$C$529,MATCH(BO73,Věci!$A$2:$A$529,0),FALSE)</f>
        <v>0.1</v>
      </c>
      <c r="CB73" t="s">
        <v>5425</v>
      </c>
    </row>
    <row r="74" spans="24:80" ht="15" customHeight="1" x14ac:dyDescent="0.3">
      <c r="X74" s="115" t="s">
        <v>351</v>
      </c>
      <c r="Z74" s="8" t="s">
        <v>2478</v>
      </c>
      <c r="AC74" s="475" t="s">
        <v>2476</v>
      </c>
      <c r="AH74" s="383" t="s">
        <v>1362</v>
      </c>
      <c r="AI74" s="383"/>
      <c r="AJ74" s="383"/>
      <c r="BO74" s="39" t="s">
        <v>970</v>
      </c>
      <c r="BP74" s="39" t="s">
        <v>385</v>
      </c>
      <c r="BQ74" s="602">
        <v>2</v>
      </c>
      <c r="BR74" s="121">
        <v>2</v>
      </c>
      <c r="BS74" s="121">
        <v>0</v>
      </c>
      <c r="BT74" s="121" t="s">
        <v>181</v>
      </c>
      <c r="BU74" s="117">
        <v>2</v>
      </c>
      <c r="BV74" s="117">
        <v>3</v>
      </c>
      <c r="BW74" s="117">
        <v>2</v>
      </c>
      <c r="BX74" s="117">
        <v>1</v>
      </c>
      <c r="BY74" s="118" t="s">
        <v>95</v>
      </c>
      <c r="BZ74" s="118" t="s">
        <v>358</v>
      </c>
      <c r="CA74" s="117">
        <v>0.2</v>
      </c>
      <c r="CB74" t="s">
        <v>5425</v>
      </c>
    </row>
    <row r="75" spans="24:80" ht="15" customHeight="1" x14ac:dyDescent="0.3">
      <c r="X75" s="115" t="s">
        <v>4272</v>
      </c>
      <c r="AH75" s="417" t="s">
        <v>1366</v>
      </c>
      <c r="AI75" s="417" t="s">
        <v>1367</v>
      </c>
      <c r="AJ75" s="417" t="s">
        <v>1368</v>
      </c>
      <c r="BO75" s="39" t="s">
        <v>375</v>
      </c>
      <c r="BP75" s="39" t="s">
        <v>385</v>
      </c>
      <c r="BQ75" s="117">
        <v>0</v>
      </c>
      <c r="BR75" s="121">
        <v>3</v>
      </c>
      <c r="BS75" s="121">
        <v>0</v>
      </c>
      <c r="BT75" s="121" t="s">
        <v>181</v>
      </c>
      <c r="BU75" s="117">
        <v>1</v>
      </c>
      <c r="BV75" s="117">
        <v>1</v>
      </c>
      <c r="BW75" s="117">
        <v>3</v>
      </c>
      <c r="BX75" s="117">
        <v>1</v>
      </c>
      <c r="BY75" s="118" t="s">
        <v>97</v>
      </c>
      <c r="BZ75" s="118" t="s">
        <v>358</v>
      </c>
      <c r="CA75" s="117">
        <f>HLOOKUP(Věci!$C$2,Věci!$A$2:$C$529,MATCH(BO75,Věci!$A$2:$A$529,0),FALSE)</f>
        <v>0.4</v>
      </c>
      <c r="CB75" t="s">
        <v>2476</v>
      </c>
    </row>
    <row r="76" spans="24:80" ht="15" customHeight="1" x14ac:dyDescent="0.3">
      <c r="X76" s="115" t="s">
        <v>4273</v>
      </c>
      <c r="AH76" s="418" t="s">
        <v>1599</v>
      </c>
      <c r="AI76" s="419" t="s">
        <v>1369</v>
      </c>
      <c r="AJ76" s="419" t="s">
        <v>62</v>
      </c>
      <c r="BO76" s="118" t="s">
        <v>382</v>
      </c>
      <c r="BP76" s="39" t="s">
        <v>388</v>
      </c>
      <c r="BQ76" s="117">
        <v>0</v>
      </c>
      <c r="BR76" s="121">
        <v>4</v>
      </c>
      <c r="BS76" s="121">
        <v>4</v>
      </c>
      <c r="BT76" s="121" t="s">
        <v>181</v>
      </c>
      <c r="BU76" s="117">
        <v>3</v>
      </c>
      <c r="BV76" s="117">
        <v>2</v>
      </c>
      <c r="BW76" s="117">
        <v>9</v>
      </c>
      <c r="BX76" s="117">
        <v>20</v>
      </c>
      <c r="BY76" s="118" t="s">
        <v>95</v>
      </c>
      <c r="BZ76" s="118" t="s">
        <v>358</v>
      </c>
      <c r="CA76" s="117">
        <f>HLOOKUP(Věci!$C$2,Věci!$A$2:$C$529,MATCH(BO76,Věci!$A$2:$A$529,0),FALSE)</f>
        <v>3</v>
      </c>
      <c r="CB76" t="s">
        <v>2478</v>
      </c>
    </row>
    <row r="77" spans="24:80" ht="15" customHeight="1" x14ac:dyDescent="0.3">
      <c r="X77" s="115" t="s">
        <v>392</v>
      </c>
      <c r="AH77" s="418" t="s">
        <v>1600</v>
      </c>
      <c r="AI77" s="419" t="s">
        <v>1370</v>
      </c>
      <c r="AJ77" s="419" t="s">
        <v>63</v>
      </c>
      <c r="BO77" s="39" t="s">
        <v>380</v>
      </c>
      <c r="BP77" s="39" t="s">
        <v>385</v>
      </c>
      <c r="BQ77" s="602">
        <v>-1</v>
      </c>
      <c r="BR77" s="121">
        <v>3</v>
      </c>
      <c r="BS77" s="121">
        <v>0</v>
      </c>
      <c r="BT77" s="121" t="s">
        <v>181</v>
      </c>
      <c r="BU77" s="117">
        <v>4</v>
      </c>
      <c r="BV77" s="117">
        <v>3</v>
      </c>
      <c r="BW77" s="117">
        <v>11</v>
      </c>
      <c r="BX77" s="117">
        <v>1</v>
      </c>
      <c r="BY77" s="118" t="s">
        <v>97</v>
      </c>
      <c r="BZ77" s="118" t="s">
        <v>358</v>
      </c>
      <c r="CA77" s="117">
        <f>HLOOKUP(Věci!$C$2,Věci!$A$2:$C$529,MATCH(BO77,Věci!$A$2:$A$529,0),FALSE)</f>
        <v>2.8</v>
      </c>
      <c r="CB77" t="s">
        <v>2476</v>
      </c>
    </row>
    <row r="78" spans="24:80" ht="15" customHeight="1" x14ac:dyDescent="0.3">
      <c r="X78" s="115" t="s">
        <v>349</v>
      </c>
      <c r="AH78" s="418" t="s">
        <v>1601</v>
      </c>
      <c r="AI78" s="419" t="s">
        <v>1371</v>
      </c>
      <c r="AJ78" s="419" t="s">
        <v>64</v>
      </c>
      <c r="BO78" s="39" t="s">
        <v>976</v>
      </c>
      <c r="BP78" s="39" t="s">
        <v>387</v>
      </c>
      <c r="BQ78" s="602">
        <v>-2</v>
      </c>
      <c r="BR78" s="121">
        <v>3</v>
      </c>
      <c r="BS78" s="121">
        <v>0</v>
      </c>
      <c r="BT78" s="121" t="s">
        <v>181</v>
      </c>
      <c r="BU78" s="117">
        <v>5</v>
      </c>
      <c r="BV78" s="117">
        <v>1</v>
      </c>
      <c r="BW78" s="117">
        <v>15</v>
      </c>
      <c r="BX78" s="117">
        <v>1</v>
      </c>
      <c r="BY78" s="118" t="s">
        <v>97</v>
      </c>
      <c r="BZ78" s="118" t="s">
        <v>358</v>
      </c>
      <c r="CA78" s="117">
        <f>HLOOKUP(Věci!$C$2,Věci!$A$2:$C$529,MATCH(BO78,Věci!$A$2:$A$529,0),FALSE)</f>
        <v>5</v>
      </c>
      <c r="CB78" t="s">
        <v>2476</v>
      </c>
    </row>
    <row r="79" spans="24:80" ht="15" customHeight="1" x14ac:dyDescent="0.3">
      <c r="X79" s="115" t="s">
        <v>4274</v>
      </c>
      <c r="AH79" s="418" t="s">
        <v>1372</v>
      </c>
      <c r="AI79" s="419" t="s">
        <v>1373</v>
      </c>
      <c r="AJ79" s="419" t="s">
        <v>65</v>
      </c>
      <c r="BO79" s="118" t="s">
        <v>384</v>
      </c>
      <c r="BP79" s="39" t="s">
        <v>389</v>
      </c>
      <c r="BQ79" s="602">
        <v>-2</v>
      </c>
      <c r="BR79" s="121">
        <v>0</v>
      </c>
      <c r="BS79" s="121">
        <v>0</v>
      </c>
      <c r="BT79" s="121" t="s">
        <v>181</v>
      </c>
      <c r="BU79" s="117">
        <v>0</v>
      </c>
      <c r="BV79" s="117">
        <v>9</v>
      </c>
      <c r="BW79" s="602">
        <v>16</v>
      </c>
      <c r="BX79" s="117">
        <v>0</v>
      </c>
      <c r="BY79" s="118" t="s">
        <v>97</v>
      </c>
      <c r="BZ79" s="118" t="s">
        <v>96</v>
      </c>
      <c r="CA79" s="117">
        <f>HLOOKUP(Věci!$C$2,Věci!$A$2:$C$529,MATCH(BO79,Věci!$A$2:$A$529,0),FALSE)</f>
        <v>10</v>
      </c>
      <c r="CB79" t="s">
        <v>2480</v>
      </c>
    </row>
    <row r="80" spans="24:80" ht="15" customHeight="1" x14ac:dyDescent="0.3">
      <c r="AH80" s="418" t="s">
        <v>1374</v>
      </c>
      <c r="AI80" s="419" t="s">
        <v>1375</v>
      </c>
      <c r="AJ80" s="419" t="s">
        <v>66</v>
      </c>
      <c r="BO80" s="118" t="s">
        <v>362</v>
      </c>
      <c r="BP80" s="39" t="s">
        <v>387</v>
      </c>
      <c r="BQ80" s="602">
        <v>1</v>
      </c>
      <c r="BR80" s="121">
        <v>5</v>
      </c>
      <c r="BS80" s="121">
        <v>2</v>
      </c>
      <c r="BT80" s="121" t="s">
        <v>181</v>
      </c>
      <c r="BU80" s="602">
        <v>5</v>
      </c>
      <c r="BV80" s="117">
        <v>3</v>
      </c>
      <c r="BW80" s="602">
        <v>13</v>
      </c>
      <c r="BX80" s="117">
        <v>2</v>
      </c>
      <c r="BY80" s="118" t="s">
        <v>95</v>
      </c>
      <c r="BZ80" s="118" t="s">
        <v>1148</v>
      </c>
      <c r="CA80" s="117">
        <f>HLOOKUP(Věci!$C$2,Věci!$A$2:$C$529,MATCH(BO80,Věci!$A$2:$A$529,0),FALSE)</f>
        <v>4</v>
      </c>
      <c r="CB80" t="s">
        <v>5426</v>
      </c>
    </row>
    <row r="81" spans="24:80" ht="15" customHeight="1" x14ac:dyDescent="0.3">
      <c r="AH81" s="418" t="s">
        <v>1376</v>
      </c>
      <c r="AI81" s="419" t="s">
        <v>1377</v>
      </c>
      <c r="AJ81" s="419" t="s">
        <v>66</v>
      </c>
      <c r="BO81" s="118" t="s">
        <v>346</v>
      </c>
      <c r="BP81" s="39" t="s">
        <v>385</v>
      </c>
      <c r="BQ81" s="602">
        <v>1</v>
      </c>
      <c r="BR81" s="121">
        <v>0</v>
      </c>
      <c r="BS81" s="121">
        <v>0</v>
      </c>
      <c r="BT81" s="121" t="s">
        <v>181</v>
      </c>
      <c r="BU81" s="117">
        <v>0</v>
      </c>
      <c r="BV81" s="117">
        <v>1</v>
      </c>
      <c r="BW81" s="263">
        <v>1</v>
      </c>
      <c r="BX81" s="117">
        <v>0</v>
      </c>
      <c r="BY81" s="118" t="s">
        <v>181</v>
      </c>
      <c r="BZ81" s="118" t="s">
        <v>1148</v>
      </c>
      <c r="CA81" s="117">
        <v>0</v>
      </c>
      <c r="CB81" t="s">
        <v>2480</v>
      </c>
    </row>
    <row r="82" spans="24:80" x14ac:dyDescent="0.3">
      <c r="X82" s="58" t="s">
        <v>1912</v>
      </c>
      <c r="BO82" s="118" t="s">
        <v>450</v>
      </c>
      <c r="BP82" s="39" t="s">
        <v>385</v>
      </c>
      <c r="BQ82" s="602">
        <v>2</v>
      </c>
      <c r="BR82" s="121">
        <v>3</v>
      </c>
      <c r="BS82" s="121">
        <v>0</v>
      </c>
      <c r="BT82" s="121" t="s">
        <v>181</v>
      </c>
      <c r="BU82" s="117">
        <v>-1</v>
      </c>
      <c r="BV82" s="117">
        <v>1</v>
      </c>
      <c r="BW82" s="602">
        <v>3</v>
      </c>
      <c r="BX82" s="117">
        <v>1</v>
      </c>
      <c r="BY82" s="118" t="s">
        <v>95</v>
      </c>
      <c r="BZ82" s="118" t="s">
        <v>358</v>
      </c>
      <c r="CA82" s="117">
        <f>HLOOKUP(Věci!$C$2,Věci!$A$2:$C$529,MATCH(BO82,Věci!$A$2:$A$529,0),FALSE)</f>
        <v>0.5</v>
      </c>
      <c r="CB82" t="s">
        <v>5426</v>
      </c>
    </row>
    <row r="83" spans="24:80" x14ac:dyDescent="0.3">
      <c r="X83" s="115" t="s">
        <v>4598</v>
      </c>
      <c r="AH83" t="s">
        <v>714</v>
      </c>
      <c r="BO83" s="118" t="s">
        <v>378</v>
      </c>
      <c r="BP83" s="39" t="s">
        <v>388</v>
      </c>
      <c r="BQ83" s="117">
        <v>0</v>
      </c>
      <c r="BR83" s="121">
        <v>0</v>
      </c>
      <c r="BS83" s="121">
        <v>2</v>
      </c>
      <c r="BT83" s="121" t="s">
        <v>181</v>
      </c>
      <c r="BU83" s="117">
        <v>1</v>
      </c>
      <c r="BV83" s="117">
        <v>0</v>
      </c>
      <c r="BW83" s="602">
        <v>3</v>
      </c>
      <c r="BX83" s="117">
        <v>18</v>
      </c>
      <c r="BY83" s="118" t="s">
        <v>97</v>
      </c>
      <c r="BZ83" s="118" t="s">
        <v>358</v>
      </c>
      <c r="CA83" s="117">
        <f>HLOOKUP(Věci!$C$2,Věci!$A$2:$C$529,MATCH(BO83,Věci!$A$2:$A$529,0),FALSE)</f>
        <v>0.2</v>
      </c>
      <c r="CB83" t="s">
        <v>2478</v>
      </c>
    </row>
    <row r="84" spans="24:80" x14ac:dyDescent="0.3">
      <c r="X84" s="115" t="s">
        <v>4599</v>
      </c>
      <c r="AH84" s="161" t="s">
        <v>2</v>
      </c>
      <c r="AI84" s="161" t="s">
        <v>305</v>
      </c>
      <c r="BO84" s="574" t="str">
        <f>HLOOKUP(Rasy!$Z$3,Rasy!$B$3:$AN$125,MATCH(Rasa,Rasy!$B$3:$B$125,0),FALSE)</f>
        <v>Ruka</v>
      </c>
      <c r="BP84" s="39" t="s">
        <v>385</v>
      </c>
      <c r="BQ84" s="117">
        <v>1</v>
      </c>
      <c r="BR84" s="575">
        <f>HLOOKUP(Rasy!$AA$3,Rasy!$B$3:$AN$125,MATCH(Rasa,Rasy!$B$3:$B$125,0),FALSE)</f>
        <v>1</v>
      </c>
      <c r="BS84" s="121" t="s">
        <v>181</v>
      </c>
      <c r="BT84" s="121" t="s">
        <v>181</v>
      </c>
      <c r="BU84" s="575">
        <f>HLOOKUP(Rasy!$AB$3,Rasy!$B$3:$AN$125,MATCH(Rasa,Rasy!$B$3:$B$125,0),FALSE)</f>
        <v>-1</v>
      </c>
      <c r="BV84" s="602">
        <v>1</v>
      </c>
      <c r="BW84" s="117">
        <v>0</v>
      </c>
      <c r="BX84" s="117">
        <v>1</v>
      </c>
      <c r="BY84" s="118" t="s">
        <v>97</v>
      </c>
      <c r="BZ84" s="118" t="s">
        <v>199</v>
      </c>
      <c r="CA84" s="263">
        <v>0</v>
      </c>
      <c r="CB84" s="606" t="s">
        <v>5424</v>
      </c>
    </row>
    <row r="85" spans="24:80" x14ac:dyDescent="0.3">
      <c r="X85" s="115" t="s">
        <v>4600</v>
      </c>
      <c r="AH85" s="220" t="s">
        <v>115</v>
      </c>
      <c r="AI85" s="234">
        <v>0</v>
      </c>
      <c r="BO85" s="39" t="s">
        <v>2994</v>
      </c>
      <c r="BP85" s="39" t="s">
        <v>387</v>
      </c>
      <c r="BQ85" s="602">
        <v>1</v>
      </c>
      <c r="BR85" s="121">
        <v>2</v>
      </c>
      <c r="BS85" s="121" t="s">
        <v>181</v>
      </c>
      <c r="BT85" s="121" t="s">
        <v>181</v>
      </c>
      <c r="BU85" s="117">
        <v>2</v>
      </c>
      <c r="BV85" s="602">
        <v>1</v>
      </c>
      <c r="BW85" s="117">
        <v>2</v>
      </c>
      <c r="BX85" s="117">
        <v>1</v>
      </c>
      <c r="BY85" s="118" t="s">
        <v>183</v>
      </c>
      <c r="BZ85" s="118" t="s">
        <v>358</v>
      </c>
      <c r="CA85" s="263">
        <v>0.3</v>
      </c>
      <c r="CB85" s="606" t="s">
        <v>5424</v>
      </c>
    </row>
    <row r="86" spans="24:80" x14ac:dyDescent="0.3">
      <c r="AH86" s="221" t="s">
        <v>4892</v>
      </c>
      <c r="AI86" s="221">
        <v>0.5</v>
      </c>
      <c r="BO86" s="39" t="s">
        <v>516</v>
      </c>
      <c r="BP86" s="39" t="s">
        <v>385</v>
      </c>
      <c r="BQ86" s="602">
        <v>0</v>
      </c>
      <c r="BR86" s="121">
        <v>1</v>
      </c>
      <c r="BS86" s="121" t="s">
        <v>181</v>
      </c>
      <c r="BT86" s="121" t="s">
        <v>181</v>
      </c>
      <c r="BU86" s="117">
        <v>0</v>
      </c>
      <c r="BV86" s="602">
        <v>1</v>
      </c>
      <c r="BW86" s="602">
        <v>13</v>
      </c>
      <c r="BX86" s="117">
        <v>1</v>
      </c>
      <c r="BY86" s="118" t="s">
        <v>97</v>
      </c>
      <c r="BZ86" s="118" t="s">
        <v>199</v>
      </c>
      <c r="CA86" s="1120">
        <v>0</v>
      </c>
      <c r="CB86" s="606" t="s">
        <v>5424</v>
      </c>
    </row>
    <row r="87" spans="24:80" x14ac:dyDescent="0.3">
      <c r="AH87" s="221" t="s">
        <v>83</v>
      </c>
      <c r="AI87" s="221">
        <v>1</v>
      </c>
      <c r="BO87" s="39" t="s">
        <v>3781</v>
      </c>
      <c r="BP87" s="39" t="s">
        <v>385</v>
      </c>
      <c r="BQ87" s="117">
        <v>-1</v>
      </c>
      <c r="BR87" s="121">
        <v>4</v>
      </c>
      <c r="BS87" s="121">
        <v>1</v>
      </c>
      <c r="BT87" s="121" t="s">
        <v>181</v>
      </c>
      <c r="BU87" s="117">
        <v>6</v>
      </c>
      <c r="BV87" s="117">
        <v>1</v>
      </c>
      <c r="BW87" s="117">
        <v>14</v>
      </c>
      <c r="BX87" s="117">
        <v>2</v>
      </c>
      <c r="BY87" s="118" t="s">
        <v>97</v>
      </c>
      <c r="BZ87" s="118" t="s">
        <v>358</v>
      </c>
      <c r="CA87" s="117">
        <f>HLOOKUP(Věci!$C$2,Věci!$A$2:$C$529,MATCH(BO87,Věci!$A$2:$A$529,0),FALSE)</f>
        <v>5</v>
      </c>
      <c r="CB87" t="s">
        <v>2476</v>
      </c>
    </row>
    <row r="88" spans="24:80" x14ac:dyDescent="0.3">
      <c r="AH88" s="221" t="s">
        <v>84</v>
      </c>
      <c r="AI88" s="221">
        <v>2</v>
      </c>
      <c r="BO88" s="118" t="s">
        <v>3782</v>
      </c>
      <c r="BP88" s="39" t="s">
        <v>387</v>
      </c>
      <c r="BQ88" s="117">
        <v>-2</v>
      </c>
      <c r="BR88" s="121">
        <v>5</v>
      </c>
      <c r="BS88" s="121">
        <v>2</v>
      </c>
      <c r="BT88" s="121" t="s">
        <v>181</v>
      </c>
      <c r="BU88" s="117">
        <v>12</v>
      </c>
      <c r="BV88" s="117">
        <v>3</v>
      </c>
      <c r="BW88" s="117">
        <v>21</v>
      </c>
      <c r="BX88" s="117">
        <v>2</v>
      </c>
      <c r="BY88" s="118" t="s">
        <v>97</v>
      </c>
      <c r="BZ88" s="118" t="s">
        <v>96</v>
      </c>
      <c r="CA88" s="117">
        <f>HLOOKUP(Věci!$C$2,Věci!$A$2:$C$529,MATCH(BO88,Věci!$A$2:$A$529,0),FALSE)</f>
        <v>16</v>
      </c>
      <c r="CB88" t="s">
        <v>2476</v>
      </c>
    </row>
    <row r="89" spans="24:80" x14ac:dyDescent="0.3">
      <c r="AH89" s="222" t="s">
        <v>85</v>
      </c>
      <c r="AI89" s="235">
        <v>3</v>
      </c>
      <c r="BO89" s="39" t="s">
        <v>379</v>
      </c>
      <c r="BP89" s="39" t="s">
        <v>385</v>
      </c>
      <c r="BQ89" s="602">
        <v>1</v>
      </c>
      <c r="BR89" s="121">
        <v>3</v>
      </c>
      <c r="BS89" s="121">
        <v>0</v>
      </c>
      <c r="BT89" s="121" t="s">
        <v>181</v>
      </c>
      <c r="BU89" s="117">
        <v>3</v>
      </c>
      <c r="BV89" s="117">
        <v>2</v>
      </c>
      <c r="BW89" s="602">
        <v>7</v>
      </c>
      <c r="BX89" s="117">
        <v>1</v>
      </c>
      <c r="BY89" s="118" t="s">
        <v>975</v>
      </c>
      <c r="BZ89" s="118" t="s">
        <v>358</v>
      </c>
      <c r="CA89" s="117">
        <f>HLOOKUP(Věci!$C$2,Věci!$A$2:$C$529,MATCH(BO89,Věci!$A$2:$A$529,0),FALSE)</f>
        <v>1.5</v>
      </c>
      <c r="CB89" t="s">
        <v>2476</v>
      </c>
    </row>
    <row r="90" spans="24:80" x14ac:dyDescent="0.3">
      <c r="AH90" s="222" t="s">
        <v>86</v>
      </c>
      <c r="AI90" s="235">
        <v>5</v>
      </c>
      <c r="BO90" s="39" t="s">
        <v>977</v>
      </c>
      <c r="BP90" s="39" t="s">
        <v>385</v>
      </c>
      <c r="BQ90" s="602">
        <v>0</v>
      </c>
      <c r="BR90" s="121">
        <v>4</v>
      </c>
      <c r="BS90" s="121">
        <v>1</v>
      </c>
      <c r="BT90" s="121" t="s">
        <v>181</v>
      </c>
      <c r="BU90" s="117">
        <v>4</v>
      </c>
      <c r="BV90" s="117">
        <v>2</v>
      </c>
      <c r="BW90" s="117">
        <v>13</v>
      </c>
      <c r="BX90" s="117">
        <v>1</v>
      </c>
      <c r="BY90" s="118" t="s">
        <v>975</v>
      </c>
      <c r="BZ90" s="118" t="s">
        <v>358</v>
      </c>
      <c r="CA90" s="117">
        <f>HLOOKUP(Věci!$C$2,Věci!$A$2:$C$529,MATCH(BO90,Věci!$A$2:$A$529,0),FALSE)</f>
        <v>3</v>
      </c>
      <c r="CB90" t="s">
        <v>2476</v>
      </c>
    </row>
    <row r="91" spans="24:80" x14ac:dyDescent="0.3">
      <c r="AH91" s="222" t="s">
        <v>158</v>
      </c>
      <c r="AI91" s="235">
        <v>8</v>
      </c>
      <c r="BO91" s="118" t="s">
        <v>499</v>
      </c>
      <c r="BP91" s="39" t="s">
        <v>387</v>
      </c>
      <c r="BQ91" s="117">
        <v>-1</v>
      </c>
      <c r="BR91" s="121">
        <v>4</v>
      </c>
      <c r="BS91" s="121">
        <v>1</v>
      </c>
      <c r="BT91" s="121" t="s">
        <v>181</v>
      </c>
      <c r="BU91" s="117">
        <v>6</v>
      </c>
      <c r="BV91" s="117">
        <v>4</v>
      </c>
      <c r="BW91" s="117">
        <v>17</v>
      </c>
      <c r="BX91" s="117">
        <v>1</v>
      </c>
      <c r="BY91" s="118" t="s">
        <v>183</v>
      </c>
      <c r="BZ91" s="118" t="s">
        <v>358</v>
      </c>
      <c r="CA91" s="117">
        <f>HLOOKUP(Věci!$C$2,Věci!$A$2:$C$529,MATCH(BO91,Věci!$A$2:$A$529,0),FALSE)</f>
        <v>7.5</v>
      </c>
      <c r="CB91" t="s">
        <v>2476</v>
      </c>
    </row>
    <row r="92" spans="24:80" x14ac:dyDescent="0.3">
      <c r="AH92" s="223" t="s">
        <v>194</v>
      </c>
      <c r="AI92" s="236">
        <v>12</v>
      </c>
      <c r="BO92" s="118" t="s">
        <v>502</v>
      </c>
      <c r="BP92" s="39" t="s">
        <v>388</v>
      </c>
      <c r="BQ92" s="117">
        <v>0</v>
      </c>
      <c r="BR92" s="121">
        <v>2</v>
      </c>
      <c r="BS92" s="121">
        <v>3</v>
      </c>
      <c r="BT92" s="121" t="s">
        <v>181</v>
      </c>
      <c r="BU92" s="117">
        <v>3</v>
      </c>
      <c r="BV92" s="117">
        <v>1</v>
      </c>
      <c r="BW92" s="602">
        <v>7</v>
      </c>
      <c r="BX92" s="117">
        <v>8</v>
      </c>
      <c r="BY92" s="118" t="s">
        <v>183</v>
      </c>
      <c r="BZ92" s="118" t="s">
        <v>358</v>
      </c>
      <c r="CA92" s="117">
        <f>HLOOKUP(Věci!$C$2,Věci!$A$2:$C$529,MATCH(BO92,Věci!$A$2:$A$529,0),FALSE)</f>
        <v>2</v>
      </c>
      <c r="CB92" t="s">
        <v>2478</v>
      </c>
    </row>
    <row r="93" spans="24:80" x14ac:dyDescent="0.3">
      <c r="BO93" s="118" t="s">
        <v>472</v>
      </c>
      <c r="BP93" s="39" t="s">
        <v>385</v>
      </c>
      <c r="BQ93" s="602">
        <v>1</v>
      </c>
      <c r="BR93" s="121">
        <v>1</v>
      </c>
      <c r="BS93" s="121">
        <v>0</v>
      </c>
      <c r="BT93" s="121" t="s">
        <v>181</v>
      </c>
      <c r="BU93" s="117">
        <v>2</v>
      </c>
      <c r="BV93" s="117">
        <v>1</v>
      </c>
      <c r="BW93" s="117">
        <v>2</v>
      </c>
      <c r="BX93" s="117">
        <v>1</v>
      </c>
      <c r="BY93" s="118" t="s">
        <v>183</v>
      </c>
      <c r="BZ93" s="118" t="s">
        <v>358</v>
      </c>
      <c r="CA93" s="117">
        <f>HLOOKUP(Věci!$C$2,Věci!$A$2:$C$529,MATCH(BO93,Věci!$A$2:$A$529,0),FALSE)</f>
        <v>0.15</v>
      </c>
      <c r="CB93" t="s">
        <v>5425</v>
      </c>
    </row>
    <row r="94" spans="24:80" x14ac:dyDescent="0.3">
      <c r="BO94" s="118" t="s">
        <v>968</v>
      </c>
      <c r="BP94" s="39" t="s">
        <v>385</v>
      </c>
      <c r="BQ94" s="602">
        <v>2</v>
      </c>
      <c r="BR94" s="121">
        <v>2</v>
      </c>
      <c r="BS94" s="121">
        <v>0</v>
      </c>
      <c r="BT94" s="121" t="s">
        <v>181</v>
      </c>
      <c r="BU94" s="117">
        <v>2</v>
      </c>
      <c r="BV94" s="117">
        <v>1</v>
      </c>
      <c r="BW94" s="117">
        <v>2</v>
      </c>
      <c r="BX94" s="117">
        <v>1</v>
      </c>
      <c r="BY94" s="118" t="s">
        <v>95</v>
      </c>
      <c r="BZ94" s="118" t="s">
        <v>358</v>
      </c>
      <c r="CA94" s="117">
        <f>HLOOKUP(Věci!$C$2,Věci!$A$2:$C$529,MATCH(BO94,Věci!$A$2:$A$529,0),FALSE)</f>
        <v>0.1</v>
      </c>
      <c r="CB94" t="s">
        <v>5425</v>
      </c>
    </row>
    <row r="95" spans="24:80" x14ac:dyDescent="0.3">
      <c r="BO95" s="118" t="s">
        <v>364</v>
      </c>
      <c r="BP95" s="39" t="s">
        <v>387</v>
      </c>
      <c r="BQ95" s="602">
        <v>1</v>
      </c>
      <c r="BR95" s="121">
        <v>5</v>
      </c>
      <c r="BS95" s="121">
        <v>2</v>
      </c>
      <c r="BT95" s="121" t="s">
        <v>181</v>
      </c>
      <c r="BU95" s="602">
        <v>6</v>
      </c>
      <c r="BV95" s="117">
        <v>3</v>
      </c>
      <c r="BW95" s="602">
        <v>14</v>
      </c>
      <c r="BX95" s="117">
        <v>2</v>
      </c>
      <c r="BY95" s="118" t="s">
        <v>95</v>
      </c>
      <c r="BZ95" s="118" t="s">
        <v>1148</v>
      </c>
      <c r="CA95" s="117">
        <f>HLOOKUP(Věci!$C$2,Věci!$A$2:$C$529,MATCH(BO95,Věci!$A$2:$A$529,0),FALSE)</f>
        <v>4.5</v>
      </c>
      <c r="CB95" t="s">
        <v>5426</v>
      </c>
    </row>
    <row r="96" spans="24:80" x14ac:dyDescent="0.3">
      <c r="BO96" s="118" t="s">
        <v>978</v>
      </c>
      <c r="BP96" s="39" t="s">
        <v>385</v>
      </c>
      <c r="BQ96" s="117">
        <v>0</v>
      </c>
      <c r="BR96" s="121">
        <v>3</v>
      </c>
      <c r="BS96" s="121">
        <v>0</v>
      </c>
      <c r="BT96" s="121" t="s">
        <v>181</v>
      </c>
      <c r="BU96" s="117">
        <v>0</v>
      </c>
      <c r="BV96" s="117">
        <v>2</v>
      </c>
      <c r="BW96" s="117">
        <v>7</v>
      </c>
      <c r="BX96" s="117">
        <v>1</v>
      </c>
      <c r="BY96" s="118" t="s">
        <v>97</v>
      </c>
      <c r="BZ96" s="118" t="s">
        <v>358</v>
      </c>
      <c r="CA96" s="117">
        <f>HLOOKUP(Věci!$C$2,Věci!$A$2:$C$529,MATCH(BO96,Věci!$A$2:$A$529,0),FALSE)</f>
        <v>0.8</v>
      </c>
      <c r="CB96" t="s">
        <v>5426</v>
      </c>
    </row>
    <row r="97" spans="67:80" x14ac:dyDescent="0.3">
      <c r="BO97" s="39" t="s">
        <v>371</v>
      </c>
      <c r="BP97" s="39" t="s">
        <v>385</v>
      </c>
      <c r="BQ97" s="117">
        <v>0</v>
      </c>
      <c r="BR97" s="121">
        <v>4</v>
      </c>
      <c r="BS97" s="121">
        <v>1</v>
      </c>
      <c r="BT97" s="121" t="s">
        <v>181</v>
      </c>
      <c r="BU97" s="117">
        <v>5</v>
      </c>
      <c r="BV97" s="117">
        <v>3</v>
      </c>
      <c r="BW97" s="117">
        <v>9</v>
      </c>
      <c r="BX97" s="117">
        <v>1</v>
      </c>
      <c r="BY97" s="118" t="s">
        <v>183</v>
      </c>
      <c r="BZ97" s="118" t="s">
        <v>358</v>
      </c>
      <c r="CA97" s="117">
        <f>HLOOKUP(Věci!$C$2,Věci!$A$2:$C$529,MATCH(BO97,Věci!$A$2:$A$529,0),FALSE)</f>
        <v>1.4</v>
      </c>
      <c r="CB97" t="s">
        <v>1914</v>
      </c>
    </row>
    <row r="98" spans="67:80" x14ac:dyDescent="0.3">
      <c r="BO98" s="118" t="s">
        <v>394</v>
      </c>
      <c r="BP98" s="39" t="s">
        <v>389</v>
      </c>
      <c r="BQ98" s="602">
        <v>1</v>
      </c>
      <c r="BR98" s="121">
        <v>1</v>
      </c>
      <c r="BS98" s="121">
        <v>0</v>
      </c>
      <c r="BT98" s="121" t="s">
        <v>181</v>
      </c>
      <c r="BU98" s="117">
        <v>1</v>
      </c>
      <c r="BV98" s="117">
        <v>3</v>
      </c>
      <c r="BW98" s="602">
        <v>4</v>
      </c>
      <c r="BX98" s="117">
        <v>1</v>
      </c>
      <c r="BY98" s="118" t="s">
        <v>97</v>
      </c>
      <c r="BZ98" s="118" t="s">
        <v>358</v>
      </c>
      <c r="CA98" s="117">
        <f>HLOOKUP(Věci!$C$2,Věci!$A$2:$C$529,MATCH(BO98,Věci!$A$2:$A$529,0),FALSE)</f>
        <v>1.5</v>
      </c>
      <c r="CB98" t="s">
        <v>2480</v>
      </c>
    </row>
    <row r="99" spans="67:80" x14ac:dyDescent="0.3">
      <c r="BO99" s="118" t="s">
        <v>395</v>
      </c>
      <c r="BP99" s="39" t="s">
        <v>389</v>
      </c>
      <c r="BQ99" s="117">
        <v>0</v>
      </c>
      <c r="BR99" s="121">
        <v>2</v>
      </c>
      <c r="BS99" s="121">
        <v>0</v>
      </c>
      <c r="BT99" s="121" t="s">
        <v>181</v>
      </c>
      <c r="BU99" s="117">
        <v>2</v>
      </c>
      <c r="BV99" s="117">
        <v>5</v>
      </c>
      <c r="BW99" s="602">
        <v>8</v>
      </c>
      <c r="BX99" s="117">
        <v>1</v>
      </c>
      <c r="BY99" s="118" t="s">
        <v>97</v>
      </c>
      <c r="BZ99" s="118" t="s">
        <v>361</v>
      </c>
      <c r="CA99" s="117">
        <f>HLOOKUP(Věci!$C$2,Věci!$A$2:$C$529,MATCH(BO99,Věci!$A$2:$A$529,0),FALSE)</f>
        <v>2.5</v>
      </c>
      <c r="CB99" t="s">
        <v>2480</v>
      </c>
    </row>
    <row r="100" spans="67:80" x14ac:dyDescent="0.3">
      <c r="BO100" s="118" t="s">
        <v>396</v>
      </c>
      <c r="BP100" s="39" t="s">
        <v>389</v>
      </c>
      <c r="BQ100" s="602">
        <v>-1</v>
      </c>
      <c r="BR100" s="121">
        <v>1</v>
      </c>
      <c r="BS100" s="121">
        <v>0</v>
      </c>
      <c r="BT100" s="121" t="s">
        <v>181</v>
      </c>
      <c r="BU100" s="117">
        <v>1</v>
      </c>
      <c r="BV100" s="602">
        <v>7</v>
      </c>
      <c r="BW100" s="602">
        <v>12</v>
      </c>
      <c r="BX100" s="117">
        <v>1</v>
      </c>
      <c r="BY100" s="118" t="s">
        <v>97</v>
      </c>
      <c r="BZ100" s="118" t="s">
        <v>361</v>
      </c>
      <c r="CA100" s="117">
        <f>HLOOKUP(Věci!$C$2,Věci!$A$2:$C$529,MATCH(BO100,Věci!$A$2:$A$529,0),FALSE)</f>
        <v>5</v>
      </c>
      <c r="CB100" t="s">
        <v>2480</v>
      </c>
    </row>
    <row r="101" spans="67:80" x14ac:dyDescent="0.3">
      <c r="BO101" s="39" t="s">
        <v>367</v>
      </c>
      <c r="BP101" s="39" t="s">
        <v>385</v>
      </c>
      <c r="BQ101" s="602">
        <v>2</v>
      </c>
      <c r="BR101" s="121">
        <v>3</v>
      </c>
      <c r="BS101" s="121">
        <v>0</v>
      </c>
      <c r="BT101" s="121" t="s">
        <v>181</v>
      </c>
      <c r="BU101" s="117">
        <v>2</v>
      </c>
      <c r="BV101" s="117">
        <v>1</v>
      </c>
      <c r="BW101" s="117">
        <v>3</v>
      </c>
      <c r="BX101" s="117">
        <v>1</v>
      </c>
      <c r="BY101" s="118" t="s">
        <v>95</v>
      </c>
      <c r="BZ101" s="118" t="s">
        <v>358</v>
      </c>
      <c r="CA101" s="117">
        <f>HLOOKUP(Věci!$C$2,Věci!$A$2:$C$529,MATCH(BO101,Věci!$A$2:$A$529,0),FALSE)</f>
        <v>0.4</v>
      </c>
      <c r="CB101" t="s">
        <v>5425</v>
      </c>
    </row>
    <row r="102" spans="67:80" x14ac:dyDescent="0.3">
      <c r="BO102" s="118" t="s">
        <v>368</v>
      </c>
      <c r="BP102" s="39" t="s">
        <v>387</v>
      </c>
      <c r="BQ102" s="117">
        <v>0</v>
      </c>
      <c r="BR102" s="121">
        <v>6</v>
      </c>
      <c r="BS102" s="121">
        <v>3</v>
      </c>
      <c r="BT102" s="121" t="s">
        <v>181</v>
      </c>
      <c r="BU102" s="117">
        <v>6</v>
      </c>
      <c r="BV102" s="117">
        <v>5</v>
      </c>
      <c r="BW102" s="117">
        <v>17</v>
      </c>
      <c r="BX102" s="117">
        <v>2</v>
      </c>
      <c r="BY102" s="118" t="s">
        <v>95</v>
      </c>
      <c r="BZ102" s="118" t="s">
        <v>361</v>
      </c>
      <c r="CA102" s="117">
        <f>HLOOKUP(Věci!$C$2,Věci!$A$2:$C$529,MATCH(BO102,Věci!$A$2:$A$529,0),FALSE)</f>
        <v>6</v>
      </c>
      <c r="CB102" t="s">
        <v>5426</v>
      </c>
    </row>
    <row r="103" spans="67:80" x14ac:dyDescent="0.3">
      <c r="BO103" s="118" t="s">
        <v>2946</v>
      </c>
      <c r="BP103" s="39" t="s">
        <v>385</v>
      </c>
      <c r="BQ103" s="602">
        <v>1</v>
      </c>
      <c r="BR103" s="121">
        <v>0</v>
      </c>
      <c r="BS103" s="121">
        <v>0</v>
      </c>
      <c r="BT103" s="121" t="s">
        <v>181</v>
      </c>
      <c r="BU103" s="117">
        <v>0</v>
      </c>
      <c r="BV103" s="117">
        <v>1</v>
      </c>
      <c r="BW103" s="117">
        <v>1</v>
      </c>
      <c r="BX103" s="117">
        <v>0</v>
      </c>
      <c r="BY103" s="118" t="s">
        <v>181</v>
      </c>
      <c r="BZ103" s="118" t="s">
        <v>1148</v>
      </c>
      <c r="CA103" s="117">
        <v>0</v>
      </c>
      <c r="CB103" t="s">
        <v>2480</v>
      </c>
    </row>
    <row r="104" spans="67:80" x14ac:dyDescent="0.3">
      <c r="BO104" s="118" t="s">
        <v>366</v>
      </c>
      <c r="BP104" s="39" t="s">
        <v>387</v>
      </c>
      <c r="BQ104" s="602">
        <v>2</v>
      </c>
      <c r="BR104" s="121">
        <v>4</v>
      </c>
      <c r="BS104" s="121">
        <v>1</v>
      </c>
      <c r="BT104" s="121" t="s">
        <v>181</v>
      </c>
      <c r="BU104" s="117">
        <v>2</v>
      </c>
      <c r="BV104" s="117">
        <v>3</v>
      </c>
      <c r="BW104" s="602">
        <v>5</v>
      </c>
      <c r="BX104" s="117">
        <v>1</v>
      </c>
      <c r="BY104" s="118" t="s">
        <v>95</v>
      </c>
      <c r="BZ104" s="118" t="s">
        <v>358</v>
      </c>
      <c r="CA104" s="117">
        <f>HLOOKUP(Věci!$C$2,Věci!$A$2:$C$529,MATCH(BO104,Věci!$A$2:$A$529,0),FALSE)</f>
        <v>1</v>
      </c>
      <c r="CB104" t="s">
        <v>5426</v>
      </c>
    </row>
    <row r="105" spans="67:80" x14ac:dyDescent="0.3">
      <c r="BO105" s="39" t="s">
        <v>2455</v>
      </c>
      <c r="BP105" s="39" t="s">
        <v>385</v>
      </c>
      <c r="BQ105" s="602">
        <v>2</v>
      </c>
      <c r="BR105" s="121">
        <v>3</v>
      </c>
      <c r="BS105" s="121">
        <v>0</v>
      </c>
      <c r="BT105" s="121" t="s">
        <v>181</v>
      </c>
      <c r="BU105" s="117">
        <v>2</v>
      </c>
      <c r="BV105" s="117">
        <v>2</v>
      </c>
      <c r="BW105" s="117">
        <v>3</v>
      </c>
      <c r="BX105" s="117">
        <v>1</v>
      </c>
      <c r="BY105" s="118" t="s">
        <v>95</v>
      </c>
      <c r="BZ105" s="118" t="s">
        <v>358</v>
      </c>
      <c r="CA105" s="117">
        <f>HLOOKUP(Věci!$C$2,Věci!$A$2:$C$529,MATCH(BO105,Věci!$A$2:$A$529,0),FALSE)</f>
        <v>0.4</v>
      </c>
      <c r="CB105" t="s">
        <v>5425</v>
      </c>
    </row>
    <row r="106" spans="67:80" x14ac:dyDescent="0.3">
      <c r="BO106" s="574" t="str">
        <f>HLOOKUP(Rasy!$AF$3,Rasy!$B$3:$AN$125,MATCH(Rasa,Rasy!$B$3:$B$125,0),FALSE)</f>
        <v>Zuby</v>
      </c>
      <c r="BP106" s="569" t="s">
        <v>277</v>
      </c>
      <c r="BQ106" s="263">
        <v>0</v>
      </c>
      <c r="BR106" s="607">
        <f>HLOOKUP(Rasy!$AG$3,Rasy!$B$3:$AN$125,MATCH(Rasa,Rasy!$B$3:$B$125,0),FALSE)</f>
        <v>0</v>
      </c>
      <c r="BS106" s="604" t="s">
        <v>181</v>
      </c>
      <c r="BT106" s="604" t="s">
        <v>181</v>
      </c>
      <c r="BU106" s="607">
        <f>HLOOKUP(Rasy!$AH$3,Rasy!$B$3:$AN$125,MATCH(Rasa,Rasy!$B$3:$B$125,0),FALSE)</f>
        <v>-1</v>
      </c>
      <c r="BV106" s="263">
        <v>-3</v>
      </c>
      <c r="BW106" s="263">
        <v>0</v>
      </c>
      <c r="BX106" s="263">
        <v>0</v>
      </c>
      <c r="BY106" s="605" t="s">
        <v>95</v>
      </c>
      <c r="BZ106" s="570" t="s">
        <v>277</v>
      </c>
      <c r="CA106" s="263">
        <v>0</v>
      </c>
      <c r="CB106" s="606" t="s">
        <v>5424</v>
      </c>
    </row>
  </sheetData>
  <mergeCells count="144">
    <mergeCell ref="A12:A15"/>
    <mergeCell ref="AA50:AE50"/>
    <mergeCell ref="X50:Z50"/>
    <mergeCell ref="P20:S20"/>
    <mergeCell ref="BA2:BD2"/>
    <mergeCell ref="K30:M30"/>
    <mergeCell ref="N30:P30"/>
    <mergeCell ref="J3:M3"/>
    <mergeCell ref="J4:M4"/>
    <mergeCell ref="J5:M5"/>
    <mergeCell ref="J7:M7"/>
    <mergeCell ref="T10:U10"/>
    <mergeCell ref="P18:S18"/>
    <mergeCell ref="T14:U14"/>
    <mergeCell ref="T16:U16"/>
    <mergeCell ref="K13:L13"/>
    <mergeCell ref="K11:L11"/>
    <mergeCell ref="K14:L14"/>
    <mergeCell ref="K12:L12"/>
    <mergeCell ref="O11:R11"/>
    <mergeCell ref="O12:R12"/>
    <mergeCell ref="O13:R13"/>
    <mergeCell ref="O14:R14"/>
    <mergeCell ref="O15:R15"/>
    <mergeCell ref="O16:R16"/>
    <mergeCell ref="H11:I11"/>
    <mergeCell ref="T15:U15"/>
    <mergeCell ref="A4:A6"/>
    <mergeCell ref="A7:A9"/>
    <mergeCell ref="B20:C20"/>
    <mergeCell ref="B21:C21"/>
    <mergeCell ref="A20:A22"/>
    <mergeCell ref="T7:U7"/>
    <mergeCell ref="P19:S19"/>
    <mergeCell ref="G15:I15"/>
    <mergeCell ref="J6:M6"/>
    <mergeCell ref="B22:C22"/>
    <mergeCell ref="T6:U6"/>
    <mergeCell ref="T8:U8"/>
    <mergeCell ref="Q6:S6"/>
    <mergeCell ref="Q7:S7"/>
    <mergeCell ref="Q8:S8"/>
    <mergeCell ref="Q5:U5"/>
    <mergeCell ref="T11:U11"/>
    <mergeCell ref="T12:U12"/>
    <mergeCell ref="T13:U13"/>
    <mergeCell ref="O10:R10"/>
    <mergeCell ref="A16:A19"/>
    <mergeCell ref="H57:I57"/>
    <mergeCell ref="H46:I46"/>
    <mergeCell ref="H47:I47"/>
    <mergeCell ref="H48:I48"/>
    <mergeCell ref="H58:I58"/>
    <mergeCell ref="H59:I59"/>
    <mergeCell ref="H55:I55"/>
    <mergeCell ref="H53:I53"/>
    <mergeCell ref="H52:I52"/>
    <mergeCell ref="H54:I54"/>
    <mergeCell ref="O57:P57"/>
    <mergeCell ref="O58:P58"/>
    <mergeCell ref="O59:P59"/>
    <mergeCell ref="O46:P46"/>
    <mergeCell ref="O47:P47"/>
    <mergeCell ref="O48:P48"/>
    <mergeCell ref="O52:P52"/>
    <mergeCell ref="O53:P53"/>
    <mergeCell ref="O55:P55"/>
    <mergeCell ref="O51:P51"/>
    <mergeCell ref="O54:P54"/>
    <mergeCell ref="D33:G33"/>
    <mergeCell ref="K32:M32"/>
    <mergeCell ref="B32:C32"/>
    <mergeCell ref="K31:M31"/>
    <mergeCell ref="K33:M33"/>
    <mergeCell ref="K34:M34"/>
    <mergeCell ref="Q40:T40"/>
    <mergeCell ref="Q51:T51"/>
    <mergeCell ref="Q50:T50"/>
    <mergeCell ref="O50:P50"/>
    <mergeCell ref="O40:P40"/>
    <mergeCell ref="O39:P39"/>
    <mergeCell ref="O44:P44"/>
    <mergeCell ref="Q39:T39"/>
    <mergeCell ref="I39:J39"/>
    <mergeCell ref="H44:I44"/>
    <mergeCell ref="O41:P41"/>
    <mergeCell ref="O42:P42"/>
    <mergeCell ref="O43:P43"/>
    <mergeCell ref="C39:F39"/>
    <mergeCell ref="H41:I41"/>
    <mergeCell ref="H42:I42"/>
    <mergeCell ref="H43:I43"/>
    <mergeCell ref="C50:F50"/>
    <mergeCell ref="C51:F51"/>
    <mergeCell ref="J51:M51"/>
    <mergeCell ref="H40:I40"/>
    <mergeCell ref="J40:M40"/>
    <mergeCell ref="C40:F40"/>
    <mergeCell ref="L39:M39"/>
    <mergeCell ref="H51:I51"/>
    <mergeCell ref="I50:J50"/>
    <mergeCell ref="L50:M50"/>
    <mergeCell ref="B36:D36"/>
    <mergeCell ref="Q36:T36"/>
    <mergeCell ref="B37:D37"/>
    <mergeCell ref="Q37:T37"/>
    <mergeCell ref="Q24:T24"/>
    <mergeCell ref="N32:P32"/>
    <mergeCell ref="N31:P31"/>
    <mergeCell ref="N33:P33"/>
    <mergeCell ref="B28:C28"/>
    <mergeCell ref="B24:E24"/>
    <mergeCell ref="B26:C26"/>
    <mergeCell ref="B30:C30"/>
    <mergeCell ref="B31:C31"/>
    <mergeCell ref="B33:C33"/>
    <mergeCell ref="D27:G27"/>
    <mergeCell ref="D28:G28"/>
    <mergeCell ref="D29:G29"/>
    <mergeCell ref="D30:G30"/>
    <mergeCell ref="N25:P25"/>
    <mergeCell ref="N26:P26"/>
    <mergeCell ref="N27:P27"/>
    <mergeCell ref="N28:P28"/>
    <mergeCell ref="N29:P29"/>
    <mergeCell ref="K29:M29"/>
    <mergeCell ref="G16:H16"/>
    <mergeCell ref="G17:H17"/>
    <mergeCell ref="G18:H18"/>
    <mergeCell ref="G19:H19"/>
    <mergeCell ref="G20:H20"/>
    <mergeCell ref="H22:I22"/>
    <mergeCell ref="D32:G32"/>
    <mergeCell ref="B27:C27"/>
    <mergeCell ref="K25:M25"/>
    <mergeCell ref="K26:M26"/>
    <mergeCell ref="K27:M27"/>
    <mergeCell ref="K28:M28"/>
    <mergeCell ref="D25:G25"/>
    <mergeCell ref="D26:G26"/>
    <mergeCell ref="B29:C29"/>
    <mergeCell ref="D31:G31"/>
    <mergeCell ref="K17:N17"/>
    <mergeCell ref="G21:H21"/>
  </mergeCells>
  <conditionalFormatting sqref="E10 C4:C9 S2:S3">
    <cfRule type="cellIs" dxfId="459" priority="90" operator="equal">
      <formula>" "</formula>
    </cfRule>
  </conditionalFormatting>
  <conditionalFormatting sqref="S3">
    <cfRule type="cellIs" dxfId="458" priority="85" operator="equal">
      <formula>0</formula>
    </cfRule>
  </conditionalFormatting>
  <conditionalFormatting sqref="S4 D17 D4:D9 I16:I20 F4:F10 C16:C17 O4:O7 U2:U4 C12:D12 C14:D15 D13 F12:F15">
    <cfRule type="cellIs" dxfId="457" priority="80" operator="notEqual">
      <formula>" "</formula>
    </cfRule>
  </conditionalFormatting>
  <conditionalFormatting sqref="H4:H9">
    <cfRule type="cellIs" dxfId="456" priority="38" operator="lessThan">
      <formula>C4-5</formula>
    </cfRule>
    <cfRule type="cellIs" dxfId="455" priority="39" operator="between">
      <formula>C4-5</formula>
      <formula>C4-1</formula>
    </cfRule>
  </conditionalFormatting>
  <conditionalFormatting sqref="C10">
    <cfRule type="expression" dxfId="454" priority="220">
      <formula>$D10="H"</formula>
    </cfRule>
  </conditionalFormatting>
  <conditionalFormatting sqref="T8 T7:U7 T6">
    <cfRule type="cellIs" dxfId="453" priority="25" operator="equal">
      <formula>0</formula>
    </cfRule>
  </conditionalFormatting>
  <conditionalFormatting sqref="B4:B9 E4:E9">
    <cfRule type="expression" dxfId="452" priority="2880">
      <formula>$G4="H"</formula>
    </cfRule>
  </conditionalFormatting>
  <conditionalFormatting sqref="C18">
    <cfRule type="cellIs" dxfId="451" priority="23" operator="notEqual">
      <formula>" "</formula>
    </cfRule>
  </conditionalFormatting>
  <conditionalFormatting sqref="D20:D22">
    <cfRule type="cellIs" dxfId="450" priority="22" operator="notEqual">
      <formula>" "</formula>
    </cfRule>
  </conditionalFormatting>
  <conditionalFormatting sqref="C39:F40 C46:F46 C50:F51 C57:F57 I39 L39:M39 J40:M40 J46:M46 J57:M57 Q39:T40 Q51 Q46:T46 Q50:T50 Q57:T57 J51:M51 L50:M50 M11:M14">
    <cfRule type="containsBlanks" dxfId="449" priority="21">
      <formula>LEN(TRIM(C11))=0</formula>
    </cfRule>
  </conditionalFormatting>
  <conditionalFormatting sqref="C42:F45 D47:E47 J42:M45 K47:L47 Q42:T45 R47:S47 C53:F56 D58:E58 J53:M56 K58:L58 Q53:T56 R58:S58">
    <cfRule type="cellIs" dxfId="448" priority="20" operator="equal">
      <formula>" "</formula>
    </cfRule>
  </conditionalFormatting>
  <conditionalFormatting sqref="K42 D42 R42 D53 K53 R53">
    <cfRule type="cellIs" dxfId="447" priority="18" operator="equal">
      <formula>"x"</formula>
    </cfRule>
  </conditionalFormatting>
  <conditionalFormatting sqref="K26:M33 Q26:T33 B26:C33">
    <cfRule type="containsBlanks" dxfId="446" priority="16">
      <formula>LEN(TRIM(B26))=0</formula>
    </cfRule>
  </conditionalFormatting>
  <conditionalFormatting sqref="H26:J33">
    <cfRule type="cellIs" dxfId="445" priority="15" operator="notEqual">
      <formula>" "</formula>
    </cfRule>
  </conditionalFormatting>
  <conditionalFormatting sqref="O3">
    <cfRule type="containsBlanks" dxfId="444" priority="14">
      <formula>LEN(TRIM(O3))=0</formula>
    </cfRule>
  </conditionalFormatting>
  <conditionalFormatting sqref="N22">
    <cfRule type="containsBlanks" dxfId="443" priority="11">
      <formula>LEN(TRIM(N22))=0</formula>
    </cfRule>
  </conditionalFormatting>
  <conditionalFormatting sqref="N18:N23">
    <cfRule type="cellIs" dxfId="442" priority="10" operator="notEqual">
      <formula>" "</formula>
    </cfRule>
  </conditionalFormatting>
  <conditionalFormatting sqref="S21:S22">
    <cfRule type="cellIs" dxfId="441" priority="9" operator="notEqual">
      <formula>" "</formula>
    </cfRule>
  </conditionalFormatting>
  <conditionalFormatting sqref="H22:I22">
    <cfRule type="notContainsBlanks" dxfId="440" priority="7">
      <formula>LEN(TRIM(H22))&gt;0</formula>
    </cfRule>
  </conditionalFormatting>
  <conditionalFormatting sqref="I50">
    <cfRule type="containsBlanks" dxfId="439" priority="4">
      <formula>LEN(TRIM(I50))=0</formula>
    </cfRule>
  </conditionalFormatting>
  <conditionalFormatting sqref="I21">
    <cfRule type="cellIs" dxfId="438" priority="3" operator="notEqual">
      <formula>" "</formula>
    </cfRule>
  </conditionalFormatting>
  <dataValidations count="16">
    <dataValidation type="list" allowBlank="1" showDropDown="1" showInputMessage="1" showErrorMessage="1" sqref="E10 C4:C9">
      <formula1>$BF$9:$BF$49</formula1>
    </dataValidation>
    <dataValidation type="list" allowBlank="1" showInputMessage="1" showErrorMessage="1" sqref="E37">
      <formula1>"1R,2R,VRH,Stř,Š,-"</formula1>
    </dataValidation>
    <dataValidation type="whole" allowBlank="1" showInputMessage="1" showErrorMessage="1" sqref="F37:H37 K37">
      <formula1>0</formula1>
      <formula2>10</formula2>
    </dataValidation>
    <dataValidation type="whole" allowBlank="1" showInputMessage="1" showErrorMessage="1" sqref="I37">
      <formula1>-5</formula1>
      <formula2>20</formula2>
    </dataValidation>
    <dataValidation type="whole" allowBlank="1" showInputMessage="1" showErrorMessage="1" sqref="J37">
      <formula1>1</formula1>
      <formula2>31</formula2>
    </dataValidation>
    <dataValidation type="whole" allowBlank="1" showInputMessage="1" showErrorMessage="1" sqref="L37">
      <formula1>0</formula1>
      <formula2>200</formula2>
    </dataValidation>
    <dataValidation type="whole" allowBlank="1" showInputMessage="1" showErrorMessage="1" sqref="M37">
      <formula1>-2</formula1>
      <formula2>2</formula2>
    </dataValidation>
    <dataValidation type="decimal" allowBlank="1" showInputMessage="1" showErrorMessage="1" sqref="N37">
      <formula1>0</formula1>
      <formula2>100</formula2>
    </dataValidation>
    <dataValidation type="list" allowBlank="1" showInputMessage="1" showErrorMessage="1" sqref="O37">
      <formula1>"B,S,D"</formula1>
    </dataValidation>
    <dataValidation type="list" allowBlank="1" showInputMessage="1" showErrorMessage="1" sqref="Q37:T37">
      <formula1>"Boj beze zbraně,Boj noži a dýkami,Boj meči a šavlemi,Boj se sekerami a kyji,Boj s holemi a kopími,Blokování,Vrh,Střelba"</formula1>
    </dataValidation>
    <dataValidation type="list" allowBlank="1" showInputMessage="1" showErrorMessage="1" sqref="K26:M33">
      <formula1>$X$72:$X$79</formula1>
    </dataValidation>
    <dataValidation type="list" allowBlank="1" showInputMessage="1" showErrorMessage="1" sqref="C40:F40 Q51:T51 J51:M51 C51:F51 Q40:T40 J40:M40">
      <formula1>$Z$72:$Z$74</formula1>
    </dataValidation>
    <dataValidation type="list" allowBlank="1" showInputMessage="1" showErrorMessage="1" sqref="C39:F39 I39:J39 L39:M39 Q39:T39 C50:F50 Q50:T50 I50 L50:M50">
      <formula1>$B$26:$B$33</formula1>
    </dataValidation>
    <dataValidation type="list" allowBlank="1" showDropDown="1" showInputMessage="1" showErrorMessage="1" sqref="S2">
      <formula1>$AR$10:$AR$48</formula1>
    </dataValidation>
    <dataValidation type="list" allowBlank="1" showInputMessage="1" showErrorMessage="1" sqref="AA50:AF50">
      <formula1>$X$83:$X$85</formula1>
    </dataValidation>
    <dataValidation type="list" allowBlank="1" showInputMessage="1" showErrorMessage="1" sqref="B26:C33">
      <formula1>$BO$8:$BO$106</formula1>
    </dataValidation>
  </dataValidations>
  <pageMargins left="0.39370078740157483" right="0.39370078740157483" top="0.39370078740157483" bottom="0.59055118110236227" header="0.31496062992125984" footer="0.31496062992125984"/>
  <pageSetup paperSize="9" scale="85" orientation="portrait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7">
    <tabColor rgb="FF92D050"/>
  </sheetPr>
  <dimension ref="A1:CA112"/>
  <sheetViews>
    <sheetView zoomScaleNormal="100" workbookViewId="0">
      <selection activeCell="O9" sqref="O9"/>
    </sheetView>
  </sheetViews>
  <sheetFormatPr defaultRowHeight="14.4" x14ac:dyDescent="0.3"/>
  <cols>
    <col min="1" max="1" width="12" customWidth="1"/>
    <col min="2" max="2" width="5.5546875" customWidth="1"/>
    <col min="3" max="3" width="4.33203125" customWidth="1"/>
    <col min="4" max="4" width="4.33203125" bestFit="1" customWidth="1"/>
    <col min="5" max="5" width="4.88671875" customWidth="1"/>
    <col min="6" max="6" width="4.33203125" bestFit="1" customWidth="1"/>
    <col min="7" max="7" width="4.33203125" customWidth="1"/>
    <col min="8" max="8" width="6.5546875" customWidth="1"/>
    <col min="9" max="9" width="3.6640625" customWidth="1"/>
    <col min="10" max="11" width="3.88671875" customWidth="1"/>
    <col min="12" max="12" width="4.44140625" customWidth="1"/>
    <col min="13" max="13" width="5" customWidth="1"/>
    <col min="14" max="14" width="4.109375" customWidth="1"/>
    <col min="15" max="15" width="6" customWidth="1"/>
    <col min="16" max="16" width="4.88671875" customWidth="1"/>
    <col min="17" max="17" width="5.109375" customWidth="1"/>
    <col min="18" max="18" width="5" customWidth="1"/>
    <col min="19" max="19" width="5.33203125" customWidth="1"/>
    <col min="20" max="20" width="2.6640625" customWidth="1"/>
    <col min="21" max="21" width="8.33203125" customWidth="1"/>
    <col min="22" max="22" width="16.109375" customWidth="1"/>
    <col min="23" max="23" width="3.6640625" customWidth="1"/>
    <col min="24" max="24" width="5.44140625" customWidth="1"/>
    <col min="25" max="25" width="4.33203125" customWidth="1"/>
    <col min="26" max="26" width="4.109375" customWidth="1"/>
    <col min="27" max="27" width="4.5546875" customWidth="1"/>
    <col min="28" max="28" width="4" customWidth="1"/>
    <col min="29" max="29" width="3.109375" customWidth="1"/>
    <col min="30" max="30" width="5.109375" customWidth="1"/>
    <col min="31" max="31" width="8.5546875" customWidth="1"/>
    <col min="32" max="32" width="5.109375" customWidth="1"/>
    <col min="33" max="33" width="6.33203125" customWidth="1"/>
    <col min="34" max="34" width="4" customWidth="1"/>
    <col min="35" max="35" width="3.44140625" customWidth="1"/>
    <col min="36" max="36" width="29.109375" customWidth="1"/>
    <col min="37" max="37" width="6" customWidth="1"/>
    <col min="38" max="38" width="5.88671875" customWidth="1"/>
    <col min="39" max="39" width="5.44140625" customWidth="1"/>
    <col min="40" max="40" width="5.109375" customWidth="1"/>
    <col min="41" max="41" width="5.44140625" customWidth="1"/>
    <col min="42" max="42" width="6" customWidth="1"/>
    <col min="43" max="43" width="6.5546875" customWidth="1"/>
    <col min="44" max="50" width="4.44140625" customWidth="1"/>
    <col min="51" max="51" width="18" customWidth="1"/>
    <col min="52" max="52" width="9.109375" customWidth="1"/>
    <col min="53" max="53" width="18.44140625" customWidth="1"/>
    <col min="54" max="54" width="6.44140625" customWidth="1"/>
    <col min="55" max="55" width="28.33203125" style="495" bestFit="1" customWidth="1"/>
    <col min="56" max="56" width="3.88671875" style="495" customWidth="1"/>
    <col min="57" max="57" width="22.44140625" style="495" bestFit="1" customWidth="1"/>
    <col min="58" max="58" width="5" customWidth="1"/>
    <col min="59" max="59" width="20.109375" bestFit="1" customWidth="1"/>
    <col min="60" max="60" width="5" customWidth="1"/>
    <col min="61" max="61" width="24.109375" bestFit="1" customWidth="1"/>
    <col min="62" max="62" width="5" customWidth="1"/>
    <col min="63" max="63" width="13.44140625" customWidth="1"/>
    <col min="64" max="64" width="10.33203125" bestFit="1" customWidth="1"/>
    <col min="65" max="65" width="11" bestFit="1" customWidth="1"/>
    <col min="66" max="66" width="14.44140625" bestFit="1" customWidth="1"/>
    <col min="67" max="67" width="11.5546875" bestFit="1" customWidth="1"/>
    <col min="68" max="68" width="15.44140625" bestFit="1" customWidth="1"/>
    <col min="69" max="69" width="11.44140625" bestFit="1" customWidth="1"/>
    <col min="70" max="70" width="14.6640625" bestFit="1" customWidth="1"/>
    <col min="71" max="71" width="11.88671875" bestFit="1" customWidth="1"/>
    <col min="72" max="72" width="15.6640625" bestFit="1" customWidth="1"/>
    <col min="74" max="74" width="38.109375" bestFit="1" customWidth="1"/>
    <col min="75" max="75" width="12.33203125" bestFit="1" customWidth="1"/>
    <col min="76" max="76" width="9" bestFit="1" customWidth="1"/>
    <col min="77" max="77" width="10.33203125" bestFit="1" customWidth="1"/>
    <col min="78" max="78" width="9.33203125" bestFit="1" customWidth="1"/>
    <col min="79" max="79" width="31.5546875" bestFit="1" customWidth="1"/>
  </cols>
  <sheetData>
    <row r="1" spans="1:79" ht="26.4" thickBot="1" x14ac:dyDescent="0.55000000000000004">
      <c r="A1" s="771" t="s">
        <v>4270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5"/>
      <c r="R1" s="755"/>
      <c r="S1" s="755" t="s">
        <v>39</v>
      </c>
      <c r="T1" s="758"/>
      <c r="AE1" t="s">
        <v>324</v>
      </c>
    </row>
    <row r="2" spans="1:79" ht="15" customHeight="1" x14ac:dyDescent="0.35">
      <c r="A2" s="759" t="s">
        <v>24</v>
      </c>
      <c r="B2" s="1209" t="str">
        <f>'Tvorba postavy'!C3</f>
        <v>Trpaslík</v>
      </c>
      <c r="C2" s="1210"/>
      <c r="D2" s="1202"/>
      <c r="E2" s="766" t="s">
        <v>1160</v>
      </c>
      <c r="F2" s="197"/>
      <c r="G2" s="197"/>
      <c r="H2" s="197"/>
      <c r="I2" s="1192" t="str">
        <f>'Tvorba postavy'!I3</f>
        <v>Běloch</v>
      </c>
      <c r="J2" s="1193"/>
      <c r="K2" s="1193"/>
      <c r="L2" s="1193"/>
      <c r="M2" s="1194"/>
      <c r="N2" s="294"/>
      <c r="O2" s="295"/>
      <c r="P2" s="295"/>
      <c r="Q2" s="295"/>
      <c r="R2" s="295"/>
      <c r="S2" s="296"/>
      <c r="T2" s="761"/>
      <c r="AE2" s="100" t="s">
        <v>11</v>
      </c>
      <c r="AF2" s="101" t="s">
        <v>322</v>
      </c>
      <c r="AG2" s="102" t="s">
        <v>323</v>
      </c>
      <c r="AJ2" t="s">
        <v>352</v>
      </c>
      <c r="AQ2" s="108"/>
      <c r="AR2" s="1338" t="s">
        <v>666</v>
      </c>
      <c r="AS2" s="1339"/>
      <c r="AT2" s="1339"/>
      <c r="AU2" s="1339"/>
      <c r="AV2" s="1339"/>
      <c r="AW2" s="1339"/>
      <c r="AX2" s="1340"/>
      <c r="BA2" s="58" t="s">
        <v>819</v>
      </c>
      <c r="BC2" s="58" t="s">
        <v>41</v>
      </c>
      <c r="BD2"/>
      <c r="BE2" s="58" t="s">
        <v>44</v>
      </c>
      <c r="BG2" s="58" t="s">
        <v>43</v>
      </c>
      <c r="BI2" s="58" t="s">
        <v>42</v>
      </c>
      <c r="BV2" s="132" t="s">
        <v>1379</v>
      </c>
    </row>
    <row r="3" spans="1:79" ht="14.25" customHeight="1" x14ac:dyDescent="0.3">
      <c r="A3" s="772" t="s">
        <v>419</v>
      </c>
      <c r="B3" s="1192"/>
      <c r="C3" s="1193"/>
      <c r="D3" s="1193"/>
      <c r="E3" s="1193"/>
      <c r="F3" s="1193"/>
      <c r="G3" s="1193"/>
      <c r="H3" s="1193"/>
      <c r="I3" s="1193"/>
      <c r="J3" s="1193"/>
      <c r="K3" s="1193"/>
      <c r="L3" s="1193"/>
      <c r="M3" s="1194"/>
      <c r="N3" s="294"/>
      <c r="O3" s="295"/>
      <c r="P3" s="295"/>
      <c r="Q3" s="295"/>
      <c r="R3" s="295"/>
      <c r="S3" s="296"/>
      <c r="T3" s="761"/>
      <c r="U3" s="10"/>
      <c r="AD3" s="10"/>
      <c r="AE3" s="94">
        <v>1</v>
      </c>
      <c r="AF3" s="98">
        <v>1.1000000000000001</v>
      </c>
      <c r="AG3" s="96">
        <v>0.4</v>
      </c>
      <c r="AJ3" s="109" t="s">
        <v>325</v>
      </c>
      <c r="AK3" s="109" t="s">
        <v>155</v>
      </c>
      <c r="AL3" s="109" t="s">
        <v>329</v>
      </c>
      <c r="AM3" s="346" t="s">
        <v>302</v>
      </c>
      <c r="AN3" s="346" t="s">
        <v>304</v>
      </c>
      <c r="AO3" s="346" t="s">
        <v>303</v>
      </c>
      <c r="AP3" s="110" t="s">
        <v>326</v>
      </c>
      <c r="AQ3" s="111" t="s">
        <v>5696</v>
      </c>
      <c r="AR3" s="193" t="s">
        <v>115</v>
      </c>
      <c r="AS3" s="193" t="s">
        <v>83</v>
      </c>
      <c r="AT3" s="193" t="s">
        <v>84</v>
      </c>
      <c r="AU3" s="193" t="s">
        <v>85</v>
      </c>
      <c r="AV3" s="193" t="s">
        <v>86</v>
      </c>
      <c r="AW3" s="193" t="s">
        <v>158</v>
      </c>
      <c r="AX3" s="193" t="s">
        <v>194</v>
      </c>
      <c r="AY3" s="109" t="s">
        <v>1178</v>
      </c>
      <c r="BA3" s="115"/>
      <c r="BC3" s="115"/>
      <c r="BD3"/>
      <c r="BE3" s="115"/>
      <c r="BG3" s="115"/>
      <c r="BI3" s="115"/>
      <c r="BV3" s="423" t="s">
        <v>283</v>
      </c>
      <c r="BW3" s="423" t="s">
        <v>1380</v>
      </c>
      <c r="BX3" s="423" t="s">
        <v>1381</v>
      </c>
      <c r="BY3" s="423" t="s">
        <v>1382</v>
      </c>
      <c r="BZ3" s="423" t="s">
        <v>1383</v>
      </c>
      <c r="CA3" s="423" t="s">
        <v>154</v>
      </c>
    </row>
    <row r="4" spans="1:79" ht="15" customHeight="1" x14ac:dyDescent="0.3">
      <c r="A4" s="762" t="s">
        <v>2595</v>
      </c>
      <c r="B4" s="1311" t="str">
        <f>CONCATENATE('2-Vzhled a charakter'!O20,".",'2-Vzhled a charakter'!Q20,".",'2-Vzhled a charakter'!S20)</f>
        <v>..1180</v>
      </c>
      <c r="C4" s="1350"/>
      <c r="D4" s="1312"/>
      <c r="E4" s="753" t="s">
        <v>25</v>
      </c>
      <c r="F4" s="931"/>
      <c r="G4" s="197"/>
      <c r="H4" s="1209" t="str">
        <f>'Tvorba postavy'!C5</f>
        <v>Tulák</v>
      </c>
      <c r="I4" s="1210"/>
      <c r="J4" s="1210"/>
      <c r="K4" s="1202"/>
      <c r="L4" s="321">
        <f>'Tvorba postavy'!D6</f>
        <v>4</v>
      </c>
      <c r="M4" s="321">
        <f>LOOKUP(L4,'1-Vlastnosti'!$AR$9:$AR$48,'1-Vlastnosti'!$AS$9:$AS$48)</f>
        <v>1</v>
      </c>
      <c r="N4" s="294"/>
      <c r="O4" s="295"/>
      <c r="P4" s="295"/>
      <c r="Q4" s="295"/>
      <c r="R4" s="295"/>
      <c r="S4" s="296"/>
      <c r="T4" s="761"/>
      <c r="U4" s="10"/>
      <c r="AD4" s="10"/>
      <c r="AE4" s="94">
        <v>2</v>
      </c>
      <c r="AF4" s="98">
        <v>1.2</v>
      </c>
      <c r="AG4" s="96">
        <v>0.45</v>
      </c>
      <c r="AJ4" s="109"/>
      <c r="AK4" s="109"/>
      <c r="AL4" s="109" t="s">
        <v>232</v>
      </c>
      <c r="AM4" s="346"/>
      <c r="AN4" s="346"/>
      <c r="AO4" s="346"/>
      <c r="AP4" s="110"/>
      <c r="AQ4" s="111"/>
      <c r="AR4" s="193"/>
      <c r="AS4" s="193"/>
      <c r="AT4" s="193"/>
      <c r="AU4" s="193"/>
      <c r="AV4" s="193"/>
      <c r="AW4" s="193"/>
      <c r="AX4" s="193"/>
      <c r="AY4" s="109"/>
      <c r="BA4" s="250"/>
      <c r="BC4" s="250"/>
      <c r="BD4"/>
      <c r="BE4" s="250"/>
      <c r="BG4" s="250"/>
      <c r="BI4" s="250"/>
      <c r="BV4" s="422" t="str">
        <f>CONCATENATE(IF(OR('2-Vzhled a charakter'!$I$2="Světlý elf",'2-Vzhled a charakter'!$I$2="Světlá elfka"),BX4,IF(OR('2-Vzhled a charakter'!$B$2="Trpaslík",'2-Vzhled a charakter'!$B$2="Trpaslce"),BY4,IF(OR('2-Vzhled a charakter'!$I$2="Temný elf",'2-Vzhled a charakter'!$I$2="Temná elfka"),BZ4,BW4)))," (",CA4,")")</f>
        <v>Adrasteia (Bohyně smrti)</v>
      </c>
      <c r="BW4" s="33" t="s">
        <v>1430</v>
      </c>
      <c r="BX4" s="33" t="s">
        <v>1431</v>
      </c>
      <c r="BY4" s="33" t="s">
        <v>1430</v>
      </c>
      <c r="BZ4" s="33" t="s">
        <v>1431</v>
      </c>
      <c r="CA4" s="33" t="s">
        <v>1432</v>
      </c>
    </row>
    <row r="5" spans="1:79" ht="15" customHeight="1" x14ac:dyDescent="0.3">
      <c r="A5" s="922" t="s">
        <v>40</v>
      </c>
      <c r="B5" s="1228" t="s">
        <v>240</v>
      </c>
      <c r="C5" s="1229"/>
      <c r="D5" s="1230"/>
      <c r="E5" s="197" t="s">
        <v>2494</v>
      </c>
      <c r="F5" s="197"/>
      <c r="G5" s="197"/>
      <c r="H5" s="1209">
        <f>'Tvorba postavy'!C7</f>
        <v>0</v>
      </c>
      <c r="I5" s="1210"/>
      <c r="J5" s="1210"/>
      <c r="K5" s="1202"/>
      <c r="L5" s="322">
        <f>'Tvorba postavy'!D8</f>
        <v>0</v>
      </c>
      <c r="M5" s="322">
        <f>LOOKUP(L5,'1-Vlastnosti'!$AR$9:$AR$48,'1-Vlastnosti'!$AS$9:$AS$48)</f>
        <v>0</v>
      </c>
      <c r="N5" s="294"/>
      <c r="O5" s="295"/>
      <c r="P5" s="295"/>
      <c r="Q5" s="295"/>
      <c r="R5" s="295"/>
      <c r="S5" s="296"/>
      <c r="T5" s="761"/>
      <c r="U5" s="10"/>
      <c r="AD5" s="10"/>
      <c r="AE5" s="94">
        <v>3</v>
      </c>
      <c r="AF5" s="98">
        <v>1.4</v>
      </c>
      <c r="AG5" s="96">
        <v>0.5</v>
      </c>
      <c r="AJ5" s="105" t="s">
        <v>3896</v>
      </c>
      <c r="AK5" s="105" t="s">
        <v>17</v>
      </c>
      <c r="AL5" s="339">
        <v>0</v>
      </c>
      <c r="AM5" s="339"/>
      <c r="AN5" s="339"/>
      <c r="AO5" s="339"/>
      <c r="AP5" s="41">
        <v>1</v>
      </c>
      <c r="AQ5" s="107">
        <f>HLOOKUP(Věci!$D$2,Věci!$A$2:$F$529,MATCH(AJ5,Věci!$A$2:$A$529,0),FALSE)</f>
        <v>1</v>
      </c>
      <c r="AR5" s="194">
        <v>0</v>
      </c>
      <c r="AS5" s="194">
        <v>0</v>
      </c>
      <c r="AT5" s="194">
        <v>0</v>
      </c>
      <c r="AU5" s="194">
        <v>0</v>
      </c>
      <c r="AV5" s="194">
        <v>0</v>
      </c>
      <c r="AW5" s="194">
        <v>0</v>
      </c>
      <c r="AX5" s="194">
        <v>0</v>
      </c>
      <c r="AY5" s="340" t="s">
        <v>957</v>
      </c>
      <c r="BA5" s="250"/>
      <c r="BC5" s="250"/>
      <c r="BD5"/>
      <c r="BE5" s="250"/>
      <c r="BG5" s="250"/>
      <c r="BI5" s="250"/>
      <c r="BV5" s="422" t="str">
        <f>CONCATENATE(IF(OR('2-Vzhled a charakter'!$I$2="Světlý elf",'2-Vzhled a charakter'!$I$2="Světlá elfka"),BX5,IF(OR('2-Vzhled a charakter'!$B$2="Trpaslík",'2-Vzhled a charakter'!$B$2="Trpaslce"),BY5,IF(OR('2-Vzhled a charakter'!$I$2="Temný elf",'2-Vzhled a charakter'!$I$2="Temná elfka"),BZ5,BW5)))," (",CA5,")")</f>
        <v>Veles (Bůh pastevec)</v>
      </c>
      <c r="BW5" s="33" t="s">
        <v>1422</v>
      </c>
      <c r="BX5" s="33" t="s">
        <v>1420</v>
      </c>
      <c r="BY5" s="33" t="s">
        <v>1419</v>
      </c>
      <c r="BZ5" s="33" t="s">
        <v>1420</v>
      </c>
      <c r="CA5" s="33" t="s">
        <v>1421</v>
      </c>
    </row>
    <row r="6" spans="1:79" ht="15" customHeight="1" x14ac:dyDescent="0.3">
      <c r="A6" s="768"/>
      <c r="B6" s="197"/>
      <c r="C6" s="197"/>
      <c r="D6" s="763" t="s">
        <v>420</v>
      </c>
      <c r="E6" s="1311">
        <f>'Tvorba postavy'!D10</f>
        <v>0</v>
      </c>
      <c r="F6" s="1312"/>
      <c r="G6" s="197" t="s">
        <v>4269</v>
      </c>
      <c r="H6" s="197"/>
      <c r="I6" s="1311">
        <f ca="1">LOOKUP('1-Vlastnosti'!S2+1,'7-Tabulky'!$Y$44:$Y$67,'7-Tabulky'!$AA$44:$AA$72)</f>
        <v>92</v>
      </c>
      <c r="J6" s="1312"/>
      <c r="K6" s="197"/>
      <c r="L6" s="763" t="s">
        <v>89</v>
      </c>
      <c r="M6" s="343">
        <f ca="1">IF(I6-E6&gt;0,I6-E6,0)</f>
        <v>92</v>
      </c>
      <c r="N6" s="294"/>
      <c r="O6" s="295"/>
      <c r="P6" s="295"/>
      <c r="Q6" s="295"/>
      <c r="R6" s="295"/>
      <c r="S6" s="296"/>
      <c r="T6" s="761"/>
      <c r="U6" s="10"/>
      <c r="AD6" s="10"/>
      <c r="AE6" s="94">
        <v>4</v>
      </c>
      <c r="AF6" s="98">
        <v>1.6</v>
      </c>
      <c r="AG6" s="96">
        <v>0.56000000000000005</v>
      </c>
      <c r="AJ6" s="105" t="s">
        <v>3898</v>
      </c>
      <c r="AK6" s="105" t="s">
        <v>17</v>
      </c>
      <c r="AL6" s="103">
        <v>0</v>
      </c>
      <c r="AM6" s="103"/>
      <c r="AN6" s="103"/>
      <c r="AO6" s="103"/>
      <c r="AP6" s="103">
        <v>1</v>
      </c>
      <c r="AQ6" s="260">
        <f>HLOOKUP(Věci!$D$2,Věci!$A$2:$F$529,MATCH(AJ6,Věci!$A$2:$A$529,0),FALSE)</f>
        <v>0</v>
      </c>
      <c r="AR6" s="194">
        <v>0</v>
      </c>
      <c r="AS6" s="194">
        <v>0</v>
      </c>
      <c r="AT6" s="194">
        <v>0</v>
      </c>
      <c r="AU6" s="194">
        <v>0</v>
      </c>
      <c r="AV6" s="194">
        <v>0</v>
      </c>
      <c r="AW6" s="194">
        <v>0</v>
      </c>
      <c r="AX6" s="194">
        <v>0</v>
      </c>
      <c r="AY6" s="104" t="s">
        <v>957</v>
      </c>
      <c r="BA6" s="250"/>
      <c r="BC6" s="250"/>
      <c r="BD6"/>
      <c r="BE6" s="250"/>
      <c r="BG6" s="250"/>
      <c r="BI6" s="250"/>
      <c r="BK6" t="s">
        <v>1328</v>
      </c>
      <c r="BV6" s="422" t="str">
        <f>CONCATENATE(IF(OR('2-Vzhled a charakter'!$I$2="Světlý elf",'2-Vzhled a charakter'!$I$2="Světlá elfka"),BX6,IF(OR('2-Vzhled a charakter'!$B$2="Trpaslík",'2-Vzhled a charakter'!$B$2="Trpaslce"),BY6,IF(OR('2-Vzhled a charakter'!$I$2="Temný elf",'2-Vzhled a charakter'!$I$2="Temná elfka"),BZ6,BW6)))," (",CA6,")")</f>
        <v>Akra (Bohyně štěstěny)</v>
      </c>
      <c r="BW6" s="33" t="s">
        <v>1442</v>
      </c>
      <c r="BX6" s="33" t="s">
        <v>1443</v>
      </c>
      <c r="BY6" s="33" t="s">
        <v>1442</v>
      </c>
      <c r="BZ6" s="33" t="s">
        <v>1443</v>
      </c>
      <c r="CA6" s="33" t="s">
        <v>1441</v>
      </c>
    </row>
    <row r="7" spans="1:79" ht="15" customHeight="1" x14ac:dyDescent="0.3">
      <c r="A7" s="764" t="s">
        <v>145</v>
      </c>
      <c r="B7" s="1228" t="s">
        <v>232</v>
      </c>
      <c r="C7" s="1229"/>
      <c r="D7" s="1230"/>
      <c r="E7" s="765" t="s">
        <v>1159</v>
      </c>
      <c r="F7" s="197"/>
      <c r="G7" s="1351"/>
      <c r="H7" s="1352"/>
      <c r="I7" s="1353"/>
      <c r="J7" s="1353"/>
      <c r="K7" s="1353"/>
      <c r="L7" s="1353"/>
      <c r="M7" s="1354"/>
      <c r="N7" s="1342" t="s">
        <v>1096</v>
      </c>
      <c r="O7" s="1343"/>
      <c r="P7" s="1343"/>
      <c r="Q7" s="1343"/>
      <c r="R7" s="1343"/>
      <c r="S7" s="1344"/>
      <c r="T7" s="761"/>
      <c r="U7" s="10"/>
      <c r="AD7" s="10"/>
      <c r="AE7" s="94">
        <v>5</v>
      </c>
      <c r="AF7" s="98">
        <v>1.8</v>
      </c>
      <c r="AG7" s="96">
        <v>0.63</v>
      </c>
      <c r="AJ7" s="105" t="s">
        <v>2410</v>
      </c>
      <c r="AK7" s="105" t="s">
        <v>17</v>
      </c>
      <c r="AL7" s="103">
        <v>0</v>
      </c>
      <c r="AM7" s="103"/>
      <c r="AN7" s="103"/>
      <c r="AO7" s="103"/>
      <c r="AP7" s="103">
        <v>1</v>
      </c>
      <c r="AQ7" s="260">
        <f>HLOOKUP(Věci!$D$2,Věci!$A$2:$F$529,MATCH(AJ7,Věci!$A$2:$A$529,0),FALSE)</f>
        <v>1</v>
      </c>
      <c r="AR7" s="194">
        <v>0</v>
      </c>
      <c r="AS7" s="194">
        <v>0</v>
      </c>
      <c r="AT7" s="194">
        <v>0</v>
      </c>
      <c r="AU7" s="194">
        <v>0</v>
      </c>
      <c r="AV7" s="194">
        <v>0</v>
      </c>
      <c r="AW7" s="194">
        <v>0</v>
      </c>
      <c r="AX7" s="194">
        <v>0</v>
      </c>
      <c r="AY7" s="258" t="s">
        <v>957</v>
      </c>
      <c r="BA7" s="250"/>
      <c r="BC7" s="250"/>
      <c r="BD7"/>
      <c r="BE7" s="250"/>
      <c r="BG7" s="250"/>
      <c r="BI7" s="250"/>
      <c r="BK7" s="1" t="s">
        <v>1327</v>
      </c>
      <c r="BL7" t="s">
        <v>237</v>
      </c>
      <c r="BM7" t="s">
        <v>240</v>
      </c>
      <c r="BN7" t="s">
        <v>236</v>
      </c>
      <c r="BO7" t="s">
        <v>244</v>
      </c>
      <c r="BP7" t="s">
        <v>241</v>
      </c>
      <c r="BQ7" t="s">
        <v>243</v>
      </c>
      <c r="BR7" t="s">
        <v>238</v>
      </c>
      <c r="BS7" t="s">
        <v>242</v>
      </c>
      <c r="BT7" t="s">
        <v>239</v>
      </c>
      <c r="BV7" s="422" t="str">
        <f>CONCATENATE(IF(OR('2-Vzhled a charakter'!$I$2="Světlý elf",'2-Vzhled a charakter'!$I$2="Světlá elfka"),BX7,IF(OR('2-Vzhled a charakter'!$B$2="Trpaslík",'2-Vzhled a charakter'!$B$2="Trpaslce"),BY7,IF(OR('2-Vzhled a charakter'!$I$2="Temný elf",'2-Vzhled a charakter'!$I$2="Temná elfka"),BZ7,BW7)))," (",CA7,")")</f>
        <v>Freya (Bohyně lásky)</v>
      </c>
      <c r="BW7" s="33" t="s">
        <v>1394</v>
      </c>
      <c r="BX7" s="33" t="s">
        <v>1393</v>
      </c>
      <c r="BY7" s="33" t="s">
        <v>1391</v>
      </c>
      <c r="BZ7" s="33" t="s">
        <v>1392</v>
      </c>
      <c r="CA7" s="33" t="s">
        <v>1395</v>
      </c>
    </row>
    <row r="8" spans="1:79" ht="15" customHeight="1" x14ac:dyDescent="0.3">
      <c r="A8" s="768"/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197"/>
      <c r="N8" s="311"/>
      <c r="O8" s="312"/>
      <c r="P8" s="312"/>
      <c r="Q8" s="312"/>
      <c r="R8" s="312"/>
      <c r="S8" s="313"/>
      <c r="T8" s="761"/>
      <c r="U8" s="10"/>
      <c r="AD8" s="10"/>
      <c r="AE8" s="94">
        <v>6</v>
      </c>
      <c r="AF8" s="98">
        <v>2</v>
      </c>
      <c r="AG8" s="96">
        <v>0.7</v>
      </c>
      <c r="AJ8" s="105" t="s">
        <v>3897</v>
      </c>
      <c r="AK8" s="105" t="s">
        <v>17</v>
      </c>
      <c r="AL8" s="103">
        <v>0</v>
      </c>
      <c r="AM8" s="103"/>
      <c r="AN8" s="103"/>
      <c r="AO8" s="103"/>
      <c r="AP8" s="103">
        <v>1</v>
      </c>
      <c r="AQ8" s="260">
        <f>HLOOKUP(Věci!$D$2,Věci!$A$2:$F$529,MATCH(AJ8,Věci!$A$2:$A$529,0),FALSE)</f>
        <v>0</v>
      </c>
      <c r="AR8" s="194">
        <v>0</v>
      </c>
      <c r="AS8" s="194">
        <v>0</v>
      </c>
      <c r="AT8" s="194">
        <v>0</v>
      </c>
      <c r="AU8" s="194">
        <v>0</v>
      </c>
      <c r="AV8" s="194">
        <v>0</v>
      </c>
      <c r="AW8" s="194">
        <v>0</v>
      </c>
      <c r="AX8" s="194">
        <v>0</v>
      </c>
      <c r="AY8" s="643" t="s">
        <v>957</v>
      </c>
      <c r="BA8" s="249" t="s">
        <v>3096</v>
      </c>
      <c r="BC8" s="249" t="s">
        <v>853</v>
      </c>
      <c r="BD8"/>
      <c r="BE8" s="249" t="s">
        <v>2384</v>
      </c>
      <c r="BG8" s="249" t="s">
        <v>2362</v>
      </c>
      <c r="BI8" s="249" t="s">
        <v>912</v>
      </c>
      <c r="BK8" s="412" t="str">
        <f>IF('2-Vzhled a charakter'!$B$5&lt;&gt;0,LOOKUP('2-Vzhled a charakter'!$B$5,$BL$7:$BT$7,$BL8:$BT8)," ")</f>
        <v>Apatický</v>
      </c>
      <c r="BL8" s="249" t="s">
        <v>730</v>
      </c>
      <c r="BM8" s="249" t="s">
        <v>728</v>
      </c>
      <c r="BN8" s="249" t="s">
        <v>736</v>
      </c>
      <c r="BO8" s="249" t="s">
        <v>5230</v>
      </c>
      <c r="BP8" s="249" t="s">
        <v>3096</v>
      </c>
      <c r="BQ8" s="249" t="s">
        <v>729</v>
      </c>
      <c r="BR8" s="249" t="s">
        <v>759</v>
      </c>
      <c r="BS8" s="249" t="s">
        <v>734</v>
      </c>
      <c r="BT8" s="249" t="s">
        <v>747</v>
      </c>
      <c r="BV8" s="422" t="str">
        <f>CONCATENATE(IF(OR('2-Vzhled a charakter'!$I$2="Světlý elf",'2-Vzhled a charakter'!$I$2="Světlá elfka"),BX8,IF(OR('2-Vzhled a charakter'!$B$2="Trpaslík",'2-Vzhled a charakter'!$B$2="Trpaslce"),BY8,IF(OR('2-Vzhled a charakter'!$I$2="Temný elf",'2-Vzhled a charakter'!$I$2="Temná elfka"),BZ8,BW8)))," (",CA8,")")</f>
        <v>Brigid (Bohyně léčitelka)</v>
      </c>
      <c r="BW8" s="33" t="s">
        <v>1397</v>
      </c>
      <c r="BX8" s="33" t="s">
        <v>1396</v>
      </c>
      <c r="BY8" s="33" t="s">
        <v>1397</v>
      </c>
      <c r="BZ8" s="33" t="s">
        <v>1396</v>
      </c>
      <c r="CA8" s="33" t="s">
        <v>1398</v>
      </c>
    </row>
    <row r="9" spans="1:79" ht="15" customHeight="1" x14ac:dyDescent="0.3">
      <c r="A9" s="922" t="s">
        <v>2596</v>
      </c>
      <c r="B9" s="197"/>
      <c r="C9" s="197"/>
      <c r="D9" s="197"/>
      <c r="E9" s="923" t="s">
        <v>2597</v>
      </c>
      <c r="F9" s="943"/>
      <c r="G9" s="943"/>
      <c r="H9" s="197"/>
      <c r="I9" s="197"/>
      <c r="J9" s="1330" t="s">
        <v>4268</v>
      </c>
      <c r="K9" s="1330"/>
      <c r="L9" s="1330"/>
      <c r="M9" s="1331"/>
      <c r="N9" s="311"/>
      <c r="O9" s="312"/>
      <c r="P9" s="312"/>
      <c r="Q9" s="312"/>
      <c r="R9" s="312"/>
      <c r="S9" s="313"/>
      <c r="T9" s="761"/>
      <c r="U9" s="10"/>
      <c r="AD9" s="10"/>
      <c r="AE9" s="94">
        <v>7</v>
      </c>
      <c r="AF9" s="98">
        <v>2.2000000000000002</v>
      </c>
      <c r="AG9" s="96">
        <v>0.8</v>
      </c>
      <c r="AJ9" s="259" t="s">
        <v>1177</v>
      </c>
      <c r="AK9" s="105" t="s">
        <v>17</v>
      </c>
      <c r="AL9" s="642">
        <v>1</v>
      </c>
      <c r="AM9" s="642"/>
      <c r="AN9" s="642"/>
      <c r="AO9" s="642"/>
      <c r="AP9" s="642">
        <v>1</v>
      </c>
      <c r="AQ9" s="107">
        <f>HLOOKUP(Věci!$D$2,Věci!$A$2:$F$529,MATCH(AJ9,Věci!$A$2:$A$529,0),FALSE)</f>
        <v>1</v>
      </c>
      <c r="AR9" s="194">
        <v>0</v>
      </c>
      <c r="AS9" s="194">
        <v>0</v>
      </c>
      <c r="AT9" s="194">
        <v>0</v>
      </c>
      <c r="AU9" s="194">
        <v>0</v>
      </c>
      <c r="AV9" s="194">
        <v>0</v>
      </c>
      <c r="AW9" s="194">
        <v>0</v>
      </c>
      <c r="AX9" s="194">
        <v>0</v>
      </c>
      <c r="AY9" s="643" t="s">
        <v>1179</v>
      </c>
      <c r="BA9" s="249" t="s">
        <v>728</v>
      </c>
      <c r="BC9" s="249" t="s">
        <v>852</v>
      </c>
      <c r="BD9"/>
      <c r="BE9" s="249" t="s">
        <v>2385</v>
      </c>
      <c r="BG9" s="249" t="s">
        <v>885</v>
      </c>
      <c r="BI9" s="249" t="s">
        <v>924</v>
      </c>
      <c r="BK9" s="412" t="str">
        <f>IF('2-Vzhled a charakter'!$B$5&lt;&gt;0,LOOKUP('2-Vzhled a charakter'!$B$5,$BL$7:$BT$7,$BL9:$BT9)," ")</f>
        <v>Flegmatický</v>
      </c>
      <c r="BL9" s="249" t="s">
        <v>731</v>
      </c>
      <c r="BM9" s="249" t="s">
        <v>738</v>
      </c>
      <c r="BN9" s="249" t="s">
        <v>737</v>
      </c>
      <c r="BO9" s="249" t="s">
        <v>5229</v>
      </c>
      <c r="BP9" s="249" t="s">
        <v>732</v>
      </c>
      <c r="BQ9" s="249" t="s">
        <v>744</v>
      </c>
      <c r="BR9" s="249" t="s">
        <v>760</v>
      </c>
      <c r="BS9" s="249" t="s">
        <v>745</v>
      </c>
      <c r="BT9" s="249" t="s">
        <v>752</v>
      </c>
      <c r="BV9" s="422" t="str">
        <f>CONCATENATE(IF(OR('2-Vzhled a charakter'!$I$2="Světlý elf",'2-Vzhled a charakter'!$I$2="Světlá elfka"),BX9,IF(OR('2-Vzhled a charakter'!$B$2="Trpaslík",'2-Vzhled a charakter'!$B$2="Trpaslce"),BY9,IF(OR('2-Vzhled a charakter'!$I$2="Temný elf",'2-Vzhled a charakter'!$I$2="Temná elfka"),BZ9,BW9)))," (",CA9,")")</f>
        <v>Sůlimo (Bůh nebes a vládce bohů)</v>
      </c>
      <c r="BW9" s="33" t="s">
        <v>1407</v>
      </c>
      <c r="BX9" s="33" t="s">
        <v>1406</v>
      </c>
      <c r="BY9" s="33" t="s">
        <v>1408</v>
      </c>
      <c r="BZ9" s="33" t="s">
        <v>1406</v>
      </c>
      <c r="CA9" s="33" t="s">
        <v>1409</v>
      </c>
    </row>
    <row r="10" spans="1:79" ht="15" customHeight="1" x14ac:dyDescent="0.3">
      <c r="A10" s="1201" t="str">
        <f>'Tvorba postavy'!E31</f>
        <v xml:space="preserve"> -</v>
      </c>
      <c r="B10" s="1210"/>
      <c r="C10" s="1202"/>
      <c r="D10" s="520" t="str">
        <f>KV_1</f>
        <v>201</v>
      </c>
      <c r="E10" s="1209" t="str">
        <f>HLOOKUP('Tvorba postavy'!$BO$5,'Tvorba postavy'!$BN$5:$BO$130,MATCH(H10,'Tvorba postavy'!$BN$5:$BN$130,0),FALSE)</f>
        <v xml:space="preserve"> -</v>
      </c>
      <c r="F10" s="1210"/>
      <c r="G10" s="1202"/>
      <c r="H10" s="520" t="str">
        <f>ZV_1</f>
        <v>201</v>
      </c>
      <c r="I10" s="197"/>
      <c r="J10" s="1357" t="str">
        <f>'Tvorba postavy'!F24</f>
        <v>Standard</v>
      </c>
      <c r="K10" s="1357"/>
      <c r="L10" s="1358"/>
      <c r="M10" s="928">
        <f>'Tvorba postavy'!D64</f>
        <v>8</v>
      </c>
      <c r="N10" s="311"/>
      <c r="O10" s="312"/>
      <c r="P10" s="312"/>
      <c r="Q10" s="312"/>
      <c r="R10" s="312"/>
      <c r="S10" s="313"/>
      <c r="T10" s="761"/>
      <c r="U10" s="10"/>
      <c r="AD10" s="10"/>
      <c r="AE10" s="94">
        <v>8</v>
      </c>
      <c r="AF10" s="98">
        <v>2.5</v>
      </c>
      <c r="AG10" s="96">
        <v>0.9</v>
      </c>
      <c r="AJ10" s="105" t="s">
        <v>1169</v>
      </c>
      <c r="AK10" s="105" t="s">
        <v>17</v>
      </c>
      <c r="AL10" s="103">
        <v>1</v>
      </c>
      <c r="AM10" s="103"/>
      <c r="AN10" s="103"/>
      <c r="AO10" s="103"/>
      <c r="AP10" s="103">
        <v>1</v>
      </c>
      <c r="AQ10" s="260">
        <f>HLOOKUP(Věci!$D$2,Věci!$A$2:$F$529,MATCH(AJ10,Věci!$A$2:$A$529,0),FALSE)</f>
        <v>0</v>
      </c>
      <c r="AR10" s="194">
        <v>0</v>
      </c>
      <c r="AS10" s="194">
        <v>0</v>
      </c>
      <c r="AT10" s="194">
        <v>0</v>
      </c>
      <c r="AU10" s="194">
        <v>0</v>
      </c>
      <c r="AV10" s="194">
        <v>0</v>
      </c>
      <c r="AW10" s="194">
        <v>0</v>
      </c>
      <c r="AX10" s="194">
        <v>0</v>
      </c>
      <c r="AY10" s="643" t="s">
        <v>957</v>
      </c>
      <c r="BA10" s="249" t="s">
        <v>729</v>
      </c>
      <c r="BC10" s="249" t="s">
        <v>824</v>
      </c>
      <c r="BD10"/>
      <c r="BE10" s="249" t="s">
        <v>855</v>
      </c>
      <c r="BG10" s="249" t="s">
        <v>2364</v>
      </c>
      <c r="BI10" s="249" t="s">
        <v>909</v>
      </c>
      <c r="BK10" s="412" t="str">
        <f>IF('2-Vzhled a charakter'!$B$5&lt;&gt;0,LOOKUP('2-Vzhled a charakter'!$B$5,$BL$7:$BT$7,$BL10:$BT10)," ")</f>
        <v>Klidný</v>
      </c>
      <c r="BL10" s="249" t="s">
        <v>596</v>
      </c>
      <c r="BM10" s="249" t="s">
        <v>746</v>
      </c>
      <c r="BN10" s="249" t="s">
        <v>763</v>
      </c>
      <c r="BO10" s="249" t="s">
        <v>5231</v>
      </c>
      <c r="BP10" s="249" t="s">
        <v>733</v>
      </c>
      <c r="BQ10" s="249" t="s">
        <v>1332</v>
      </c>
      <c r="BR10" s="249" t="s">
        <v>1336</v>
      </c>
      <c r="BS10" s="249" t="s">
        <v>611</v>
      </c>
      <c r="BT10" s="249" t="s">
        <v>754</v>
      </c>
      <c r="BV10" s="422" t="str">
        <f>CONCATENATE(IF(OR('2-Vzhled a charakter'!$I$2="Světlý elf",'2-Vzhled a charakter'!$I$2="Světlá elfka"),BX10,IF(OR('2-Vzhled a charakter'!$B$2="Trpaslík",'2-Vzhled a charakter'!$B$2="Trpaslce"),BY10,IF(OR('2-Vzhled a charakter'!$I$2="Temný elf",'2-Vzhled a charakter'!$I$2="Temná elfka"),BZ10,BW10)))," (",CA10,")")</f>
        <v>Gorthaur (Bůh chaosu)</v>
      </c>
      <c r="BW10" s="33" t="s">
        <v>1388</v>
      </c>
      <c r="BX10" s="33" t="s">
        <v>1389</v>
      </c>
      <c r="BY10" s="33" t="s">
        <v>1389</v>
      </c>
      <c r="BZ10" s="33" t="s">
        <v>1389</v>
      </c>
      <c r="CA10" s="33" t="s">
        <v>1390</v>
      </c>
    </row>
    <row r="11" spans="1:79" ht="12.9" customHeight="1" x14ac:dyDescent="0.3">
      <c r="A11" s="1201" t="str">
        <f>'Tvorba postavy'!F32</f>
        <v xml:space="preserve"> -</v>
      </c>
      <c r="B11" s="1210"/>
      <c r="C11" s="1202"/>
      <c r="D11" s="520" t="str">
        <f>KV_2</f>
        <v>201</v>
      </c>
      <c r="E11" s="1209" t="str">
        <f>'Tvorba postavy'!F28</f>
        <v xml:space="preserve"> -</v>
      </c>
      <c r="F11" s="1210"/>
      <c r="G11" s="1202"/>
      <c r="H11" s="520" t="str">
        <f>ZV_2</f>
        <v>201</v>
      </c>
      <c r="I11" s="197"/>
      <c r="J11" s="197"/>
      <c r="K11" s="926" t="s">
        <v>288</v>
      </c>
      <c r="L11" s="129">
        <f>'Tvorba postavy'!D65</f>
        <v>3</v>
      </c>
      <c r="M11" s="68" t="str">
        <f>IF(SUM($L$11:$L$13)&gt;$M$10,"!!!"," ")</f>
        <v xml:space="preserve"> </v>
      </c>
      <c r="N11" s="311"/>
      <c r="O11" s="312"/>
      <c r="P11" s="312"/>
      <c r="Q11" s="312"/>
      <c r="R11" s="312"/>
      <c r="S11" s="313"/>
      <c r="T11" s="761"/>
      <c r="U11" s="10"/>
      <c r="V11" s="10"/>
      <c r="W11" s="10"/>
      <c r="AC11" s="10"/>
      <c r="AD11" s="10"/>
      <c r="AE11" s="94">
        <v>9</v>
      </c>
      <c r="AF11" s="98">
        <v>2.8</v>
      </c>
      <c r="AG11" s="96">
        <v>1</v>
      </c>
      <c r="AJ11" s="105" t="s">
        <v>3895</v>
      </c>
      <c r="AK11" s="105" t="s">
        <v>17</v>
      </c>
      <c r="AL11" s="256" t="s">
        <v>90</v>
      </c>
      <c r="AM11" s="256"/>
      <c r="AN11" s="256"/>
      <c r="AO11" s="256"/>
      <c r="AP11" s="642">
        <v>1</v>
      </c>
      <c r="AQ11" s="106">
        <f>HLOOKUP(Věci!$D$2,Věci!$A$2:$F$529,MATCH(AJ11,Věci!$A$2:$A$529,0),FALSE)</f>
        <v>1</v>
      </c>
      <c r="AR11" s="194">
        <v>0</v>
      </c>
      <c r="AS11" s="194">
        <v>0</v>
      </c>
      <c r="AT11" s="194">
        <v>0</v>
      </c>
      <c r="AU11" s="194">
        <v>0</v>
      </c>
      <c r="AV11" s="194">
        <v>0</v>
      </c>
      <c r="AW11" s="194">
        <v>0</v>
      </c>
      <c r="AX11" s="194">
        <v>0</v>
      </c>
      <c r="AY11" s="104" t="s">
        <v>957</v>
      </c>
      <c r="BA11" s="249" t="s">
        <v>730</v>
      </c>
      <c r="BC11" s="249" t="s">
        <v>2949</v>
      </c>
      <c r="BD11"/>
      <c r="BE11" s="249" t="s">
        <v>2922</v>
      </c>
      <c r="BG11" s="249" t="s">
        <v>2357</v>
      </c>
      <c r="BI11" s="249" t="s">
        <v>2930</v>
      </c>
      <c r="BK11" s="412" t="str">
        <f>IF('2-Vzhled a charakter'!$B$5&lt;&gt;0,LOOKUP('2-Vzhled a charakter'!$B$5,$BL$7:$BT$7,$BL11:$BT11)," ")</f>
        <v>Lenivý</v>
      </c>
      <c r="BL11" s="249" t="s">
        <v>753</v>
      </c>
      <c r="BM11" s="249" t="s">
        <v>748</v>
      </c>
      <c r="BN11" s="249" t="s">
        <v>766</v>
      </c>
      <c r="BO11" s="249" t="s">
        <v>612</v>
      </c>
      <c r="BP11" s="249" t="s">
        <v>735</v>
      </c>
      <c r="BQ11" s="249" t="s">
        <v>761</v>
      </c>
      <c r="BR11" s="249" t="s">
        <v>1335</v>
      </c>
      <c r="BS11" s="249" t="s">
        <v>769</v>
      </c>
      <c r="BT11" s="249" t="s">
        <v>757</v>
      </c>
      <c r="BV11" s="422" t="str">
        <f>CONCATENATE(IF(OR('2-Vzhled a charakter'!$I$2="Světlý elf",'2-Vzhled a charakter'!$I$2="Světlá elfka"),BX11,IF(OR('2-Vzhled a charakter'!$B$2="Trpaslík",'2-Vzhled a charakter'!$B$2="Trpaslce"),BY11,IF(OR('2-Vzhled a charakter'!$I$2="Temný elf",'2-Vzhled a charakter'!$I$2="Temná elfka"),BZ11,BW11)))," (",CA11,")")</f>
        <v>Tauron (Bůh zvěře a lovu)</v>
      </c>
      <c r="BW11" s="33" t="s">
        <v>1402</v>
      </c>
      <c r="BX11" s="33" t="s">
        <v>1400</v>
      </c>
      <c r="BY11" s="33" t="s">
        <v>1401</v>
      </c>
      <c r="BZ11" s="33" t="s">
        <v>1399</v>
      </c>
      <c r="CA11" s="33" t="s">
        <v>1403</v>
      </c>
    </row>
    <row r="12" spans="1:79" ht="12.9" customHeight="1" x14ac:dyDescent="0.3">
      <c r="A12" s="1201" t="str">
        <f>'Tvorba postavy'!F33</f>
        <v xml:space="preserve"> -</v>
      </c>
      <c r="B12" s="1210"/>
      <c r="C12" s="1202"/>
      <c r="D12" s="520" t="str">
        <f>KV_3</f>
        <v>201</v>
      </c>
      <c r="E12" s="1209" t="str">
        <f>'Tvorba postavy'!F29</f>
        <v xml:space="preserve"> -</v>
      </c>
      <c r="F12" s="1210"/>
      <c r="G12" s="1202"/>
      <c r="H12" s="520" t="str">
        <f>ZV_3</f>
        <v>201</v>
      </c>
      <c r="I12" s="197"/>
      <c r="J12" s="197"/>
      <c r="K12" s="926" t="s">
        <v>289</v>
      </c>
      <c r="L12" s="129">
        <f>'Tvorba postavy'!D66</f>
        <v>0</v>
      </c>
      <c r="M12" s="68" t="str">
        <f>IF(SUM($L$11:$L$13)&gt;$M$10,"!!!"," ")</f>
        <v xml:space="preserve"> </v>
      </c>
      <c r="N12" s="294"/>
      <c r="O12" s="295"/>
      <c r="P12" s="295"/>
      <c r="Q12" s="295"/>
      <c r="R12" s="295"/>
      <c r="S12" s="296"/>
      <c r="T12" s="761"/>
      <c r="U12" s="10"/>
      <c r="AE12" s="94">
        <v>10</v>
      </c>
      <c r="AF12" s="98">
        <v>3.2</v>
      </c>
      <c r="AG12" s="96">
        <v>1.1000000000000001</v>
      </c>
      <c r="AJ12" s="259" t="s">
        <v>1281</v>
      </c>
      <c r="AK12" s="105" t="s">
        <v>17</v>
      </c>
      <c r="AL12" s="642">
        <v>2</v>
      </c>
      <c r="AM12" s="642"/>
      <c r="AN12" s="642"/>
      <c r="AO12" s="642"/>
      <c r="AP12" s="257">
        <v>1</v>
      </c>
      <c r="AQ12" s="107">
        <f>HLOOKUP(Věci!$D$2,Věci!$A$2:$F$529,MATCH(AJ12,Věci!$A$2:$A$529,0),FALSE)</f>
        <v>2</v>
      </c>
      <c r="AR12" s="194">
        <v>0</v>
      </c>
      <c r="AS12" s="194">
        <v>0</v>
      </c>
      <c r="AT12" s="194">
        <v>0</v>
      </c>
      <c r="AU12" s="194">
        <v>0</v>
      </c>
      <c r="AV12" s="194">
        <v>0</v>
      </c>
      <c r="AW12" s="194">
        <v>0</v>
      </c>
      <c r="AX12" s="194">
        <v>0</v>
      </c>
      <c r="AY12" s="643" t="s">
        <v>957</v>
      </c>
      <c r="BA12" s="249" t="s">
        <v>731</v>
      </c>
      <c r="BC12" s="249" t="s">
        <v>848</v>
      </c>
      <c r="BD12"/>
      <c r="BE12" s="249" t="s">
        <v>2375</v>
      </c>
      <c r="BG12" s="249" t="s">
        <v>890</v>
      </c>
      <c r="BI12" s="249" t="s">
        <v>1606</v>
      </c>
      <c r="BK12" s="412" t="str">
        <f>IF('2-Vzhled a charakter'!$B$5&lt;&gt;0,LOOKUP('2-Vzhled a charakter'!$B$5,$BL$7:$BT$7,$BL12:$BT12)," ")</f>
        <v>Málomluvný</v>
      </c>
      <c r="BL12" s="249" t="s">
        <v>771</v>
      </c>
      <c r="BM12" s="249" t="s">
        <v>751</v>
      </c>
      <c r="BN12" s="249" t="s">
        <v>1330</v>
      </c>
      <c r="BO12" s="249" t="s">
        <v>772</v>
      </c>
      <c r="BP12" s="249" t="s">
        <v>739</v>
      </c>
      <c r="BQ12" s="249" t="s">
        <v>765</v>
      </c>
      <c r="BR12" s="249" t="s">
        <v>775</v>
      </c>
      <c r="BS12" s="249" t="s">
        <v>621</v>
      </c>
      <c r="BT12" s="249" t="s">
        <v>762</v>
      </c>
      <c r="BV12" s="422" t="str">
        <f>CONCATENATE(IF(OR('2-Vzhled a charakter'!$I$2="Světlý elf",'2-Vzhled a charakter'!$I$2="Světlá elfka"),BX12,IF(OR('2-Vzhled a charakter'!$B$2="Trpaslík",'2-Vzhled a charakter'!$B$2="Trpaslce"),BY12,IF(OR('2-Vzhled a charakter'!$I$2="Temný elf",'2-Vzhled a charakter'!$I$2="Temná elfka"),BZ12,BW12)))," (",CA12,")")</f>
        <v>Lórien (Bůh vína a radosti)</v>
      </c>
      <c r="BW12" s="33" t="s">
        <v>1445</v>
      </c>
      <c r="BX12" s="33" t="s">
        <v>1444</v>
      </c>
      <c r="BY12" s="33" t="s">
        <v>1444</v>
      </c>
      <c r="BZ12" s="33" t="s">
        <v>1444</v>
      </c>
      <c r="CA12" s="33" t="s">
        <v>1446</v>
      </c>
    </row>
    <row r="13" spans="1:79" ht="12.9" customHeight="1" x14ac:dyDescent="0.3">
      <c r="A13" s="768"/>
      <c r="B13" s="197"/>
      <c r="C13" s="197"/>
      <c r="D13" s="197"/>
      <c r="E13" s="197"/>
      <c r="F13" s="197"/>
      <c r="G13" s="197"/>
      <c r="H13" s="197"/>
      <c r="I13" s="197"/>
      <c r="J13" s="197"/>
      <c r="K13" s="926" t="s">
        <v>290</v>
      </c>
      <c r="L13" s="129">
        <f>'Tvorba postavy'!D67</f>
        <v>0</v>
      </c>
      <c r="M13" s="68" t="str">
        <f>IF(SUM($L$11:$L$13)&gt;$M$10,"!!!"," ")</f>
        <v xml:space="preserve"> </v>
      </c>
      <c r="N13" s="294"/>
      <c r="O13" s="295"/>
      <c r="P13" s="295"/>
      <c r="Q13" s="295"/>
      <c r="R13" s="295"/>
      <c r="S13" s="296"/>
      <c r="T13" s="761"/>
      <c r="U13" s="10"/>
      <c r="AE13" s="94">
        <v>11</v>
      </c>
      <c r="AF13" s="98">
        <v>3.6</v>
      </c>
      <c r="AG13" s="96">
        <v>1.2</v>
      </c>
      <c r="AJ13" s="105" t="s">
        <v>954</v>
      </c>
      <c r="AK13" s="105" t="s">
        <v>17</v>
      </c>
      <c r="AL13" s="103">
        <v>3</v>
      </c>
      <c r="AM13" s="103"/>
      <c r="AN13" s="103"/>
      <c r="AO13" s="103">
        <v>1</v>
      </c>
      <c r="AP13" s="103">
        <v>3</v>
      </c>
      <c r="AQ13" s="260">
        <f>HLOOKUP(Věci!$D$2,Věci!$A$2:$F$529,MATCH(AJ13,Věci!$A$2:$A$529,0),FALSE)</f>
        <v>1</v>
      </c>
      <c r="AR13" s="194">
        <v>-1</v>
      </c>
      <c r="AS13" s="194">
        <v>0</v>
      </c>
      <c r="AT13" s="194">
        <v>0</v>
      </c>
      <c r="AU13" s="194">
        <v>0</v>
      </c>
      <c r="AV13" s="194">
        <v>0</v>
      </c>
      <c r="AW13" s="194">
        <v>0</v>
      </c>
      <c r="AX13" s="194">
        <v>0</v>
      </c>
      <c r="AY13" s="104" t="s">
        <v>955</v>
      </c>
      <c r="BA13" s="249" t="s">
        <v>732</v>
      </c>
      <c r="BC13" s="249" t="s">
        <v>825</v>
      </c>
      <c r="BD13"/>
      <c r="BE13" s="249" t="s">
        <v>2377</v>
      </c>
      <c r="BG13" s="249" t="s">
        <v>877</v>
      </c>
      <c r="BI13" s="249" t="s">
        <v>2931</v>
      </c>
      <c r="BK13" s="412" t="str">
        <f>IF('2-Vzhled a charakter'!$B$5&lt;&gt;0,LOOKUP('2-Vzhled a charakter'!$B$5,$BL$7:$BT$7,$BL13:$BT13)," ")</f>
        <v>Nerozhodný</v>
      </c>
      <c r="BL13" s="249" t="s">
        <v>776</v>
      </c>
      <c r="BM13" s="249" t="s">
        <v>758</v>
      </c>
      <c r="BN13" s="249" t="s">
        <v>778</v>
      </c>
      <c r="BO13" s="249" t="s">
        <v>5228</v>
      </c>
      <c r="BP13" s="249" t="s">
        <v>740</v>
      </c>
      <c r="BQ13" s="249" t="s">
        <v>774</v>
      </c>
      <c r="BR13" s="249" t="s">
        <v>782</v>
      </c>
      <c r="BS13" s="249" t="s">
        <v>623</v>
      </c>
      <c r="BT13" s="249" t="s">
        <v>780</v>
      </c>
      <c r="BV13" s="422" t="str">
        <f>CONCATENATE(IF(OR('2-Vzhled a charakter'!$I$2="Světlý elf",'2-Vzhled a charakter'!$I$2="Světlá elfka"),BX13,IF(OR('2-Vzhled a charakter'!$B$2="Trpaslík",'2-Vzhled a charakter'!$B$2="Trpaslce"),BY13,IF(OR('2-Vzhled a charakter'!$I$2="Temný elf",'2-Vzhled a charakter'!$I$2="Temná elfka"),BZ13,BW13)))," (",CA13,")")</f>
        <v>Valadorn (Bůh ochránce)</v>
      </c>
      <c r="BW13" s="33" t="s">
        <v>1410</v>
      </c>
      <c r="BX13" s="33" t="s">
        <v>1411</v>
      </c>
      <c r="BY13" s="33" t="s">
        <v>1411</v>
      </c>
      <c r="BZ13" s="33" t="s">
        <v>1411</v>
      </c>
      <c r="CA13" s="33" t="s">
        <v>1412</v>
      </c>
    </row>
    <row r="14" spans="1:79" ht="12.9" customHeight="1" x14ac:dyDescent="0.3">
      <c r="A14" s="944" t="s">
        <v>27</v>
      </c>
      <c r="B14" s="197"/>
      <c r="C14" s="197"/>
      <c r="D14" s="197"/>
      <c r="E14" s="197"/>
      <c r="F14" s="197"/>
      <c r="G14" s="197"/>
      <c r="H14" s="197"/>
      <c r="I14" s="197"/>
      <c r="J14" s="197"/>
      <c r="K14" s="197"/>
      <c r="L14" s="197"/>
      <c r="M14" s="197"/>
      <c r="N14" s="294"/>
      <c r="O14" s="295"/>
      <c r="P14" s="295"/>
      <c r="Q14" s="295"/>
      <c r="R14" s="295"/>
      <c r="S14" s="296"/>
      <c r="T14" s="761"/>
      <c r="U14" s="10"/>
      <c r="AE14" s="94">
        <v>12</v>
      </c>
      <c r="AF14" s="98">
        <v>4</v>
      </c>
      <c r="AG14" s="96">
        <v>1.4</v>
      </c>
      <c r="AJ14" s="105" t="s">
        <v>953</v>
      </c>
      <c r="AK14" s="105" t="s">
        <v>17</v>
      </c>
      <c r="AL14" s="256" t="s">
        <v>100</v>
      </c>
      <c r="AM14" s="256"/>
      <c r="AN14" s="256"/>
      <c r="AO14" s="256"/>
      <c r="AP14" s="339">
        <v>5</v>
      </c>
      <c r="AQ14" s="106">
        <f>HLOOKUP(Věci!$D$2,Věci!$A$2:$F$529,MATCH(AJ14,Věci!$A$2:$A$529,0),FALSE)</f>
        <v>1</v>
      </c>
      <c r="AR14" s="194">
        <v>-1</v>
      </c>
      <c r="AS14" s="194">
        <v>0</v>
      </c>
      <c r="AT14" s="194">
        <v>0</v>
      </c>
      <c r="AU14" s="194">
        <v>0</v>
      </c>
      <c r="AV14" s="194">
        <v>0</v>
      </c>
      <c r="AW14" s="194">
        <v>0</v>
      </c>
      <c r="AX14" s="194">
        <v>0</v>
      </c>
      <c r="AY14" s="104" t="s">
        <v>956</v>
      </c>
      <c r="BA14" s="249" t="s">
        <v>733</v>
      </c>
      <c r="BC14" s="249" t="s">
        <v>821</v>
      </c>
      <c r="BD14"/>
      <c r="BE14" s="249" t="s">
        <v>2378</v>
      </c>
      <c r="BG14" s="249" t="s">
        <v>2948</v>
      </c>
      <c r="BI14" s="249" t="s">
        <v>2346</v>
      </c>
      <c r="BK14" s="412" t="str">
        <f>IF('2-Vzhled a charakter'!$B$5&lt;&gt;0,LOOKUP('2-Vzhled a charakter'!$B$5,$BL$7:$BT$7,$BL14:$BT14)," ")</f>
        <v>Opatrný</v>
      </c>
      <c r="BL14" s="249" t="s">
        <v>777</v>
      </c>
      <c r="BM14" s="249" t="s">
        <v>768</v>
      </c>
      <c r="BN14" s="249" t="s">
        <v>1338</v>
      </c>
      <c r="BO14" s="249" t="s">
        <v>779</v>
      </c>
      <c r="BP14" s="249" t="s">
        <v>742</v>
      </c>
      <c r="BQ14" s="249" t="s">
        <v>794</v>
      </c>
      <c r="BR14" s="249" t="s">
        <v>798</v>
      </c>
      <c r="BS14" s="249" t="s">
        <v>1334</v>
      </c>
      <c r="BT14" s="249" t="s">
        <v>790</v>
      </c>
      <c r="BV14" s="422" t="str">
        <f>CONCATENATE(IF(OR('2-Vzhled a charakter'!$I$2="Světlý elf",'2-Vzhled a charakter'!$I$2="Světlá elfka"),BX14,IF(OR('2-Vzhled a charakter'!$B$2="Trpaslík",'2-Vzhled a charakter'!$B$2="Trpaslce"),BY14,IF(OR('2-Vzhled a charakter'!$I$2="Temný elf",'2-Vzhled a charakter'!$I$2="Temná elfka"),BZ14,BW14)))," (",CA14,")")</f>
        <v>Baldr (Bůh slunce a ohně)</v>
      </c>
      <c r="BW14" s="33" t="s">
        <v>1429</v>
      </c>
      <c r="BX14" s="33" t="s">
        <v>1426</v>
      </c>
      <c r="BY14" s="33" t="s">
        <v>1427</v>
      </c>
      <c r="BZ14" s="33" t="s">
        <v>1426</v>
      </c>
      <c r="CA14" s="33" t="s">
        <v>1428</v>
      </c>
    </row>
    <row r="15" spans="1:79" ht="12.9" customHeight="1" x14ac:dyDescent="0.3">
      <c r="A15" s="945" t="s">
        <v>28</v>
      </c>
      <c r="B15" s="1332"/>
      <c r="C15" s="1332"/>
      <c r="D15" s="1332"/>
      <c r="E15" s="1332"/>
      <c r="F15" s="1332"/>
      <c r="G15" s="1332"/>
      <c r="H15" s="1332"/>
      <c r="I15" s="1332"/>
      <c r="J15" s="1332"/>
      <c r="K15" s="1332"/>
      <c r="L15" s="1332"/>
      <c r="M15" s="1333"/>
      <c r="N15" s="1193" t="s">
        <v>3776</v>
      </c>
      <c r="O15" s="1341"/>
      <c r="P15" s="136">
        <v>170</v>
      </c>
      <c r="Q15" s="1192" t="s">
        <v>14</v>
      </c>
      <c r="R15" s="1341"/>
      <c r="S15" s="136">
        <v>70</v>
      </c>
      <c r="T15" s="776" t="s">
        <v>15</v>
      </c>
      <c r="U15" s="10"/>
      <c r="X15" t="s">
        <v>555</v>
      </c>
      <c r="AE15" s="94">
        <v>13</v>
      </c>
      <c r="AF15" s="98">
        <v>4.5</v>
      </c>
      <c r="AG15" s="96">
        <v>1.6</v>
      </c>
      <c r="AJ15" s="105" t="s">
        <v>1284</v>
      </c>
      <c r="AK15" s="105" t="s">
        <v>17</v>
      </c>
      <c r="AL15" s="103">
        <v>5</v>
      </c>
      <c r="AM15" s="103"/>
      <c r="AN15" s="103"/>
      <c r="AO15" s="103"/>
      <c r="AP15" s="103">
        <v>7</v>
      </c>
      <c r="AQ15" s="106">
        <f>HLOOKUP(Věci!$D$2,Věci!$A$2:$F$529,MATCH(AJ15,Věci!$A$2:$A$529,0),FALSE)</f>
        <v>2</v>
      </c>
      <c r="AR15" s="194">
        <v>-1</v>
      </c>
      <c r="AS15" s="194">
        <v>-1</v>
      </c>
      <c r="AT15" s="194">
        <v>0</v>
      </c>
      <c r="AU15" s="194">
        <v>0</v>
      </c>
      <c r="AV15" s="194">
        <v>0</v>
      </c>
      <c r="AW15" s="194">
        <v>0</v>
      </c>
      <c r="AX15" s="194">
        <v>0</v>
      </c>
      <c r="AY15" s="643" t="s">
        <v>956</v>
      </c>
      <c r="BA15" s="249" t="s">
        <v>734</v>
      </c>
      <c r="BC15" s="249" t="s">
        <v>820</v>
      </c>
      <c r="BD15"/>
      <c r="BE15" s="249" t="s">
        <v>2370</v>
      </c>
      <c r="BG15" s="249" t="s">
        <v>887</v>
      </c>
      <c r="BI15" s="249" t="s">
        <v>2347</v>
      </c>
      <c r="BK15" s="412" t="str">
        <f>IF('2-Vzhled a charakter'!$B$5&lt;&gt;0,LOOKUP('2-Vzhled a charakter'!$B$5,$BL$7:$BT$7,$BL15:$BT15)," ")</f>
        <v>Přizpůsobivý</v>
      </c>
      <c r="BL15" s="249" t="s">
        <v>781</v>
      </c>
      <c r="BM15" s="249" t="s">
        <v>784</v>
      </c>
      <c r="BN15" s="249" t="s">
        <v>783</v>
      </c>
      <c r="BO15" s="249" t="s">
        <v>785</v>
      </c>
      <c r="BP15" s="249" t="s">
        <v>749</v>
      </c>
      <c r="BQ15" s="249" t="s">
        <v>795</v>
      </c>
      <c r="BR15" s="249" t="s">
        <v>800</v>
      </c>
      <c r="BS15" s="249" t="s">
        <v>1331</v>
      </c>
      <c r="BT15" s="249" t="s">
        <v>791</v>
      </c>
      <c r="BV15" s="422" t="str">
        <f>CONCATENATE(IF(OR('2-Vzhled a charakter'!$I$2="Světlý elf",'2-Vzhled a charakter'!$I$2="Světlá elfka"),BX15,IF(OR('2-Vzhled a charakter'!$B$2="Trpaslík",'2-Vzhled a charakter'!$B$2="Trpaslce"),BY15,IF(OR('2-Vzhled a charakter'!$I$2="Temný elf",'2-Vzhled a charakter'!$I$2="Temná elfka"),BZ15,BW15)))," (",CA15,")")</f>
        <v>Namah (Bohyně ničitelka, matka démonů)</v>
      </c>
      <c r="BW15" s="33" t="s">
        <v>1457</v>
      </c>
      <c r="BX15" s="33" t="s">
        <v>1456</v>
      </c>
      <c r="BY15" s="33" t="s">
        <v>1456</v>
      </c>
      <c r="BZ15" s="33" t="s">
        <v>1456</v>
      </c>
      <c r="CA15" s="33" t="s">
        <v>1455</v>
      </c>
    </row>
    <row r="16" spans="1:79" ht="12.9" customHeight="1" x14ac:dyDescent="0.3">
      <c r="A16" s="946" t="s">
        <v>1193</v>
      </c>
      <c r="B16" s="1306"/>
      <c r="C16" s="1306"/>
      <c r="D16" s="1306"/>
      <c r="E16" s="1306"/>
      <c r="F16" s="1306"/>
      <c r="G16" s="1306"/>
      <c r="H16" s="1306"/>
      <c r="I16" s="1306"/>
      <c r="J16" s="1306"/>
      <c r="K16" s="1306"/>
      <c r="L16" s="1306"/>
      <c r="M16" s="1307"/>
      <c r="N16" s="1193" t="s">
        <v>1192</v>
      </c>
      <c r="O16" s="1194"/>
      <c r="P16" s="928" t="str">
        <f>LOOKUP(P15,Y17:Y23,X17:X23)</f>
        <v>B</v>
      </c>
      <c r="Q16" s="777" t="s">
        <v>3697</v>
      </c>
      <c r="R16" s="778" t="str">
        <f>HLOOKUP("Vyska",Rasy!$B$3:$AN$125,MATCH(COPY_Rasa,Rasy!$B$3:$B$125,0),FALSE)</f>
        <v>100+2k20</v>
      </c>
      <c r="S16" s="778"/>
      <c r="T16" s="761"/>
      <c r="U16" s="10"/>
      <c r="X16" s="31" t="s">
        <v>13</v>
      </c>
      <c r="Y16" s="22" t="s">
        <v>556</v>
      </c>
      <c r="AE16" s="94">
        <v>14</v>
      </c>
      <c r="AF16" s="98">
        <v>5</v>
      </c>
      <c r="AG16" s="96">
        <v>1.8</v>
      </c>
      <c r="AJ16" s="105" t="s">
        <v>2964</v>
      </c>
      <c r="AK16" s="105" t="s">
        <v>17</v>
      </c>
      <c r="AL16" s="256" t="s">
        <v>102</v>
      </c>
      <c r="AM16" s="256"/>
      <c r="AN16" s="256"/>
      <c r="AO16" s="256"/>
      <c r="AP16" s="642">
        <v>4</v>
      </c>
      <c r="AQ16" s="106">
        <f>HLOOKUP(Věci!$D$2,Věci!$A$2:$F$529,MATCH(AJ16,Věci!$A$2:$A$529,0),FALSE)</f>
        <v>1</v>
      </c>
      <c r="AR16" s="194">
        <v>-1</v>
      </c>
      <c r="AS16" s="194">
        <v>0</v>
      </c>
      <c r="AT16" s="194">
        <v>0</v>
      </c>
      <c r="AU16" s="194">
        <v>0</v>
      </c>
      <c r="AV16" s="194">
        <v>0</v>
      </c>
      <c r="AW16" s="194">
        <v>0</v>
      </c>
      <c r="AX16" s="194">
        <v>0</v>
      </c>
      <c r="AY16" s="104" t="s">
        <v>956</v>
      </c>
      <c r="BA16" s="249" t="s">
        <v>735</v>
      </c>
      <c r="BC16" s="249" t="s">
        <v>854</v>
      </c>
      <c r="BD16"/>
      <c r="BE16" s="249" t="s">
        <v>2373</v>
      </c>
      <c r="BG16" s="249" t="s">
        <v>2927</v>
      </c>
      <c r="BI16" s="249" t="s">
        <v>918</v>
      </c>
      <c r="BK16" s="412" t="str">
        <f>IF('2-Vzhled a charakter'!$B$5&lt;&gt;0,LOOKUP('2-Vzhled a charakter'!$B$5,$BL$7:$BT$7,$BL16:$BT16)," ")</f>
        <v>Uctivý</v>
      </c>
      <c r="BL16" s="249" t="s">
        <v>787</v>
      </c>
      <c r="BM16" s="249" t="s">
        <v>250</v>
      </c>
      <c r="BN16" s="249" t="s">
        <v>792</v>
      </c>
      <c r="BO16" s="249" t="s">
        <v>786</v>
      </c>
      <c r="BP16" s="249" t="s">
        <v>750</v>
      </c>
      <c r="BQ16" s="249" t="s">
        <v>809</v>
      </c>
      <c r="BR16" s="249" t="s">
        <v>804</v>
      </c>
      <c r="BS16" s="249" t="s">
        <v>801</v>
      </c>
      <c r="BT16" s="249" t="s">
        <v>799</v>
      </c>
      <c r="BV16" s="422" t="str">
        <f>CONCATENATE(IF(OR('2-Vzhled a charakter'!$I$2="Světlý elf",'2-Vzhled a charakter'!$I$2="Světlá elfka"),BX16,IF(OR('2-Vzhled a charakter'!$B$2="Trpaslík",'2-Vzhled a charakter'!$B$2="Trpaslce"),BY16,IF(OR('2-Vzhled a charakter'!$I$2="Temný elf",'2-Vzhled a charakter'!$I$2="Temná elfka"),BZ16,BW16)))," (",CA16,")")</f>
        <v>Varda (Bohyně moudrosti)</v>
      </c>
      <c r="BW16" s="33" t="s">
        <v>1384</v>
      </c>
      <c r="BX16" s="33" t="s">
        <v>1385</v>
      </c>
      <c r="BY16" s="33" t="s">
        <v>1386</v>
      </c>
      <c r="BZ16" s="33" t="s">
        <v>1386</v>
      </c>
      <c r="CA16" s="33" t="s">
        <v>1387</v>
      </c>
    </row>
    <row r="17" spans="1:79" ht="12.9" customHeight="1" x14ac:dyDescent="0.3">
      <c r="A17" s="773" t="s">
        <v>29</v>
      </c>
      <c r="B17" s="1306"/>
      <c r="C17" s="1306"/>
      <c r="D17" s="1306"/>
      <c r="E17" s="1306"/>
      <c r="F17" s="1306"/>
      <c r="G17" s="1306"/>
      <c r="H17" s="1306"/>
      <c r="I17" s="1306"/>
      <c r="J17" s="1306"/>
      <c r="K17" s="1306"/>
      <c r="L17" s="1306"/>
      <c r="M17" s="1307"/>
      <c r="N17" s="763" t="s">
        <v>712</v>
      </c>
      <c r="O17" s="63">
        <f>'Tvorba postavy'!D12-S20</f>
        <v>92</v>
      </c>
      <c r="P17" s="143" t="s">
        <v>668</v>
      </c>
      <c r="Q17" s="777" t="s">
        <v>3698</v>
      </c>
      <c r="R17" s="778" t="str">
        <f>HLOOKUP("Vaha",Rasy!$B$3:$AN$125,MATCH(COPY_Rasa,Rasy!$B$3:$B$125,0),FALSE)</f>
        <v>50+3k20</v>
      </c>
      <c r="S17" s="778"/>
      <c r="T17" s="761"/>
      <c r="U17" s="10"/>
      <c r="X17" s="79" t="s">
        <v>93</v>
      </c>
      <c r="Y17" s="36">
        <v>0</v>
      </c>
      <c r="AE17" s="94">
        <v>15</v>
      </c>
      <c r="AF17" s="98">
        <v>5.6</v>
      </c>
      <c r="AG17" s="96">
        <v>2</v>
      </c>
      <c r="AJ17" s="105" t="s">
        <v>332</v>
      </c>
      <c r="AK17" s="105" t="s">
        <v>17</v>
      </c>
      <c r="AL17" s="103">
        <v>7</v>
      </c>
      <c r="AM17" s="103"/>
      <c r="AN17" s="103"/>
      <c r="AO17" s="103">
        <v>1</v>
      </c>
      <c r="AP17" s="103">
        <v>11</v>
      </c>
      <c r="AQ17" s="106">
        <f>HLOOKUP(Věci!$D$2,Věci!$A$2:$F$529,MATCH(AJ17,Věci!$A$2:$A$529,0),FALSE)</f>
        <v>2</v>
      </c>
      <c r="AR17" s="194">
        <v>-2</v>
      </c>
      <c r="AS17" s="194">
        <v>-1</v>
      </c>
      <c r="AT17" s="194">
        <v>-1</v>
      </c>
      <c r="AU17" s="194">
        <v>0</v>
      </c>
      <c r="AV17" s="194">
        <v>0</v>
      </c>
      <c r="AW17" s="194">
        <v>0</v>
      </c>
      <c r="AX17" s="194">
        <v>0</v>
      </c>
      <c r="AY17" s="261" t="s">
        <v>3894</v>
      </c>
      <c r="BA17" s="249" t="s">
        <v>736</v>
      </c>
      <c r="BC17" s="249" t="s">
        <v>1604</v>
      </c>
      <c r="BD17"/>
      <c r="BE17" s="249" t="s">
        <v>859</v>
      </c>
      <c r="BG17" s="249" t="s">
        <v>879</v>
      </c>
      <c r="BI17" s="249" t="s">
        <v>2345</v>
      </c>
      <c r="BK17" s="412" t="str">
        <f>IF('2-Vzhled a charakter'!$B$5&lt;&gt;0,LOOKUP('2-Vzhled a charakter'!$B$5,$BL$7:$BT$7,$BL17:$BT17)," ")</f>
        <v>Zádumčivý</v>
      </c>
      <c r="BL17" s="249" t="s">
        <v>793</v>
      </c>
      <c r="BM17" s="249" t="s">
        <v>811</v>
      </c>
      <c r="BN17" s="249" t="s">
        <v>1143</v>
      </c>
      <c r="BO17" s="249" t="s">
        <v>812</v>
      </c>
      <c r="BP17" s="249" t="s">
        <v>756</v>
      </c>
      <c r="BQ17" s="249" t="s">
        <v>818</v>
      </c>
      <c r="BR17" s="249" t="s">
        <v>805</v>
      </c>
      <c r="BS17" s="249" t="s">
        <v>802</v>
      </c>
      <c r="BT17" s="249" t="s">
        <v>806</v>
      </c>
      <c r="BV17" s="422" t="str">
        <f>CONCATENATE(IF(OR('2-Vzhled a charakter'!$I$2="Světlý elf",'2-Vzhled a charakter'!$I$2="Světlá elfka"),BX17,IF(OR('2-Vzhled a charakter'!$B$2="Trpaslík",'2-Vzhled a charakter'!$B$2="Trpaslce"),BY17,IF(OR('2-Vzhled a charakter'!$I$2="Temný elf",'2-Vzhled a charakter'!$I$2="Temná elfka"),BZ17,BW17)))," (",CA17,")")</f>
        <v>Li-Lith (Bohyně šílenství, sexuality a vražd)</v>
      </c>
      <c r="BW17" s="33" t="s">
        <v>3617</v>
      </c>
      <c r="BX17" s="33" t="s">
        <v>3617</v>
      </c>
      <c r="BY17" s="33" t="s">
        <v>3618</v>
      </c>
      <c r="BZ17" s="33" t="s">
        <v>3617</v>
      </c>
      <c r="CA17" s="33" t="s">
        <v>3619</v>
      </c>
    </row>
    <row r="18" spans="1:79" ht="12.9" customHeight="1" x14ac:dyDescent="0.3">
      <c r="A18" s="773" t="s">
        <v>26</v>
      </c>
      <c r="B18" s="1347"/>
      <c r="C18" s="1347"/>
      <c r="D18" s="1347"/>
      <c r="E18" s="1347"/>
      <c r="F18" s="1347"/>
      <c r="G18" s="1347"/>
      <c r="H18" s="1347"/>
      <c r="I18" s="1347"/>
      <c r="J18" s="1347"/>
      <c r="K18" s="1347"/>
      <c r="L18" s="1347"/>
      <c r="M18" s="1348"/>
      <c r="N18" s="197"/>
      <c r="O18" s="197"/>
      <c r="P18" s="763" t="s">
        <v>422</v>
      </c>
      <c r="Q18" s="1209" t="str">
        <f>IF(O17&lt;Rasy!AO126,Rasy!AO3,IF(O17&lt;Rasy!AP126,Rasy!AP3,IF(O17&lt;Rasy!AQ126,Rasy!AQ3,IF(O17&lt;Rasy!AR126,Rasy!AR3,Rasy!AS3))))</f>
        <v>Postarší</v>
      </c>
      <c r="R18" s="1210"/>
      <c r="S18" s="1202"/>
      <c r="T18" s="761"/>
      <c r="U18" s="10"/>
      <c r="X18" s="80" t="s">
        <v>260</v>
      </c>
      <c r="Y18" s="35">
        <v>50</v>
      </c>
      <c r="AE18" s="94">
        <v>16</v>
      </c>
      <c r="AF18" s="98">
        <v>6.3</v>
      </c>
      <c r="AG18" s="96">
        <v>2.2000000000000002</v>
      </c>
      <c r="AJ18" s="105" t="s">
        <v>951</v>
      </c>
      <c r="AK18" s="105" t="s">
        <v>17</v>
      </c>
      <c r="AL18" s="103">
        <v>8</v>
      </c>
      <c r="AM18" s="103"/>
      <c r="AN18" s="103"/>
      <c r="AO18" s="103">
        <v>1</v>
      </c>
      <c r="AP18" s="103">
        <v>13</v>
      </c>
      <c r="AQ18" s="260">
        <f>HLOOKUP(Věci!$D$2,Věci!$A$2:$F$529,MATCH(AJ18,Věci!$A$2:$A$529,0),FALSE)</f>
        <v>2</v>
      </c>
      <c r="AR18" s="194">
        <v>-2</v>
      </c>
      <c r="AS18" s="194">
        <v>-1</v>
      </c>
      <c r="AT18" s="194">
        <v>-1</v>
      </c>
      <c r="AU18" s="194">
        <v>-1</v>
      </c>
      <c r="AV18" s="194">
        <v>0</v>
      </c>
      <c r="AW18" s="194">
        <v>0</v>
      </c>
      <c r="AX18" s="194">
        <v>0</v>
      </c>
      <c r="AY18" s="261" t="s">
        <v>3894</v>
      </c>
      <c r="BA18" s="249" t="s">
        <v>596</v>
      </c>
      <c r="BC18" s="249" t="s">
        <v>2381</v>
      </c>
      <c r="BD18"/>
      <c r="BE18" s="249" t="s">
        <v>2923</v>
      </c>
      <c r="BG18" s="249" t="s">
        <v>897</v>
      </c>
      <c r="BI18" s="249" t="s">
        <v>201</v>
      </c>
      <c r="BK18" s="412" t="str">
        <f>IF('2-Vzhled a charakter'!$B$5&lt;&gt;0,LOOKUP('2-Vzhled a charakter'!$B$5,$BL$7:$BT$7,$BL18:$BT18)," ")</f>
        <v xml:space="preserve"> </v>
      </c>
      <c r="BL18" s="249" t="s">
        <v>797</v>
      </c>
      <c r="BM18" s="249" t="s">
        <v>232</v>
      </c>
      <c r="BN18" s="249" t="s">
        <v>232</v>
      </c>
      <c r="BO18" s="249" t="s">
        <v>232</v>
      </c>
      <c r="BP18" s="249" t="s">
        <v>770</v>
      </c>
      <c r="BQ18" s="249" t="s">
        <v>232</v>
      </c>
      <c r="BR18" s="249" t="s">
        <v>232</v>
      </c>
      <c r="BS18" s="249" t="s">
        <v>813</v>
      </c>
      <c r="BT18" s="249" t="s">
        <v>807</v>
      </c>
      <c r="BV18" s="422" t="str">
        <f>CONCATENATE(IF(OR('2-Vzhled a charakter'!$I$2="Světlý elf",'2-Vzhled a charakter'!$I$2="Světlá elfka"),BX18,IF(OR('2-Vzhled a charakter'!$B$2="Trpaslík",'2-Vzhled a charakter'!$B$2="Trpaslce"),BY18,IF(OR('2-Vzhled a charakter'!$I$2="Temný elf",'2-Vzhled a charakter'!$I$2="Temná elfka"),BZ18,BW18)))," (",CA18,")")</f>
        <v>Mandos (Bůh podsvětí)</v>
      </c>
      <c r="BW18" s="33" t="s">
        <v>1417</v>
      </c>
      <c r="BX18" s="33" t="s">
        <v>1417</v>
      </c>
      <c r="BY18" s="33" t="s">
        <v>1417</v>
      </c>
      <c r="BZ18" s="33" t="s">
        <v>1417</v>
      </c>
      <c r="CA18" s="33" t="s">
        <v>1418</v>
      </c>
    </row>
    <row r="19" spans="1:79" ht="12.9" customHeight="1" x14ac:dyDescent="0.3">
      <c r="A19" s="768"/>
      <c r="B19" s="197"/>
      <c r="C19" s="197"/>
      <c r="D19" s="197"/>
      <c r="E19" s="197"/>
      <c r="F19" s="197"/>
      <c r="G19" s="197"/>
      <c r="H19" s="197"/>
      <c r="I19" s="197"/>
      <c r="J19" s="197"/>
      <c r="K19" s="197"/>
      <c r="L19" s="197"/>
      <c r="M19" s="240"/>
      <c r="N19" s="765" t="s">
        <v>4008</v>
      </c>
      <c r="P19" t="s">
        <v>147</v>
      </c>
      <c r="Q19" s="295"/>
      <c r="R19" s="295"/>
      <c r="S19" s="295"/>
      <c r="T19" s="761"/>
      <c r="U19" s="10"/>
      <c r="X19" s="80" t="s">
        <v>95</v>
      </c>
      <c r="Y19" s="35">
        <v>150</v>
      </c>
      <c r="AE19" s="94">
        <v>17</v>
      </c>
      <c r="AF19" s="98">
        <v>7</v>
      </c>
      <c r="AG19" s="96">
        <v>2.5</v>
      </c>
      <c r="AJ19" s="105" t="s">
        <v>952</v>
      </c>
      <c r="AK19" s="105" t="s">
        <v>17</v>
      </c>
      <c r="AL19" s="103">
        <v>9</v>
      </c>
      <c r="AM19" s="103"/>
      <c r="AN19" s="103"/>
      <c r="AO19" s="103">
        <v>1</v>
      </c>
      <c r="AP19" s="103">
        <v>15</v>
      </c>
      <c r="AQ19" s="260">
        <f>HLOOKUP(Věci!$D$2,Věci!$A$2:$F$529,MATCH(AJ19,Věci!$A$2:$A$529,0),FALSE)</f>
        <v>2</v>
      </c>
      <c r="AR19" s="194">
        <v>-2</v>
      </c>
      <c r="AS19" s="194">
        <v>-2</v>
      </c>
      <c r="AT19" s="194">
        <v>-1</v>
      </c>
      <c r="AU19" s="194">
        <v>-1</v>
      </c>
      <c r="AV19" s="194">
        <v>-1</v>
      </c>
      <c r="AW19" s="194">
        <v>0</v>
      </c>
      <c r="AX19" s="194">
        <v>0</v>
      </c>
      <c r="AY19" s="261" t="s">
        <v>3894</v>
      </c>
      <c r="BA19" s="249" t="s">
        <v>737</v>
      </c>
      <c r="BC19" s="249" t="s">
        <v>840</v>
      </c>
      <c r="BD19"/>
      <c r="BE19" s="249" t="s">
        <v>2371</v>
      </c>
      <c r="BG19" s="249" t="s">
        <v>2353</v>
      </c>
      <c r="BI19" s="249" t="s">
        <v>911</v>
      </c>
      <c r="BK19" s="412" t="str">
        <f>IF('2-Vzhled a charakter'!$B$5&lt;&gt;0,LOOKUP('2-Vzhled a charakter'!$B$5,$BL$7:$BT$7,$BL19:$BT19)," ")</f>
        <v xml:space="preserve"> </v>
      </c>
      <c r="BL19" s="249" t="s">
        <v>1329</v>
      </c>
      <c r="BM19" s="249" t="s">
        <v>232</v>
      </c>
      <c r="BN19" s="249" t="s">
        <v>232</v>
      </c>
      <c r="BO19" s="249" t="s">
        <v>232</v>
      </c>
      <c r="BP19" s="249" t="s">
        <v>788</v>
      </c>
      <c r="BQ19" s="249" t="s">
        <v>232</v>
      </c>
      <c r="BR19" s="249" t="s">
        <v>232</v>
      </c>
      <c r="BS19" s="249" t="s">
        <v>1333</v>
      </c>
      <c r="BT19" s="249" t="s">
        <v>1337</v>
      </c>
      <c r="BV19" s="422" t="str">
        <f>CONCATENATE(IF(OR('2-Vzhled a charakter'!$I$2="Světlý elf",'2-Vzhled a charakter'!$I$2="Světlá elfka"),BX19,IF(OR('2-Vzhled a charakter'!$B$2="Trpaslík",'2-Vzhled a charakter'!$B$2="Trpaslce"),BY19,IF(OR('2-Vzhled a charakter'!$I$2="Temný elf",'2-Vzhled a charakter'!$I$2="Temná elfka"),BZ19,BW19)))," (",CA19,")")</f>
        <v>Morgoth (Nepřítel bohů, pán pekel)</v>
      </c>
      <c r="BW19" s="33" t="s">
        <v>1453</v>
      </c>
      <c r="BX19" s="33" t="s">
        <v>1451</v>
      </c>
      <c r="BY19" s="33" t="s">
        <v>1452</v>
      </c>
      <c r="BZ19" s="33" t="s">
        <v>1451</v>
      </c>
      <c r="CA19" s="33" t="s">
        <v>1454</v>
      </c>
    </row>
    <row r="20" spans="1:79" ht="12.9" customHeight="1" x14ac:dyDescent="0.3">
      <c r="A20" s="768"/>
      <c r="B20" s="197"/>
      <c r="C20" s="197"/>
      <c r="D20" s="197"/>
      <c r="E20" s="197"/>
      <c r="F20" s="197"/>
      <c r="G20" s="197"/>
      <c r="H20" s="197"/>
      <c r="I20" s="197"/>
      <c r="J20" s="197"/>
      <c r="K20" s="197"/>
      <c r="L20" s="197"/>
      <c r="M20" s="240"/>
      <c r="N20" t="s">
        <v>5412</v>
      </c>
      <c r="O20" s="33"/>
      <c r="P20" t="s">
        <v>5413</v>
      </c>
      <c r="Q20" s="33"/>
      <c r="R20" t="s">
        <v>5414</v>
      </c>
      <c r="S20" s="33">
        <v>1180</v>
      </c>
      <c r="T20" s="761"/>
      <c r="U20" s="10"/>
      <c r="X20" s="80" t="s">
        <v>96</v>
      </c>
      <c r="Y20" s="35">
        <v>200</v>
      </c>
      <c r="AE20" s="94">
        <v>18</v>
      </c>
      <c r="AF20" s="98">
        <v>8</v>
      </c>
      <c r="AG20" s="96">
        <v>2.8</v>
      </c>
      <c r="AJ20" s="672" t="s">
        <v>962</v>
      </c>
      <c r="AK20" s="224" t="s">
        <v>20</v>
      </c>
      <c r="AL20" s="225">
        <v>9</v>
      </c>
      <c r="AM20" s="225"/>
      <c r="AN20" s="225"/>
      <c r="AO20" s="225">
        <v>1</v>
      </c>
      <c r="AP20" s="226">
        <v>15</v>
      </c>
      <c r="AQ20" s="227">
        <f>HLOOKUP(Věci!$D$2,Věci!$A$2:$F$529,MATCH(AJ20,Věci!$A$2:$A$529,0),FALSE)</f>
        <v>2</v>
      </c>
      <c r="AR20" s="227">
        <v>-2</v>
      </c>
      <c r="AS20" s="227">
        <v>-1</v>
      </c>
      <c r="AT20" s="227">
        <v>-1</v>
      </c>
      <c r="AU20" s="227">
        <v>-1</v>
      </c>
      <c r="AV20" s="227">
        <v>0</v>
      </c>
      <c r="AW20" s="227">
        <v>0</v>
      </c>
      <c r="AX20" s="227">
        <v>0</v>
      </c>
      <c r="AY20" s="262" t="s">
        <v>963</v>
      </c>
      <c r="BA20" s="249" t="s">
        <v>738</v>
      </c>
      <c r="BC20" s="249" t="s">
        <v>837</v>
      </c>
      <c r="BD20"/>
      <c r="BE20" s="249" t="s">
        <v>861</v>
      </c>
      <c r="BG20" s="249" t="s">
        <v>2355</v>
      </c>
      <c r="BI20" s="249" t="s">
        <v>2490</v>
      </c>
      <c r="BK20" s="412" t="str">
        <f>IF('2-Vzhled a charakter'!$B$5&lt;&gt;0,LOOKUP('2-Vzhled a charakter'!$B$5,$BL$7:$BT$7,$BL20:$BT20)," ")</f>
        <v xml:space="preserve"> </v>
      </c>
      <c r="BL20" s="249" t="s">
        <v>232</v>
      </c>
      <c r="BM20" s="249" t="s">
        <v>232</v>
      </c>
      <c r="BN20" s="249" t="s">
        <v>232</v>
      </c>
      <c r="BO20" s="249" t="s">
        <v>232</v>
      </c>
      <c r="BP20" s="249" t="s">
        <v>789</v>
      </c>
      <c r="BQ20" s="249" t="s">
        <v>232</v>
      </c>
      <c r="BR20" s="249" t="s">
        <v>232</v>
      </c>
      <c r="BS20" s="249" t="s">
        <v>232</v>
      </c>
      <c r="BT20" s="249" t="s">
        <v>816</v>
      </c>
      <c r="BV20" s="422" t="str">
        <f>CONCATENATE(IF(OR('2-Vzhled a charakter'!$I$2="Světlý elf",'2-Vzhled a charakter'!$I$2="Světlá elfka"),BX20,IF(OR('2-Vzhled a charakter'!$B$2="Trpaslík",'2-Vzhled a charakter'!$B$2="Trpaslce"),BY20,IF(OR('2-Vzhled a charakter'!$I$2="Temný elf",'2-Vzhled a charakter'!$I$2="Temná elfka"),BZ20,BW20)))," (",CA20,")")</f>
        <v>Kementári (Bohyně plodnosti a úrody)</v>
      </c>
      <c r="BW20" s="33" t="s">
        <v>1415</v>
      </c>
      <c r="BX20" s="33" t="s">
        <v>1414</v>
      </c>
      <c r="BY20" s="33" t="s">
        <v>1413</v>
      </c>
      <c r="BZ20" s="33" t="s">
        <v>1414</v>
      </c>
      <c r="CA20" s="33" t="s">
        <v>1416</v>
      </c>
    </row>
    <row r="21" spans="1:79" ht="12.9" customHeight="1" x14ac:dyDescent="0.3">
      <c r="A21" s="774" t="s">
        <v>30</v>
      </c>
      <c r="B21" s="1345"/>
      <c r="C21" s="1345"/>
      <c r="D21" s="1345"/>
      <c r="E21" s="1345"/>
      <c r="F21" s="1345"/>
      <c r="G21" s="1345"/>
      <c r="H21" s="1345"/>
      <c r="I21" s="1345"/>
      <c r="J21" s="1345"/>
      <c r="K21" s="1345"/>
      <c r="L21" s="1345"/>
      <c r="M21" s="1346"/>
      <c r="N21" s="197"/>
      <c r="T21" s="761"/>
      <c r="U21" s="10"/>
      <c r="X21" s="80" t="s">
        <v>97</v>
      </c>
      <c r="Y21" s="35">
        <v>300</v>
      </c>
      <c r="AE21" s="94">
        <v>19</v>
      </c>
      <c r="AF21" s="98">
        <v>9</v>
      </c>
      <c r="AG21" s="96">
        <v>3.2</v>
      </c>
      <c r="AJ21" s="672" t="s">
        <v>331</v>
      </c>
      <c r="AK21" s="224" t="s">
        <v>20</v>
      </c>
      <c r="AL21" s="225">
        <v>1</v>
      </c>
      <c r="AM21" s="225"/>
      <c r="AN21" s="225"/>
      <c r="AO21" s="225"/>
      <c r="AP21" s="226">
        <v>1</v>
      </c>
      <c r="AQ21" s="227">
        <f>HLOOKUP(Věci!$D$2,Věci!$A$2:$F$529,MATCH(AJ21,Věci!$A$2:$A$529,0),FALSE)</f>
        <v>2</v>
      </c>
      <c r="AR21" s="227">
        <v>0</v>
      </c>
      <c r="AS21" s="227">
        <v>0</v>
      </c>
      <c r="AT21" s="227">
        <v>0</v>
      </c>
      <c r="AU21" s="227">
        <v>0</v>
      </c>
      <c r="AV21" s="227">
        <v>0</v>
      </c>
      <c r="AW21" s="227">
        <v>0</v>
      </c>
      <c r="AX21" s="227">
        <v>0</v>
      </c>
      <c r="AY21" s="262" t="s">
        <v>957</v>
      </c>
      <c r="BA21" s="249" t="s">
        <v>739</v>
      </c>
      <c r="BC21" s="249" t="s">
        <v>831</v>
      </c>
      <c r="BD21"/>
      <c r="BE21" s="249" t="s">
        <v>2924</v>
      </c>
      <c r="BG21" s="249" t="s">
        <v>2361</v>
      </c>
      <c r="BI21" s="249" t="s">
        <v>914</v>
      </c>
      <c r="BK21" s="412" t="str">
        <f>IF('2-Vzhled a charakter'!$B$5&lt;&gt;0,LOOKUP('2-Vzhled a charakter'!$B$5,$BL$7:$BT$7,$BL21:$BT21)," ")</f>
        <v xml:space="preserve"> </v>
      </c>
      <c r="BL21" s="249" t="s">
        <v>232</v>
      </c>
      <c r="BM21" s="249" t="s">
        <v>232</v>
      </c>
      <c r="BN21" s="249" t="s">
        <v>232</v>
      </c>
      <c r="BO21" s="249" t="s">
        <v>232</v>
      </c>
      <c r="BP21" s="249" t="s">
        <v>796</v>
      </c>
      <c r="BQ21" s="249" t="s">
        <v>232</v>
      </c>
      <c r="BR21" s="249" t="s">
        <v>232</v>
      </c>
      <c r="BS21" s="249" t="s">
        <v>232</v>
      </c>
      <c r="BT21" s="249" t="s">
        <v>817</v>
      </c>
      <c r="BV21" s="422" t="str">
        <f>CONCATENATE(IF(OR('2-Vzhled a charakter'!$I$2="Světlý elf",'2-Vzhled a charakter'!$I$2="Světlá elfka"),BX21,IF(OR('2-Vzhled a charakter'!$B$2="Trpaslík",'2-Vzhled a charakter'!$B$2="Trpaslce"),BY21,IF(OR('2-Vzhled a charakter'!$I$2="Temný elf",'2-Vzhled a charakter'!$I$2="Temná elfka"),BZ21,BW21)))," (",CA21,")")</f>
        <v>Isildur (Posel bohů)</v>
      </c>
      <c r="BW21" s="33" t="s">
        <v>1449</v>
      </c>
      <c r="BX21" s="33" t="s">
        <v>1447</v>
      </c>
      <c r="BY21" s="33" t="s">
        <v>1448</v>
      </c>
      <c r="BZ21" s="33" t="s">
        <v>1447</v>
      </c>
      <c r="CA21" s="33" t="s">
        <v>1450</v>
      </c>
    </row>
    <row r="22" spans="1:79" ht="12.9" customHeight="1" x14ac:dyDescent="0.3">
      <c r="A22" s="768"/>
      <c r="B22" s="197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765" t="s">
        <v>2461</v>
      </c>
      <c r="Q22" s="197"/>
      <c r="R22" s="197"/>
      <c r="S22" s="197"/>
      <c r="T22" s="761"/>
      <c r="U22" s="10"/>
      <c r="X22" s="80" t="s">
        <v>98</v>
      </c>
      <c r="Y22" s="35">
        <v>600</v>
      </c>
      <c r="AE22" s="94">
        <v>20</v>
      </c>
      <c r="AF22" s="98">
        <v>10</v>
      </c>
      <c r="AG22" s="96">
        <v>3.6</v>
      </c>
      <c r="AJ22" s="672" t="s">
        <v>1139</v>
      </c>
      <c r="AK22" s="224" t="s">
        <v>20</v>
      </c>
      <c r="AL22" s="225">
        <v>1</v>
      </c>
      <c r="AM22" s="225"/>
      <c r="AN22" s="225"/>
      <c r="AO22" s="225"/>
      <c r="AP22" s="226">
        <v>2</v>
      </c>
      <c r="AQ22" s="227">
        <f>HLOOKUP(Věci!$D$2,Věci!$A$2:$F$529,MATCH(AJ22,Věci!$A$2:$A$529,0),FALSE)</f>
        <v>2</v>
      </c>
      <c r="AR22" s="227">
        <v>0</v>
      </c>
      <c r="AS22" s="227">
        <v>0</v>
      </c>
      <c r="AT22" s="227">
        <v>0</v>
      </c>
      <c r="AU22" s="227">
        <v>0</v>
      </c>
      <c r="AV22" s="227">
        <v>0</v>
      </c>
      <c r="AW22" s="227">
        <v>0</v>
      </c>
      <c r="AX22" s="227">
        <v>0</v>
      </c>
      <c r="AY22" s="262" t="s">
        <v>2800</v>
      </c>
      <c r="BA22" s="249" t="s">
        <v>740</v>
      </c>
      <c r="BC22" s="249" t="s">
        <v>2920</v>
      </c>
      <c r="BD22"/>
      <c r="BE22" s="249" t="s">
        <v>872</v>
      </c>
      <c r="BG22" s="249" t="s">
        <v>893</v>
      </c>
      <c r="BI22" s="249" t="s">
        <v>2929</v>
      </c>
      <c r="BK22" s="412">
        <f>IF('2-Vzhled a charakter'!$B$5&lt;&gt;0,LOOKUP('2-Vzhled a charakter'!$B$5,$BL$7:$BT$7,$BL22:$BT22)," ")</f>
        <v>0</v>
      </c>
      <c r="BL22" s="249"/>
      <c r="BM22" s="249"/>
      <c r="BN22" s="249"/>
      <c r="BO22" s="249"/>
      <c r="BP22" s="249" t="s">
        <v>803</v>
      </c>
      <c r="BQ22" s="249"/>
      <c r="BR22" s="249"/>
      <c r="BS22" s="249"/>
      <c r="BT22" s="249"/>
      <c r="BV22" s="422" t="str">
        <f>CONCATENATE(IF(OR('2-Vzhled a charakter'!$I$2="Světlý elf",'2-Vzhled a charakter'!$I$2="Světlá elfka"),BX22,IF(OR('2-Vzhled a charakter'!$B$2="Trpaslík",'2-Vzhled a charakter'!$B$2="Trpaslce"),BY22,IF(OR('2-Vzhled a charakter'!$I$2="Temný elf",'2-Vzhled a charakter'!$I$2="Temná elfka"),BZ22,BW22)))," (",CA22,")")</f>
        <v>Aulë (Bůh řemesel)</v>
      </c>
      <c r="BW22" s="33" t="s">
        <v>1423</v>
      </c>
      <c r="BX22" s="33" t="s">
        <v>1424</v>
      </c>
      <c r="BY22" s="33" t="s">
        <v>1424</v>
      </c>
      <c r="BZ22" s="33" t="s">
        <v>1424</v>
      </c>
      <c r="CA22" s="33" t="s">
        <v>1425</v>
      </c>
    </row>
    <row r="23" spans="1:79" ht="15.6" x14ac:dyDescent="0.3">
      <c r="A23" s="775" t="s">
        <v>1168</v>
      </c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97"/>
      <c r="N23" s="197"/>
      <c r="O23" s="197"/>
      <c r="P23" s="159"/>
      <c r="Q23" s="760" t="s">
        <v>2460</v>
      </c>
      <c r="R23" s="928">
        <f>LOOKUP('7-Tabulky'!$B$14+'7-Tabulky'!$X$13,'2-Vzhled a charakter'!$AE$3:$AE$52,'2-Vzhled a charakter'!$AG$3:$AG$52)</f>
        <v>3.2</v>
      </c>
      <c r="S23" s="197" t="s">
        <v>2458</v>
      </c>
      <c r="T23" s="761"/>
      <c r="U23" s="10"/>
      <c r="X23" s="80" t="s">
        <v>99</v>
      </c>
      <c r="Y23" s="162">
        <v>2000</v>
      </c>
      <c r="AE23" s="94">
        <v>21</v>
      </c>
      <c r="AF23" s="98">
        <v>11</v>
      </c>
      <c r="AG23" s="96">
        <v>4</v>
      </c>
      <c r="AJ23" s="672" t="s">
        <v>1176</v>
      </c>
      <c r="AK23" s="224" t="s">
        <v>20</v>
      </c>
      <c r="AL23" s="225">
        <v>1</v>
      </c>
      <c r="AM23" s="225"/>
      <c r="AN23" s="225"/>
      <c r="AO23" s="225"/>
      <c r="AP23" s="226">
        <v>1</v>
      </c>
      <c r="AQ23" s="227">
        <f>HLOOKUP(Věci!$D$2,Věci!$A$2:$F$529,MATCH(AJ23,Věci!$A$2:$A$529,0),FALSE)</f>
        <v>2</v>
      </c>
      <c r="AR23" s="227">
        <v>0</v>
      </c>
      <c r="AS23" s="227">
        <v>0</v>
      </c>
      <c r="AT23" s="227">
        <v>0</v>
      </c>
      <c r="AU23" s="227">
        <v>0</v>
      </c>
      <c r="AV23" s="227">
        <v>0</v>
      </c>
      <c r="AW23" s="227">
        <v>0</v>
      </c>
      <c r="AX23" s="227">
        <v>0</v>
      </c>
      <c r="AY23" s="262" t="s">
        <v>1179</v>
      </c>
      <c r="BA23" s="249" t="s">
        <v>741</v>
      </c>
      <c r="BC23" s="249" t="s">
        <v>2380</v>
      </c>
      <c r="BD23"/>
      <c r="BE23" s="249" t="s">
        <v>873</v>
      </c>
      <c r="BG23" s="249" t="s">
        <v>2354</v>
      </c>
      <c r="BI23" s="249" t="s">
        <v>905</v>
      </c>
      <c r="BK23" s="412" t="str">
        <f>IF('2-Vzhled a charakter'!$B$5&lt;&gt;0,LOOKUP('2-Vzhled a charakter'!$B$5,$BL$7:$BT$7,$BL23:$BT23)," ")</f>
        <v xml:space="preserve"> </v>
      </c>
      <c r="BL23" s="249" t="s">
        <v>232</v>
      </c>
      <c r="BM23" s="249" t="s">
        <v>232</v>
      </c>
      <c r="BN23" s="249" t="s">
        <v>232</v>
      </c>
      <c r="BO23" s="249" t="s">
        <v>232</v>
      </c>
      <c r="BP23" s="249" t="s">
        <v>808</v>
      </c>
      <c r="BQ23" s="249" t="s">
        <v>232</v>
      </c>
      <c r="BR23" s="249" t="s">
        <v>232</v>
      </c>
      <c r="BS23" s="249" t="s">
        <v>232</v>
      </c>
      <c r="BT23" s="249"/>
      <c r="BV23" s="422" t="str">
        <f>CONCATENATE(IF(OR('2-Vzhled a charakter'!$I$2="Světlý elf",'2-Vzhled a charakter'!$I$2="Světlá elfka"),BX23,IF(OR('2-Vzhled a charakter'!$B$2="Trpaslík",'2-Vzhled a charakter'!$B$2="Trpaslce"),BY23,IF(OR('2-Vzhled a charakter'!$I$2="Temný elf",'2-Vzhled a charakter'!$I$2="Temná elfka"),BZ23,BW23)))," (",CA23,")")</f>
        <v>Astaldo (Bůh války)</v>
      </c>
      <c r="BW23" s="33" t="s">
        <v>1439</v>
      </c>
      <c r="BX23" s="33" t="s">
        <v>1437</v>
      </c>
      <c r="BY23" s="33" t="s">
        <v>1438</v>
      </c>
      <c r="BZ23" s="33" t="s">
        <v>1437</v>
      </c>
      <c r="CA23" s="33" t="s">
        <v>1440</v>
      </c>
    </row>
    <row r="24" spans="1:79" ht="12.9" customHeight="1" thickBot="1" x14ac:dyDescent="0.35">
      <c r="A24" s="1349" t="s">
        <v>150</v>
      </c>
      <c r="B24" s="1204"/>
      <c r="C24" s="1204"/>
      <c r="D24" s="345" t="s">
        <v>302</v>
      </c>
      <c r="E24" s="345" t="s">
        <v>303</v>
      </c>
      <c r="F24" s="120" t="s">
        <v>304</v>
      </c>
      <c r="G24" s="116" t="s">
        <v>350</v>
      </c>
      <c r="H24" s="1300" t="s">
        <v>155</v>
      </c>
      <c r="I24" s="1300"/>
      <c r="J24" s="1300"/>
      <c r="K24" s="116" t="s">
        <v>5703</v>
      </c>
      <c r="L24" s="116" t="s">
        <v>329</v>
      </c>
      <c r="M24" s="116" t="s">
        <v>3777</v>
      </c>
      <c r="N24" s="197"/>
      <c r="O24" s="197"/>
      <c r="P24" s="159"/>
      <c r="Q24" s="760" t="s">
        <v>2457</v>
      </c>
      <c r="R24" s="928" t="e">
        <f>R23*'7-Tabulky'!$E$14</f>
        <v>#REF!</v>
      </c>
      <c r="S24" s="197" t="s">
        <v>2458</v>
      </c>
      <c r="T24" s="761"/>
      <c r="U24" s="10"/>
      <c r="AE24" s="94">
        <v>22</v>
      </c>
      <c r="AF24" s="98">
        <v>12</v>
      </c>
      <c r="AG24" s="96">
        <v>4.5</v>
      </c>
      <c r="AJ24" s="672" t="s">
        <v>1171</v>
      </c>
      <c r="AK24" s="224" t="s">
        <v>20</v>
      </c>
      <c r="AL24" s="225">
        <v>1</v>
      </c>
      <c r="AM24" s="225"/>
      <c r="AN24" s="225">
        <v>-1</v>
      </c>
      <c r="AO24" s="225"/>
      <c r="AP24" s="226">
        <v>1</v>
      </c>
      <c r="AQ24" s="227">
        <f>HLOOKUP(Věci!$D$2,Věci!$A$2:$F$529,MATCH(AJ24,Věci!$A$2:$A$529,0),FALSE)</f>
        <v>2</v>
      </c>
      <c r="AR24" s="227">
        <v>0</v>
      </c>
      <c r="AS24" s="227">
        <v>0</v>
      </c>
      <c r="AT24" s="227">
        <v>0</v>
      </c>
      <c r="AU24" s="227">
        <v>0</v>
      </c>
      <c r="AV24" s="227">
        <v>0</v>
      </c>
      <c r="AW24" s="227">
        <v>0</v>
      </c>
      <c r="AX24" s="227">
        <v>0</v>
      </c>
      <c r="AY24" s="262" t="s">
        <v>3901</v>
      </c>
      <c r="BA24" s="249" t="s">
        <v>742</v>
      </c>
      <c r="BC24" s="249" t="s">
        <v>834</v>
      </c>
      <c r="BD24"/>
      <c r="BE24" s="249" t="s">
        <v>2372</v>
      </c>
      <c r="BG24" s="249" t="s">
        <v>881</v>
      </c>
      <c r="BI24" s="249" t="s">
        <v>2369</v>
      </c>
      <c r="BK24" s="412" t="str">
        <f>IF('2-Vzhled a charakter'!$B$5&lt;&gt;0,LOOKUP('2-Vzhled a charakter'!$B$5,$BL$7:$BT$7,$BL24:$BT24)," ")</f>
        <v xml:space="preserve"> </v>
      </c>
      <c r="BL24" s="249" t="s">
        <v>232</v>
      </c>
      <c r="BM24" s="249" t="s">
        <v>232</v>
      </c>
      <c r="BN24" s="249" t="s">
        <v>232</v>
      </c>
      <c r="BO24" s="249" t="s">
        <v>232</v>
      </c>
      <c r="BP24" s="249" t="s">
        <v>810</v>
      </c>
      <c r="BQ24" s="249" t="s">
        <v>232</v>
      </c>
      <c r="BR24" s="249" t="s">
        <v>232</v>
      </c>
      <c r="BS24" s="249" t="s">
        <v>232</v>
      </c>
      <c r="BT24" s="249" t="s">
        <v>232</v>
      </c>
      <c r="BV24" s="422" t="str">
        <f>CONCATENATE(IF(OR('2-Vzhled a charakter'!$I$2="Světlý elf",'2-Vzhled a charakter'!$I$2="Světlá elfka"),BX24,IF(OR('2-Vzhled a charakter'!$B$2="Trpaslík",'2-Vzhled a charakter'!$B$2="Trpaslce"),BY24,IF(OR('2-Vzhled a charakter'!$I$2="Temný elf",'2-Vzhled a charakter'!$I$2="Temná elfka"),BZ24,BW24)))," (",CA24,")")</f>
        <v>Lolth (Bohyně soudu a rovnováhy)</v>
      </c>
      <c r="BW24" s="33" t="s">
        <v>1435</v>
      </c>
      <c r="BX24" s="33" t="s">
        <v>1433</v>
      </c>
      <c r="BY24" s="33" t="s">
        <v>1434</v>
      </c>
      <c r="BZ24" s="33" t="s">
        <v>1434</v>
      </c>
      <c r="CA24" s="33" t="s">
        <v>1436</v>
      </c>
    </row>
    <row r="25" spans="1:79" ht="12.9" customHeight="1" x14ac:dyDescent="0.3">
      <c r="A25" s="1355" t="s">
        <v>338</v>
      </c>
      <c r="B25" s="1356"/>
      <c r="C25" s="1356"/>
      <c r="D25" s="1126">
        <f t="shared" ref="D25:F35" si="0">IFERROR(HLOOKUP(D$24,$AJ$3:$AY$91,MATCH($A25,$AJ$3:$AJ$91,0),FALSE),0)</f>
        <v>0</v>
      </c>
      <c r="E25" s="1126">
        <f t="shared" si="0"/>
        <v>0</v>
      </c>
      <c r="F25" s="1126">
        <f t="shared" si="0"/>
        <v>0</v>
      </c>
      <c r="G25" s="1127">
        <f t="shared" ref="G25:G32" si="1">IFERROR(HLOOKUP($AP$3,$AJ$3:$AQ$91,MATCH(A25,$AJ$3:$AJ$91,0),FALSE)," ")</f>
        <v>5</v>
      </c>
      <c r="H25" s="1299" t="s">
        <v>18</v>
      </c>
      <c r="I25" s="1299"/>
      <c r="J25" s="1299"/>
      <c r="K25" s="1128">
        <f>IFERROR(HLOOKUP("Sloty",$AJ$3:$AQ$91,MATCH(A25,$AJ$3:$AJ$91,0),FALSE)," ")</f>
        <v>4</v>
      </c>
      <c r="L25" s="1128">
        <f t="shared" ref="L25:L33" si="2">IFERROR(HLOOKUP($AL$3,$AJ$3:$AQ$91,MATCH(A25,$AJ$3:$AJ$91,0),FALSE)," ")</f>
        <v>3</v>
      </c>
      <c r="M25" s="1128"/>
      <c r="N25" s="197"/>
      <c r="O25" s="197"/>
      <c r="P25" s="197"/>
      <c r="Q25" s="763" t="s">
        <v>2463</v>
      </c>
      <c r="R25" s="928" t="e">
        <f>'7-Tabulky'!$G$14</f>
        <v>#REF!</v>
      </c>
      <c r="S25" s="197" t="s">
        <v>2464</v>
      </c>
      <c r="T25" s="761"/>
      <c r="U25" s="10"/>
      <c r="AE25" s="94">
        <v>23</v>
      </c>
      <c r="AF25" s="98">
        <v>14</v>
      </c>
      <c r="AG25" s="96">
        <v>5</v>
      </c>
      <c r="AJ25" s="672" t="s">
        <v>327</v>
      </c>
      <c r="AK25" s="224" t="s">
        <v>20</v>
      </c>
      <c r="AL25" s="225">
        <v>2</v>
      </c>
      <c r="AM25" s="225"/>
      <c r="AN25" s="225"/>
      <c r="AO25" s="225"/>
      <c r="AP25" s="226">
        <v>2</v>
      </c>
      <c r="AQ25" s="227">
        <f>HLOOKUP(Věci!$D$2,Věci!$A$2:$F$529,MATCH(AJ25,Věci!$A$2:$A$529,0),FALSE)</f>
        <v>2</v>
      </c>
      <c r="AR25" s="227">
        <v>0</v>
      </c>
      <c r="AS25" s="227">
        <v>0</v>
      </c>
      <c r="AT25" s="227">
        <v>0</v>
      </c>
      <c r="AU25" s="227">
        <v>0</v>
      </c>
      <c r="AV25" s="227">
        <v>0</v>
      </c>
      <c r="AW25" s="227">
        <v>0</v>
      </c>
      <c r="AX25" s="227">
        <v>0</v>
      </c>
      <c r="AY25" s="262" t="s">
        <v>957</v>
      </c>
      <c r="BA25" s="249" t="s">
        <v>743</v>
      </c>
      <c r="BC25" s="249" t="s">
        <v>2919</v>
      </c>
      <c r="BD25"/>
      <c r="BE25" s="249" t="s">
        <v>863</v>
      </c>
      <c r="BG25" s="249" t="s">
        <v>898</v>
      </c>
      <c r="BI25" s="249" t="s">
        <v>2343</v>
      </c>
      <c r="BV25" s="422" t="str">
        <f>CONCATENATE(IF(OR('2-Vzhled a charakter'!$I$2="Světlý elf",'2-Vzhled a charakter'!$I$2="Světlá elfka"),BX25,IF(OR('2-Vzhled a charakter'!$B$2="Trpaslík",'2-Vzhled a charakter'!$B$2="Trpaslce"),BY25,IF(OR('2-Vzhled a charakter'!$I$2="Temný elf",'2-Vzhled a charakter'!$I$2="Temná elfka"),BZ25,BW25)))," (",CA25,")")</f>
        <v>Ulmo (Bůh  moří)</v>
      </c>
      <c r="BW25" s="33" t="s">
        <v>1404</v>
      </c>
      <c r="BX25" s="33" t="s">
        <v>1404</v>
      </c>
      <c r="BY25" s="33" t="s">
        <v>1404</v>
      </c>
      <c r="BZ25" s="33" t="s">
        <v>1404</v>
      </c>
      <c r="CA25" s="33" t="s">
        <v>1405</v>
      </c>
    </row>
    <row r="26" spans="1:79" ht="12.9" customHeight="1" thickBot="1" x14ac:dyDescent="0.35">
      <c r="A26" s="1335" t="s">
        <v>347</v>
      </c>
      <c r="B26" s="1336"/>
      <c r="C26" s="1336"/>
      <c r="D26" s="1131">
        <f t="shared" si="0"/>
        <v>0</v>
      </c>
      <c r="E26" s="1131">
        <f t="shared" si="0"/>
        <v>0</v>
      </c>
      <c r="F26" s="1131">
        <f t="shared" si="0"/>
        <v>0</v>
      </c>
      <c r="G26" s="1132">
        <f t="shared" si="1"/>
        <v>0</v>
      </c>
      <c r="H26" s="1301" t="s">
        <v>18</v>
      </c>
      <c r="I26" s="1301"/>
      <c r="J26" s="1301"/>
      <c r="K26" s="1133">
        <f t="shared" ref="K26:K35" si="3">IFERROR(HLOOKUP("Sloty",$AJ$3:$AQ$91,MATCH(A26,$AJ$3:$AJ$91,0),FALSE)," ")</f>
        <v>1</v>
      </c>
      <c r="L26" s="1133">
        <f t="shared" si="2"/>
        <v>0</v>
      </c>
      <c r="M26" s="1133"/>
      <c r="N26" s="197"/>
      <c r="O26" s="197"/>
      <c r="T26" s="761"/>
      <c r="W26" t="s">
        <v>2884</v>
      </c>
      <c r="X26" s="529" t="s">
        <v>2885</v>
      </c>
      <c r="Y26" t="s">
        <v>2886</v>
      </c>
      <c r="Z26" t="s">
        <v>2887</v>
      </c>
      <c r="AA26" t="s">
        <v>2888</v>
      </c>
      <c r="AB26" t="s">
        <v>2889</v>
      </c>
      <c r="AC26" t="s">
        <v>2087</v>
      </c>
      <c r="AE26" s="94">
        <v>24</v>
      </c>
      <c r="AF26" s="98">
        <v>16</v>
      </c>
      <c r="AG26" s="96">
        <v>5.6</v>
      </c>
      <c r="AJ26" s="672" t="s">
        <v>345</v>
      </c>
      <c r="AK26" s="224" t="s">
        <v>20</v>
      </c>
      <c r="AL26" s="225">
        <v>5</v>
      </c>
      <c r="AM26" s="225"/>
      <c r="AN26" s="225"/>
      <c r="AO26" s="225"/>
      <c r="AP26" s="226">
        <v>9</v>
      </c>
      <c r="AQ26" s="227">
        <f>HLOOKUP(Věci!$D$2,Věci!$A$2:$F$529,MATCH(AJ26,Věci!$A$2:$A$529,0),FALSE)</f>
        <v>0</v>
      </c>
      <c r="AR26" s="227">
        <v>-1</v>
      </c>
      <c r="AS26" s="227">
        <v>-1</v>
      </c>
      <c r="AT26" s="227">
        <v>0</v>
      </c>
      <c r="AU26" s="227">
        <v>0</v>
      </c>
      <c r="AV26" s="227">
        <v>0</v>
      </c>
      <c r="AW26" s="227">
        <v>0</v>
      </c>
      <c r="AX26" s="227">
        <v>0</v>
      </c>
      <c r="AY26" s="262" t="s">
        <v>964</v>
      </c>
      <c r="BA26" s="249" t="s">
        <v>744</v>
      </c>
      <c r="BC26" s="249" t="s">
        <v>845</v>
      </c>
      <c r="BD26"/>
      <c r="BE26" s="249" t="s">
        <v>865</v>
      </c>
      <c r="BG26" s="249" t="s">
        <v>899</v>
      </c>
      <c r="BI26" s="249" t="s">
        <v>2344</v>
      </c>
      <c r="BV26" s="422" t="s">
        <v>199</v>
      </c>
      <c r="BW26" s="33" t="s">
        <v>199</v>
      </c>
      <c r="BX26" s="33" t="s">
        <v>199</v>
      </c>
      <c r="BY26" s="33" t="s">
        <v>199</v>
      </c>
      <c r="BZ26" s="33" t="s">
        <v>199</v>
      </c>
      <c r="CA26" s="33" t="s">
        <v>1458</v>
      </c>
    </row>
    <row r="27" spans="1:79" ht="12.9" customHeight="1" thickTop="1" x14ac:dyDescent="0.3">
      <c r="A27" s="1325"/>
      <c r="B27" s="1326"/>
      <c r="C27" s="1326"/>
      <c r="D27" s="343">
        <f t="shared" si="0"/>
        <v>0</v>
      </c>
      <c r="E27" s="343">
        <f t="shared" si="0"/>
        <v>0</v>
      </c>
      <c r="F27" s="343">
        <f t="shared" si="0"/>
        <v>0</v>
      </c>
      <c r="G27" s="1129" t="str">
        <f t="shared" si="1"/>
        <v xml:space="preserve"> </v>
      </c>
      <c r="H27" s="1298" t="s">
        <v>17</v>
      </c>
      <c r="I27" s="1298"/>
      <c r="J27" s="1298"/>
      <c r="K27" s="1130" t="str">
        <f t="shared" si="3"/>
        <v xml:space="preserve"> </v>
      </c>
      <c r="L27" s="1130" t="str">
        <f t="shared" si="2"/>
        <v xml:space="preserve"> </v>
      </c>
      <c r="M27" s="1130"/>
      <c r="N27" s="197"/>
      <c r="Q27" s="767" t="s">
        <v>571</v>
      </c>
      <c r="R27" s="927">
        <f>IFERROR(IF(OR(D10="47",D11="47",D12="47"),4,FLOOR(8-'1-Vlastnosti'!D12/2,1)+'1-Vlastnosti'!AP48)," ")</f>
        <v>8</v>
      </c>
      <c r="S27" s="143" t="s">
        <v>4275</v>
      </c>
      <c r="T27" s="761"/>
      <c r="V27" t="s">
        <v>302</v>
      </c>
      <c r="W27" s="164">
        <f>HLOOKUP($V27,Veverka!$A$2:$AH$204,MATCH(ZV_1,Veverka!$A$2:$A$204,0),FALSE)</f>
        <v>0</v>
      </c>
      <c r="X27" s="164">
        <f>IFERROR(HLOOKUP($V27,Veverka!$A$2:$AH$204,MATCH(ZV_2,Veverka!$A$2:$A$204,0),FALSE),0)</f>
        <v>0</v>
      </c>
      <c r="Y27" s="164">
        <f>IFERROR(HLOOKUP($V27,Veverka!$A$2:$AH$204,MATCH(ZV_3,Veverka!$A$2:$A$204,0),FALSE),0)</f>
        <v>0</v>
      </c>
      <c r="Z27" s="164">
        <f>HLOOKUP($V27,Veverka!$A$2:$AG$204,MATCH(KV_1,Veverka!$A$2:$A$204,0),FALSE)</f>
        <v>0</v>
      </c>
      <c r="AA27" s="164">
        <f>IFERROR(HLOOKUP($V27,Veverka!$A$2:$AG$204,MATCH(KV_2,Veverka!$A$2:$A$204,0),FALSE),0)</f>
        <v>0</v>
      </c>
      <c r="AB27" s="164">
        <f>IFERROR(HLOOKUP($V27,Veverka!$A$2:$AG$204,MATCH(KV_3,Veverka!$A$2:$A$204,0),FALSE),0)</f>
        <v>0</v>
      </c>
      <c r="AC27" s="530">
        <f>SUM(W27:AB27)</f>
        <v>0</v>
      </c>
      <c r="AE27" s="94">
        <v>25</v>
      </c>
      <c r="AF27" s="98">
        <v>18</v>
      </c>
      <c r="AG27" s="96">
        <v>6.3</v>
      </c>
      <c r="AJ27" s="672" t="s">
        <v>1172</v>
      </c>
      <c r="AK27" s="224" t="s">
        <v>20</v>
      </c>
      <c r="AL27" s="225">
        <v>0</v>
      </c>
      <c r="AM27" s="225"/>
      <c r="AN27" s="225"/>
      <c r="AO27" s="225"/>
      <c r="AP27" s="226">
        <v>1</v>
      </c>
      <c r="AQ27" s="227">
        <f>HLOOKUP(Věci!$D$2,Věci!$A$2:$F$529,MATCH(AJ27,Věci!$A$2:$A$529,0),FALSE)</f>
        <v>2</v>
      </c>
      <c r="AR27" s="227">
        <v>0</v>
      </c>
      <c r="AS27" s="227">
        <v>0</v>
      </c>
      <c r="AT27" s="227">
        <v>0</v>
      </c>
      <c r="AU27" s="227">
        <v>0</v>
      </c>
      <c r="AV27" s="227">
        <v>0</v>
      </c>
      <c r="AW27" s="227">
        <v>0</v>
      </c>
      <c r="AX27" s="227">
        <v>0</v>
      </c>
      <c r="AY27" s="262" t="s">
        <v>3900</v>
      </c>
      <c r="BA27" s="249" t="s">
        <v>745</v>
      </c>
      <c r="BC27" s="249" t="s">
        <v>828</v>
      </c>
      <c r="BD27"/>
      <c r="BE27" s="249" t="s">
        <v>864</v>
      </c>
      <c r="BG27" s="249" t="s">
        <v>2363</v>
      </c>
      <c r="BI27" s="249" t="s">
        <v>2350</v>
      </c>
    </row>
    <row r="28" spans="1:79" ht="12.9" customHeight="1" x14ac:dyDescent="0.3">
      <c r="A28" s="1317"/>
      <c r="B28" s="1318"/>
      <c r="C28" s="1318"/>
      <c r="D28" s="144">
        <f t="shared" si="0"/>
        <v>0</v>
      </c>
      <c r="E28" s="144">
        <f t="shared" si="0"/>
        <v>0</v>
      </c>
      <c r="F28" s="144">
        <f t="shared" si="0"/>
        <v>0</v>
      </c>
      <c r="G28" s="146" t="str">
        <f t="shared" si="1"/>
        <v xml:space="preserve"> </v>
      </c>
      <c r="H28" s="1337" t="s">
        <v>20</v>
      </c>
      <c r="I28" s="1337"/>
      <c r="J28" s="1337"/>
      <c r="K28" s="69" t="str">
        <f t="shared" si="3"/>
        <v xml:space="preserve"> </v>
      </c>
      <c r="L28" s="69" t="str">
        <f t="shared" si="2"/>
        <v xml:space="preserve"> </v>
      </c>
      <c r="M28" s="69"/>
      <c r="N28" s="197"/>
      <c r="O28" s="934" t="s">
        <v>3978</v>
      </c>
      <c r="P28" s="1313"/>
      <c r="Q28" s="1314"/>
      <c r="R28" s="1314"/>
      <c r="S28" s="1315"/>
      <c r="T28" s="761"/>
      <c r="V28" t="s">
        <v>303</v>
      </c>
      <c r="W28" s="164">
        <f>HLOOKUP($V28,Veverka!$A$2:$AH$204,MATCH(ZV_1,Veverka!$A$2:$A$204,0),FALSE)</f>
        <v>0</v>
      </c>
      <c r="X28" s="164">
        <f>IFERROR(HLOOKUP($V28,Veverka!$A$2:$AH$204,MATCH(ZV_2,Veverka!$A$2:$A$204,0),FALSE),0)</f>
        <v>0</v>
      </c>
      <c r="Y28" s="164">
        <f>IFERROR(HLOOKUP($V28,Veverka!$A$2:$AH$204,MATCH(ZV_3,Veverka!$A$2:$A$204,0),FALSE),0)</f>
        <v>0</v>
      </c>
      <c r="Z28" s="164">
        <f>HLOOKUP($V28,Veverka!$A$2:$AG$204,MATCH(KV_1,Veverka!$A$2:$A$204,0),FALSE)</f>
        <v>0</v>
      </c>
      <c r="AA28" s="164">
        <f>IFERROR(HLOOKUP($V28,Veverka!$A$2:$AG$204,MATCH(KV_2,Veverka!$A$2:$A$204,0),FALSE),0)</f>
        <v>0</v>
      </c>
      <c r="AB28" s="164">
        <f>IFERROR(HLOOKUP($V28,Veverka!$A$2:$AG$204,MATCH(KV_3,Veverka!$A$2:$A$204,0),FALSE),0)</f>
        <v>0</v>
      </c>
      <c r="AC28" s="530">
        <f>SUM(W28:AB28)</f>
        <v>0</v>
      </c>
      <c r="AE28" s="94">
        <v>26</v>
      </c>
      <c r="AF28" s="98">
        <v>20</v>
      </c>
      <c r="AG28" s="96">
        <v>7</v>
      </c>
      <c r="AJ28" s="672" t="s">
        <v>3902</v>
      </c>
      <c r="AK28" s="224" t="s">
        <v>20</v>
      </c>
      <c r="AL28" s="225">
        <v>4</v>
      </c>
      <c r="AM28" s="225"/>
      <c r="AN28" s="225"/>
      <c r="AO28" s="225"/>
      <c r="AP28" s="226">
        <v>7</v>
      </c>
      <c r="AQ28" s="227">
        <f>HLOOKUP(Věci!$D$2,Věci!$A$2:$F$529,MATCH(AJ28,Věci!$A$2:$A$529,0),FALSE)</f>
        <v>0</v>
      </c>
      <c r="AR28" s="227">
        <v>-1</v>
      </c>
      <c r="AS28" s="227">
        <v>-1</v>
      </c>
      <c r="AT28" s="227">
        <v>0</v>
      </c>
      <c r="AU28" s="227">
        <v>0</v>
      </c>
      <c r="AV28" s="227">
        <v>0</v>
      </c>
      <c r="AW28" s="227">
        <v>0</v>
      </c>
      <c r="AX28" s="227">
        <v>0</v>
      </c>
      <c r="AY28" s="262" t="s">
        <v>957</v>
      </c>
      <c r="BA28" s="249" t="s">
        <v>746</v>
      </c>
      <c r="BC28" s="249" t="s">
        <v>838</v>
      </c>
      <c r="BD28"/>
      <c r="BE28" s="249" t="s">
        <v>856</v>
      </c>
      <c r="BG28" s="249" t="s">
        <v>2358</v>
      </c>
      <c r="BI28" s="249" t="s">
        <v>907</v>
      </c>
    </row>
    <row r="29" spans="1:79" ht="12.9" customHeight="1" thickBot="1" x14ac:dyDescent="0.35">
      <c r="A29" s="1335"/>
      <c r="B29" s="1336"/>
      <c r="C29" s="1336"/>
      <c r="D29" s="1131">
        <f t="shared" si="0"/>
        <v>0</v>
      </c>
      <c r="E29" s="1131">
        <f t="shared" si="0"/>
        <v>0</v>
      </c>
      <c r="F29" s="1131">
        <f t="shared" si="0"/>
        <v>0</v>
      </c>
      <c r="G29" s="1132" t="str">
        <f t="shared" si="1"/>
        <v xml:space="preserve"> </v>
      </c>
      <c r="H29" s="1301" t="s">
        <v>19</v>
      </c>
      <c r="I29" s="1301"/>
      <c r="J29" s="1301"/>
      <c r="K29" s="1133" t="str">
        <f t="shared" si="3"/>
        <v xml:space="preserve"> </v>
      </c>
      <c r="L29" s="1133" t="str">
        <f t="shared" si="2"/>
        <v xml:space="preserve"> </v>
      </c>
      <c r="M29" s="1133"/>
      <c r="N29" s="197"/>
      <c r="O29" s="935" t="s">
        <v>147</v>
      </c>
      <c r="P29" s="1327"/>
      <c r="Q29" s="1328"/>
      <c r="R29" s="1328"/>
      <c r="S29" s="1329"/>
      <c r="T29" s="761"/>
      <c r="V29" t="s">
        <v>304</v>
      </c>
      <c r="W29" s="164">
        <f>HLOOKUP($V29,Veverka!$A$2:$AH$204,MATCH(ZV_1,Veverka!$A$2:$A$204,0),FALSE)</f>
        <v>0</v>
      </c>
      <c r="X29" s="164">
        <f>IFERROR(HLOOKUP($V29,Veverka!$A$2:$AH$204,MATCH(ZV_2,Veverka!$A$2:$A$204,0),FALSE),0)</f>
        <v>0</v>
      </c>
      <c r="Y29" s="164">
        <f>IFERROR(HLOOKUP($V29,Veverka!$A$2:$AH$204,MATCH(ZV_3,Veverka!$A$2:$A$204,0),FALSE),0)</f>
        <v>0</v>
      </c>
      <c r="Z29" s="164">
        <f>HLOOKUP($V29,Veverka!$A$2:$AG$204,MATCH(KV_1,Veverka!$A$2:$A$204,0),FALSE)</f>
        <v>0</v>
      </c>
      <c r="AA29" s="164">
        <f>IFERROR(HLOOKUP($V29,Veverka!$A$2:$AG$204,MATCH(KV_2,Veverka!$A$2:$A$204,0),FALSE),0)</f>
        <v>0</v>
      </c>
      <c r="AB29" s="164">
        <f>IFERROR(HLOOKUP($V29,Veverka!$A$2:$AG$204,MATCH(KV_3,Veverka!$A$2:$A$204,0),FALSE),0)</f>
        <v>0</v>
      </c>
      <c r="AC29" s="530">
        <f>SUM(W29:AB29)</f>
        <v>0</v>
      </c>
      <c r="AE29" s="94">
        <v>27</v>
      </c>
      <c r="AF29" s="98">
        <v>22</v>
      </c>
      <c r="AG29" s="96">
        <v>8</v>
      </c>
      <c r="AJ29" s="672" t="s">
        <v>3903</v>
      </c>
      <c r="AK29" s="224" t="s">
        <v>20</v>
      </c>
      <c r="AL29" s="225">
        <v>6</v>
      </c>
      <c r="AM29" s="225"/>
      <c r="AN29" s="225"/>
      <c r="AO29" s="225"/>
      <c r="AP29" s="226">
        <v>5</v>
      </c>
      <c r="AQ29" s="227">
        <f>HLOOKUP(Věci!$D$2,Věci!$A$2:$F$529,MATCH(AJ29,Věci!$A$2:$A$529,0),FALSE)</f>
        <v>0</v>
      </c>
      <c r="AR29" s="227">
        <v>-1</v>
      </c>
      <c r="AS29" s="227">
        <v>-1</v>
      </c>
      <c r="AT29" s="227">
        <v>0</v>
      </c>
      <c r="AU29" s="227">
        <v>0</v>
      </c>
      <c r="AV29" s="227">
        <v>0</v>
      </c>
      <c r="AW29" s="227">
        <v>0</v>
      </c>
      <c r="AX29" s="227">
        <v>0</v>
      </c>
      <c r="AY29" s="262" t="s">
        <v>957</v>
      </c>
      <c r="BA29" s="249" t="s">
        <v>747</v>
      </c>
      <c r="BC29" s="249" t="s">
        <v>830</v>
      </c>
      <c r="BD29"/>
      <c r="BE29" s="249" t="s">
        <v>2374</v>
      </c>
      <c r="BG29" s="249" t="s">
        <v>878</v>
      </c>
      <c r="BI29" s="249" t="s">
        <v>925</v>
      </c>
    </row>
    <row r="30" spans="1:79" ht="16.2" thickTop="1" x14ac:dyDescent="0.3">
      <c r="A30" s="1325"/>
      <c r="B30" s="1326"/>
      <c r="C30" s="1326"/>
      <c r="D30" s="343">
        <f t="shared" si="0"/>
        <v>0</v>
      </c>
      <c r="E30" s="343">
        <f t="shared" si="0"/>
        <v>0</v>
      </c>
      <c r="F30" s="343">
        <f t="shared" si="0"/>
        <v>0</v>
      </c>
      <c r="G30" s="1129" t="str">
        <f t="shared" si="1"/>
        <v xml:space="preserve"> </v>
      </c>
      <c r="H30" s="1316" t="s">
        <v>1183</v>
      </c>
      <c r="I30" s="1316"/>
      <c r="J30" s="1316"/>
      <c r="K30" s="1130" t="str">
        <f t="shared" si="3"/>
        <v xml:space="preserve"> </v>
      </c>
      <c r="L30" s="1130" t="str">
        <f t="shared" si="2"/>
        <v xml:space="preserve"> </v>
      </c>
      <c r="M30" s="1130"/>
      <c r="N30" s="197"/>
      <c r="O30" s="197" t="s">
        <v>990</v>
      </c>
      <c r="P30" s="197"/>
      <c r="Q30" s="197"/>
      <c r="R30" s="197"/>
      <c r="S30" s="197"/>
      <c r="T30" s="761"/>
      <c r="V30" t="s">
        <v>33</v>
      </c>
      <c r="W30" s="164">
        <f>HLOOKUP($V30,Veverka!$A$2:$AH$204,MATCH(ZV_1,Veverka!$A$2:$A$204,0),FALSE)</f>
        <v>0</v>
      </c>
      <c r="X30" s="164">
        <f>IFERROR(HLOOKUP($V30,Veverka!$A$2:$AH$204,MATCH(ZV_2,Veverka!$A$2:$A$204,0),FALSE),0)</f>
        <v>0</v>
      </c>
      <c r="Y30" s="164">
        <f>IFERROR(HLOOKUP($V30,Veverka!$A$2:$AH$204,MATCH(ZV_3,Veverka!$A$2:$A$204,0),FALSE),0)</f>
        <v>0</v>
      </c>
      <c r="Z30" s="164">
        <f>HLOOKUP($V30,Veverka!$A$2:$AG$204,MATCH(KV_1,Veverka!$A$2:$A$204,0),FALSE)</f>
        <v>0</v>
      </c>
      <c r="AA30" s="164">
        <f>IFERROR(HLOOKUP($V30,Veverka!$A$2:$AG$204,MATCH(KV_2,Veverka!$A$2:$A$204,0),FALSE),0)</f>
        <v>0</v>
      </c>
      <c r="AB30" s="164">
        <f>IFERROR(HLOOKUP($V30,Veverka!$A$2:$AG$204,MATCH(KV_3,Veverka!$A$2:$A$204,0),FALSE),0)</f>
        <v>0</v>
      </c>
      <c r="AC30" s="530">
        <f>SUM(W30:AB30)</f>
        <v>0</v>
      </c>
      <c r="AE30" s="94">
        <v>28</v>
      </c>
      <c r="AF30" s="98">
        <v>25</v>
      </c>
      <c r="AG30" s="96">
        <v>9</v>
      </c>
      <c r="AJ30" s="672" t="s">
        <v>328</v>
      </c>
      <c r="AK30" s="224" t="s">
        <v>20</v>
      </c>
      <c r="AL30" s="225">
        <v>7</v>
      </c>
      <c r="AM30" s="225"/>
      <c r="AN30" s="225"/>
      <c r="AO30" s="225">
        <v>1</v>
      </c>
      <c r="AP30" s="226">
        <v>13</v>
      </c>
      <c r="AQ30" s="227">
        <f>HLOOKUP(Věci!$D$2,Věci!$A$2:$F$529,MATCH(AJ30,Věci!$A$2:$A$529,0),FALSE)</f>
        <v>2</v>
      </c>
      <c r="AR30" s="227">
        <v>-1</v>
      </c>
      <c r="AS30" s="227">
        <v>-1</v>
      </c>
      <c r="AT30" s="227">
        <v>-1</v>
      </c>
      <c r="AU30" s="227">
        <v>0</v>
      </c>
      <c r="AV30" s="227">
        <v>0</v>
      </c>
      <c r="AW30" s="227">
        <v>0</v>
      </c>
      <c r="AX30" s="227">
        <v>0</v>
      </c>
      <c r="AY30" s="262" t="s">
        <v>964</v>
      </c>
      <c r="BA30" s="249" t="s">
        <v>611</v>
      </c>
      <c r="BC30" s="249" t="s">
        <v>829</v>
      </c>
      <c r="BD30"/>
      <c r="BE30" s="249" t="s">
        <v>862</v>
      </c>
      <c r="BG30" s="249" t="s">
        <v>894</v>
      </c>
      <c r="BI30" s="249" t="s">
        <v>921</v>
      </c>
    </row>
    <row r="31" spans="1:79" ht="14.25" customHeight="1" x14ac:dyDescent="0.3">
      <c r="A31" s="1317"/>
      <c r="B31" s="1318"/>
      <c r="C31" s="1318"/>
      <c r="D31" s="144">
        <f t="shared" si="0"/>
        <v>0</v>
      </c>
      <c r="E31" s="144">
        <f t="shared" si="0"/>
        <v>0</v>
      </c>
      <c r="F31" s="144">
        <f t="shared" si="0"/>
        <v>0</v>
      </c>
      <c r="G31" s="146" t="str">
        <f t="shared" si="1"/>
        <v xml:space="preserve"> </v>
      </c>
      <c r="H31" s="1334" t="s">
        <v>1183</v>
      </c>
      <c r="I31" s="1334"/>
      <c r="J31" s="1334"/>
      <c r="K31" s="69" t="str">
        <f t="shared" si="3"/>
        <v xml:space="preserve"> </v>
      </c>
      <c r="L31" s="69" t="str">
        <f t="shared" si="2"/>
        <v xml:space="preserve"> </v>
      </c>
      <c r="M31" s="69"/>
      <c r="N31" s="197"/>
      <c r="O31" s="295"/>
      <c r="P31" s="295"/>
      <c r="Q31" s="295"/>
      <c r="R31" s="295"/>
      <c r="S31" s="295"/>
      <c r="T31" s="761"/>
      <c r="V31" t="s">
        <v>81</v>
      </c>
      <c r="W31" s="164">
        <f>HLOOKUP($V31,Veverka!$A$2:$AH$204,MATCH(ZV_1,Veverka!$A$2:$A$204,0),FALSE)</f>
        <v>0</v>
      </c>
      <c r="X31" s="164">
        <f>IFERROR(HLOOKUP($V31,Veverka!$A$2:$AH$204,MATCH(ZV_2,Veverka!$A$2:$A$204,0),FALSE),0)</f>
        <v>0</v>
      </c>
      <c r="Y31" s="164">
        <f>IFERROR(HLOOKUP($V31,Veverka!$A$2:$AH$204,MATCH(ZV_3,Veverka!$A$2:$A$204,0),FALSE),0)</f>
        <v>0</v>
      </c>
      <c r="Z31" s="164">
        <f>HLOOKUP($V31,Veverka!$A$2:$AG$204,MATCH(KV_1,Veverka!$A$2:$A$204,0),FALSE)</f>
        <v>0</v>
      </c>
      <c r="AA31" s="164">
        <f>IFERROR(HLOOKUP($V31,Veverka!$A$2:$AG$204,MATCH(KV_2,Veverka!$A$2:$A$204,0),FALSE),0)</f>
        <v>0</v>
      </c>
      <c r="AB31" s="164">
        <f>IFERROR(HLOOKUP($V31,Veverka!$A$2:$AG$204,MATCH(KV_3,Veverka!$A$2:$A$204,0),FALSE),0)</f>
        <v>0</v>
      </c>
      <c r="AC31" s="530">
        <f>SUM(W31:AB31)</f>
        <v>0</v>
      </c>
      <c r="AE31" s="94">
        <v>29</v>
      </c>
      <c r="AF31" s="98">
        <v>28</v>
      </c>
      <c r="AG31" s="96">
        <v>10</v>
      </c>
      <c r="AJ31" s="672" t="s">
        <v>330</v>
      </c>
      <c r="AK31" s="224" t="s">
        <v>20</v>
      </c>
      <c r="AL31" s="225">
        <v>0</v>
      </c>
      <c r="AM31" s="225"/>
      <c r="AN31" s="225"/>
      <c r="AO31" s="225"/>
      <c r="AP31" s="226">
        <v>1</v>
      </c>
      <c r="AQ31" s="227">
        <f>HLOOKUP(Věci!$D$2,Věci!$A$2:$F$529,MATCH(AJ31,Věci!$A$2:$A$529,0),FALSE)</f>
        <v>2</v>
      </c>
      <c r="AR31" s="227">
        <v>0</v>
      </c>
      <c r="AS31" s="227">
        <v>0</v>
      </c>
      <c r="AT31" s="227">
        <v>0</v>
      </c>
      <c r="AU31" s="227">
        <v>0</v>
      </c>
      <c r="AV31" s="227">
        <v>0</v>
      </c>
      <c r="AW31" s="227">
        <v>0</v>
      </c>
      <c r="AX31" s="227">
        <v>0</v>
      </c>
      <c r="AY31" s="262" t="s">
        <v>965</v>
      </c>
      <c r="BA31" s="249" t="s">
        <v>748</v>
      </c>
      <c r="BC31" s="249" t="s">
        <v>2382</v>
      </c>
      <c r="BD31"/>
      <c r="BE31" s="249" t="s">
        <v>869</v>
      </c>
      <c r="BG31" s="249" t="s">
        <v>2925</v>
      </c>
      <c r="BI31" s="249" t="s">
        <v>205</v>
      </c>
    </row>
    <row r="32" spans="1:79" ht="15" customHeight="1" x14ac:dyDescent="0.3">
      <c r="A32" s="1319"/>
      <c r="B32" s="1320"/>
      <c r="C32" s="1320"/>
      <c r="D32" s="348">
        <f t="shared" si="0"/>
        <v>0</v>
      </c>
      <c r="E32" s="348">
        <f t="shared" si="0"/>
        <v>0</v>
      </c>
      <c r="F32" s="348">
        <f t="shared" si="0"/>
        <v>0</v>
      </c>
      <c r="G32" s="506" t="str">
        <f t="shared" si="1"/>
        <v xml:space="preserve"> </v>
      </c>
      <c r="H32" s="1321" t="s">
        <v>1183</v>
      </c>
      <c r="I32" s="1321"/>
      <c r="J32" s="1321"/>
      <c r="K32" s="349" t="str">
        <f t="shared" si="3"/>
        <v xml:space="preserve"> </v>
      </c>
      <c r="L32" s="349" t="str">
        <f t="shared" si="2"/>
        <v xml:space="preserve"> </v>
      </c>
      <c r="M32" s="349"/>
      <c r="N32" s="197"/>
      <c r="O32" s="295"/>
      <c r="P32" s="295"/>
      <c r="Q32" s="295"/>
      <c r="R32" s="295"/>
      <c r="S32" s="295"/>
      <c r="T32" s="761"/>
      <c r="AE32" s="94">
        <v>30</v>
      </c>
      <c r="AF32" s="98">
        <v>32</v>
      </c>
      <c r="AG32" s="96">
        <v>11</v>
      </c>
      <c r="AJ32" s="671" t="s">
        <v>1174</v>
      </c>
      <c r="AK32" s="105" t="s">
        <v>19</v>
      </c>
      <c r="AL32" s="103">
        <v>1</v>
      </c>
      <c r="AM32" s="103"/>
      <c r="AN32" s="103"/>
      <c r="AO32" s="103"/>
      <c r="AP32" s="103">
        <v>3</v>
      </c>
      <c r="AQ32" s="106">
        <f>HLOOKUP(Věci!$D$2,Věci!$A$2:$F$529,MATCH(AJ32,Věci!$A$2:$A$529,0),FALSE)</f>
        <v>0</v>
      </c>
      <c r="AR32" s="194">
        <v>0</v>
      </c>
      <c r="AS32" s="194">
        <v>0</v>
      </c>
      <c r="AT32" s="194">
        <v>0</v>
      </c>
      <c r="AU32" s="194">
        <v>0</v>
      </c>
      <c r="AV32" s="194">
        <v>0</v>
      </c>
      <c r="AW32" s="194">
        <v>0</v>
      </c>
      <c r="AX32" s="194">
        <v>0</v>
      </c>
      <c r="AY32" s="104"/>
      <c r="BA32" s="249" t="s">
        <v>749</v>
      </c>
      <c r="BC32" s="249" t="s">
        <v>850</v>
      </c>
      <c r="BD32"/>
      <c r="BE32" s="249" t="s">
        <v>857</v>
      </c>
      <c r="BG32" s="249" t="s">
        <v>884</v>
      </c>
      <c r="BI32" s="249" t="s">
        <v>2368</v>
      </c>
    </row>
    <row r="33" spans="1:73" ht="15" customHeight="1" thickBot="1" x14ac:dyDescent="0.35">
      <c r="A33" s="1322"/>
      <c r="B33" s="1323"/>
      <c r="C33" s="1323"/>
      <c r="D33" s="347">
        <f t="shared" si="0"/>
        <v>0</v>
      </c>
      <c r="E33" s="347">
        <f t="shared" si="0"/>
        <v>0</v>
      </c>
      <c r="F33" s="347">
        <f t="shared" si="0"/>
        <v>0</v>
      </c>
      <c r="G33" s="358" t="str">
        <f>IFERROR(HLOOKUP($AP$3,$AJ$3:$AQ$72,MATCH(A33,$AJ$3:$AJ$72,0),FALSE)," ")</f>
        <v xml:space="preserve"> </v>
      </c>
      <c r="H33" s="1324" t="s">
        <v>1183</v>
      </c>
      <c r="I33" s="1324"/>
      <c r="J33" s="1324"/>
      <c r="K33" s="113" t="str">
        <f t="shared" si="3"/>
        <v xml:space="preserve"> </v>
      </c>
      <c r="L33" s="113" t="str">
        <f t="shared" si="2"/>
        <v xml:space="preserve"> </v>
      </c>
      <c r="M33" s="113"/>
      <c r="N33" s="197"/>
      <c r="O33" s="295"/>
      <c r="P33" s="295"/>
      <c r="Q33" s="295"/>
      <c r="R33" s="295"/>
      <c r="S33" s="295"/>
      <c r="T33" s="761"/>
      <c r="V33" s="1" t="s">
        <v>235</v>
      </c>
      <c r="AE33" s="94">
        <v>31</v>
      </c>
      <c r="AF33" s="98">
        <v>36</v>
      </c>
      <c r="AG33" s="96">
        <v>12</v>
      </c>
      <c r="AJ33" s="671" t="s">
        <v>958</v>
      </c>
      <c r="AK33" s="105" t="s">
        <v>19</v>
      </c>
      <c r="AL33" s="103">
        <v>9</v>
      </c>
      <c r="AM33" s="103"/>
      <c r="AN33" s="103"/>
      <c r="AO33" s="103"/>
      <c r="AP33" s="103">
        <v>15</v>
      </c>
      <c r="AQ33" s="106">
        <f>HLOOKUP(Věci!$D$2,Věci!$A$2:$F$529,MATCH(AJ33,Věci!$A$2:$A$529,0),FALSE)</f>
        <v>2</v>
      </c>
      <c r="AR33" s="194">
        <v>-2</v>
      </c>
      <c r="AS33" s="194">
        <v>-1</v>
      </c>
      <c r="AT33" s="194">
        <v>-1</v>
      </c>
      <c r="AU33" s="194">
        <v>-1</v>
      </c>
      <c r="AV33" s="194">
        <v>0</v>
      </c>
      <c r="AW33" s="194">
        <v>0</v>
      </c>
      <c r="AX33" s="194">
        <v>0</v>
      </c>
      <c r="AY33" s="261" t="s">
        <v>961</v>
      </c>
      <c r="BA33" s="249" t="s">
        <v>750</v>
      </c>
      <c r="BC33" s="249" t="s">
        <v>822</v>
      </c>
      <c r="BD33"/>
      <c r="BE33" s="249" t="s">
        <v>2379</v>
      </c>
      <c r="BG33" s="249" t="s">
        <v>2409</v>
      </c>
      <c r="BI33" s="249" t="s">
        <v>922</v>
      </c>
    </row>
    <row r="34" spans="1:73" ht="15" customHeight="1" x14ac:dyDescent="0.3">
      <c r="A34" s="1325"/>
      <c r="B34" s="1326"/>
      <c r="C34" s="1326"/>
      <c r="D34" s="343">
        <f t="shared" si="0"/>
        <v>0</v>
      </c>
      <c r="E34" s="343">
        <f t="shared" si="0"/>
        <v>0</v>
      </c>
      <c r="F34" s="343">
        <f t="shared" si="0"/>
        <v>0</v>
      </c>
      <c r="G34" s="344" t="str">
        <f>IFERROR(HLOOKUP($AP$3,$AJ$3:$AQ$72,MATCH(A34,$AJ$3:$AJ$72,0),FALSE)," ")</f>
        <v xml:space="preserve"> </v>
      </c>
      <c r="H34" s="1316"/>
      <c r="I34" s="1316"/>
      <c r="J34" s="1316"/>
      <c r="K34" s="344" t="str">
        <f t="shared" si="3"/>
        <v xml:space="preserve"> </v>
      </c>
      <c r="L34" s="344" t="str">
        <f>IFERROR(HLOOKUP($AL$3,$AJ$3:$AQ$72,MATCH(A34,$AJ$3:$AJ$72,0),FALSE)," ")</f>
        <v xml:space="preserve"> </v>
      </c>
      <c r="M34" s="344"/>
      <c r="N34" s="197"/>
      <c r="O34" s="295"/>
      <c r="P34" s="295"/>
      <c r="Q34" s="295"/>
      <c r="R34" s="295"/>
      <c r="S34" s="295"/>
      <c r="T34" s="761"/>
      <c r="V34" t="s">
        <v>245</v>
      </c>
      <c r="W34" t="s">
        <v>246</v>
      </c>
      <c r="AE34" s="94">
        <v>32</v>
      </c>
      <c r="AF34" s="98">
        <v>40</v>
      </c>
      <c r="AG34" s="96">
        <v>14</v>
      </c>
      <c r="AJ34" s="671" t="s">
        <v>336</v>
      </c>
      <c r="AK34" s="105" t="s">
        <v>19</v>
      </c>
      <c r="AL34" s="103">
        <v>7</v>
      </c>
      <c r="AM34" s="103"/>
      <c r="AN34" s="103"/>
      <c r="AO34" s="103"/>
      <c r="AP34" s="103">
        <v>13</v>
      </c>
      <c r="AQ34" s="106">
        <f>HLOOKUP(Věci!$D$2,Věci!$A$2:$F$529,MATCH(AJ34,Věci!$A$2:$A$529,0),FALSE)</f>
        <v>2</v>
      </c>
      <c r="AR34" s="194">
        <v>-1</v>
      </c>
      <c r="AS34" s="194">
        <v>-1</v>
      </c>
      <c r="AT34" s="194">
        <v>-1</v>
      </c>
      <c r="AU34" s="194">
        <v>0</v>
      </c>
      <c r="AV34" s="194">
        <v>0</v>
      </c>
      <c r="AW34" s="194">
        <v>0</v>
      </c>
      <c r="AX34" s="194">
        <v>0</v>
      </c>
      <c r="AY34" s="104" t="s">
        <v>960</v>
      </c>
      <c r="BA34" s="249" t="s">
        <v>751</v>
      </c>
      <c r="BC34" s="249" t="s">
        <v>823</v>
      </c>
      <c r="BD34"/>
      <c r="BE34" s="249" t="s">
        <v>2376</v>
      </c>
      <c r="BG34" s="249" t="s">
        <v>1605</v>
      </c>
      <c r="BI34" s="249" t="s">
        <v>1607</v>
      </c>
    </row>
    <row r="35" spans="1:73" ht="15" customHeight="1" x14ac:dyDescent="0.3">
      <c r="A35" s="1317"/>
      <c r="B35" s="1318"/>
      <c r="C35" s="1318"/>
      <c r="D35" s="144">
        <f t="shared" si="0"/>
        <v>0</v>
      </c>
      <c r="E35" s="144">
        <f t="shared" si="0"/>
        <v>0</v>
      </c>
      <c r="F35" s="144">
        <f t="shared" si="0"/>
        <v>0</v>
      </c>
      <c r="G35" s="331" t="str">
        <f>IFERROR(HLOOKUP($AP$3,$AJ$3:$AQ$72,MATCH(A35,$AJ$3:$AJ$72,0),FALSE)," ")</f>
        <v xml:space="preserve"> </v>
      </c>
      <c r="H35" s="1334"/>
      <c r="I35" s="1334"/>
      <c r="J35" s="1334"/>
      <c r="K35" s="331" t="str">
        <f t="shared" si="3"/>
        <v xml:space="preserve"> </v>
      </c>
      <c r="L35" s="331" t="str">
        <f>IFERROR(HLOOKUP($AL$3,$AJ$3:$AQ$72,MATCH(A35,$AJ$3:$AJ$72,0),FALSE)," ")</f>
        <v xml:space="preserve"> </v>
      </c>
      <c r="M35" s="331"/>
      <c r="O35" s="295"/>
      <c r="P35" s="295"/>
      <c r="Q35" s="295"/>
      <c r="R35" s="295"/>
      <c r="S35" s="295"/>
      <c r="T35" s="761"/>
      <c r="V35" s="59" t="s">
        <v>232</v>
      </c>
      <c r="W35" s="59"/>
      <c r="AE35" s="94">
        <v>33</v>
      </c>
      <c r="AF35" s="98">
        <v>45</v>
      </c>
      <c r="AG35" s="96">
        <v>16</v>
      </c>
      <c r="AJ35" s="671" t="s">
        <v>1173</v>
      </c>
      <c r="AK35" s="105" t="s">
        <v>19</v>
      </c>
      <c r="AL35" s="103">
        <v>3</v>
      </c>
      <c r="AM35" s="103"/>
      <c r="AN35" s="103"/>
      <c r="AO35" s="103"/>
      <c r="AP35" s="103">
        <v>3</v>
      </c>
      <c r="AQ35" s="106">
        <f>HLOOKUP(Věci!$D$2,Věci!$A$2:$F$529,MATCH(AJ35,Věci!$A$2:$A$529,0),FALSE)</f>
        <v>2</v>
      </c>
      <c r="AR35" s="194">
        <v>0</v>
      </c>
      <c r="AS35" s="194">
        <v>0</v>
      </c>
      <c r="AT35" s="194">
        <v>0</v>
      </c>
      <c r="AU35" s="194">
        <v>0</v>
      </c>
      <c r="AV35" s="194">
        <v>0</v>
      </c>
      <c r="AW35" s="194">
        <v>0</v>
      </c>
      <c r="AX35" s="194">
        <v>0</v>
      </c>
      <c r="AY35" s="104" t="s">
        <v>959</v>
      </c>
      <c r="BA35" s="249" t="s">
        <v>1602</v>
      </c>
      <c r="BC35" s="249" t="s">
        <v>826</v>
      </c>
      <c r="BD35"/>
      <c r="BE35" s="249" t="s">
        <v>866</v>
      </c>
      <c r="BG35" s="249" t="s">
        <v>2926</v>
      </c>
      <c r="BI35" s="249" t="s">
        <v>904</v>
      </c>
    </row>
    <row r="36" spans="1:73" ht="15" customHeight="1" x14ac:dyDescent="0.3">
      <c r="A36" s="768"/>
      <c r="B36" s="197"/>
      <c r="C36" s="197"/>
      <c r="D36" s="924">
        <f>SUM(D25:D35)</f>
        <v>0</v>
      </c>
      <c r="E36" s="924">
        <f>SUM(E25:E35)</f>
        <v>0</v>
      </c>
      <c r="F36" s="924">
        <f>SUM(F25:F35)</f>
        <v>0</v>
      </c>
      <c r="G36" s="197"/>
      <c r="H36" s="1245" t="s">
        <v>321</v>
      </c>
      <c r="I36" s="1245"/>
      <c r="J36" s="1245"/>
      <c r="K36" s="924">
        <f>SUM(K25:K35)</f>
        <v>5</v>
      </c>
      <c r="L36" s="947" t="s">
        <v>5704</v>
      </c>
      <c r="O36" s="295"/>
      <c r="P36" s="295"/>
      <c r="Q36" s="295"/>
      <c r="R36" s="295"/>
      <c r="S36" s="295"/>
      <c r="T36" s="761"/>
      <c r="V36" s="59" t="s">
        <v>237</v>
      </c>
      <c r="W36" s="60">
        <v>2</v>
      </c>
      <c r="AE36" s="94">
        <v>34</v>
      </c>
      <c r="AF36" s="98">
        <v>50</v>
      </c>
      <c r="AG36" s="96">
        <v>18</v>
      </c>
      <c r="AJ36" s="671" t="s">
        <v>333</v>
      </c>
      <c r="AK36" s="105" t="s">
        <v>19</v>
      </c>
      <c r="AL36" s="103">
        <v>1</v>
      </c>
      <c r="AM36" s="103"/>
      <c r="AN36" s="103"/>
      <c r="AO36" s="103"/>
      <c r="AP36" s="103">
        <v>1</v>
      </c>
      <c r="AQ36" s="106">
        <f>HLOOKUP(Věci!$D$2,Věci!$A$2:$F$529,MATCH(AJ36,Věci!$A$2:$A$529,0),FALSE)</f>
        <v>2</v>
      </c>
      <c r="AR36" s="194">
        <v>0</v>
      </c>
      <c r="AS36" s="194">
        <v>0</v>
      </c>
      <c r="AT36" s="194">
        <v>0</v>
      </c>
      <c r="AU36" s="194">
        <v>0</v>
      </c>
      <c r="AV36" s="194">
        <v>0</v>
      </c>
      <c r="AW36" s="194">
        <v>0</v>
      </c>
      <c r="AX36" s="194">
        <v>0</v>
      </c>
      <c r="AY36" s="104" t="s">
        <v>957</v>
      </c>
      <c r="BA36" s="249" t="s">
        <v>752</v>
      </c>
      <c r="BC36" s="249" t="s">
        <v>833</v>
      </c>
      <c r="BD36"/>
      <c r="BE36" s="249" t="s">
        <v>871</v>
      </c>
      <c r="BG36" s="249" t="s">
        <v>882</v>
      </c>
      <c r="BI36" s="249" t="s">
        <v>919</v>
      </c>
    </row>
    <row r="37" spans="1:73" ht="14.25" customHeight="1" x14ac:dyDescent="0.3">
      <c r="A37" s="768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M37" s="197"/>
      <c r="N37" s="197"/>
      <c r="O37" s="197"/>
      <c r="P37" s="197"/>
      <c r="Q37" s="197"/>
      <c r="R37" s="197"/>
      <c r="S37" s="197"/>
      <c r="T37" s="761"/>
      <c r="V37" s="59" t="s">
        <v>240</v>
      </c>
      <c r="W37" s="60">
        <v>5</v>
      </c>
      <c r="AE37" s="94">
        <v>35</v>
      </c>
      <c r="AF37" s="98">
        <v>56</v>
      </c>
      <c r="AG37" s="96">
        <v>20</v>
      </c>
      <c r="AJ37" s="671" t="s">
        <v>334</v>
      </c>
      <c r="AK37" s="105" t="s">
        <v>19</v>
      </c>
      <c r="AL37" s="103">
        <v>2</v>
      </c>
      <c r="AM37" s="103"/>
      <c r="AN37" s="103"/>
      <c r="AO37" s="103"/>
      <c r="AP37" s="103">
        <v>2</v>
      </c>
      <c r="AQ37" s="106">
        <f>HLOOKUP(Věci!$D$2,Věci!$A$2:$F$529,MATCH(AJ37,Věci!$A$2:$A$529,0),FALSE)</f>
        <v>2</v>
      </c>
      <c r="AR37" s="194">
        <v>0</v>
      </c>
      <c r="AS37" s="194">
        <v>0</v>
      </c>
      <c r="AT37" s="194">
        <v>0</v>
      </c>
      <c r="AU37" s="194">
        <v>0</v>
      </c>
      <c r="AV37" s="194">
        <v>0</v>
      </c>
      <c r="AW37" s="194">
        <v>0</v>
      </c>
      <c r="AX37" s="194">
        <v>0</v>
      </c>
      <c r="AY37" s="104" t="s">
        <v>959</v>
      </c>
      <c r="BA37" s="249" t="s">
        <v>753</v>
      </c>
      <c r="BC37" s="249" t="s">
        <v>841</v>
      </c>
      <c r="BD37"/>
      <c r="BE37" s="249" t="s">
        <v>858</v>
      </c>
      <c r="BG37" s="249" t="s">
        <v>900</v>
      </c>
      <c r="BI37" s="249" t="s">
        <v>917</v>
      </c>
      <c r="BR37" s="10"/>
      <c r="BS37" s="10"/>
      <c r="BT37" s="10"/>
      <c r="BU37" s="10"/>
    </row>
    <row r="38" spans="1:73" ht="15.6" x14ac:dyDescent="0.3">
      <c r="A38" s="766" t="s">
        <v>5713</v>
      </c>
      <c r="B38" s="197"/>
      <c r="C38" s="197"/>
      <c r="D38" s="197"/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765" t="s">
        <v>5712</v>
      </c>
      <c r="P38" s="197"/>
      <c r="Q38" s="197"/>
      <c r="R38" s="197"/>
      <c r="S38" s="197"/>
      <c r="T38" s="761"/>
      <c r="V38" s="59" t="s">
        <v>236</v>
      </c>
      <c r="W38" s="60">
        <v>1</v>
      </c>
      <c r="AE38" s="94">
        <v>36</v>
      </c>
      <c r="AF38" s="98">
        <v>63</v>
      </c>
      <c r="AG38" s="96">
        <v>22</v>
      </c>
      <c r="AJ38" s="671" t="s">
        <v>1175</v>
      </c>
      <c r="AK38" s="105" t="s">
        <v>19</v>
      </c>
      <c r="AL38" s="103">
        <v>1</v>
      </c>
      <c r="AM38" s="103"/>
      <c r="AN38" s="103"/>
      <c r="AO38" s="103"/>
      <c r="AP38" s="103">
        <v>1</v>
      </c>
      <c r="AQ38" s="106">
        <f>HLOOKUP(Věci!$D$2,Věci!$A$2:$F$529,MATCH(AJ38,Věci!$A$2:$A$529,0),FALSE)</f>
        <v>2</v>
      </c>
      <c r="AR38" s="194">
        <v>0</v>
      </c>
      <c r="AS38" s="194">
        <v>0</v>
      </c>
      <c r="AT38" s="194">
        <v>0</v>
      </c>
      <c r="AU38" s="194">
        <v>0</v>
      </c>
      <c r="AV38" s="194">
        <v>0</v>
      </c>
      <c r="AW38" s="194">
        <v>0</v>
      </c>
      <c r="AX38" s="194">
        <v>0</v>
      </c>
      <c r="AY38" s="104" t="s">
        <v>1180</v>
      </c>
      <c r="BA38" s="249" t="s">
        <v>754</v>
      </c>
      <c r="BC38" s="249" t="s">
        <v>847</v>
      </c>
      <c r="BD38"/>
      <c r="BE38" s="249" t="s">
        <v>867</v>
      </c>
      <c r="BG38" s="249" t="s">
        <v>883</v>
      </c>
      <c r="BI38" s="249" t="s">
        <v>2928</v>
      </c>
      <c r="BR38" s="10"/>
      <c r="BS38" s="10"/>
      <c r="BT38" s="10"/>
      <c r="BU38" s="10"/>
    </row>
    <row r="39" spans="1:73" ht="15" customHeight="1" x14ac:dyDescent="0.3">
      <c r="A39" s="1308"/>
      <c r="B39" s="1293"/>
      <c r="C39" s="1293"/>
      <c r="D39" s="1294"/>
      <c r="E39" s="1292"/>
      <c r="F39" s="1293"/>
      <c r="G39" s="1293"/>
      <c r="H39" s="1294"/>
      <c r="I39" s="765" t="s">
        <v>4915</v>
      </c>
      <c r="N39" s="197"/>
      <c r="O39" s="1210"/>
      <c r="P39" s="1210"/>
      <c r="Q39" s="1210"/>
      <c r="R39" s="1210"/>
      <c r="S39" s="1202"/>
      <c r="T39" s="761"/>
      <c r="V39" s="59" t="s">
        <v>244</v>
      </c>
      <c r="W39" s="60">
        <v>9</v>
      </c>
      <c r="AE39" s="94">
        <v>37</v>
      </c>
      <c r="AF39" s="98">
        <v>70</v>
      </c>
      <c r="AG39" s="96">
        <v>25</v>
      </c>
      <c r="AJ39" s="671" t="s">
        <v>532</v>
      </c>
      <c r="AK39" s="105" t="s">
        <v>19</v>
      </c>
      <c r="AL39" s="103">
        <v>5</v>
      </c>
      <c r="AM39" s="103"/>
      <c r="AN39" s="103"/>
      <c r="AO39" s="103"/>
      <c r="AP39" s="103">
        <v>10</v>
      </c>
      <c r="AQ39" s="106">
        <f>HLOOKUP(Věci!$D$2,Věci!$A$2:$F$529,MATCH(AJ39,Věci!$A$2:$A$529,0),FALSE)</f>
        <v>2</v>
      </c>
      <c r="AR39" s="194">
        <v>-1</v>
      </c>
      <c r="AS39" s="194">
        <v>-1</v>
      </c>
      <c r="AT39" s="194">
        <v>0</v>
      </c>
      <c r="AU39" s="194">
        <v>0</v>
      </c>
      <c r="AV39" s="194">
        <v>0</v>
      </c>
      <c r="AW39" s="194">
        <v>0</v>
      </c>
      <c r="AX39" s="194">
        <v>0</v>
      </c>
      <c r="AY39" s="104" t="s">
        <v>957</v>
      </c>
      <c r="BA39" s="249" t="s">
        <v>755</v>
      </c>
      <c r="BC39" s="249" t="s">
        <v>836</v>
      </c>
      <c r="BD39"/>
      <c r="BE39" s="249" t="s">
        <v>860</v>
      </c>
      <c r="BG39" s="249" t="s">
        <v>2408</v>
      </c>
      <c r="BI39" s="249" t="s">
        <v>2348</v>
      </c>
      <c r="BR39" s="10"/>
      <c r="BS39" s="10"/>
      <c r="BT39" s="10"/>
      <c r="BU39" s="10"/>
    </row>
    <row r="40" spans="1:73" ht="15.6" customHeight="1" x14ac:dyDescent="0.3">
      <c r="A40" s="1308"/>
      <c r="B40" s="1293"/>
      <c r="C40" s="1293"/>
      <c r="D40" s="1294"/>
      <c r="E40" s="1292"/>
      <c r="F40" s="1293"/>
      <c r="G40" s="1293"/>
      <c r="H40" s="1294"/>
      <c r="I40" s="1295"/>
      <c r="J40" s="1296"/>
      <c r="K40" s="1296"/>
      <c r="L40" s="1296"/>
      <c r="M40" s="1297"/>
      <c r="N40" s="197"/>
      <c r="O40" s="1210"/>
      <c r="P40" s="1210"/>
      <c r="Q40" s="1210"/>
      <c r="R40" s="1210"/>
      <c r="S40" s="1202"/>
      <c r="T40" s="761"/>
      <c r="V40" s="59" t="s">
        <v>241</v>
      </c>
      <c r="W40" s="60">
        <v>6</v>
      </c>
      <c r="AE40" s="94">
        <v>38</v>
      </c>
      <c r="AF40" s="98">
        <v>80</v>
      </c>
      <c r="AG40" s="96">
        <v>28</v>
      </c>
      <c r="AJ40" s="671" t="s">
        <v>335</v>
      </c>
      <c r="AK40" s="105" t="s">
        <v>19</v>
      </c>
      <c r="AL40" s="103">
        <v>4</v>
      </c>
      <c r="AM40" s="103"/>
      <c r="AN40" s="103"/>
      <c r="AO40" s="103"/>
      <c r="AP40" s="103">
        <v>8</v>
      </c>
      <c r="AQ40" s="106">
        <f>HLOOKUP(Věci!$D$2,Věci!$A$2:$F$529,MATCH(AJ40,Věci!$A$2:$A$529,0),FALSE)</f>
        <v>0</v>
      </c>
      <c r="AR40" s="194">
        <v>0</v>
      </c>
      <c r="AS40" s="194">
        <v>0</v>
      </c>
      <c r="AT40" s="194">
        <v>0</v>
      </c>
      <c r="AU40" s="194">
        <v>0</v>
      </c>
      <c r="AV40" s="194">
        <v>0</v>
      </c>
      <c r="AW40" s="194">
        <v>0</v>
      </c>
      <c r="AX40" s="194">
        <v>0</v>
      </c>
      <c r="AY40" s="104" t="s">
        <v>957</v>
      </c>
      <c r="BA40" s="249" t="s">
        <v>756</v>
      </c>
      <c r="BC40" s="249" t="s">
        <v>851</v>
      </c>
      <c r="BD40"/>
      <c r="BE40" s="249" t="s">
        <v>870</v>
      </c>
      <c r="BG40" s="249" t="s">
        <v>892</v>
      </c>
      <c r="BI40" s="249" t="s">
        <v>2349</v>
      </c>
      <c r="BR40" s="10"/>
      <c r="BS40" s="10"/>
      <c r="BT40" s="10"/>
      <c r="BU40" s="10"/>
    </row>
    <row r="41" spans="1:73" ht="15.6" x14ac:dyDescent="0.3">
      <c r="A41" s="1308"/>
      <c r="B41" s="1293"/>
      <c r="C41" s="1293"/>
      <c r="D41" s="1294"/>
      <c r="E41" s="1292"/>
      <c r="F41" s="1293"/>
      <c r="G41" s="1293"/>
      <c r="H41" s="1294"/>
      <c r="N41" s="197"/>
      <c r="O41" s="1210"/>
      <c r="P41" s="1210"/>
      <c r="Q41" s="1210"/>
      <c r="R41" s="1210"/>
      <c r="S41" s="1202"/>
      <c r="T41" s="761"/>
      <c r="V41" s="59" t="s">
        <v>243</v>
      </c>
      <c r="W41" s="60">
        <v>8</v>
      </c>
      <c r="AE41" s="94">
        <v>39</v>
      </c>
      <c r="AF41" s="98">
        <v>90</v>
      </c>
      <c r="AG41" s="96">
        <v>32</v>
      </c>
      <c r="AJ41" s="671" t="s">
        <v>2963</v>
      </c>
      <c r="AK41" s="105" t="s">
        <v>19</v>
      </c>
      <c r="AL41" s="103">
        <v>8</v>
      </c>
      <c r="AM41" s="103"/>
      <c r="AN41" s="103"/>
      <c r="AO41" s="103"/>
      <c r="AP41" s="103">
        <v>6</v>
      </c>
      <c r="AQ41" s="106">
        <f>HLOOKUP(Věci!$D$2,Věci!$A$2:$F$529,MATCH(AJ41,Věci!$A$2:$A$529,0),FALSE)</f>
        <v>0</v>
      </c>
      <c r="AR41" s="194">
        <v>0</v>
      </c>
      <c r="AS41" s="194">
        <v>0</v>
      </c>
      <c r="AT41" s="194">
        <v>0</v>
      </c>
      <c r="AU41" s="194">
        <v>0</v>
      </c>
      <c r="AV41" s="194">
        <v>0</v>
      </c>
      <c r="AW41" s="194">
        <v>0</v>
      </c>
      <c r="AX41" s="194">
        <v>0</v>
      </c>
      <c r="AY41" s="104" t="s">
        <v>957</v>
      </c>
      <c r="BA41" s="249" t="s">
        <v>757</v>
      </c>
      <c r="BC41" s="249" t="s">
        <v>1348</v>
      </c>
      <c r="BD41"/>
      <c r="BE41" s="249" t="s">
        <v>868</v>
      </c>
      <c r="BG41" s="249" t="s">
        <v>895</v>
      </c>
      <c r="BI41" s="249" t="s">
        <v>938</v>
      </c>
      <c r="BR41" s="10"/>
      <c r="BS41" s="10"/>
      <c r="BT41" s="10"/>
      <c r="BU41" s="10"/>
    </row>
    <row r="42" spans="1:73" ht="14.1" customHeight="1" x14ac:dyDescent="0.3">
      <c r="A42" s="922" t="s">
        <v>5710</v>
      </c>
      <c r="B42" s="197"/>
      <c r="C42" s="51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7"/>
      <c r="Q42" s="197"/>
      <c r="R42" s="197"/>
      <c r="S42" s="197"/>
      <c r="T42" s="761"/>
      <c r="V42" s="59" t="s">
        <v>238</v>
      </c>
      <c r="W42" s="60">
        <v>3</v>
      </c>
      <c r="AE42" s="94">
        <v>40</v>
      </c>
      <c r="AF42" s="98">
        <v>100</v>
      </c>
      <c r="AG42" s="96">
        <v>36</v>
      </c>
      <c r="AJ42" s="224" t="s">
        <v>1181</v>
      </c>
      <c r="AK42" s="228" t="s">
        <v>18</v>
      </c>
      <c r="AL42" s="225">
        <v>0</v>
      </c>
      <c r="AM42" s="225"/>
      <c r="AN42" s="225">
        <v>-4</v>
      </c>
      <c r="AO42" s="225">
        <v>-2</v>
      </c>
      <c r="AP42" s="225">
        <v>0</v>
      </c>
      <c r="AQ42" s="1016">
        <v>0</v>
      </c>
      <c r="AR42" s="227">
        <v>0</v>
      </c>
      <c r="AS42" s="227">
        <v>0</v>
      </c>
      <c r="AT42" s="227">
        <v>0</v>
      </c>
      <c r="AU42" s="227">
        <v>0</v>
      </c>
      <c r="AV42" s="227">
        <v>0</v>
      </c>
      <c r="AW42" s="227">
        <v>0</v>
      </c>
      <c r="AX42" s="227">
        <v>0</v>
      </c>
      <c r="AY42" s="228" t="s">
        <v>1182</v>
      </c>
      <c r="BA42" s="249" t="s">
        <v>758</v>
      </c>
      <c r="BC42" s="249" t="s">
        <v>835</v>
      </c>
      <c r="BD42"/>
      <c r="BE42" s="249" t="s">
        <v>2383</v>
      </c>
      <c r="BG42" s="249" t="s">
        <v>896</v>
      </c>
      <c r="BI42" s="249" t="s">
        <v>923</v>
      </c>
      <c r="BR42" s="10"/>
      <c r="BS42" s="10"/>
      <c r="BT42" s="10"/>
      <c r="BU42" s="10"/>
    </row>
    <row r="43" spans="1:73" ht="14.1" customHeight="1" x14ac:dyDescent="0.3">
      <c r="A43" s="1309"/>
      <c r="B43" s="1310"/>
      <c r="C43" s="1310"/>
      <c r="D43" s="1310"/>
      <c r="E43" s="1310"/>
      <c r="F43" s="1310"/>
      <c r="G43" s="1310"/>
      <c r="H43" s="1310"/>
      <c r="I43" s="1310"/>
      <c r="J43" s="1310"/>
      <c r="K43" s="1310"/>
      <c r="L43" s="1310"/>
      <c r="M43" s="1310"/>
      <c r="N43" s="1310"/>
      <c r="O43" s="1310"/>
      <c r="P43" s="1310"/>
      <c r="Q43" s="1310"/>
      <c r="R43" s="1310"/>
      <c r="S43" s="1310"/>
      <c r="T43" s="761"/>
      <c r="V43" s="59" t="s">
        <v>242</v>
      </c>
      <c r="W43" s="60">
        <v>7</v>
      </c>
      <c r="AE43" s="94">
        <v>41</v>
      </c>
      <c r="AF43" s="98">
        <v>110</v>
      </c>
      <c r="AG43" s="96">
        <v>40</v>
      </c>
      <c r="AJ43" s="224" t="s">
        <v>3855</v>
      </c>
      <c r="AK43" s="228" t="s">
        <v>18</v>
      </c>
      <c r="AL43" s="225">
        <v>1</v>
      </c>
      <c r="AM43" s="225">
        <v>0</v>
      </c>
      <c r="AN43" s="667">
        <f>0+IF('Tvorba postavy'!$P$3="Muž",-2,0)</f>
        <v>-2</v>
      </c>
      <c r="AO43" s="225">
        <v>0</v>
      </c>
      <c r="AP43" s="225">
        <v>0</v>
      </c>
      <c r="AQ43" s="227">
        <f>HLOOKUP(Věci!$D$2,Věci!$A$2:$F$529,MATCH(AJ43,Věci!$A$2:$A$529,0),FALSE)</f>
        <v>1</v>
      </c>
      <c r="AR43" s="227">
        <v>0</v>
      </c>
      <c r="AS43" s="227">
        <v>0</v>
      </c>
      <c r="AT43" s="227">
        <v>0</v>
      </c>
      <c r="AU43" s="227">
        <v>0</v>
      </c>
      <c r="AV43" s="227">
        <v>0</v>
      </c>
      <c r="AW43" s="227">
        <v>0</v>
      </c>
      <c r="AX43" s="227">
        <v>0</v>
      </c>
      <c r="AY43" s="228"/>
      <c r="BA43" s="249" t="s">
        <v>759</v>
      </c>
      <c r="BC43" s="249" t="s">
        <v>839</v>
      </c>
      <c r="BD43"/>
      <c r="BE43"/>
      <c r="BG43" s="249" t="s">
        <v>880</v>
      </c>
      <c r="BI43" s="249" t="s">
        <v>908</v>
      </c>
      <c r="BR43" s="10"/>
      <c r="BS43" s="10"/>
      <c r="BT43" s="10"/>
      <c r="BU43" s="10"/>
    </row>
    <row r="44" spans="1:73" ht="14.1" customHeight="1" x14ac:dyDescent="0.3">
      <c r="A44" s="766" t="s">
        <v>5711</v>
      </c>
      <c r="B44" s="197"/>
      <c r="C44" s="197"/>
      <c r="D44" s="197"/>
      <c r="E44" s="197"/>
      <c r="F44" s="197"/>
      <c r="G44" s="765" t="s">
        <v>42</v>
      </c>
      <c r="H44" s="197"/>
      <c r="I44" s="197"/>
      <c r="J44" s="197"/>
      <c r="K44" s="197"/>
      <c r="L44" s="197"/>
      <c r="M44" s="197"/>
      <c r="N44" s="197"/>
      <c r="O44" s="765" t="s">
        <v>43</v>
      </c>
      <c r="P44" s="197"/>
      <c r="Q44" s="197"/>
      <c r="R44" s="197"/>
      <c r="S44" s="197"/>
      <c r="T44" s="761"/>
      <c r="V44" s="59" t="s">
        <v>239</v>
      </c>
      <c r="W44" s="60">
        <v>4</v>
      </c>
      <c r="AE44" s="94">
        <v>42</v>
      </c>
      <c r="AF44" s="98">
        <v>120</v>
      </c>
      <c r="AG44" s="96">
        <v>45</v>
      </c>
      <c r="AJ44" s="224" t="s">
        <v>3856</v>
      </c>
      <c r="AK44" s="228" t="s">
        <v>18</v>
      </c>
      <c r="AL44" s="225">
        <v>1</v>
      </c>
      <c r="AM44" s="225">
        <v>-1</v>
      </c>
      <c r="AN44" s="667">
        <f>-2+IF('Tvorba postavy'!$P$3="Muž",-2,0)</f>
        <v>-4</v>
      </c>
      <c r="AO44" s="225">
        <v>-1</v>
      </c>
      <c r="AP44" s="225">
        <v>0</v>
      </c>
      <c r="AQ44" s="227">
        <f>HLOOKUP(Věci!$D$2,Věci!$A$2:$F$529,MATCH(AJ44,Věci!$A$2:$A$529,0),FALSE)</f>
        <v>1</v>
      </c>
      <c r="AR44" s="227">
        <v>0</v>
      </c>
      <c r="AS44" s="227">
        <v>0</v>
      </c>
      <c r="AT44" s="227">
        <v>0</v>
      </c>
      <c r="AU44" s="227">
        <v>0</v>
      </c>
      <c r="AV44" s="227">
        <v>0</v>
      </c>
      <c r="AW44" s="227">
        <v>0</v>
      </c>
      <c r="AX44" s="227">
        <v>0</v>
      </c>
      <c r="AY44" s="228"/>
      <c r="BA44" s="249" t="s">
        <v>760</v>
      </c>
      <c r="BC44" s="249" t="s">
        <v>844</v>
      </c>
      <c r="BD44"/>
      <c r="BE44"/>
      <c r="BG44" s="249" t="s">
        <v>2366</v>
      </c>
      <c r="BI44" s="249" t="s">
        <v>935</v>
      </c>
      <c r="BR44" s="10"/>
      <c r="BS44" s="10"/>
      <c r="BT44" s="10"/>
      <c r="BU44" s="10"/>
    </row>
    <row r="45" spans="1:73" ht="14.1" customHeight="1" x14ac:dyDescent="0.3">
      <c r="A45" s="1201"/>
      <c r="B45" s="1210"/>
      <c r="C45" s="1210"/>
      <c r="D45" s="1210"/>
      <c r="E45" s="1202"/>
      <c r="F45" s="197"/>
      <c r="G45" s="1209"/>
      <c r="H45" s="1210"/>
      <c r="I45" s="1210"/>
      <c r="J45" s="1210"/>
      <c r="K45" s="1210"/>
      <c r="L45" s="1210"/>
      <c r="M45" s="1202"/>
      <c r="N45" s="197"/>
      <c r="O45" s="1209"/>
      <c r="P45" s="1210"/>
      <c r="Q45" s="1210"/>
      <c r="R45" s="1210"/>
      <c r="S45" s="1202"/>
      <c r="T45" s="761"/>
      <c r="V45" s="62"/>
      <c r="AE45" s="94">
        <v>43</v>
      </c>
      <c r="AF45" s="98">
        <v>140</v>
      </c>
      <c r="AG45" s="96">
        <v>50</v>
      </c>
      <c r="AJ45" s="224" t="s">
        <v>3857</v>
      </c>
      <c r="AK45" s="228" t="s">
        <v>18</v>
      </c>
      <c r="AL45" s="225">
        <v>1</v>
      </c>
      <c r="AM45" s="225">
        <v>2</v>
      </c>
      <c r="AN45" s="667">
        <f>-1+IF('Tvorba postavy'!$P$3="Muž",-2,0)</f>
        <v>-3</v>
      </c>
      <c r="AO45" s="225">
        <v>0</v>
      </c>
      <c r="AP45" s="225">
        <v>0</v>
      </c>
      <c r="AQ45" s="227">
        <f>HLOOKUP(Věci!$D$2,Věci!$A$2:$F$529,MATCH(AJ45,Věci!$A$2:$A$529,0),FALSE)</f>
        <v>1</v>
      </c>
      <c r="AR45" s="227">
        <v>0</v>
      </c>
      <c r="AS45" s="227">
        <v>0</v>
      </c>
      <c r="AT45" s="227">
        <v>0</v>
      </c>
      <c r="AU45" s="227">
        <v>0</v>
      </c>
      <c r="AV45" s="227">
        <v>0</v>
      </c>
      <c r="AW45" s="227">
        <v>0</v>
      </c>
      <c r="AX45" s="227">
        <v>0</v>
      </c>
      <c r="AY45" s="228"/>
      <c r="BA45" s="249" t="s">
        <v>761</v>
      </c>
      <c r="BC45" s="249" t="s">
        <v>849</v>
      </c>
      <c r="BD45"/>
      <c r="BE45"/>
      <c r="BG45" s="249" t="s">
        <v>886</v>
      </c>
      <c r="BI45" s="249" t="s">
        <v>910</v>
      </c>
      <c r="BR45" s="10"/>
      <c r="BS45" s="10"/>
      <c r="BT45" s="10"/>
      <c r="BU45" s="10"/>
    </row>
    <row r="46" spans="1:73" ht="14.1" customHeight="1" x14ac:dyDescent="0.3">
      <c r="A46" s="1308"/>
      <c r="B46" s="1293"/>
      <c r="C46" s="1293"/>
      <c r="D46" s="1293"/>
      <c r="E46" s="1294"/>
      <c r="F46" s="947"/>
      <c r="G46" s="1292"/>
      <c r="H46" s="1293"/>
      <c r="I46" s="1293"/>
      <c r="J46" s="1293"/>
      <c r="K46" s="1293"/>
      <c r="L46" s="1293"/>
      <c r="M46" s="1294"/>
      <c r="N46" s="947"/>
      <c r="O46" s="1292"/>
      <c r="P46" s="1293"/>
      <c r="Q46" s="1293"/>
      <c r="R46" s="1293"/>
      <c r="S46" s="1294"/>
      <c r="T46" s="761"/>
      <c r="V46" s="1" t="s">
        <v>247</v>
      </c>
      <c r="AE46" s="94">
        <v>44</v>
      </c>
      <c r="AF46" s="98">
        <v>160</v>
      </c>
      <c r="AG46" s="96">
        <v>56</v>
      </c>
      <c r="AJ46" s="224" t="s">
        <v>3858</v>
      </c>
      <c r="AK46" s="228" t="s">
        <v>18</v>
      </c>
      <c r="AL46" s="225">
        <v>1</v>
      </c>
      <c r="AM46" s="225">
        <v>0</v>
      </c>
      <c r="AN46" s="667">
        <f>-1+IF('Tvorba postavy'!$P$3="Muž",-2,0)</f>
        <v>-3</v>
      </c>
      <c r="AO46" s="225">
        <v>2</v>
      </c>
      <c r="AP46" s="225">
        <v>0</v>
      </c>
      <c r="AQ46" s="227">
        <f>HLOOKUP(Věci!$D$2,Věci!$A$2:$F$529,MATCH(AJ46,Věci!$A$2:$A$529,0),FALSE)</f>
        <v>1</v>
      </c>
      <c r="AR46" s="227">
        <v>0</v>
      </c>
      <c r="AS46" s="227">
        <v>0</v>
      </c>
      <c r="AT46" s="227">
        <v>0</v>
      </c>
      <c r="AU46" s="227">
        <v>0</v>
      </c>
      <c r="AV46" s="227">
        <v>0</v>
      </c>
      <c r="AW46" s="227">
        <v>0</v>
      </c>
      <c r="AX46" s="227">
        <v>0</v>
      </c>
      <c r="AY46" s="228"/>
      <c r="BA46" s="249" t="s">
        <v>762</v>
      </c>
      <c r="BC46" s="249" t="s">
        <v>827</v>
      </c>
      <c r="BD46"/>
      <c r="BE46"/>
      <c r="BG46" s="249" t="s">
        <v>875</v>
      </c>
      <c r="BI46" s="249" t="s">
        <v>2437</v>
      </c>
      <c r="BR46" s="10"/>
      <c r="BS46" s="10"/>
      <c r="BT46" s="10"/>
      <c r="BU46" s="10"/>
    </row>
    <row r="47" spans="1:73" ht="14.1" customHeight="1" x14ac:dyDescent="0.3">
      <c r="A47" s="1308"/>
      <c r="B47" s="1293"/>
      <c r="C47" s="1293"/>
      <c r="D47" s="1293"/>
      <c r="E47" s="1294"/>
      <c r="F47" s="947"/>
      <c r="G47" s="765" t="s">
        <v>5706</v>
      </c>
      <c r="H47" s="197"/>
      <c r="I47" s="197"/>
      <c r="J47" s="197"/>
      <c r="K47" s="197"/>
      <c r="L47" s="197"/>
      <c r="M47" s="197"/>
      <c r="N47" s="947"/>
      <c r="O47" s="765" t="s">
        <v>5705</v>
      </c>
      <c r="P47" s="197"/>
      <c r="Q47" s="197"/>
      <c r="R47" s="197"/>
      <c r="S47" s="197"/>
      <c r="T47" s="761"/>
      <c r="V47" t="s">
        <v>248</v>
      </c>
      <c r="W47" t="s">
        <v>246</v>
      </c>
      <c r="AE47" s="94">
        <v>45</v>
      </c>
      <c r="AF47" s="98">
        <v>180</v>
      </c>
      <c r="AG47" s="96">
        <v>63</v>
      </c>
      <c r="AJ47" s="224" t="s">
        <v>3859</v>
      </c>
      <c r="AK47" s="228" t="s">
        <v>18</v>
      </c>
      <c r="AL47" s="225">
        <v>1</v>
      </c>
      <c r="AM47" s="225">
        <v>0</v>
      </c>
      <c r="AN47" s="667">
        <f>2+IF('Tvorba postavy'!$P$3="Muž",-2,0)</f>
        <v>0</v>
      </c>
      <c r="AO47" s="225">
        <v>-1</v>
      </c>
      <c r="AP47" s="225">
        <v>0</v>
      </c>
      <c r="AQ47" s="227">
        <f>HLOOKUP(Věci!$D$2,Věci!$A$2:$F$529,MATCH(AJ47,Věci!$A$2:$A$529,0),FALSE)</f>
        <v>1</v>
      </c>
      <c r="AR47" s="227">
        <v>0</v>
      </c>
      <c r="AS47" s="227">
        <v>0</v>
      </c>
      <c r="AT47" s="227">
        <v>0</v>
      </c>
      <c r="AU47" s="227">
        <v>0</v>
      </c>
      <c r="AV47" s="227">
        <v>0</v>
      </c>
      <c r="AW47" s="227">
        <v>0</v>
      </c>
      <c r="AX47" s="227">
        <v>0</v>
      </c>
      <c r="AY47" s="228"/>
      <c r="BA47" s="249" t="s">
        <v>763</v>
      </c>
      <c r="BC47" s="249" t="s">
        <v>846</v>
      </c>
      <c r="BD47"/>
      <c r="BE47"/>
      <c r="BG47" s="249" t="s">
        <v>889</v>
      </c>
      <c r="BI47" s="249" t="s">
        <v>929</v>
      </c>
      <c r="BR47" s="10"/>
      <c r="BS47" s="10"/>
      <c r="BT47" s="10"/>
      <c r="BU47" s="10"/>
    </row>
    <row r="48" spans="1:73" ht="14.1" customHeight="1" x14ac:dyDescent="0.3">
      <c r="A48" s="1308"/>
      <c r="B48" s="1293"/>
      <c r="C48" s="1293"/>
      <c r="D48" s="1293"/>
      <c r="E48" s="1294"/>
      <c r="F48" s="947"/>
      <c r="G48" s="1292"/>
      <c r="H48" s="1293"/>
      <c r="I48" s="1293"/>
      <c r="J48" s="1293"/>
      <c r="K48" s="1293"/>
      <c r="L48" s="1293"/>
      <c r="M48" s="1294"/>
      <c r="N48" s="947"/>
      <c r="O48" s="1292"/>
      <c r="P48" s="1293"/>
      <c r="Q48" s="1293"/>
      <c r="R48" s="1293"/>
      <c r="S48" s="1294"/>
      <c r="T48" s="761"/>
      <c r="V48" s="59" t="s">
        <v>232</v>
      </c>
      <c r="W48" s="59"/>
      <c r="AE48" s="94">
        <v>46</v>
      </c>
      <c r="AF48" s="98">
        <v>200</v>
      </c>
      <c r="AG48" s="96">
        <v>70</v>
      </c>
      <c r="AJ48" s="224" t="s">
        <v>3860</v>
      </c>
      <c r="AK48" s="228" t="s">
        <v>18</v>
      </c>
      <c r="AL48" s="225">
        <v>1</v>
      </c>
      <c r="AM48" s="225">
        <v>-2</v>
      </c>
      <c r="AN48" s="667">
        <f>0+IF('Tvorba postavy'!$P$3="Muž",-2,0)</f>
        <v>-2</v>
      </c>
      <c r="AO48" s="225">
        <v>0</v>
      </c>
      <c r="AP48" s="225">
        <v>0</v>
      </c>
      <c r="AQ48" s="227">
        <f>HLOOKUP(Věci!$D$2,Věci!$A$2:$F$529,MATCH(AJ48,Věci!$A$2:$A$529,0),FALSE)</f>
        <v>1</v>
      </c>
      <c r="AR48" s="227">
        <v>0</v>
      </c>
      <c r="AS48" s="227">
        <v>0</v>
      </c>
      <c r="AT48" s="227">
        <v>0</v>
      </c>
      <c r="AU48" s="227">
        <v>0</v>
      </c>
      <c r="AV48" s="227">
        <v>0</v>
      </c>
      <c r="AW48" s="227">
        <v>0</v>
      </c>
      <c r="AX48" s="227">
        <v>0</v>
      </c>
      <c r="AY48" s="228"/>
      <c r="BA48" s="249" t="s">
        <v>764</v>
      </c>
      <c r="BC48" s="249" t="s">
        <v>842</v>
      </c>
      <c r="BD48"/>
      <c r="BE48"/>
      <c r="BG48" s="249" t="s">
        <v>2367</v>
      </c>
      <c r="BI48" s="249" t="s">
        <v>915</v>
      </c>
    </row>
    <row r="49" spans="1:74" ht="14.1" customHeight="1" x14ac:dyDescent="0.3">
      <c r="A49" s="768"/>
      <c r="B49" s="197"/>
      <c r="C49" s="197"/>
      <c r="D49" s="197"/>
      <c r="E49" s="197"/>
      <c r="F49" s="197"/>
      <c r="G49" s="197"/>
      <c r="H49" s="197"/>
      <c r="I49" s="197"/>
      <c r="J49" s="197"/>
      <c r="K49" s="197"/>
      <c r="L49" s="197"/>
      <c r="M49" s="197"/>
      <c r="N49" s="197"/>
      <c r="O49" s="197"/>
      <c r="P49" s="197"/>
      <c r="Q49" s="197"/>
      <c r="R49" s="197"/>
      <c r="S49" s="197"/>
      <c r="T49" s="761"/>
      <c r="V49" s="59" t="s">
        <v>251</v>
      </c>
      <c r="W49" s="60">
        <v>5</v>
      </c>
      <c r="AE49" s="94">
        <v>47</v>
      </c>
      <c r="AF49" s="98">
        <v>220</v>
      </c>
      <c r="AG49" s="96">
        <v>80</v>
      </c>
      <c r="AJ49" s="224" t="s">
        <v>3861</v>
      </c>
      <c r="AK49" s="228" t="s">
        <v>18</v>
      </c>
      <c r="AL49" s="225">
        <v>1</v>
      </c>
      <c r="AM49" s="225">
        <v>0</v>
      </c>
      <c r="AN49" s="667">
        <f>-2+IF('Tvorba postavy'!$P$3="Muž",-2,0)</f>
        <v>-4</v>
      </c>
      <c r="AO49" s="225">
        <v>0</v>
      </c>
      <c r="AP49" s="225">
        <v>0</v>
      </c>
      <c r="AQ49" s="227">
        <f>HLOOKUP(Věci!$D$2,Věci!$A$2:$F$529,MATCH(AJ49,Věci!$A$2:$A$529,0),FALSE)</f>
        <v>1</v>
      </c>
      <c r="AR49" s="227">
        <v>0</v>
      </c>
      <c r="AS49" s="227">
        <v>0</v>
      </c>
      <c r="AT49" s="227">
        <v>0</v>
      </c>
      <c r="AU49" s="227">
        <v>0</v>
      </c>
      <c r="AV49" s="227">
        <v>0</v>
      </c>
      <c r="AW49" s="227">
        <v>0</v>
      </c>
      <c r="AX49" s="227">
        <v>0</v>
      </c>
      <c r="AY49" s="228"/>
      <c r="BA49" s="249" t="s">
        <v>765</v>
      </c>
      <c r="BC49" s="249" t="s">
        <v>843</v>
      </c>
      <c r="BD49"/>
      <c r="BE49"/>
      <c r="BG49" s="249" t="s">
        <v>891</v>
      </c>
      <c r="BI49" s="249" t="s">
        <v>926</v>
      </c>
    </row>
    <row r="50" spans="1:74" ht="13.5" customHeight="1" x14ac:dyDescent="0.3">
      <c r="A50" s="839" t="s">
        <v>692</v>
      </c>
      <c r="B50" s="197"/>
      <c r="C50" s="197"/>
      <c r="D50" s="197"/>
      <c r="E50" s="197"/>
      <c r="F50" s="197"/>
      <c r="G50" s="197"/>
      <c r="H50" s="197"/>
      <c r="I50" s="838" t="s">
        <v>661</v>
      </c>
      <c r="J50" s="197"/>
      <c r="K50" s="197"/>
      <c r="L50" s="197"/>
      <c r="M50" s="197"/>
      <c r="N50" s="197"/>
      <c r="O50" s="197"/>
      <c r="P50" s="197"/>
      <c r="Q50" s="197"/>
      <c r="R50" s="197"/>
      <c r="S50" s="197"/>
      <c r="T50" s="761"/>
      <c r="V50" s="59" t="s">
        <v>252</v>
      </c>
      <c r="W50" s="60">
        <v>2</v>
      </c>
      <c r="AE50" s="94">
        <v>48</v>
      </c>
      <c r="AF50" s="98">
        <v>250</v>
      </c>
      <c r="AG50" s="96">
        <v>90</v>
      </c>
      <c r="AJ50" s="224" t="s">
        <v>3862</v>
      </c>
      <c r="AK50" s="228" t="s">
        <v>18</v>
      </c>
      <c r="AL50" s="225">
        <v>1</v>
      </c>
      <c r="AM50" s="225">
        <v>0</v>
      </c>
      <c r="AN50" s="667">
        <f>0+IF('Tvorba postavy'!$P$3="Muž",-2,0)</f>
        <v>-2</v>
      </c>
      <c r="AO50" s="225">
        <v>-2</v>
      </c>
      <c r="AP50" s="225">
        <v>0</v>
      </c>
      <c r="AQ50" s="227">
        <f>HLOOKUP(Věci!$D$2,Věci!$A$2:$F$529,MATCH(AJ50,Věci!$A$2:$A$529,0),FALSE)</f>
        <v>1</v>
      </c>
      <c r="AR50" s="227">
        <v>0</v>
      </c>
      <c r="AS50" s="227">
        <v>0</v>
      </c>
      <c r="AT50" s="227">
        <v>0</v>
      </c>
      <c r="AU50" s="227">
        <v>0</v>
      </c>
      <c r="AV50" s="227">
        <v>0</v>
      </c>
      <c r="AW50" s="227">
        <v>0</v>
      </c>
      <c r="AX50" s="227">
        <v>0</v>
      </c>
      <c r="AY50" s="228"/>
      <c r="BA50" s="249" t="s">
        <v>766</v>
      </c>
      <c r="BC50" s="249" t="s">
        <v>2921</v>
      </c>
      <c r="BD50"/>
      <c r="BE50"/>
      <c r="BG50" s="249" t="s">
        <v>2359</v>
      </c>
      <c r="BI50" s="249" t="s">
        <v>932</v>
      </c>
    </row>
    <row r="51" spans="1:74" ht="15.6" x14ac:dyDescent="0.3">
      <c r="A51" s="1303"/>
      <c r="B51" s="1304"/>
      <c r="C51" s="1304"/>
      <c r="D51" s="1304"/>
      <c r="E51" s="1304"/>
      <c r="F51" s="1304"/>
      <c r="G51" s="1304"/>
      <c r="H51" s="197"/>
      <c r="I51" s="1305" t="s">
        <v>660</v>
      </c>
      <c r="J51" s="1305"/>
      <c r="K51" s="1305"/>
      <c r="L51" s="1305"/>
      <c r="M51" s="1305"/>
      <c r="N51" s="1305" t="s">
        <v>154</v>
      </c>
      <c r="O51" s="1305"/>
      <c r="P51" s="1305"/>
      <c r="Q51" s="1305"/>
      <c r="R51" s="1305"/>
      <c r="S51" s="1305"/>
      <c r="T51" s="761"/>
      <c r="V51" s="59" t="s">
        <v>249</v>
      </c>
      <c r="W51" s="60">
        <v>1</v>
      </c>
      <c r="AE51" s="94">
        <v>49</v>
      </c>
      <c r="AF51" s="98">
        <v>280</v>
      </c>
      <c r="AG51" s="96">
        <v>100</v>
      </c>
      <c r="AJ51" s="224" t="s">
        <v>3863</v>
      </c>
      <c r="AK51" s="228" t="s">
        <v>18</v>
      </c>
      <c r="AL51" s="225">
        <v>1</v>
      </c>
      <c r="AM51" s="667">
        <f>0+IF('Tvorba postavy'!$P$3="Žena",-1,0)</f>
        <v>0</v>
      </c>
      <c r="AN51" s="225">
        <v>0</v>
      </c>
      <c r="AO51" s="667">
        <f>0+IF('Tvorba postavy'!$P$3="Žena",1,0)</f>
        <v>0</v>
      </c>
      <c r="AP51" s="225">
        <v>0</v>
      </c>
      <c r="AQ51" s="227">
        <f>HLOOKUP(Věci!$D$2,Věci!$A$2:$F$529,MATCH(AJ51,Věci!$A$2:$A$529,0),FALSE)</f>
        <v>1</v>
      </c>
      <c r="AR51" s="227">
        <v>0</v>
      </c>
      <c r="AS51" s="227">
        <v>0</v>
      </c>
      <c r="AT51" s="227">
        <v>0</v>
      </c>
      <c r="AU51" s="227">
        <v>0</v>
      </c>
      <c r="AV51" s="227">
        <v>0</v>
      </c>
      <c r="AW51" s="227">
        <v>0</v>
      </c>
      <c r="AX51" s="227">
        <v>0</v>
      </c>
      <c r="AY51" s="228"/>
      <c r="BA51" s="249" t="s">
        <v>767</v>
      </c>
      <c r="BC51" s="249" t="s">
        <v>832</v>
      </c>
      <c r="BD51"/>
      <c r="BE51"/>
      <c r="BG51" s="249" t="s">
        <v>888</v>
      </c>
      <c r="BI51" s="249" t="s">
        <v>901</v>
      </c>
    </row>
    <row r="52" spans="1:74" ht="14.1" customHeight="1" thickBot="1" x14ac:dyDescent="0.35">
      <c r="A52" s="1303"/>
      <c r="B52" s="1304"/>
      <c r="C52" s="1304"/>
      <c r="D52" s="1304"/>
      <c r="E52" s="1304"/>
      <c r="F52" s="1304"/>
      <c r="G52" s="1304"/>
      <c r="H52" s="197"/>
      <c r="I52" s="1195"/>
      <c r="J52" s="1195"/>
      <c r="K52" s="1195"/>
      <c r="L52" s="1195"/>
      <c r="M52" s="1195"/>
      <c r="N52" s="1290"/>
      <c r="O52" s="1290"/>
      <c r="P52" s="1290"/>
      <c r="Q52" s="1290"/>
      <c r="R52" s="1290"/>
      <c r="S52" s="1290"/>
      <c r="T52" s="761"/>
      <c r="V52" s="59" t="s">
        <v>253</v>
      </c>
      <c r="W52" s="60">
        <v>4</v>
      </c>
      <c r="AE52" s="95">
        <v>50</v>
      </c>
      <c r="AF52" s="99">
        <v>320</v>
      </c>
      <c r="AG52" s="97">
        <v>110</v>
      </c>
      <c r="AJ52" s="224" t="s">
        <v>3864</v>
      </c>
      <c r="AK52" s="228" t="s">
        <v>18</v>
      </c>
      <c r="AL52" s="225">
        <v>1</v>
      </c>
      <c r="AM52" s="667">
        <f>-1+IF('Tvorba postavy'!$P$3="Žena",-1,0)</f>
        <v>-1</v>
      </c>
      <c r="AN52" s="225">
        <v>-2</v>
      </c>
      <c r="AO52" s="667">
        <f>-1+IF('Tvorba postavy'!$P$3="Žena",1,0)</f>
        <v>-1</v>
      </c>
      <c r="AP52" s="225">
        <v>0</v>
      </c>
      <c r="AQ52" s="227">
        <f>HLOOKUP(Věci!$D$2,Věci!$A$2:$F$529,MATCH(AJ52,Věci!$A$2:$A$529,0),FALSE)</f>
        <v>1</v>
      </c>
      <c r="AR52" s="227">
        <v>0</v>
      </c>
      <c r="AS52" s="227">
        <v>0</v>
      </c>
      <c r="AT52" s="227">
        <v>0</v>
      </c>
      <c r="AU52" s="227">
        <v>0</v>
      </c>
      <c r="AV52" s="227">
        <v>0</v>
      </c>
      <c r="AW52" s="227">
        <v>0</v>
      </c>
      <c r="AX52" s="227">
        <v>0</v>
      </c>
      <c r="AY52" s="228"/>
      <c r="BA52" s="249" t="s">
        <v>768</v>
      </c>
      <c r="BC52"/>
      <c r="BD52"/>
      <c r="BE52"/>
      <c r="BG52" s="249" t="s">
        <v>876</v>
      </c>
      <c r="BI52" s="249" t="s">
        <v>2351</v>
      </c>
    </row>
    <row r="53" spans="1:74" ht="14.1" customHeight="1" x14ac:dyDescent="0.3">
      <c r="A53" s="1303"/>
      <c r="B53" s="1304"/>
      <c r="C53" s="1304"/>
      <c r="D53" s="1304"/>
      <c r="E53" s="1304"/>
      <c r="F53" s="1304"/>
      <c r="G53" s="1304"/>
      <c r="H53" s="197"/>
      <c r="I53" s="1195"/>
      <c r="J53" s="1195"/>
      <c r="K53" s="1195"/>
      <c r="L53" s="1195"/>
      <c r="M53" s="1195"/>
      <c r="N53" s="1290"/>
      <c r="O53" s="1290"/>
      <c r="P53" s="1290"/>
      <c r="Q53" s="1290"/>
      <c r="R53" s="1290"/>
      <c r="S53" s="1290"/>
      <c r="T53" s="761"/>
      <c r="V53" s="59" t="s">
        <v>250</v>
      </c>
      <c r="W53" s="60">
        <v>3</v>
      </c>
      <c r="AJ53" s="224" t="s">
        <v>3865</v>
      </c>
      <c r="AK53" s="228" t="s">
        <v>18</v>
      </c>
      <c r="AL53" s="225">
        <v>1</v>
      </c>
      <c r="AM53" s="667">
        <f>2+IF('Tvorba postavy'!$P$3="Žena",-1,0)</f>
        <v>2</v>
      </c>
      <c r="AN53" s="225">
        <v>-1</v>
      </c>
      <c r="AO53" s="667">
        <f>0+IF('Tvorba postavy'!$P$3="Žena",1,0)</f>
        <v>0</v>
      </c>
      <c r="AP53" s="225">
        <v>0</v>
      </c>
      <c r="AQ53" s="227">
        <f>HLOOKUP(Věci!$D$2,Věci!$A$2:$F$529,MATCH(AJ53,Věci!$A$2:$A$529,0),FALSE)</f>
        <v>1</v>
      </c>
      <c r="AR53" s="227">
        <v>0</v>
      </c>
      <c r="AS53" s="227">
        <v>0</v>
      </c>
      <c r="AT53" s="227">
        <v>0</v>
      </c>
      <c r="AU53" s="227">
        <v>0</v>
      </c>
      <c r="AV53" s="227">
        <v>0</v>
      </c>
      <c r="AW53" s="227">
        <v>0</v>
      </c>
      <c r="AX53" s="227">
        <v>0</v>
      </c>
      <c r="AY53" s="228"/>
      <c r="BA53" s="249" t="s">
        <v>769</v>
      </c>
      <c r="BC53"/>
      <c r="BD53"/>
      <c r="BE53"/>
      <c r="BG53" s="249" t="s">
        <v>2356</v>
      </c>
      <c r="BI53" s="249" t="s">
        <v>928</v>
      </c>
    </row>
    <row r="54" spans="1:74" ht="14.1" customHeight="1" x14ac:dyDescent="0.3">
      <c r="A54" s="1303"/>
      <c r="B54" s="1304"/>
      <c r="C54" s="1304"/>
      <c r="D54" s="1304"/>
      <c r="E54" s="1304"/>
      <c r="F54" s="1304"/>
      <c r="G54" s="1304"/>
      <c r="H54" s="197"/>
      <c r="I54" s="1195"/>
      <c r="J54" s="1195"/>
      <c r="K54" s="1195"/>
      <c r="L54" s="1195"/>
      <c r="M54" s="1195"/>
      <c r="N54" s="1290"/>
      <c r="O54" s="1290"/>
      <c r="P54" s="1290"/>
      <c r="Q54" s="1290"/>
      <c r="R54" s="1290"/>
      <c r="S54" s="1290"/>
      <c r="T54" s="761"/>
      <c r="AJ54" s="224" t="s">
        <v>3866</v>
      </c>
      <c r="AK54" s="228" t="s">
        <v>18</v>
      </c>
      <c r="AL54" s="225">
        <v>1</v>
      </c>
      <c r="AM54" s="667">
        <f>0+IF('Tvorba postavy'!$P$3="Žena",-1,0)</f>
        <v>0</v>
      </c>
      <c r="AN54" s="225">
        <v>-1</v>
      </c>
      <c r="AO54" s="667">
        <f>2+IF('Tvorba postavy'!$P$3="Žena",1,0)</f>
        <v>2</v>
      </c>
      <c r="AP54" s="225">
        <v>0</v>
      </c>
      <c r="AQ54" s="227">
        <f>HLOOKUP(Věci!$D$2,Věci!$A$2:$F$529,MATCH(AJ54,Věci!$A$2:$A$529,0),FALSE)</f>
        <v>1</v>
      </c>
      <c r="AR54" s="227">
        <v>0</v>
      </c>
      <c r="AS54" s="227">
        <v>0</v>
      </c>
      <c r="AT54" s="227">
        <v>0</v>
      </c>
      <c r="AU54" s="227">
        <v>0</v>
      </c>
      <c r="AV54" s="227">
        <v>0</v>
      </c>
      <c r="AW54" s="227">
        <v>0</v>
      </c>
      <c r="AX54" s="227">
        <v>0</v>
      </c>
      <c r="AY54" s="228"/>
      <c r="BA54" s="249" t="s">
        <v>770</v>
      </c>
      <c r="BC54"/>
      <c r="BD54"/>
      <c r="BE54"/>
      <c r="BG54" s="249" t="s">
        <v>874</v>
      </c>
      <c r="BI54" s="249" t="s">
        <v>916</v>
      </c>
    </row>
    <row r="55" spans="1:74" ht="14.1" customHeight="1" x14ac:dyDescent="0.3">
      <c r="A55" s="1303"/>
      <c r="B55" s="1304"/>
      <c r="C55" s="1304"/>
      <c r="D55" s="1304"/>
      <c r="E55" s="1304"/>
      <c r="F55" s="1304"/>
      <c r="G55" s="1304"/>
      <c r="H55" s="197"/>
      <c r="I55" s="1195"/>
      <c r="J55" s="1195"/>
      <c r="K55" s="1195"/>
      <c r="L55" s="1195"/>
      <c r="M55" s="1195"/>
      <c r="N55" s="1290"/>
      <c r="O55" s="1290"/>
      <c r="P55" s="1290"/>
      <c r="Q55" s="1290"/>
      <c r="R55" s="1290"/>
      <c r="S55" s="1290"/>
      <c r="T55" s="761"/>
      <c r="V55" s="147" t="s">
        <v>4915</v>
      </c>
      <c r="AJ55" s="224" t="s">
        <v>3867</v>
      </c>
      <c r="AK55" s="228" t="s">
        <v>18</v>
      </c>
      <c r="AL55" s="225">
        <v>1</v>
      </c>
      <c r="AM55" s="667">
        <f>0+IF('Tvorba postavy'!$P$3="Žena",-1,0)</f>
        <v>0</v>
      </c>
      <c r="AN55" s="225">
        <v>2</v>
      </c>
      <c r="AO55" s="667">
        <f>-1+IF('Tvorba postavy'!$P$3="Žena",1,0)</f>
        <v>-1</v>
      </c>
      <c r="AP55" s="225">
        <v>0</v>
      </c>
      <c r="AQ55" s="227">
        <f>HLOOKUP(Věci!$D$2,Věci!$A$2:$F$529,MATCH(AJ55,Věci!$A$2:$A$529,0),FALSE)</f>
        <v>1</v>
      </c>
      <c r="AR55" s="227">
        <v>0</v>
      </c>
      <c r="AS55" s="227">
        <v>0</v>
      </c>
      <c r="AT55" s="227">
        <v>0</v>
      </c>
      <c r="AU55" s="227">
        <v>0</v>
      </c>
      <c r="AV55" s="227">
        <v>0</v>
      </c>
      <c r="AW55" s="227">
        <v>0</v>
      </c>
      <c r="AX55" s="227">
        <v>0</v>
      </c>
      <c r="AY55" s="228"/>
      <c r="BA55" s="249" t="s">
        <v>771</v>
      </c>
      <c r="BC55"/>
      <c r="BD55"/>
      <c r="BE55"/>
      <c r="BG55" s="249" t="s">
        <v>2360</v>
      </c>
      <c r="BI55" s="249" t="s">
        <v>902</v>
      </c>
      <c r="BO55" s="10"/>
      <c r="BP55" s="10"/>
      <c r="BQ55" s="10"/>
      <c r="BR55" s="10"/>
      <c r="BS55" s="10"/>
      <c r="BT55" s="10"/>
    </row>
    <row r="56" spans="1:74" ht="14.1" customHeight="1" x14ac:dyDescent="0.3">
      <c r="A56" s="1303"/>
      <c r="B56" s="1304"/>
      <c r="C56" s="1304"/>
      <c r="D56" s="1304"/>
      <c r="E56" s="1304"/>
      <c r="F56" s="1304"/>
      <c r="G56" s="1304"/>
      <c r="H56" s="197"/>
      <c r="I56" s="1195"/>
      <c r="J56" s="1195"/>
      <c r="K56" s="1195"/>
      <c r="L56" s="1195"/>
      <c r="M56" s="1195"/>
      <c r="N56" s="1290"/>
      <c r="O56" s="1290"/>
      <c r="P56" s="1290"/>
      <c r="Q56" s="1290"/>
      <c r="R56" s="1290"/>
      <c r="S56" s="1290"/>
      <c r="T56" s="761"/>
      <c r="V56" s="59" t="s">
        <v>4916</v>
      </c>
      <c r="AJ56" s="224" t="s">
        <v>3868</v>
      </c>
      <c r="AK56" s="228" t="s">
        <v>18</v>
      </c>
      <c r="AL56" s="225">
        <v>1</v>
      </c>
      <c r="AM56" s="667">
        <f>-2+IF('Tvorba postavy'!$P$3="Žena",-1,0)</f>
        <v>-2</v>
      </c>
      <c r="AN56" s="225">
        <v>0</v>
      </c>
      <c r="AO56" s="667">
        <f>0+IF('Tvorba postavy'!$P$3="Žena",1,0)</f>
        <v>0</v>
      </c>
      <c r="AP56" s="225">
        <v>0</v>
      </c>
      <c r="AQ56" s="227">
        <f>HLOOKUP(Věci!$D$2,Věci!$A$2:$F$529,MATCH(AJ56,Věci!$A$2:$A$529,0),FALSE)</f>
        <v>1</v>
      </c>
      <c r="AR56" s="227">
        <v>0</v>
      </c>
      <c r="AS56" s="227">
        <v>0</v>
      </c>
      <c r="AT56" s="227">
        <v>0</v>
      </c>
      <c r="AU56" s="227">
        <v>0</v>
      </c>
      <c r="AV56" s="227">
        <v>0</v>
      </c>
      <c r="AW56" s="227">
        <v>0</v>
      </c>
      <c r="AX56" s="227">
        <v>0</v>
      </c>
      <c r="AY56" s="228"/>
      <c r="BA56" s="249" t="s">
        <v>772</v>
      </c>
      <c r="BC56"/>
      <c r="BD56"/>
      <c r="BE56"/>
      <c r="BG56" s="249" t="s">
        <v>2365</v>
      </c>
      <c r="BI56" s="249" t="s">
        <v>931</v>
      </c>
    </row>
    <row r="57" spans="1:74" ht="14.1" customHeight="1" x14ac:dyDescent="0.3">
      <c r="A57" s="1303"/>
      <c r="B57" s="1304"/>
      <c r="C57" s="1304"/>
      <c r="D57" s="1304"/>
      <c r="E57" s="1304"/>
      <c r="F57" s="1304"/>
      <c r="G57" s="1304"/>
      <c r="H57" s="197"/>
      <c r="I57" s="1195"/>
      <c r="J57" s="1195"/>
      <c r="K57" s="1195"/>
      <c r="L57" s="1195"/>
      <c r="M57" s="1195"/>
      <c r="N57" s="1290"/>
      <c r="O57" s="1290"/>
      <c r="P57" s="1290"/>
      <c r="Q57" s="1290"/>
      <c r="R57" s="1290"/>
      <c r="S57" s="1290"/>
      <c r="T57" s="761"/>
      <c r="V57" s="59" t="s">
        <v>4917</v>
      </c>
      <c r="AJ57" s="224" t="s">
        <v>3869</v>
      </c>
      <c r="AK57" s="228" t="s">
        <v>18</v>
      </c>
      <c r="AL57" s="225">
        <v>1</v>
      </c>
      <c r="AM57" s="667">
        <f>0+IF('Tvorba postavy'!$P$3="Žena",-1,0)</f>
        <v>0</v>
      </c>
      <c r="AN57" s="225">
        <v>-2</v>
      </c>
      <c r="AO57" s="667">
        <f>0+IF('Tvorba postavy'!$P$3="Žena",1,0)</f>
        <v>0</v>
      </c>
      <c r="AP57" s="225">
        <v>0</v>
      </c>
      <c r="AQ57" s="227">
        <f>HLOOKUP(Věci!$D$2,Věci!$A$2:$F$529,MATCH(AJ57,Věci!$A$2:$A$529,0),FALSE)</f>
        <v>1</v>
      </c>
      <c r="AR57" s="227">
        <v>0</v>
      </c>
      <c r="AS57" s="227">
        <v>0</v>
      </c>
      <c r="AT57" s="227">
        <v>0</v>
      </c>
      <c r="AU57" s="227">
        <v>0</v>
      </c>
      <c r="AV57" s="227">
        <v>0</v>
      </c>
      <c r="AW57" s="227">
        <v>0</v>
      </c>
      <c r="AX57" s="227">
        <v>0</v>
      </c>
      <c r="AY57" s="228"/>
      <c r="BA57" s="249" t="s">
        <v>773</v>
      </c>
      <c r="BC57"/>
      <c r="BD57"/>
      <c r="BE57"/>
      <c r="BI57" s="249" t="s">
        <v>211</v>
      </c>
    </row>
    <row r="58" spans="1:74" ht="14.1" customHeight="1" x14ac:dyDescent="0.3">
      <c r="A58" s="1303"/>
      <c r="B58" s="1304"/>
      <c r="C58" s="1304"/>
      <c r="D58" s="1304"/>
      <c r="E58" s="1304"/>
      <c r="F58" s="1304"/>
      <c r="G58" s="1304"/>
      <c r="H58" s="197"/>
      <c r="I58" s="1195"/>
      <c r="J58" s="1195"/>
      <c r="K58" s="1195"/>
      <c r="L58" s="1195"/>
      <c r="M58" s="1195"/>
      <c r="N58" s="1290"/>
      <c r="O58" s="1290"/>
      <c r="P58" s="1290"/>
      <c r="Q58" s="1290"/>
      <c r="R58" s="1290"/>
      <c r="S58" s="1290"/>
      <c r="T58" s="761"/>
      <c r="V58" s="59" t="s">
        <v>4918</v>
      </c>
      <c r="AJ58" s="224" t="s">
        <v>3870</v>
      </c>
      <c r="AK58" s="228" t="s">
        <v>18</v>
      </c>
      <c r="AL58" s="225">
        <v>1</v>
      </c>
      <c r="AM58" s="667">
        <f>0+IF('Tvorba postavy'!$P$3="Žena",-1,0)</f>
        <v>0</v>
      </c>
      <c r="AN58" s="225">
        <v>0</v>
      </c>
      <c r="AO58" s="667">
        <f>-2+IF('Tvorba postavy'!$P$3="Žena",1,0)</f>
        <v>-2</v>
      </c>
      <c r="AP58" s="225">
        <v>0</v>
      </c>
      <c r="AQ58" s="227">
        <f>HLOOKUP(Věci!$D$2,Věci!$A$2:$F$529,MATCH(AJ58,Věci!$A$2:$A$529,0),FALSE)</f>
        <v>1</v>
      </c>
      <c r="AR58" s="227">
        <v>0</v>
      </c>
      <c r="AS58" s="227">
        <v>0</v>
      </c>
      <c r="AT58" s="227">
        <v>0</v>
      </c>
      <c r="AU58" s="227">
        <v>0</v>
      </c>
      <c r="AV58" s="227">
        <v>0</v>
      </c>
      <c r="AW58" s="227">
        <v>0</v>
      </c>
      <c r="AX58" s="227">
        <v>0</v>
      </c>
      <c r="AY58" s="228"/>
      <c r="BA58" s="249" t="s">
        <v>623</v>
      </c>
      <c r="BC58"/>
      <c r="BD58"/>
      <c r="BE58"/>
      <c r="BI58" s="249" t="s">
        <v>933</v>
      </c>
    </row>
    <row r="59" spans="1:74" ht="14.1" customHeight="1" x14ac:dyDescent="0.3">
      <c r="A59" s="839" t="s">
        <v>4271</v>
      </c>
      <c r="B59" s="197"/>
      <c r="C59" s="197"/>
      <c r="D59" s="197"/>
      <c r="E59" s="197"/>
      <c r="F59" s="197"/>
      <c r="G59" s="197"/>
      <c r="H59" s="197"/>
      <c r="I59" s="1195"/>
      <c r="J59" s="1195"/>
      <c r="K59" s="1195"/>
      <c r="L59" s="1195"/>
      <c r="M59" s="1195"/>
      <c r="N59" s="1290"/>
      <c r="O59" s="1290"/>
      <c r="P59" s="1290"/>
      <c r="Q59" s="1290"/>
      <c r="R59" s="1290"/>
      <c r="S59" s="1290"/>
      <c r="T59" s="761"/>
      <c r="V59" s="59" t="s">
        <v>4919</v>
      </c>
      <c r="AJ59" s="224" t="s">
        <v>950</v>
      </c>
      <c r="AK59" s="228" t="s">
        <v>18</v>
      </c>
      <c r="AL59" s="225">
        <v>10</v>
      </c>
      <c r="AM59" s="225"/>
      <c r="AN59" s="225"/>
      <c r="AO59" s="225">
        <v>2</v>
      </c>
      <c r="AP59" s="225">
        <v>21</v>
      </c>
      <c r="AQ59" s="227">
        <f>HLOOKUP(Věci!$D$2,Věci!$A$2:$F$529,MATCH(AJ59,Věci!$A$2:$A$529,0),FALSE)</f>
        <v>4</v>
      </c>
      <c r="AR59" s="1016">
        <f>'1-Vlastnosti'!Y58</f>
        <v>-7</v>
      </c>
      <c r="AS59" s="1016">
        <f>'1-Vlastnosti'!AA58</f>
        <v>-5</v>
      </c>
      <c r="AT59" s="1016">
        <f>'1-Vlastnosti'!AB58</f>
        <v>-4</v>
      </c>
      <c r="AU59" s="1016">
        <f>'1-Vlastnosti'!AC58</f>
        <v>-3</v>
      </c>
      <c r="AV59" s="1016">
        <f>'1-Vlastnosti'!AD58</f>
        <v>-2</v>
      </c>
      <c r="AW59" s="1016">
        <f>'1-Vlastnosti'!AE58</f>
        <v>-1</v>
      </c>
      <c r="AX59" s="1016" t="str">
        <f>'1-Vlastnosti'!AF58</f>
        <v>0</v>
      </c>
      <c r="AY59" s="228"/>
      <c r="BA59" s="249" t="s">
        <v>774</v>
      </c>
      <c r="BC59"/>
      <c r="BD59"/>
      <c r="BE59"/>
      <c r="BI59" s="249" t="s">
        <v>906</v>
      </c>
      <c r="BO59" s="1"/>
      <c r="BP59" s="10"/>
      <c r="BQ59" s="10"/>
      <c r="BR59" s="10"/>
      <c r="BS59" s="10"/>
      <c r="BT59" s="10"/>
      <c r="BU59" s="10"/>
      <c r="BV59" s="10"/>
    </row>
    <row r="60" spans="1:74" ht="14.1" customHeight="1" x14ac:dyDescent="0.3">
      <c r="A60" s="486" t="s">
        <v>1130</v>
      </c>
      <c r="B60" s="1302" t="s">
        <v>693</v>
      </c>
      <c r="C60" s="1302"/>
      <c r="D60" s="1302"/>
      <c r="E60" s="1302"/>
      <c r="F60" s="1302"/>
      <c r="G60" s="1302"/>
      <c r="H60" s="197"/>
      <c r="I60" s="1195"/>
      <c r="J60" s="1195"/>
      <c r="K60" s="1195"/>
      <c r="L60" s="1195"/>
      <c r="M60" s="1195"/>
      <c r="N60" s="1290"/>
      <c r="O60" s="1290"/>
      <c r="P60" s="1290"/>
      <c r="Q60" s="1290"/>
      <c r="R60" s="1290"/>
      <c r="S60" s="1290"/>
      <c r="T60" s="761"/>
      <c r="V60" s="59" t="s">
        <v>4920</v>
      </c>
      <c r="AJ60" s="224" t="s">
        <v>338</v>
      </c>
      <c r="AK60" s="228" t="s">
        <v>18</v>
      </c>
      <c r="AL60" s="225">
        <v>3</v>
      </c>
      <c r="AM60" s="225"/>
      <c r="AN60" s="225"/>
      <c r="AO60" s="225"/>
      <c r="AP60" s="225">
        <v>5</v>
      </c>
      <c r="AQ60" s="227">
        <f>HLOOKUP(Věci!$D$2,Věci!$A$2:$F$529,MATCH(AJ60,Věci!$A$2:$A$529,0),FALSE)</f>
        <v>4</v>
      </c>
      <c r="AR60" s="1016">
        <f>'1-Vlastnosti'!Y53</f>
        <v>-2</v>
      </c>
      <c r="AS60" s="1016" t="str">
        <f>'1-Vlastnosti'!AA53</f>
        <v>0</v>
      </c>
      <c r="AT60" s="1016">
        <f>'1-Vlastnosti'!AB53</f>
        <v>0</v>
      </c>
      <c r="AU60" s="1016">
        <f>'1-Vlastnosti'!AC53</f>
        <v>0</v>
      </c>
      <c r="AV60" s="1016">
        <f>'1-Vlastnosti'!AD53</f>
        <v>0</v>
      </c>
      <c r="AW60" s="1016" t="str">
        <f>'1-Vlastnosti'!AE53</f>
        <v>0</v>
      </c>
      <c r="AX60" s="1016" t="str">
        <f>'1-Vlastnosti'!AF53</f>
        <v>0</v>
      </c>
      <c r="AY60" s="228"/>
      <c r="BA60" s="249" t="s">
        <v>775</v>
      </c>
      <c r="BC60"/>
      <c r="BD60"/>
      <c r="BE60"/>
      <c r="BI60" s="249" t="s">
        <v>2352</v>
      </c>
    </row>
    <row r="61" spans="1:74" ht="15.6" x14ac:dyDescent="0.3">
      <c r="A61" s="949"/>
      <c r="B61" s="1291"/>
      <c r="C61" s="1291"/>
      <c r="D61" s="1291"/>
      <c r="E61" s="1291"/>
      <c r="F61" s="1291"/>
      <c r="G61" s="1291"/>
      <c r="H61" s="197"/>
      <c r="I61" s="1195"/>
      <c r="J61" s="1195"/>
      <c r="K61" s="1195"/>
      <c r="L61" s="1195"/>
      <c r="M61" s="1195"/>
      <c r="N61" s="1290"/>
      <c r="O61" s="1290"/>
      <c r="P61" s="1290"/>
      <c r="Q61" s="1290"/>
      <c r="R61" s="1290"/>
      <c r="S61" s="1290"/>
      <c r="T61" s="761"/>
      <c r="V61" s="59" t="s">
        <v>4921</v>
      </c>
      <c r="AJ61" s="224" t="s">
        <v>341</v>
      </c>
      <c r="AK61" s="228" t="s">
        <v>18</v>
      </c>
      <c r="AL61" s="225">
        <v>6</v>
      </c>
      <c r="AM61" s="225"/>
      <c r="AN61" s="225"/>
      <c r="AO61" s="225">
        <v>1</v>
      </c>
      <c r="AP61" s="225">
        <v>11</v>
      </c>
      <c r="AQ61" s="227">
        <f>HLOOKUP(Věci!$D$2,Věci!$A$2:$F$529,MATCH(AJ61,Věci!$A$2:$A$529,0),FALSE)</f>
        <v>4</v>
      </c>
      <c r="AR61" s="1016">
        <f>'1-Vlastnosti'!Y55</f>
        <v>-4</v>
      </c>
      <c r="AS61" s="1016">
        <f>'1-Vlastnosti'!AA55</f>
        <v>-2</v>
      </c>
      <c r="AT61" s="1016">
        <f>'1-Vlastnosti'!AB55</f>
        <v>-1</v>
      </c>
      <c r="AU61" s="1016" t="str">
        <f>'1-Vlastnosti'!AC55</f>
        <v>0</v>
      </c>
      <c r="AV61" s="1016" t="str">
        <f>'1-Vlastnosti'!AD55</f>
        <v>0</v>
      </c>
      <c r="AW61" s="1016" t="str">
        <f>'1-Vlastnosti'!AE55</f>
        <v>0</v>
      </c>
      <c r="AX61" s="1016" t="str">
        <f>'1-Vlastnosti'!AF55</f>
        <v>0</v>
      </c>
      <c r="AY61" s="228"/>
      <c r="BA61" s="249" t="s">
        <v>776</v>
      </c>
      <c r="BC61"/>
      <c r="BD61"/>
      <c r="BE61"/>
      <c r="BI61" s="249" t="s">
        <v>927</v>
      </c>
    </row>
    <row r="62" spans="1:74" ht="15.6" x14ac:dyDescent="0.3">
      <c r="A62" s="949"/>
      <c r="B62" s="1291"/>
      <c r="C62" s="1291"/>
      <c r="D62" s="1291"/>
      <c r="E62" s="1291"/>
      <c r="F62" s="1291"/>
      <c r="G62" s="1291"/>
      <c r="H62" s="197"/>
      <c r="I62" s="1195"/>
      <c r="J62" s="1195"/>
      <c r="K62" s="1195"/>
      <c r="L62" s="1195"/>
      <c r="M62" s="1195"/>
      <c r="N62" s="1290"/>
      <c r="O62" s="1290"/>
      <c r="P62" s="1290"/>
      <c r="Q62" s="1290"/>
      <c r="R62" s="1290"/>
      <c r="S62" s="1290"/>
      <c r="T62" s="761"/>
      <c r="V62" s="59" t="s">
        <v>4922</v>
      </c>
      <c r="AJ62" s="224" t="s">
        <v>344</v>
      </c>
      <c r="AK62" s="228" t="s">
        <v>18</v>
      </c>
      <c r="AL62" s="225">
        <v>9</v>
      </c>
      <c r="AM62" s="225"/>
      <c r="AN62" s="225"/>
      <c r="AO62" s="225">
        <v>1</v>
      </c>
      <c r="AP62" s="225">
        <v>12</v>
      </c>
      <c r="AQ62" s="227">
        <f>HLOOKUP(Věci!$D$2,Věci!$A$2:$F$529,MATCH(AJ62,Věci!$A$2:$A$529,0),FALSE)</f>
        <v>4</v>
      </c>
      <c r="AR62" s="1016">
        <f>'1-Vlastnosti'!Y54</f>
        <v>-3</v>
      </c>
      <c r="AS62" s="1016">
        <f>'1-Vlastnosti'!AA54</f>
        <v>-1</v>
      </c>
      <c r="AT62" s="1016" t="str">
        <f>'1-Vlastnosti'!AB54</f>
        <v>0</v>
      </c>
      <c r="AU62" s="1016" t="str">
        <f>'1-Vlastnosti'!AC54</f>
        <v>0</v>
      </c>
      <c r="AV62" s="1016" t="str">
        <f>'1-Vlastnosti'!AD54</f>
        <v>0</v>
      </c>
      <c r="AW62" s="1016" t="str">
        <f>'1-Vlastnosti'!AE54</f>
        <v>0</v>
      </c>
      <c r="AX62" s="1016" t="str">
        <f>'1-Vlastnosti'!AF54</f>
        <v>0</v>
      </c>
      <c r="AY62" s="228"/>
      <c r="BA62" s="249" t="s">
        <v>777</v>
      </c>
      <c r="BC62"/>
      <c r="BD62"/>
      <c r="BE62"/>
      <c r="BI62" s="249" t="s">
        <v>937</v>
      </c>
    </row>
    <row r="63" spans="1:74" ht="15" customHeight="1" x14ac:dyDescent="0.3">
      <c r="A63" s="949"/>
      <c r="B63" s="1291"/>
      <c r="C63" s="1291"/>
      <c r="D63" s="1291"/>
      <c r="E63" s="1291"/>
      <c r="F63" s="1291"/>
      <c r="G63" s="1291"/>
      <c r="H63" s="197"/>
      <c r="I63" s="1195"/>
      <c r="J63" s="1195"/>
      <c r="K63" s="1195"/>
      <c r="L63" s="1195"/>
      <c r="M63" s="1195"/>
      <c r="N63" s="1290"/>
      <c r="O63" s="1290"/>
      <c r="P63" s="1290"/>
      <c r="Q63" s="1290"/>
      <c r="R63" s="1290"/>
      <c r="S63" s="1290"/>
      <c r="T63" s="761"/>
      <c r="V63" s="59" t="s">
        <v>4923</v>
      </c>
      <c r="AJ63" s="224" t="s">
        <v>342</v>
      </c>
      <c r="AK63" s="228" t="s">
        <v>18</v>
      </c>
      <c r="AL63" s="225">
        <v>7</v>
      </c>
      <c r="AM63" s="225"/>
      <c r="AN63" s="225"/>
      <c r="AO63" s="225">
        <v>2</v>
      </c>
      <c r="AP63" s="225">
        <v>15</v>
      </c>
      <c r="AQ63" s="227">
        <f>HLOOKUP(Věci!$D$2,Věci!$A$2:$F$529,MATCH(AJ63,Věci!$A$2:$A$529,0),FALSE)</f>
        <v>4</v>
      </c>
      <c r="AR63" s="1016">
        <f>'1-Vlastnosti'!Y56</f>
        <v>-5</v>
      </c>
      <c r="AS63" s="1016">
        <f>'1-Vlastnosti'!AA56</f>
        <v>-3</v>
      </c>
      <c r="AT63" s="1016">
        <f>'1-Vlastnosti'!AB56</f>
        <v>-2</v>
      </c>
      <c r="AU63" s="1016">
        <f>'1-Vlastnosti'!AC56</f>
        <v>-1</v>
      </c>
      <c r="AV63" s="1016" t="str">
        <f>'1-Vlastnosti'!AD56</f>
        <v>0</v>
      </c>
      <c r="AW63" s="1016" t="str">
        <f>'1-Vlastnosti'!AE56</f>
        <v>0</v>
      </c>
      <c r="AX63" s="1016" t="str">
        <f>'1-Vlastnosti'!AF56</f>
        <v>0</v>
      </c>
      <c r="AY63" s="228"/>
      <c r="BA63" s="249" t="s">
        <v>778</v>
      </c>
      <c r="BC63"/>
      <c r="BD63"/>
      <c r="BE63"/>
      <c r="BI63" s="249" t="s">
        <v>930</v>
      </c>
    </row>
    <row r="64" spans="1:74" ht="15.6" x14ac:dyDescent="0.3">
      <c r="A64" s="949"/>
      <c r="B64" s="1291"/>
      <c r="C64" s="1291"/>
      <c r="D64" s="1291"/>
      <c r="E64" s="1291"/>
      <c r="F64" s="1291"/>
      <c r="G64" s="1291"/>
      <c r="H64" s="197"/>
      <c r="I64" s="1195"/>
      <c r="J64" s="1195"/>
      <c r="K64" s="1195"/>
      <c r="L64" s="1195"/>
      <c r="M64" s="1195"/>
      <c r="N64" s="1290"/>
      <c r="O64" s="1290"/>
      <c r="P64" s="1290"/>
      <c r="Q64" s="1290"/>
      <c r="R64" s="1290"/>
      <c r="S64" s="1290"/>
      <c r="T64" s="761"/>
      <c r="V64" s="59" t="s">
        <v>4924</v>
      </c>
      <c r="AJ64" s="224" t="s">
        <v>343</v>
      </c>
      <c r="AK64" s="228" t="s">
        <v>18</v>
      </c>
      <c r="AL64" s="225">
        <v>8</v>
      </c>
      <c r="AM64" s="225"/>
      <c r="AN64" s="225"/>
      <c r="AO64" s="225">
        <v>2</v>
      </c>
      <c r="AP64" s="225">
        <v>17</v>
      </c>
      <c r="AQ64" s="227">
        <f>HLOOKUP(Věci!$D$2,Věci!$A$2:$F$529,MATCH(AJ64,Věci!$A$2:$A$529,0),FALSE)</f>
        <v>4</v>
      </c>
      <c r="AR64" s="1016">
        <f>'1-Vlastnosti'!Y57</f>
        <v>-6</v>
      </c>
      <c r="AS64" s="1016">
        <f>'1-Vlastnosti'!AA57</f>
        <v>-4</v>
      </c>
      <c r="AT64" s="1016">
        <f>'1-Vlastnosti'!AB57</f>
        <v>-3</v>
      </c>
      <c r="AU64" s="1016">
        <f>'1-Vlastnosti'!AC57</f>
        <v>-2</v>
      </c>
      <c r="AV64" s="1016">
        <f>'1-Vlastnosti'!AD57</f>
        <v>-1</v>
      </c>
      <c r="AW64" s="1016" t="str">
        <f>'1-Vlastnosti'!AE57</f>
        <v>0</v>
      </c>
      <c r="AX64" s="1016" t="str">
        <f>'1-Vlastnosti'!AF57</f>
        <v>0</v>
      </c>
      <c r="AY64" s="228"/>
      <c r="BA64" s="249" t="s">
        <v>779</v>
      </c>
      <c r="BC64"/>
      <c r="BD64"/>
      <c r="BE64"/>
      <c r="BI64" s="249" t="s">
        <v>913</v>
      </c>
    </row>
    <row r="65" spans="1:61" ht="15.6" x14ac:dyDescent="0.3">
      <c r="A65" s="949"/>
      <c r="B65" s="1291"/>
      <c r="C65" s="1291"/>
      <c r="D65" s="1291"/>
      <c r="E65" s="1291"/>
      <c r="F65" s="1291"/>
      <c r="G65" s="1291"/>
      <c r="H65" s="197"/>
      <c r="I65" s="1195"/>
      <c r="J65" s="1195"/>
      <c r="K65" s="1195"/>
      <c r="L65" s="1195"/>
      <c r="M65" s="1195"/>
      <c r="N65" s="1290"/>
      <c r="O65" s="1290"/>
      <c r="P65" s="1290"/>
      <c r="Q65" s="1290"/>
      <c r="R65" s="1290"/>
      <c r="S65" s="1290"/>
      <c r="T65" s="761"/>
      <c r="V65" s="59" t="s">
        <v>4925</v>
      </c>
      <c r="AJ65" s="224" t="s">
        <v>339</v>
      </c>
      <c r="AK65" s="228" t="s">
        <v>18</v>
      </c>
      <c r="AL65" s="225">
        <v>5</v>
      </c>
      <c r="AM65" s="225"/>
      <c r="AN65" s="225"/>
      <c r="AO65" s="225">
        <v>1</v>
      </c>
      <c r="AP65" s="225">
        <v>8</v>
      </c>
      <c r="AQ65" s="227">
        <f>HLOOKUP(Věci!$D$2,Věci!$A$2:$F$529,MATCH(AJ65,Věci!$A$2:$A$529,0),FALSE)</f>
        <v>4</v>
      </c>
      <c r="AR65" s="1016">
        <f>'1-Vlastnosti'!Y55</f>
        <v>-4</v>
      </c>
      <c r="AS65" s="1016">
        <f>'1-Vlastnosti'!AA55</f>
        <v>-2</v>
      </c>
      <c r="AT65" s="1016">
        <f>'1-Vlastnosti'!AB55</f>
        <v>-1</v>
      </c>
      <c r="AU65" s="1016" t="str">
        <f>'1-Vlastnosti'!AC55</f>
        <v>0</v>
      </c>
      <c r="AV65" s="1016" t="str">
        <f>'1-Vlastnosti'!AD55</f>
        <v>0</v>
      </c>
      <c r="AW65" s="1016" t="str">
        <f>'1-Vlastnosti'!AE55</f>
        <v>0</v>
      </c>
      <c r="AX65" s="1016" t="str">
        <f>'1-Vlastnosti'!AF55</f>
        <v>0</v>
      </c>
      <c r="AY65" s="228"/>
      <c r="BA65" s="249" t="s">
        <v>780</v>
      </c>
      <c r="BC65"/>
      <c r="BD65"/>
      <c r="BE65"/>
      <c r="BI65" s="249" t="s">
        <v>934</v>
      </c>
    </row>
    <row r="66" spans="1:61" ht="15.6" x14ac:dyDescent="0.3">
      <c r="A66" s="949"/>
      <c r="B66" s="1291"/>
      <c r="C66" s="1291"/>
      <c r="D66" s="1291"/>
      <c r="E66" s="1291"/>
      <c r="F66" s="1291"/>
      <c r="G66" s="1291"/>
      <c r="H66" s="197"/>
      <c r="I66" s="1195"/>
      <c r="J66" s="1195"/>
      <c r="K66" s="1195"/>
      <c r="L66" s="1195"/>
      <c r="M66" s="1195"/>
      <c r="N66" s="1290"/>
      <c r="O66" s="1290"/>
      <c r="P66" s="1290"/>
      <c r="Q66" s="1290"/>
      <c r="R66" s="1290"/>
      <c r="S66" s="1290"/>
      <c r="T66" s="761"/>
      <c r="V66" s="59" t="s">
        <v>4926</v>
      </c>
      <c r="AJ66" s="224" t="s">
        <v>337</v>
      </c>
      <c r="AK66" s="228" t="s">
        <v>18</v>
      </c>
      <c r="AL66" s="225">
        <v>2</v>
      </c>
      <c r="AM66" s="225"/>
      <c r="AN66" s="225"/>
      <c r="AO66" s="225"/>
      <c r="AP66" s="225">
        <v>3</v>
      </c>
      <c r="AQ66" s="227">
        <f>HLOOKUP(Věci!$D$2,Věci!$A$2:$F$529,MATCH(AJ66,Věci!$A$2:$A$529,0),FALSE)</f>
        <v>4</v>
      </c>
      <c r="AR66" s="1016">
        <f>'1-Vlastnosti'!Y52</f>
        <v>-1</v>
      </c>
      <c r="AS66" s="1016" t="str">
        <f>'1-Vlastnosti'!AA52</f>
        <v>0</v>
      </c>
      <c r="AT66" s="1016">
        <f>'1-Vlastnosti'!AB52</f>
        <v>0</v>
      </c>
      <c r="AU66" s="1016">
        <f>'1-Vlastnosti'!AC52</f>
        <v>0</v>
      </c>
      <c r="AV66" s="1016">
        <f>'1-Vlastnosti'!AD52</f>
        <v>0</v>
      </c>
      <c r="AW66" s="1016" t="str">
        <f>'1-Vlastnosti'!AE52</f>
        <v>0</v>
      </c>
      <c r="AX66" s="1016" t="str">
        <f>'1-Vlastnosti'!AF52</f>
        <v>0</v>
      </c>
      <c r="AY66" s="228"/>
      <c r="BA66" s="249" t="s">
        <v>781</v>
      </c>
      <c r="BC66"/>
      <c r="BD66"/>
      <c r="BE66"/>
      <c r="BI66" s="249" t="s">
        <v>936</v>
      </c>
    </row>
    <row r="67" spans="1:61" ht="15.6" x14ac:dyDescent="0.3">
      <c r="A67" s="949"/>
      <c r="B67" s="1291"/>
      <c r="C67" s="1291"/>
      <c r="D67" s="1291"/>
      <c r="E67" s="1291"/>
      <c r="F67" s="1291"/>
      <c r="G67" s="1291"/>
      <c r="H67" s="197"/>
      <c r="I67" s="1195"/>
      <c r="J67" s="1195"/>
      <c r="K67" s="1195"/>
      <c r="L67" s="1195"/>
      <c r="M67" s="1195"/>
      <c r="N67" s="1290"/>
      <c r="O67" s="1290"/>
      <c r="P67" s="1290"/>
      <c r="Q67" s="1290"/>
      <c r="R67" s="1290"/>
      <c r="S67" s="1290"/>
      <c r="T67" s="761"/>
      <c r="V67" s="59" t="s">
        <v>4927</v>
      </c>
      <c r="AJ67" s="224" t="s">
        <v>340</v>
      </c>
      <c r="AK67" s="228" t="s">
        <v>18</v>
      </c>
      <c r="AL67" s="225">
        <v>4</v>
      </c>
      <c r="AM67" s="225"/>
      <c r="AN67" s="225"/>
      <c r="AO67" s="1075">
        <v>1</v>
      </c>
      <c r="AP67" s="225">
        <v>7</v>
      </c>
      <c r="AQ67" s="227">
        <f>HLOOKUP(Věci!$D$2,Věci!$A$2:$F$529,MATCH(AJ67,Věci!$A$2:$A$529,0),FALSE)</f>
        <v>4</v>
      </c>
      <c r="AR67" s="1016">
        <f>'1-Vlastnosti'!Y54</f>
        <v>-3</v>
      </c>
      <c r="AS67" s="1016">
        <f>'1-Vlastnosti'!AA54</f>
        <v>-1</v>
      </c>
      <c r="AT67" s="1016" t="str">
        <f>'1-Vlastnosti'!AB54</f>
        <v>0</v>
      </c>
      <c r="AU67" s="1016" t="str">
        <f>'1-Vlastnosti'!AC54</f>
        <v>0</v>
      </c>
      <c r="AV67" s="1016" t="str">
        <f>'1-Vlastnosti'!AD54</f>
        <v>0</v>
      </c>
      <c r="AW67" s="1016" t="str">
        <f>'1-Vlastnosti'!AE54</f>
        <v>0</v>
      </c>
      <c r="AX67" s="1016" t="str">
        <f>'1-Vlastnosti'!AF54</f>
        <v>0</v>
      </c>
      <c r="AY67" s="228"/>
      <c r="BA67" s="249" t="s">
        <v>782</v>
      </c>
      <c r="BC67"/>
      <c r="BD67"/>
      <c r="BE67"/>
      <c r="BI67" s="249" t="s">
        <v>920</v>
      </c>
    </row>
    <row r="68" spans="1:61" ht="15.6" x14ac:dyDescent="0.3">
      <c r="A68" s="949"/>
      <c r="B68" s="1291"/>
      <c r="C68" s="1291"/>
      <c r="D68" s="1291"/>
      <c r="E68" s="1291"/>
      <c r="F68" s="1291"/>
      <c r="G68" s="1291"/>
      <c r="H68" s="895"/>
      <c r="I68" s="1195"/>
      <c r="J68" s="1195"/>
      <c r="K68" s="1195"/>
      <c r="L68" s="1195"/>
      <c r="M68" s="1195"/>
      <c r="N68" s="1290"/>
      <c r="O68" s="1290"/>
      <c r="P68" s="1290"/>
      <c r="Q68" s="1290"/>
      <c r="R68" s="1290"/>
      <c r="S68" s="1290"/>
      <c r="T68" s="761"/>
      <c r="V68" s="59" t="s">
        <v>4928</v>
      </c>
      <c r="AJ68" s="105" t="s">
        <v>3882</v>
      </c>
      <c r="AK68" s="104" t="s">
        <v>18</v>
      </c>
      <c r="AL68" s="103">
        <v>0</v>
      </c>
      <c r="AM68" s="103"/>
      <c r="AN68" s="103"/>
      <c r="AO68" s="103"/>
      <c r="AP68" s="103">
        <v>0</v>
      </c>
      <c r="AQ68" s="106">
        <f>HLOOKUP(Věci!$D$2,Věci!$A$2:$F$529,MATCH(AJ68,Věci!$A$2:$A$529,0),FALSE)</f>
        <v>1</v>
      </c>
      <c r="AR68" s="194">
        <v>0</v>
      </c>
      <c r="AS68" s="194">
        <v>0</v>
      </c>
      <c r="AT68" s="194">
        <v>0</v>
      </c>
      <c r="AU68" s="194">
        <v>0</v>
      </c>
      <c r="AV68" s="194">
        <v>0</v>
      </c>
      <c r="AW68" s="194">
        <v>0</v>
      </c>
      <c r="AX68" s="194">
        <v>0</v>
      </c>
      <c r="AY68" s="104"/>
      <c r="BA68" s="249" t="s">
        <v>783</v>
      </c>
      <c r="BC68"/>
      <c r="BD68"/>
      <c r="BE68"/>
      <c r="BI68" s="249" t="s">
        <v>215</v>
      </c>
    </row>
    <row r="69" spans="1:61" ht="15.6" x14ac:dyDescent="0.3">
      <c r="A69" s="949"/>
      <c r="B69" s="1291"/>
      <c r="C69" s="1291"/>
      <c r="D69" s="1291"/>
      <c r="E69" s="1291"/>
      <c r="F69" s="1291"/>
      <c r="G69" s="1291"/>
      <c r="H69" s="197"/>
      <c r="I69" s="1195"/>
      <c r="J69" s="1195"/>
      <c r="K69" s="1195"/>
      <c r="L69" s="1195"/>
      <c r="M69" s="1195"/>
      <c r="N69" s="1290"/>
      <c r="O69" s="1290"/>
      <c r="P69" s="1290"/>
      <c r="Q69" s="1290"/>
      <c r="R69" s="1290"/>
      <c r="S69" s="1290"/>
      <c r="T69" s="761"/>
      <c r="V69" s="59" t="s">
        <v>4929</v>
      </c>
      <c r="AJ69" s="105" t="s">
        <v>1141</v>
      </c>
      <c r="AK69" s="104" t="s">
        <v>18</v>
      </c>
      <c r="AL69" s="103">
        <v>0</v>
      </c>
      <c r="AM69" s="103"/>
      <c r="AN69" s="103"/>
      <c r="AO69" s="103"/>
      <c r="AP69" s="103">
        <v>0</v>
      </c>
      <c r="AQ69" s="106">
        <f>HLOOKUP(Věci!$D$2,Věci!$A$2:$F$529,MATCH(AJ69,Věci!$A$2:$A$529,0),FALSE)</f>
        <v>1</v>
      </c>
      <c r="AR69" s="194">
        <v>0</v>
      </c>
      <c r="AS69" s="194">
        <v>0</v>
      </c>
      <c r="AT69" s="194">
        <v>0</v>
      </c>
      <c r="AU69" s="194">
        <v>0</v>
      </c>
      <c r="AV69" s="194">
        <v>0</v>
      </c>
      <c r="AW69" s="194">
        <v>0</v>
      </c>
      <c r="AX69" s="194">
        <v>0</v>
      </c>
      <c r="AY69" s="104"/>
      <c r="BA69" s="249" t="s">
        <v>784</v>
      </c>
      <c r="BC69"/>
      <c r="BD69"/>
      <c r="BE69"/>
      <c r="BI69" s="249" t="s">
        <v>903</v>
      </c>
    </row>
    <row r="70" spans="1:61" ht="16.2" thickBot="1" x14ac:dyDescent="0.35">
      <c r="A70" s="812"/>
      <c r="B70" s="769"/>
      <c r="C70" s="769"/>
      <c r="D70" s="769"/>
      <c r="E70" s="769"/>
      <c r="F70" s="769"/>
      <c r="G70" s="769"/>
      <c r="H70" s="769"/>
      <c r="I70" s="948"/>
      <c r="J70" s="948"/>
      <c r="K70" s="948"/>
      <c r="L70" s="948"/>
      <c r="M70" s="948"/>
      <c r="N70" s="948"/>
      <c r="O70" s="948"/>
      <c r="P70" s="948"/>
      <c r="Q70" s="948"/>
      <c r="R70" s="948"/>
      <c r="S70" s="948"/>
      <c r="T70" s="770"/>
      <c r="V70" s="59" t="s">
        <v>4930</v>
      </c>
      <c r="AJ70" s="105" t="s">
        <v>347</v>
      </c>
      <c r="AK70" s="104" t="s">
        <v>18</v>
      </c>
      <c r="AL70" s="103">
        <v>0</v>
      </c>
      <c r="AM70" s="103"/>
      <c r="AN70" s="103"/>
      <c r="AO70" s="103"/>
      <c r="AP70" s="103">
        <v>0</v>
      </c>
      <c r="AQ70" s="106">
        <f>HLOOKUP(Věci!$D$2,Věci!$A$2:$F$529,MATCH(AJ70,Věci!$A$2:$A$529,0),FALSE)</f>
        <v>1</v>
      </c>
      <c r="AR70" s="194">
        <v>0</v>
      </c>
      <c r="AS70" s="194">
        <v>0</v>
      </c>
      <c r="AT70" s="194">
        <v>0</v>
      </c>
      <c r="AU70" s="194">
        <v>0</v>
      </c>
      <c r="AV70" s="194">
        <v>0</v>
      </c>
      <c r="AW70" s="194">
        <v>0</v>
      </c>
      <c r="AX70" s="194">
        <v>0</v>
      </c>
      <c r="AY70" s="104"/>
      <c r="BA70" s="249" t="s">
        <v>1603</v>
      </c>
      <c r="BC70"/>
      <c r="BD70"/>
      <c r="BE70"/>
    </row>
    <row r="71" spans="1:61" ht="15.6" x14ac:dyDescent="0.3">
      <c r="V71" s="59" t="s">
        <v>4931</v>
      </c>
      <c r="AJ71" s="105" t="s">
        <v>3883</v>
      </c>
      <c r="AK71" s="104" t="s">
        <v>18</v>
      </c>
      <c r="AL71" s="103">
        <v>0</v>
      </c>
      <c r="AM71" s="103"/>
      <c r="AN71" s="103"/>
      <c r="AO71" s="103"/>
      <c r="AP71" s="103">
        <v>0</v>
      </c>
      <c r="AQ71" s="106">
        <f>HLOOKUP(Věci!$D$2,Věci!$A$2:$F$529,MATCH(AJ71,Věci!$A$2:$A$529,0),FALSE)</f>
        <v>1</v>
      </c>
      <c r="AR71" s="194">
        <v>0</v>
      </c>
      <c r="AS71" s="194">
        <v>0</v>
      </c>
      <c r="AT71" s="194">
        <v>0</v>
      </c>
      <c r="AU71" s="194">
        <v>0</v>
      </c>
      <c r="AV71" s="194">
        <v>0</v>
      </c>
      <c r="AW71" s="194">
        <v>0</v>
      </c>
      <c r="AX71" s="194">
        <v>0</v>
      </c>
      <c r="AY71" s="104"/>
      <c r="BA71" s="249" t="s">
        <v>785</v>
      </c>
      <c r="BC71"/>
      <c r="BD71"/>
      <c r="BE71"/>
    </row>
    <row r="72" spans="1:61" ht="15.6" x14ac:dyDescent="0.3">
      <c r="V72" s="59" t="s">
        <v>4932</v>
      </c>
      <c r="AJ72" s="105" t="s">
        <v>3884</v>
      </c>
      <c r="AK72" s="104" t="s">
        <v>18</v>
      </c>
      <c r="AL72" s="103">
        <v>1</v>
      </c>
      <c r="AM72" s="103"/>
      <c r="AN72" s="103"/>
      <c r="AO72" s="103"/>
      <c r="AP72" s="103">
        <v>0</v>
      </c>
      <c r="AQ72" s="106">
        <f>HLOOKUP(Věci!$D$2,Věci!$A$2:$F$529,MATCH(AJ72,Věci!$A$2:$A$529,0),FALSE)</f>
        <v>1</v>
      </c>
      <c r="AR72" s="194">
        <v>0</v>
      </c>
      <c r="AS72" s="194">
        <v>0</v>
      </c>
      <c r="AT72" s="194">
        <v>0</v>
      </c>
      <c r="AU72" s="194">
        <v>0</v>
      </c>
      <c r="AV72" s="194">
        <v>0</v>
      </c>
      <c r="AW72" s="194">
        <v>0</v>
      </c>
      <c r="AX72" s="194">
        <v>0</v>
      </c>
      <c r="AY72" s="104"/>
      <c r="BA72" s="249" t="s">
        <v>786</v>
      </c>
      <c r="BC72"/>
      <c r="BD72"/>
      <c r="BE72"/>
    </row>
    <row r="73" spans="1:61" ht="15.6" x14ac:dyDescent="0.3">
      <c r="V73" s="59" t="s">
        <v>4933</v>
      </c>
      <c r="AJ73" s="224" t="s">
        <v>3871</v>
      </c>
      <c r="AK73" s="350" t="s">
        <v>1183</v>
      </c>
      <c r="AL73" s="225">
        <v>1</v>
      </c>
      <c r="AM73" s="225">
        <v>0</v>
      </c>
      <c r="AN73" s="225">
        <v>0</v>
      </c>
      <c r="AO73" s="225">
        <v>0</v>
      </c>
      <c r="AP73" s="225">
        <v>0</v>
      </c>
      <c r="AQ73" s="227">
        <f>HLOOKUP(Věci!$D$2,Věci!$A$2:$F$529,MATCH(AJ73,Věci!$A$2:$A$529,0),FALSE)</f>
        <v>0</v>
      </c>
      <c r="AR73" s="227">
        <v>0</v>
      </c>
      <c r="AS73" s="227">
        <v>0</v>
      </c>
      <c r="AT73" s="227">
        <v>0</v>
      </c>
      <c r="AU73" s="227">
        <v>0</v>
      </c>
      <c r="AV73" s="227">
        <v>0</v>
      </c>
      <c r="AW73" s="227">
        <v>0</v>
      </c>
      <c r="AX73" s="227">
        <v>0</v>
      </c>
      <c r="AY73" s="228"/>
      <c r="BA73" s="249" t="s">
        <v>787</v>
      </c>
      <c r="BC73"/>
      <c r="BD73"/>
      <c r="BE73"/>
    </row>
    <row r="74" spans="1:61" ht="15.6" x14ac:dyDescent="0.3">
      <c r="F74" s="197"/>
      <c r="G74" s="197"/>
      <c r="AJ74" s="224" t="s">
        <v>3872</v>
      </c>
      <c r="AK74" s="350" t="s">
        <v>1183</v>
      </c>
      <c r="AL74" s="225">
        <v>2</v>
      </c>
      <c r="AM74" s="225">
        <v>0</v>
      </c>
      <c r="AN74" s="225">
        <v>1</v>
      </c>
      <c r="AO74" s="225">
        <v>0</v>
      </c>
      <c r="AP74" s="225">
        <v>0</v>
      </c>
      <c r="AQ74" s="227">
        <f>HLOOKUP(Věci!$D$2,Věci!$A$2:$F$529,MATCH(AJ74,Věci!$A$2:$A$529,0),FALSE)</f>
        <v>2</v>
      </c>
      <c r="AR74" s="227">
        <v>0</v>
      </c>
      <c r="AS74" s="227">
        <v>0</v>
      </c>
      <c r="AT74" s="227">
        <v>0</v>
      </c>
      <c r="AU74" s="227">
        <v>0</v>
      </c>
      <c r="AV74" s="227">
        <v>0</v>
      </c>
      <c r="AW74" s="227">
        <v>0</v>
      </c>
      <c r="AX74" s="227">
        <v>0</v>
      </c>
      <c r="AY74" s="228"/>
      <c r="BA74" s="249" t="s">
        <v>788</v>
      </c>
      <c r="BC74"/>
      <c r="BD74"/>
      <c r="BE74"/>
    </row>
    <row r="75" spans="1:61" ht="15.6" x14ac:dyDescent="0.3">
      <c r="AJ75" s="224" t="s">
        <v>3873</v>
      </c>
      <c r="AK75" s="350" t="s">
        <v>1183</v>
      </c>
      <c r="AL75" s="225">
        <v>0</v>
      </c>
      <c r="AM75" s="225">
        <v>0</v>
      </c>
      <c r="AN75" s="225">
        <v>1</v>
      </c>
      <c r="AO75" s="225">
        <v>0</v>
      </c>
      <c r="AP75" s="225">
        <v>0</v>
      </c>
      <c r="AQ75" s="227">
        <f>HLOOKUP(Věci!$D$2,Věci!$A$2:$F$529,MATCH(AJ75,Věci!$A$2:$A$529,0),FALSE)</f>
        <v>1</v>
      </c>
      <c r="AR75" s="227">
        <v>0</v>
      </c>
      <c r="AS75" s="227">
        <v>0</v>
      </c>
      <c r="AT75" s="227">
        <v>0</v>
      </c>
      <c r="AU75" s="227">
        <v>0</v>
      </c>
      <c r="AV75" s="227">
        <v>0</v>
      </c>
      <c r="AW75" s="227">
        <v>0</v>
      </c>
      <c r="AX75" s="227">
        <v>0</v>
      </c>
      <c r="AY75" s="228"/>
      <c r="BA75" s="249" t="s">
        <v>789</v>
      </c>
      <c r="BC75"/>
      <c r="BD75"/>
      <c r="BE75"/>
    </row>
    <row r="76" spans="1:61" ht="15.6" x14ac:dyDescent="0.3">
      <c r="AJ76" s="224" t="s">
        <v>3874</v>
      </c>
      <c r="AK76" s="350" t="s">
        <v>1183</v>
      </c>
      <c r="AL76" s="225">
        <v>0</v>
      </c>
      <c r="AM76" s="225">
        <v>0</v>
      </c>
      <c r="AN76" s="225">
        <v>1</v>
      </c>
      <c r="AO76" s="225">
        <v>0</v>
      </c>
      <c r="AP76" s="225">
        <v>0</v>
      </c>
      <c r="AQ76" s="227">
        <f>HLOOKUP(Věci!$D$2,Věci!$A$2:$F$529,MATCH(AJ76,Věci!$A$2:$A$529,0),FALSE)</f>
        <v>0</v>
      </c>
      <c r="AR76" s="227">
        <v>0</v>
      </c>
      <c r="AS76" s="227">
        <v>0</v>
      </c>
      <c r="AT76" s="227">
        <v>0</v>
      </c>
      <c r="AU76" s="227">
        <v>0</v>
      </c>
      <c r="AV76" s="227">
        <v>0</v>
      </c>
      <c r="AW76" s="227">
        <v>0</v>
      </c>
      <c r="AX76" s="227">
        <v>0</v>
      </c>
      <c r="AY76" s="228"/>
      <c r="BA76" s="249" t="s">
        <v>790</v>
      </c>
      <c r="BC76"/>
      <c r="BD76"/>
      <c r="BE76"/>
    </row>
    <row r="77" spans="1:61" ht="15.6" x14ac:dyDescent="0.3">
      <c r="AJ77" s="224" t="s">
        <v>3875</v>
      </c>
      <c r="AK77" s="350" t="s">
        <v>1183</v>
      </c>
      <c r="AL77" s="225">
        <v>0</v>
      </c>
      <c r="AM77" s="225">
        <v>0</v>
      </c>
      <c r="AN77" s="225">
        <v>1</v>
      </c>
      <c r="AO77" s="225">
        <v>0</v>
      </c>
      <c r="AP77" s="225">
        <v>0</v>
      </c>
      <c r="AQ77" s="227">
        <f>HLOOKUP(Věci!$D$2,Věci!$A$2:$F$529,MATCH(AJ77,Věci!$A$2:$A$529,0),FALSE)</f>
        <v>2</v>
      </c>
      <c r="AR77" s="227">
        <v>0</v>
      </c>
      <c r="AS77" s="227">
        <v>0</v>
      </c>
      <c r="AT77" s="227">
        <v>0</v>
      </c>
      <c r="AU77" s="227">
        <v>0</v>
      </c>
      <c r="AV77" s="227">
        <v>0</v>
      </c>
      <c r="AW77" s="227">
        <v>0</v>
      </c>
      <c r="AX77" s="227">
        <v>0</v>
      </c>
      <c r="AY77" s="228"/>
      <c r="BA77" s="249" t="s">
        <v>791</v>
      </c>
      <c r="BC77"/>
      <c r="BD77"/>
      <c r="BE77"/>
    </row>
    <row r="78" spans="1:61" ht="15.6" x14ac:dyDescent="0.3">
      <c r="AJ78" s="224" t="s">
        <v>1637</v>
      </c>
      <c r="AK78" s="350" t="s">
        <v>1183</v>
      </c>
      <c r="AL78" s="225">
        <v>0</v>
      </c>
      <c r="AM78" s="225">
        <v>0</v>
      </c>
      <c r="AN78" s="225">
        <v>1</v>
      </c>
      <c r="AO78" s="225">
        <v>0</v>
      </c>
      <c r="AP78" s="225">
        <v>0</v>
      </c>
      <c r="AQ78" s="227">
        <f>HLOOKUP(Věci!$D$2,Věci!$A$2:$F$529,MATCH(AJ78,Věci!$A$2:$A$529,0),FALSE)</f>
        <v>4</v>
      </c>
      <c r="AR78" s="227">
        <v>0</v>
      </c>
      <c r="AS78" s="227">
        <v>0</v>
      </c>
      <c r="AT78" s="227">
        <v>0</v>
      </c>
      <c r="AU78" s="227">
        <v>0</v>
      </c>
      <c r="AV78" s="227">
        <v>0</v>
      </c>
      <c r="AW78" s="227">
        <v>0</v>
      </c>
      <c r="AX78" s="227">
        <v>0</v>
      </c>
      <c r="AY78" s="228"/>
      <c r="BA78" s="249" t="s">
        <v>792</v>
      </c>
      <c r="BC78"/>
      <c r="BD78"/>
      <c r="BE78"/>
    </row>
    <row r="79" spans="1:61" ht="15.6" x14ac:dyDescent="0.3">
      <c r="AJ79" s="224" t="s">
        <v>3876</v>
      </c>
      <c r="AK79" s="350" t="s">
        <v>1183</v>
      </c>
      <c r="AL79" s="225">
        <v>0</v>
      </c>
      <c r="AM79" s="225">
        <v>1</v>
      </c>
      <c r="AN79" s="225">
        <v>0</v>
      </c>
      <c r="AO79" s="225">
        <v>0</v>
      </c>
      <c r="AP79" s="225">
        <v>0</v>
      </c>
      <c r="AQ79" s="227">
        <f>HLOOKUP(Věci!$D$2,Věci!$A$2:$F$529,MATCH(AJ79,Věci!$A$2:$A$529,0),FALSE)</f>
        <v>1</v>
      </c>
      <c r="AR79" s="227">
        <v>0</v>
      </c>
      <c r="AS79" s="227">
        <v>0</v>
      </c>
      <c r="AT79" s="227">
        <v>0</v>
      </c>
      <c r="AU79" s="227">
        <v>0</v>
      </c>
      <c r="AV79" s="227">
        <v>0</v>
      </c>
      <c r="AW79" s="227">
        <v>0</v>
      </c>
      <c r="AX79" s="227">
        <v>0</v>
      </c>
      <c r="AY79" s="228"/>
      <c r="BA79" s="249" t="s">
        <v>793</v>
      </c>
      <c r="BC79"/>
      <c r="BD79"/>
      <c r="BE79"/>
    </row>
    <row r="80" spans="1:61" ht="15.6" x14ac:dyDescent="0.3">
      <c r="AJ80" s="224" t="s">
        <v>3877</v>
      </c>
      <c r="AK80" s="350" t="s">
        <v>1183</v>
      </c>
      <c r="AL80" s="225">
        <v>0</v>
      </c>
      <c r="AM80" s="225">
        <v>0</v>
      </c>
      <c r="AN80" s="225">
        <v>0</v>
      </c>
      <c r="AO80" s="225">
        <v>1</v>
      </c>
      <c r="AP80" s="225">
        <v>0</v>
      </c>
      <c r="AQ80" s="227">
        <f>HLOOKUP(Věci!$D$2,Věci!$A$2:$F$529,MATCH(AJ80,Věci!$A$2:$A$529,0),FALSE)</f>
        <v>0</v>
      </c>
      <c r="AR80" s="227">
        <v>0</v>
      </c>
      <c r="AS80" s="227">
        <v>0</v>
      </c>
      <c r="AT80" s="227">
        <v>0</v>
      </c>
      <c r="AU80" s="227">
        <v>0</v>
      </c>
      <c r="AV80" s="227">
        <v>0</v>
      </c>
      <c r="AW80" s="227">
        <v>0</v>
      </c>
      <c r="AX80" s="227">
        <v>0</v>
      </c>
      <c r="AY80" s="228"/>
      <c r="BA80" s="249" t="s">
        <v>794</v>
      </c>
      <c r="BC80"/>
      <c r="BD80"/>
      <c r="BE80"/>
    </row>
    <row r="81" spans="17:57" ht="15.6" x14ac:dyDescent="0.3">
      <c r="AJ81" s="224" t="s">
        <v>3878</v>
      </c>
      <c r="AK81" s="350" t="s">
        <v>1183</v>
      </c>
      <c r="AL81" s="225">
        <v>0</v>
      </c>
      <c r="AM81" s="225">
        <v>0</v>
      </c>
      <c r="AN81" s="225">
        <v>1</v>
      </c>
      <c r="AO81" s="225">
        <v>0</v>
      </c>
      <c r="AP81" s="225">
        <v>0</v>
      </c>
      <c r="AQ81" s="227">
        <f>HLOOKUP(Věci!$D$2,Věci!$A$2:$F$529,MATCH(AJ81,Věci!$A$2:$A$529,0),FALSE)</f>
        <v>0</v>
      </c>
      <c r="AR81" s="227">
        <v>0</v>
      </c>
      <c r="AS81" s="227">
        <v>0</v>
      </c>
      <c r="AT81" s="227">
        <v>0</v>
      </c>
      <c r="AU81" s="227">
        <v>0</v>
      </c>
      <c r="AV81" s="227">
        <v>0</v>
      </c>
      <c r="AW81" s="227">
        <v>0</v>
      </c>
      <c r="AX81" s="227">
        <v>0</v>
      </c>
      <c r="AY81" s="228"/>
      <c r="BA81" s="249" t="s">
        <v>795</v>
      </c>
      <c r="BC81"/>
      <c r="BD81"/>
      <c r="BE81"/>
    </row>
    <row r="82" spans="17:57" ht="15.6" x14ac:dyDescent="0.3">
      <c r="AJ82" s="224" t="s">
        <v>1170</v>
      </c>
      <c r="AK82" s="350" t="s">
        <v>1183</v>
      </c>
      <c r="AL82" s="225">
        <v>2</v>
      </c>
      <c r="AM82" s="225">
        <v>0</v>
      </c>
      <c r="AN82" s="225">
        <v>0</v>
      </c>
      <c r="AO82" s="225">
        <v>2</v>
      </c>
      <c r="AP82" s="225">
        <v>2</v>
      </c>
      <c r="AQ82" s="227">
        <f>HLOOKUP(Věci!$D$2,Věci!$A$2:$F$529,MATCH(AJ82,Věci!$A$2:$A$529,0),FALSE)</f>
        <v>1</v>
      </c>
      <c r="AR82" s="227">
        <v>0</v>
      </c>
      <c r="AS82" s="227">
        <v>0</v>
      </c>
      <c r="AT82" s="227">
        <v>0</v>
      </c>
      <c r="AU82" s="227">
        <v>0</v>
      </c>
      <c r="AV82" s="227">
        <v>0</v>
      </c>
      <c r="AW82" s="227">
        <v>0</v>
      </c>
      <c r="AX82" s="227">
        <v>0</v>
      </c>
      <c r="AY82" s="228" t="s">
        <v>955</v>
      </c>
      <c r="BA82" s="249" t="s">
        <v>796</v>
      </c>
      <c r="BC82"/>
      <c r="BD82"/>
      <c r="BE82"/>
    </row>
    <row r="83" spans="17:57" ht="15.6" x14ac:dyDescent="0.3">
      <c r="AJ83" s="224" t="s">
        <v>1184</v>
      </c>
      <c r="AK83" s="350" t="s">
        <v>1183</v>
      </c>
      <c r="AL83" s="225">
        <v>0</v>
      </c>
      <c r="AM83" s="225">
        <v>0</v>
      </c>
      <c r="AN83" s="225">
        <v>1</v>
      </c>
      <c r="AO83" s="225">
        <v>0</v>
      </c>
      <c r="AP83" s="225">
        <v>0</v>
      </c>
      <c r="AQ83" s="227">
        <f>HLOOKUP(Věci!$D$2,Věci!$A$2:$F$529,MATCH(AJ83,Věci!$A$2:$A$529,0),FALSE)</f>
        <v>1</v>
      </c>
      <c r="AR83" s="227">
        <v>0</v>
      </c>
      <c r="AS83" s="227">
        <v>0</v>
      </c>
      <c r="AT83" s="227">
        <v>0</v>
      </c>
      <c r="AU83" s="227">
        <v>0</v>
      </c>
      <c r="AV83" s="227">
        <v>0</v>
      </c>
      <c r="AW83" s="227">
        <v>0</v>
      </c>
      <c r="AX83" s="227">
        <v>0</v>
      </c>
      <c r="AY83" s="228"/>
      <c r="BA83" s="249" t="s">
        <v>797</v>
      </c>
      <c r="BC83"/>
      <c r="BD83"/>
      <c r="BE83"/>
    </row>
    <row r="84" spans="17:57" ht="15.6" x14ac:dyDescent="0.3">
      <c r="AJ84" s="224" t="s">
        <v>1185</v>
      </c>
      <c r="AK84" s="350" t="s">
        <v>1183</v>
      </c>
      <c r="AL84" s="225">
        <v>0</v>
      </c>
      <c r="AM84" s="225">
        <v>1</v>
      </c>
      <c r="AN84" s="225">
        <v>0</v>
      </c>
      <c r="AO84" s="225">
        <v>0</v>
      </c>
      <c r="AP84" s="225">
        <v>0</v>
      </c>
      <c r="AQ84" s="227">
        <f>HLOOKUP(Věci!$D$2,Věci!$A$2:$F$529,MATCH(AJ84,Věci!$A$2:$A$529,0),FALSE)</f>
        <v>1</v>
      </c>
      <c r="AR84" s="227">
        <v>0</v>
      </c>
      <c r="AS84" s="227">
        <v>0</v>
      </c>
      <c r="AT84" s="227">
        <v>0</v>
      </c>
      <c r="AU84" s="227">
        <v>0</v>
      </c>
      <c r="AV84" s="227">
        <v>0</v>
      </c>
      <c r="AW84" s="227">
        <v>0</v>
      </c>
      <c r="AX84" s="227">
        <v>0</v>
      </c>
      <c r="AY84" s="228"/>
      <c r="BA84" s="249" t="s">
        <v>2435</v>
      </c>
      <c r="BC84"/>
      <c r="BD84"/>
      <c r="BE84"/>
    </row>
    <row r="85" spans="17:57" ht="15.6" x14ac:dyDescent="0.3">
      <c r="Q85" s="66"/>
      <c r="R85" s="66"/>
      <c r="AJ85" s="224" t="s">
        <v>1186</v>
      </c>
      <c r="AK85" s="350" t="s">
        <v>1183</v>
      </c>
      <c r="AL85" s="225">
        <v>0</v>
      </c>
      <c r="AM85" s="225">
        <v>2</v>
      </c>
      <c r="AN85" s="225">
        <v>0</v>
      </c>
      <c r="AO85" s="225">
        <v>0</v>
      </c>
      <c r="AP85" s="225">
        <v>0</v>
      </c>
      <c r="AQ85" s="227">
        <f>HLOOKUP(Věci!$D$2,Věci!$A$2:$F$529,MATCH(AJ85,Věci!$A$2:$A$529,0),FALSE)</f>
        <v>1</v>
      </c>
      <c r="AR85" s="227">
        <v>0</v>
      </c>
      <c r="AS85" s="227">
        <v>0</v>
      </c>
      <c r="AT85" s="227">
        <v>0</v>
      </c>
      <c r="AU85" s="227">
        <v>0</v>
      </c>
      <c r="AV85" s="227">
        <v>0</v>
      </c>
      <c r="AW85" s="227">
        <v>0</v>
      </c>
      <c r="AX85" s="227">
        <v>0</v>
      </c>
      <c r="AY85" s="228"/>
      <c r="BA85" s="249" t="s">
        <v>798</v>
      </c>
      <c r="BC85"/>
      <c r="BD85"/>
      <c r="BE85"/>
    </row>
    <row r="86" spans="17:57" ht="15.6" x14ac:dyDescent="0.3">
      <c r="Q86" s="143"/>
      <c r="R86" s="143"/>
      <c r="AJ86" s="224" t="s">
        <v>3879</v>
      </c>
      <c r="AK86" s="350" t="s">
        <v>1183</v>
      </c>
      <c r="AL86" s="225">
        <v>0</v>
      </c>
      <c r="AM86" s="225">
        <v>0</v>
      </c>
      <c r="AN86" s="225">
        <v>0</v>
      </c>
      <c r="AO86" s="225">
        <v>1</v>
      </c>
      <c r="AP86" s="225">
        <v>0</v>
      </c>
      <c r="AQ86" s="227">
        <f>HLOOKUP(Věci!$D$2,Věci!$A$2:$F$529,MATCH(AJ86,Věci!$A$2:$A$529,0),FALSE)</f>
        <v>1</v>
      </c>
      <c r="AR86" s="227">
        <v>0</v>
      </c>
      <c r="AS86" s="227">
        <v>0</v>
      </c>
      <c r="AT86" s="227">
        <v>0</v>
      </c>
      <c r="AU86" s="227">
        <v>0</v>
      </c>
      <c r="AV86" s="227">
        <v>0</v>
      </c>
      <c r="AW86" s="227">
        <v>0</v>
      </c>
      <c r="AX86" s="227">
        <v>0</v>
      </c>
      <c r="AY86" s="228"/>
      <c r="BA86" s="249" t="s">
        <v>250</v>
      </c>
      <c r="BC86"/>
      <c r="BD86"/>
      <c r="BE86"/>
    </row>
    <row r="87" spans="17:57" ht="15.6" x14ac:dyDescent="0.3">
      <c r="AJ87" s="224" t="s">
        <v>1187</v>
      </c>
      <c r="AK87" s="350" t="s">
        <v>1183</v>
      </c>
      <c r="AL87" s="225">
        <v>0</v>
      </c>
      <c r="AM87" s="225">
        <v>-3</v>
      </c>
      <c r="AN87" s="225">
        <v>-2</v>
      </c>
      <c r="AO87" s="225">
        <v>-1</v>
      </c>
      <c r="AP87" s="225">
        <v>0</v>
      </c>
      <c r="AQ87" s="227">
        <f>HLOOKUP(Věci!$D$2,Věci!$A$2:$F$529,MATCH(AJ87,Věci!$A$2:$A$529,0),FALSE)</f>
        <v>1</v>
      </c>
      <c r="AR87" s="227">
        <v>0</v>
      </c>
      <c r="AS87" s="227">
        <v>0</v>
      </c>
      <c r="AT87" s="227">
        <v>0</v>
      </c>
      <c r="AU87" s="227">
        <v>0</v>
      </c>
      <c r="AV87" s="227">
        <v>0</v>
      </c>
      <c r="AW87" s="227">
        <v>0</v>
      </c>
      <c r="AX87" s="227">
        <v>0</v>
      </c>
      <c r="AY87" s="228"/>
      <c r="BA87" s="249" t="s">
        <v>799</v>
      </c>
      <c r="BC87"/>
      <c r="BD87"/>
      <c r="BE87"/>
    </row>
    <row r="88" spans="17:57" ht="15.6" x14ac:dyDescent="0.3">
      <c r="AJ88" s="224" t="s">
        <v>1188</v>
      </c>
      <c r="AK88" s="350" t="s">
        <v>1183</v>
      </c>
      <c r="AL88" s="225">
        <v>0</v>
      </c>
      <c r="AM88" s="225">
        <v>0</v>
      </c>
      <c r="AN88" s="225">
        <v>0</v>
      </c>
      <c r="AO88" s="225">
        <v>-1</v>
      </c>
      <c r="AP88" s="225">
        <v>0</v>
      </c>
      <c r="AQ88" s="227">
        <f>HLOOKUP(Věci!$D$2,Věci!$A$2:$F$529,MATCH(AJ88,Věci!$A$2:$A$529,0),FALSE)</f>
        <v>1</v>
      </c>
      <c r="AR88" s="227">
        <v>0</v>
      </c>
      <c r="AS88" s="227">
        <v>0</v>
      </c>
      <c r="AT88" s="227">
        <v>0</v>
      </c>
      <c r="AU88" s="227">
        <v>0</v>
      </c>
      <c r="AV88" s="227">
        <v>0</v>
      </c>
      <c r="AW88" s="227">
        <v>0</v>
      </c>
      <c r="AX88" s="227">
        <v>0</v>
      </c>
      <c r="AY88" s="228"/>
      <c r="BA88" s="249" t="s">
        <v>800</v>
      </c>
      <c r="BC88"/>
      <c r="BD88"/>
      <c r="BE88"/>
    </row>
    <row r="89" spans="17:57" ht="15.6" x14ac:dyDescent="0.3">
      <c r="AJ89" s="224" t="s">
        <v>1189</v>
      </c>
      <c r="AK89" s="350" t="s">
        <v>1183</v>
      </c>
      <c r="AL89" s="225">
        <v>0</v>
      </c>
      <c r="AM89" s="225">
        <v>0</v>
      </c>
      <c r="AN89" s="225">
        <v>0</v>
      </c>
      <c r="AO89" s="225">
        <v>3</v>
      </c>
      <c r="AP89" s="225">
        <v>0</v>
      </c>
      <c r="AQ89" s="227">
        <f>HLOOKUP(Věci!$D$2,Věci!$A$2:$F$529,MATCH(AJ89,Věci!$A$2:$A$529,0),FALSE)</f>
        <v>1</v>
      </c>
      <c r="AR89" s="227">
        <v>0</v>
      </c>
      <c r="AS89" s="227">
        <v>0</v>
      </c>
      <c r="AT89" s="227">
        <v>0</v>
      </c>
      <c r="AU89" s="227">
        <v>0</v>
      </c>
      <c r="AV89" s="227">
        <v>0</v>
      </c>
      <c r="AW89" s="227">
        <v>0</v>
      </c>
      <c r="AX89" s="227">
        <v>0</v>
      </c>
      <c r="AY89" s="228"/>
      <c r="BA89" s="249" t="s">
        <v>801</v>
      </c>
      <c r="BC89"/>
      <c r="BD89"/>
      <c r="BE89"/>
    </row>
    <row r="90" spans="17:57" ht="15.6" x14ac:dyDescent="0.3">
      <c r="AJ90" s="224" t="s">
        <v>927</v>
      </c>
      <c r="AK90" s="350" t="s">
        <v>1183</v>
      </c>
      <c r="AL90" s="225">
        <v>0</v>
      </c>
      <c r="AM90" s="225">
        <v>-1</v>
      </c>
      <c r="AN90" s="225">
        <v>0</v>
      </c>
      <c r="AO90" s="225">
        <v>1</v>
      </c>
      <c r="AP90" s="225">
        <v>0</v>
      </c>
      <c r="AQ90" s="227">
        <f>HLOOKUP(Věci!$D$2,Věci!$A$2:$F$529,MATCH(AJ90,Věci!$A$2:$A$529,0),FALSE)</f>
        <v>0</v>
      </c>
      <c r="AR90" s="227">
        <v>0</v>
      </c>
      <c r="AS90" s="227">
        <v>0</v>
      </c>
      <c r="AT90" s="227">
        <v>0</v>
      </c>
      <c r="AU90" s="227">
        <v>0</v>
      </c>
      <c r="AV90" s="227">
        <v>0</v>
      </c>
      <c r="AW90" s="227">
        <v>0</v>
      </c>
      <c r="AX90" s="227">
        <v>0</v>
      </c>
      <c r="AY90" s="228"/>
      <c r="BA90" s="249" t="s">
        <v>802</v>
      </c>
      <c r="BC90"/>
      <c r="BD90"/>
      <c r="BE90"/>
    </row>
    <row r="91" spans="17:57" ht="15.6" x14ac:dyDescent="0.3">
      <c r="AJ91" s="224" t="s">
        <v>3880</v>
      </c>
      <c r="AK91" s="350" t="s">
        <v>1183</v>
      </c>
      <c r="AL91" s="225">
        <v>0</v>
      </c>
      <c r="AM91" s="225">
        <v>0</v>
      </c>
      <c r="AN91" s="225">
        <v>-3</v>
      </c>
      <c r="AO91" s="225">
        <v>0</v>
      </c>
      <c r="AP91" s="225">
        <v>0</v>
      </c>
      <c r="AQ91" s="227">
        <f>HLOOKUP(Věci!$D$2,Věci!$A$2:$F$529,MATCH(AJ91,Věci!$A$2:$A$529,0),FALSE)</f>
        <v>0</v>
      </c>
      <c r="AR91" s="227">
        <v>0</v>
      </c>
      <c r="AS91" s="227">
        <v>0</v>
      </c>
      <c r="AT91" s="227">
        <v>0</v>
      </c>
      <c r="AU91" s="227">
        <v>0</v>
      </c>
      <c r="AV91" s="227">
        <v>0</v>
      </c>
      <c r="AW91" s="227">
        <v>0</v>
      </c>
      <c r="AX91" s="227">
        <v>0</v>
      </c>
      <c r="AY91" s="228"/>
      <c r="BA91" s="249" t="s">
        <v>803</v>
      </c>
      <c r="BC91"/>
      <c r="BD91"/>
      <c r="BE91"/>
    </row>
    <row r="92" spans="17:57" x14ac:dyDescent="0.3">
      <c r="BA92" s="249" t="s">
        <v>804</v>
      </c>
      <c r="BC92"/>
      <c r="BD92"/>
      <c r="BE92"/>
    </row>
    <row r="93" spans="17:57" x14ac:dyDescent="0.3">
      <c r="BA93" s="249" t="s">
        <v>805</v>
      </c>
      <c r="BC93"/>
      <c r="BD93"/>
      <c r="BE93"/>
    </row>
    <row r="94" spans="17:57" x14ac:dyDescent="0.3">
      <c r="BA94" s="249" t="s">
        <v>806</v>
      </c>
      <c r="BC94"/>
      <c r="BD94"/>
      <c r="BE94"/>
    </row>
    <row r="95" spans="17:57" x14ac:dyDescent="0.3">
      <c r="BA95" s="249" t="s">
        <v>807</v>
      </c>
      <c r="BC95"/>
      <c r="BD95"/>
      <c r="BE95"/>
    </row>
    <row r="96" spans="17:57" x14ac:dyDescent="0.3">
      <c r="BA96" s="249" t="s">
        <v>808</v>
      </c>
      <c r="BC96"/>
      <c r="BD96"/>
      <c r="BE96"/>
    </row>
    <row r="97" spans="6:57" x14ac:dyDescent="0.3">
      <c r="BA97" s="249" t="s">
        <v>809</v>
      </c>
      <c r="BC97"/>
      <c r="BD97"/>
      <c r="BE97"/>
    </row>
    <row r="98" spans="6:57" x14ac:dyDescent="0.3">
      <c r="BA98" s="249" t="s">
        <v>810</v>
      </c>
      <c r="BC98"/>
      <c r="BD98"/>
      <c r="BE98"/>
    </row>
    <row r="99" spans="6:57" x14ac:dyDescent="0.3">
      <c r="BA99" s="249" t="s">
        <v>811</v>
      </c>
      <c r="BC99"/>
      <c r="BD99"/>
      <c r="BE99"/>
    </row>
    <row r="100" spans="6:57" x14ac:dyDescent="0.3">
      <c r="BA100" s="249" t="s">
        <v>812</v>
      </c>
      <c r="BC100"/>
      <c r="BD100"/>
      <c r="BE100"/>
    </row>
    <row r="101" spans="6:57" x14ac:dyDescent="0.3">
      <c r="BA101" s="249" t="s">
        <v>1143</v>
      </c>
      <c r="BC101"/>
      <c r="BD101"/>
      <c r="BE101"/>
    </row>
    <row r="102" spans="6:57" x14ac:dyDescent="0.3">
      <c r="BA102" s="249" t="s">
        <v>813</v>
      </c>
      <c r="BC102"/>
      <c r="BD102"/>
      <c r="BE102"/>
    </row>
    <row r="103" spans="6:57" x14ac:dyDescent="0.3">
      <c r="BA103" s="249" t="s">
        <v>814</v>
      </c>
      <c r="BC103"/>
      <c r="BD103"/>
      <c r="BE103"/>
    </row>
    <row r="104" spans="6:57" x14ac:dyDescent="0.3">
      <c r="BA104" s="249" t="s">
        <v>815</v>
      </c>
      <c r="BC104"/>
      <c r="BD104"/>
      <c r="BE104"/>
    </row>
    <row r="105" spans="6:57" x14ac:dyDescent="0.3">
      <c r="BA105" s="249" t="s">
        <v>816</v>
      </c>
      <c r="BC105"/>
      <c r="BD105"/>
      <c r="BE105"/>
    </row>
    <row r="106" spans="6:57" x14ac:dyDescent="0.3">
      <c r="BA106" s="249" t="s">
        <v>817</v>
      </c>
      <c r="BC106"/>
      <c r="BD106"/>
      <c r="BE106"/>
    </row>
    <row r="107" spans="6:57" x14ac:dyDescent="0.3">
      <c r="BA107" s="249" t="s">
        <v>818</v>
      </c>
      <c r="BC107"/>
      <c r="BD107"/>
      <c r="BE107"/>
    </row>
    <row r="108" spans="6:57" x14ac:dyDescent="0.3">
      <c r="BC108"/>
      <c r="BD108"/>
      <c r="BE108"/>
    </row>
    <row r="109" spans="6:57" x14ac:dyDescent="0.3">
      <c r="BC109"/>
      <c r="BD109"/>
      <c r="BE109"/>
    </row>
    <row r="110" spans="6:57" x14ac:dyDescent="0.3">
      <c r="BC110"/>
      <c r="BD110"/>
      <c r="BE110"/>
    </row>
    <row r="111" spans="6:57" x14ac:dyDescent="0.3">
      <c r="F111" s="936"/>
      <c r="G111" s="197"/>
      <c r="H111" s="197"/>
      <c r="BC111"/>
      <c r="BD111"/>
      <c r="BE111"/>
    </row>
    <row r="112" spans="6:57" x14ac:dyDescent="0.3">
      <c r="BC112"/>
      <c r="BD112"/>
      <c r="BE112"/>
    </row>
  </sheetData>
  <sortState ref="AJ5:BB20">
    <sortCondition ref="AL5:AL20"/>
  </sortState>
  <mergeCells count="134">
    <mergeCell ref="I2:M2"/>
    <mergeCell ref="H31:J31"/>
    <mergeCell ref="H28:J28"/>
    <mergeCell ref="A31:C31"/>
    <mergeCell ref="H30:J30"/>
    <mergeCell ref="B3:M3"/>
    <mergeCell ref="AR2:AX2"/>
    <mergeCell ref="N15:O15"/>
    <mergeCell ref="N7:S7"/>
    <mergeCell ref="Q15:R15"/>
    <mergeCell ref="H29:J29"/>
    <mergeCell ref="B21:M21"/>
    <mergeCell ref="B18:M18"/>
    <mergeCell ref="A24:C24"/>
    <mergeCell ref="B2:D2"/>
    <mergeCell ref="B4:D4"/>
    <mergeCell ref="B7:D7"/>
    <mergeCell ref="B5:D5"/>
    <mergeCell ref="G7:M7"/>
    <mergeCell ref="A25:C25"/>
    <mergeCell ref="A26:C26"/>
    <mergeCell ref="J10:L10"/>
    <mergeCell ref="H4:K4"/>
    <mergeCell ref="H5:K5"/>
    <mergeCell ref="E6:F6"/>
    <mergeCell ref="A46:E46"/>
    <mergeCell ref="P28:S28"/>
    <mergeCell ref="H34:J34"/>
    <mergeCell ref="A28:C28"/>
    <mergeCell ref="A32:C32"/>
    <mergeCell ref="H32:J32"/>
    <mergeCell ref="A33:C33"/>
    <mergeCell ref="H33:J33"/>
    <mergeCell ref="A30:C30"/>
    <mergeCell ref="A34:C34"/>
    <mergeCell ref="P29:S29"/>
    <mergeCell ref="I6:J6"/>
    <mergeCell ref="J9:M9"/>
    <mergeCell ref="B15:M15"/>
    <mergeCell ref="B16:M16"/>
    <mergeCell ref="H35:J35"/>
    <mergeCell ref="A29:C29"/>
    <mergeCell ref="A27:C27"/>
    <mergeCell ref="A35:C35"/>
    <mergeCell ref="E10:G10"/>
    <mergeCell ref="E11:G11"/>
    <mergeCell ref="A10:C10"/>
    <mergeCell ref="A11:C11"/>
    <mergeCell ref="A12:C12"/>
    <mergeCell ref="E12:G12"/>
    <mergeCell ref="B17:M17"/>
    <mergeCell ref="A51:G51"/>
    <mergeCell ref="A48:E48"/>
    <mergeCell ref="I51:M51"/>
    <mergeCell ref="G48:M48"/>
    <mergeCell ref="A43:S43"/>
    <mergeCell ref="G45:M45"/>
    <mergeCell ref="G46:M46"/>
    <mergeCell ref="A45:E45"/>
    <mergeCell ref="A47:E47"/>
    <mergeCell ref="E39:H39"/>
    <mergeCell ref="E40:H40"/>
    <mergeCell ref="E41:H41"/>
    <mergeCell ref="A39:D39"/>
    <mergeCell ref="A41:D41"/>
    <mergeCell ref="A40:D40"/>
    <mergeCell ref="B61:G61"/>
    <mergeCell ref="B60:G60"/>
    <mergeCell ref="N53:S53"/>
    <mergeCell ref="N55:S55"/>
    <mergeCell ref="N58:S58"/>
    <mergeCell ref="I60:M60"/>
    <mergeCell ref="I55:M55"/>
    <mergeCell ref="I58:M58"/>
    <mergeCell ref="H36:J36"/>
    <mergeCell ref="A52:G52"/>
    <mergeCell ref="A53:G53"/>
    <mergeCell ref="A54:G54"/>
    <mergeCell ref="A55:G55"/>
    <mergeCell ref="A56:G56"/>
    <mergeCell ref="A57:G57"/>
    <mergeCell ref="A58:G58"/>
    <mergeCell ref="N51:S51"/>
    <mergeCell ref="N52:S52"/>
    <mergeCell ref="I54:M54"/>
    <mergeCell ref="N54:S54"/>
    <mergeCell ref="I59:M59"/>
    <mergeCell ref="N59:S59"/>
    <mergeCell ref="I56:M56"/>
    <mergeCell ref="N56:S56"/>
    <mergeCell ref="N60:S60"/>
    <mergeCell ref="N61:S61"/>
    <mergeCell ref="I64:M64"/>
    <mergeCell ref="I63:M63"/>
    <mergeCell ref="N63:S63"/>
    <mergeCell ref="N62:S62"/>
    <mergeCell ref="I61:M61"/>
    <mergeCell ref="Q18:S18"/>
    <mergeCell ref="N16:O16"/>
    <mergeCell ref="I57:M57"/>
    <mergeCell ref="N57:S57"/>
    <mergeCell ref="I53:M53"/>
    <mergeCell ref="I52:M52"/>
    <mergeCell ref="O48:S48"/>
    <mergeCell ref="O40:S40"/>
    <mergeCell ref="O46:S46"/>
    <mergeCell ref="O45:S45"/>
    <mergeCell ref="O39:S39"/>
    <mergeCell ref="O41:S41"/>
    <mergeCell ref="I40:M40"/>
    <mergeCell ref="H27:J27"/>
    <mergeCell ref="H25:J25"/>
    <mergeCell ref="H24:J24"/>
    <mergeCell ref="H26:J26"/>
    <mergeCell ref="N66:S66"/>
    <mergeCell ref="I67:M67"/>
    <mergeCell ref="N67:S67"/>
    <mergeCell ref="I68:M68"/>
    <mergeCell ref="N68:S68"/>
    <mergeCell ref="I69:M69"/>
    <mergeCell ref="N69:S69"/>
    <mergeCell ref="B68:G68"/>
    <mergeCell ref="B62:G62"/>
    <mergeCell ref="B63:G63"/>
    <mergeCell ref="B64:G64"/>
    <mergeCell ref="B65:G65"/>
    <mergeCell ref="B66:G66"/>
    <mergeCell ref="B67:G67"/>
    <mergeCell ref="B69:G69"/>
    <mergeCell ref="I65:M65"/>
    <mergeCell ref="N65:S65"/>
    <mergeCell ref="I66:M66"/>
    <mergeCell ref="N64:S64"/>
    <mergeCell ref="I62:M62"/>
  </mergeCells>
  <conditionalFormatting sqref="A25:C33 M25:M33 B15:B18">
    <cfRule type="containsBlanks" dxfId="437" priority="102">
      <formula>LEN(TRIM(A15))=0</formula>
    </cfRule>
  </conditionalFormatting>
  <conditionalFormatting sqref="P16 R23:R25 K25:L32 M25:M35 K33:M33 R27">
    <cfRule type="cellIs" dxfId="436" priority="98" operator="notEqual">
      <formula>" "</formula>
    </cfRule>
  </conditionalFormatting>
  <conditionalFormatting sqref="Q18 B4:D5 G45 A45:E45 O45:S45 O39:S39 B7:D7 O20 S20 Q20">
    <cfRule type="cellIs" dxfId="435" priority="59" operator="equal">
      <formula>0</formula>
    </cfRule>
  </conditionalFormatting>
  <conditionalFormatting sqref="B3:M3 P15 S15">
    <cfRule type="cellIs" dxfId="434" priority="21" operator="equal">
      <formula>0</formula>
    </cfRule>
  </conditionalFormatting>
  <conditionalFormatting sqref="G25:G35">
    <cfRule type="cellIs" dxfId="433" priority="17" stopIfTrue="1" operator="equal">
      <formula>" "</formula>
    </cfRule>
    <cfRule type="expression" dxfId="432" priority="18">
      <formula>G25&gt;sSil</formula>
    </cfRule>
  </conditionalFormatting>
  <conditionalFormatting sqref="C42">
    <cfRule type="cellIs" dxfId="431" priority="15" operator="notEqual">
      <formula>" "</formula>
    </cfRule>
  </conditionalFormatting>
  <conditionalFormatting sqref="A43 A46:E48 O46:S46 P28:S29 G46 O40:S41 O48:S48 G48">
    <cfRule type="cellIs" dxfId="430" priority="14" operator="equal">
      <formula>0</formula>
    </cfRule>
  </conditionalFormatting>
  <conditionalFormatting sqref="J10">
    <cfRule type="cellIs" dxfId="429" priority="12" operator="equal">
      <formula>" "</formula>
    </cfRule>
  </conditionalFormatting>
  <conditionalFormatting sqref="M10">
    <cfRule type="cellIs" dxfId="428" priority="11" operator="notEqual">
      <formula>" "</formula>
    </cfRule>
  </conditionalFormatting>
  <conditionalFormatting sqref="L11:L13">
    <cfRule type="containsBlanks" dxfId="427" priority="10">
      <formula>LEN(TRIM(L11))=0</formula>
    </cfRule>
  </conditionalFormatting>
  <conditionalFormatting sqref="L4:M5 B2:D2 H4:H5">
    <cfRule type="cellIs" dxfId="426" priority="9" operator="equal">
      <formula>" "</formula>
    </cfRule>
  </conditionalFormatting>
  <conditionalFormatting sqref="G7:M7">
    <cfRule type="cellIs" dxfId="425" priority="8" operator="equal">
      <formula>0</formula>
    </cfRule>
  </conditionalFormatting>
  <conditionalFormatting sqref="F111">
    <cfRule type="cellIs" dxfId="424" priority="7" operator="equal">
      <formula>0</formula>
    </cfRule>
  </conditionalFormatting>
  <conditionalFormatting sqref="A39:A41">
    <cfRule type="cellIs" dxfId="423" priority="6" operator="equal">
      <formula>0</formula>
    </cfRule>
  </conditionalFormatting>
  <conditionalFormatting sqref="E39:H41">
    <cfRule type="cellIs" dxfId="422" priority="5" operator="equal">
      <formula>0</formula>
    </cfRule>
  </conditionalFormatting>
  <conditionalFormatting sqref="I40">
    <cfRule type="cellIs" dxfId="421" priority="2" operator="equal">
      <formula>0</formula>
    </cfRule>
  </conditionalFormatting>
  <dataValidations count="20">
    <dataValidation type="list" allowBlank="1" showInputMessage="1" showErrorMessage="1" sqref="A30:C33">
      <formula1>$AJ$73:$AJ$91</formula1>
    </dataValidation>
    <dataValidation type="list" allowBlank="1" showInputMessage="1" showErrorMessage="1" sqref="A29">
      <formula1>$AJ$32:$AJ$41</formula1>
    </dataValidation>
    <dataValidation type="list" allowBlank="1" showInputMessage="1" showErrorMessage="1" sqref="A27">
      <formula1>$AJ$5:$AJ$19</formula1>
    </dataValidation>
    <dataValidation type="list" allowBlank="1" showInputMessage="1" showErrorMessage="1" sqref="A28">
      <formula1>$AJ$20:$AJ$31</formula1>
    </dataValidation>
    <dataValidation type="list" allowBlank="1" showInputMessage="1" showErrorMessage="1" sqref="A25">
      <formula1>$AJ$42:$AJ$67</formula1>
    </dataValidation>
    <dataValidation type="whole" allowBlank="1" showInputMessage="1" showErrorMessage="1" sqref="L11:L13">
      <formula1>0</formula1>
      <formula2>8</formula2>
    </dataValidation>
    <dataValidation type="list" allowBlank="1" showDropDown="1" showInputMessage="1" showErrorMessage="1" sqref="J10">
      <formula1>$U$17:$U$20</formula1>
    </dataValidation>
    <dataValidation type="list" allowBlank="1" showDropDown="1" showInputMessage="1" showErrorMessage="1" sqref="H4:H5">
      <formula1>#REF!</formula1>
    </dataValidation>
    <dataValidation allowBlank="1" showDropDown="1" showInputMessage="1" showErrorMessage="1" sqref="L4:L5"/>
    <dataValidation type="list" allowBlank="1" showInputMessage="1" showErrorMessage="1" sqref="A39:D41">
      <formula1>$BK$8:$BK$24</formula1>
    </dataValidation>
    <dataValidation type="list" allowBlank="1" showInputMessage="1" showErrorMessage="1" sqref="A45:E45">
      <formula1>$BC$3:$BC$51</formula1>
    </dataValidation>
    <dataValidation type="list" allowBlank="1" showInputMessage="1" showErrorMessage="1" sqref="O39:S39">
      <formula1>$BE$3:$BE$42</formula1>
    </dataValidation>
    <dataValidation type="list" allowBlank="1" showInputMessage="1" showErrorMessage="1" sqref="O45:S45">
      <formula1>$BG$3:$BG$56</formula1>
    </dataValidation>
    <dataValidation type="list" allowBlank="1" showInputMessage="1" showErrorMessage="1" sqref="E39:H41">
      <formula1>$BA$3:$BA$107</formula1>
    </dataValidation>
    <dataValidation type="list" allowBlank="1" showInputMessage="1" showErrorMessage="1" sqref="G45:M45">
      <formula1>$BI$3:$BI$69</formula1>
    </dataValidation>
    <dataValidation type="list" allowBlank="1" showInputMessage="1" showErrorMessage="1" sqref="G7:M7">
      <formula1>$BV$4:$BV$26</formula1>
    </dataValidation>
    <dataValidation type="list" allowBlank="1" showInputMessage="1" showErrorMessage="1" sqref="B7:D7">
      <formula1>$V$48:$V$53</formula1>
    </dataValidation>
    <dataValidation type="list" allowBlank="1" showInputMessage="1" showErrorMessage="1" sqref="B5:D5">
      <formula1>$V$36:$V$44</formula1>
    </dataValidation>
    <dataValidation type="list" allowBlank="1" showInputMessage="1" showErrorMessage="1" sqref="I40">
      <formula1>$V$56:$V$73</formula1>
    </dataValidation>
    <dataValidation type="list" allowBlank="1" showInputMessage="1" showErrorMessage="1" sqref="A26:C26">
      <formula1>$AJ$42:$AJ$72</formula1>
    </dataValidation>
  </dataValidations>
  <pageMargins left="0.51181102362204722" right="0.31496062992125984" top="0.31496062992125984" bottom="0.39370078740157483" header="0.31496062992125984" footer="0.31496062992125984"/>
  <pageSetup paperSize="9" scale="80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'1-Vlastnosti'!$S$78</xm:f>
          </x14:formula1>
          <xm:sqref>H30:J30</xm:sqref>
        </x14:dataValidation>
        <x14:dataValidation type="list" allowBlank="1" showDropDown="1" showInputMessage="1" showErrorMessage="1">
          <x14:formula1>
            <xm:f>'1-Vlastnosti'!$X$71:$X$81</xm:f>
          </x14:formula1>
          <xm:sqref>H25:J29</xm:sqref>
        </x14:dataValidation>
        <x14:dataValidation type="list" allowBlank="1" showInputMessage="1" showErrorMessage="1">
          <x14:formula1>
            <xm:f>'1-Vlastnosti'!$X$71:$X$81</xm:f>
          </x14:formula1>
          <xm:sqref>H31:J35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>
    <tabColor rgb="FF92D050"/>
  </sheetPr>
  <dimension ref="A1:BL122"/>
  <sheetViews>
    <sheetView workbookViewId="0">
      <selection activeCell="N1" sqref="N1"/>
    </sheetView>
  </sheetViews>
  <sheetFormatPr defaultRowHeight="14.4" x14ac:dyDescent="0.3"/>
  <cols>
    <col min="1" max="1" width="22.33203125" customWidth="1"/>
    <col min="2" max="2" width="3.88671875" customWidth="1"/>
    <col min="3" max="3" width="23.88671875" customWidth="1"/>
    <col min="4" max="4" width="3.44140625" customWidth="1"/>
    <col min="5" max="5" width="3.88671875" customWidth="1"/>
    <col min="6" max="6" width="24" customWidth="1"/>
    <col min="7" max="7" width="4.109375" customWidth="1"/>
    <col min="8" max="8" width="20.44140625" customWidth="1"/>
    <col min="9" max="9" width="5.109375" customWidth="1"/>
    <col min="10" max="12" width="3.5546875" customWidth="1"/>
    <col min="13" max="13" width="2.88671875" customWidth="1"/>
    <col min="14" max="14" width="5.5546875" customWidth="1"/>
    <col min="15" max="15" width="11.5546875" customWidth="1"/>
    <col min="16" max="16" width="11" customWidth="1"/>
    <col min="17" max="17" width="8.109375" customWidth="1"/>
    <col min="18" max="18" width="7.33203125" customWidth="1"/>
    <col min="19" max="19" width="6.6640625" customWidth="1"/>
    <col min="20" max="20" width="8.44140625" customWidth="1"/>
    <col min="21" max="21" width="14.21875" style="29" customWidth="1"/>
    <col min="22" max="22" width="13" style="29" bestFit="1" customWidth="1"/>
    <col min="23" max="23" width="9.109375" style="29" customWidth="1"/>
    <col min="24" max="24" width="22.44140625" style="29" customWidth="1"/>
    <col min="25" max="29" width="9.109375" style="29" customWidth="1"/>
    <col min="30" max="43" width="9.109375" customWidth="1"/>
    <col min="44" max="44" width="9.33203125" customWidth="1"/>
    <col min="45" max="45" width="23.109375" customWidth="1"/>
    <col min="46" max="46" width="5.33203125" customWidth="1"/>
    <col min="47" max="66" width="9.109375" customWidth="1"/>
  </cols>
  <sheetData>
    <row r="1" spans="1:64" ht="21" customHeight="1" x14ac:dyDescent="0.5">
      <c r="A1" s="771" t="s">
        <v>2487</v>
      </c>
      <c r="B1" s="755"/>
      <c r="C1" s="755"/>
      <c r="D1" s="755"/>
      <c r="E1" s="755"/>
      <c r="F1" s="755"/>
      <c r="G1" s="755"/>
      <c r="H1" s="755"/>
      <c r="I1" s="755" t="s">
        <v>47</v>
      </c>
      <c r="J1" s="758"/>
      <c r="N1" t="s">
        <v>232</v>
      </c>
      <c r="X1" s="42" t="s">
        <v>1552</v>
      </c>
      <c r="AS1" s="42" t="s">
        <v>2006</v>
      </c>
      <c r="AT1" s="29"/>
      <c r="AU1" s="29"/>
      <c r="AV1" s="29"/>
      <c r="AW1" s="29"/>
    </row>
    <row r="2" spans="1:64" ht="15" customHeight="1" x14ac:dyDescent="0.3">
      <c r="A2" s="795" t="s">
        <v>1200</v>
      </c>
      <c r="B2" s="371" t="s">
        <v>1194</v>
      </c>
      <c r="C2" s="371" t="s">
        <v>154</v>
      </c>
      <c r="D2" s="371" t="s">
        <v>3108</v>
      </c>
      <c r="E2" s="484" t="s">
        <v>278</v>
      </c>
      <c r="F2" s="1359" t="s">
        <v>3110</v>
      </c>
      <c r="G2" s="1359"/>
      <c r="H2" s="1359"/>
      <c r="I2" s="1359"/>
      <c r="J2" s="1360"/>
      <c r="L2" s="374" t="s">
        <v>279</v>
      </c>
      <c r="M2" s="482"/>
      <c r="W2" s="29" t="s">
        <v>255</v>
      </c>
      <c r="X2" s="29" t="s">
        <v>25</v>
      </c>
      <c r="Y2" s="29" t="s">
        <v>1464</v>
      </c>
      <c r="AS2" s="29" t="s">
        <v>25</v>
      </c>
      <c r="AT2" s="29" t="s">
        <v>1464</v>
      </c>
      <c r="AU2" s="29"/>
      <c r="AV2" s="29"/>
      <c r="AW2" s="29"/>
    </row>
    <row r="3" spans="1:64" ht="15" customHeight="1" x14ac:dyDescent="0.3">
      <c r="A3" s="796" t="str">
        <f>X7</f>
        <v>BM: Střeh</v>
      </c>
      <c r="B3" s="366"/>
      <c r="C3" s="367" t="str">
        <f>IFERROR(HLOOKUP(CONCATENATE("P",IFERROR(HLOOKUP('3-Schopnosti'!$S$38,'3-Schopnosti'!$R$38:$S$55,MATCH(B3,'3-Schopnosti'!$R$38:$R$55,0),FALSE),0)),$X$6:$AP$120,MATCH(A3,$X$6:$X$120,0),FALSE)," ")</f>
        <v>X</v>
      </c>
      <c r="D3" s="366">
        <f t="shared" ref="D3:D34" si="0">IFERROR(HLOOKUP($Y$6,$X$6:$AP$120,MATCH(A3,$X$6:$X$120,0),FALSE)," ")</f>
        <v>1</v>
      </c>
      <c r="E3" s="585" t="str">
        <f t="shared" ref="E3:E34" si="1">IFERROR(HLOOKUP($Z$6,$X$6:$AP$120,MATCH(A3,$X$6:$X$120,0),FALSE)," ")</f>
        <v>NE</v>
      </c>
      <c r="F3" s="370" t="s">
        <v>1200</v>
      </c>
      <c r="G3" s="371" t="s">
        <v>1194</v>
      </c>
      <c r="H3" s="371" t="s">
        <v>154</v>
      </c>
      <c r="I3" s="371" t="s">
        <v>3108</v>
      </c>
      <c r="J3" s="484" t="s">
        <v>278</v>
      </c>
      <c r="L3" s="483">
        <f>IF(E3="ANO",0,IFERROR(HLOOKUP('3-Schopnosti'!$S$38,'3-Schopnosti'!$R$38:$S$55,MATCH(B3,'3-Schopnosti'!$R$38:$R$55,0),FALSE),0))</f>
        <v>0</v>
      </c>
      <c r="M3" s="374" t="s">
        <v>541</v>
      </c>
      <c r="W3" s="424" t="str">
        <f>HLOOKUP(Povolání!$C$3,Povolání!$B$3:$Q$66,MATCH(X3,Povolání!$B$3:$B$66,0),FALSE)</f>
        <v>Kombinovaná</v>
      </c>
      <c r="X3" s="424" t="str">
        <f>LOOKUP('Tvorba postavy'!C5,U17:U80,V17:V80)</f>
        <v>Tulák</v>
      </c>
      <c r="Y3" s="424" t="s">
        <v>1564</v>
      </c>
      <c r="AR3" s="424" t="str">
        <f>HLOOKUP(Povolání!$C$3,Povolání!$B$3:$Q$66,MATCH(AS3,Povolání!$B$3:$B$66,0),FALSE)</f>
        <v xml:space="preserve"> -</v>
      </c>
      <c r="AS3" s="424" t="str">
        <f>IFERROR(LOOKUP(COPY_Povolani2,U17:U80,V17:V80)," ")</f>
        <v xml:space="preserve"> </v>
      </c>
      <c r="AT3" s="424" t="s">
        <v>1564</v>
      </c>
      <c r="AU3" s="29"/>
      <c r="AV3" s="29"/>
      <c r="AW3" s="29"/>
    </row>
    <row r="4" spans="1:64" ht="15" customHeight="1" x14ac:dyDescent="0.3">
      <c r="A4" s="796" t="str">
        <f t="shared" ref="A4:A40" si="2">X8</f>
        <v>BM: Cílený výpad</v>
      </c>
      <c r="B4" s="366"/>
      <c r="C4" s="367" t="str">
        <f>IFERROR(HLOOKUP(CONCATENATE("P",IFERROR(HLOOKUP('3-Schopnosti'!$S$38,'3-Schopnosti'!$R$38:$S$55,MATCH(B4,'3-Schopnosti'!$R$38:$R$55,0),FALSE),0)),$X$6:$AP$120,MATCH(A4,$X$6:$X$120,0),FALSE)," ")</f>
        <v>X</v>
      </c>
      <c r="D4" s="366">
        <f t="shared" si="0"/>
        <v>1</v>
      </c>
      <c r="E4" s="585" t="str">
        <f t="shared" si="1"/>
        <v>NE</v>
      </c>
      <c r="F4" s="365">
        <f>AS7</f>
        <v>0</v>
      </c>
      <c r="G4" s="366"/>
      <c r="H4" s="367" t="str">
        <f>IFERROR(HLOOKUP(CONCATENATE("P",IFERROR(HLOOKUP('3-Schopnosti'!$S$38,'3-Schopnosti'!$R$38:$S$55,MATCH(G4,'3-Schopnosti'!$R$38:$R$55,0),FALSE),0)),$AS$6:$BL$120,MATCH(F4,$AS$6:$AS$120,0),FALSE)," ")</f>
        <v xml:space="preserve"> </v>
      </c>
      <c r="I4" s="366" t="str">
        <f>IFERROR(HLOOKUP($AT$6,$AS$6:$BL$120,MATCH(F4,$AS$6:$AS$120,0),FALSE)," ")</f>
        <v xml:space="preserve"> </v>
      </c>
      <c r="J4" s="585" t="str">
        <f>IFERROR(HLOOKUP($AU$6,$AS$6:$BL$120,MATCH(F4,$AS$6:$AS$120,0),FALSE)," ")</f>
        <v xml:space="preserve"> </v>
      </c>
      <c r="L4" s="483">
        <f>IF(E4="ANO",0,IFERROR(HLOOKUP('3-Schopnosti'!$S$38,'3-Schopnosti'!$R$38:$S$55,MATCH(B4,'3-Schopnosti'!$R$38:$R$55,0),FALSE),0))</f>
        <v>0</v>
      </c>
      <c r="M4" s="483">
        <f>IF(J4="ANO",0,IFERROR(HLOOKUP('3-Schopnosti'!$S$38,'3-Schopnosti'!$R$38:$S$55,MATCH(G4,'3-Schopnosti'!$R$38:$R$55,0),FALSE),0))</f>
        <v>0</v>
      </c>
      <c r="W4"/>
      <c r="X4" s="424" t="str">
        <f>X3</f>
        <v>Tulák</v>
      </c>
      <c r="Y4" s="424" t="s">
        <v>1256</v>
      </c>
      <c r="AS4" s="424" t="str">
        <f>AS3</f>
        <v xml:space="preserve"> </v>
      </c>
      <c r="AT4" s="424" t="s">
        <v>1256</v>
      </c>
      <c r="AU4" s="29"/>
      <c r="AV4" s="29"/>
      <c r="AW4" s="29"/>
    </row>
    <row r="5" spans="1:64" ht="15" customHeight="1" x14ac:dyDescent="0.3">
      <c r="A5" s="796" t="str">
        <f t="shared" si="2"/>
        <v>BM: Kryt</v>
      </c>
      <c r="B5" s="366"/>
      <c r="C5" s="367" t="str">
        <f>IFERROR(HLOOKUP(CONCATENATE("P",IFERROR(HLOOKUP('3-Schopnosti'!$S$38,'3-Schopnosti'!$R$38:$S$55,MATCH(B5,'3-Schopnosti'!$R$38:$R$55,0),FALSE),0)),$X$6:$AP$120,MATCH(A5,$X$6:$X$120,0),FALSE)," ")</f>
        <v>X</v>
      </c>
      <c r="D5" s="366">
        <f t="shared" si="0"/>
        <v>1</v>
      </c>
      <c r="E5" s="585" t="str">
        <f t="shared" si="1"/>
        <v>NE</v>
      </c>
      <c r="F5" s="365">
        <f t="shared" ref="F5:F42" si="3">AS8</f>
        <v>0</v>
      </c>
      <c r="G5" s="366"/>
      <c r="H5" s="367" t="str">
        <f>IFERROR(HLOOKUP(CONCATENATE("P",IFERROR(HLOOKUP('3-Schopnosti'!$S$38,'3-Schopnosti'!$R$38:$S$55,MATCH(G5,'3-Schopnosti'!$R$38:$R$55,0),FALSE),0)),$AS$6:$BL$120,MATCH(F5,$AS$6:$AS$120,0),FALSE)," ")</f>
        <v xml:space="preserve"> </v>
      </c>
      <c r="I5" s="366" t="str">
        <f t="shared" ref="I5:I59" si="4">IFERROR(HLOOKUP($AT$6,$AS$6:$BL$120,MATCH(F5,$AS$6:$AS$120,0),FALSE)," ")</f>
        <v xml:space="preserve"> </v>
      </c>
      <c r="J5" s="585" t="str">
        <f t="shared" ref="J5:J59" si="5">IFERROR(HLOOKUP($AU$6,$AS$6:$BL$120,MATCH(F5,$AS$6:$AS$120,0),FALSE)," ")</f>
        <v xml:space="preserve"> </v>
      </c>
      <c r="L5" s="483">
        <f>IF(E5="ANO",0,IFERROR(HLOOKUP('3-Schopnosti'!$S$38,'3-Schopnosti'!$R$38:$S$55,MATCH(B5,'3-Schopnosti'!$R$38:$R$55,0),FALSE),0))</f>
        <v>0</v>
      </c>
      <c r="M5" s="483">
        <f>IF(J5="ANO",0,IFERROR(HLOOKUP('3-Schopnosti'!$S$38,'3-Schopnosti'!$R$38:$S$55,MATCH(G5,'3-Schopnosti'!$R$38:$R$55,0),FALSE),0))</f>
        <v>0</v>
      </c>
      <c r="AR5" s="29"/>
      <c r="AS5" s="29"/>
      <c r="AT5" s="29"/>
      <c r="AU5" s="29"/>
      <c r="AV5" s="29"/>
      <c r="AW5" s="29"/>
    </row>
    <row r="6" spans="1:64" ht="15" customHeight="1" x14ac:dyDescent="0.3">
      <c r="A6" s="796" t="str">
        <f t="shared" si="2"/>
        <v>Čerpání z lesů</v>
      </c>
      <c r="B6" s="366"/>
      <c r="C6" s="367" t="str">
        <f>IFERROR(HLOOKUP(CONCATENATE("P",IFERROR(HLOOKUP('3-Schopnosti'!$S$38,'3-Schopnosti'!$R$38:$S$55,MATCH(B6,'3-Schopnosti'!$R$38:$R$55,0),FALSE),0)),$X$6:$AP$120,MATCH(A6,$X$6:$X$120,0),FALSE)," ")</f>
        <v>X</v>
      </c>
      <c r="D6" s="366">
        <f t="shared" si="0"/>
        <v>1</v>
      </c>
      <c r="E6" s="585" t="str">
        <f t="shared" si="1"/>
        <v>NE</v>
      </c>
      <c r="F6" s="365">
        <f t="shared" si="3"/>
        <v>0</v>
      </c>
      <c r="G6" s="366"/>
      <c r="H6" s="367" t="str">
        <f>IFERROR(HLOOKUP(CONCATENATE("P",IFERROR(HLOOKUP('3-Schopnosti'!$S$38,'3-Schopnosti'!$R$38:$S$55,MATCH(G6,'3-Schopnosti'!$R$38:$R$55,0),FALSE),0)),$AS$6:$BL$120,MATCH(F6,$AS$6:$AS$120,0),FALSE)," ")</f>
        <v xml:space="preserve"> </v>
      </c>
      <c r="I6" s="366" t="str">
        <f t="shared" si="4"/>
        <v xml:space="preserve"> </v>
      </c>
      <c r="J6" s="585" t="str">
        <f t="shared" si="5"/>
        <v xml:space="preserve"> </v>
      </c>
      <c r="L6" s="483">
        <f>IF(E6="ANO",0,IFERROR(HLOOKUP('3-Schopnosti'!$S$38,'3-Schopnosti'!$R$38:$S$55,MATCH(B6,'3-Schopnosti'!$R$38:$R$55,0),FALSE),0))</f>
        <v>0</v>
      </c>
      <c r="M6" s="483">
        <f>IF(J6="ANO",0,IFERROR(HLOOKUP('3-Schopnosti'!$S$38,'3-Schopnosti'!$R$38:$S$55,MATCH(G6,'3-Schopnosti'!$R$38:$R$55,0),FALSE),0))</f>
        <v>0</v>
      </c>
      <c r="X6" s="425" t="s">
        <v>727</v>
      </c>
      <c r="Y6" s="425" t="s">
        <v>3108</v>
      </c>
      <c r="Z6" s="425" t="s">
        <v>1464</v>
      </c>
      <c r="AA6" s="425" t="s">
        <v>25</v>
      </c>
      <c r="AB6" s="425" t="s">
        <v>1558</v>
      </c>
      <c r="AC6" s="425" t="s">
        <v>1491</v>
      </c>
      <c r="AD6" s="425" t="s">
        <v>1492</v>
      </c>
      <c r="AE6" s="425" t="s">
        <v>1493</v>
      </c>
      <c r="AF6" s="425" t="s">
        <v>1494</v>
      </c>
      <c r="AG6" s="425" t="s">
        <v>1495</v>
      </c>
      <c r="AH6" s="425" t="s">
        <v>1496</v>
      </c>
      <c r="AI6" s="425" t="s">
        <v>1497</v>
      </c>
      <c r="AJ6" s="425" t="s">
        <v>1498</v>
      </c>
      <c r="AK6" s="425" t="s">
        <v>1499</v>
      </c>
      <c r="AL6" s="425" t="s">
        <v>1500</v>
      </c>
      <c r="AM6" s="425" t="s">
        <v>1501</v>
      </c>
      <c r="AN6" s="425" t="s">
        <v>1502</v>
      </c>
      <c r="AO6" s="425" t="s">
        <v>1554</v>
      </c>
      <c r="AP6" s="425" t="s">
        <v>1555</v>
      </c>
      <c r="AQ6" s="425" t="s">
        <v>1556</v>
      </c>
      <c r="AS6" s="425" t="s">
        <v>727</v>
      </c>
      <c r="AT6" s="425" t="s">
        <v>3108</v>
      </c>
      <c r="AU6" s="425" t="s">
        <v>1464</v>
      </c>
      <c r="AV6" s="425" t="s">
        <v>25</v>
      </c>
      <c r="AW6" s="425" t="s">
        <v>1558</v>
      </c>
      <c r="AX6" s="425" t="s">
        <v>1491</v>
      </c>
      <c r="AY6" s="425" t="s">
        <v>1492</v>
      </c>
      <c r="AZ6" s="425" t="s">
        <v>1493</v>
      </c>
      <c r="BA6" s="425" t="s">
        <v>1494</v>
      </c>
      <c r="BB6" s="425" t="s">
        <v>1495</v>
      </c>
      <c r="BC6" s="425" t="s">
        <v>1496</v>
      </c>
      <c r="BD6" s="425" t="s">
        <v>1497</v>
      </c>
      <c r="BE6" s="425" t="s">
        <v>1498</v>
      </c>
      <c r="BF6" s="425" t="s">
        <v>1499</v>
      </c>
      <c r="BG6" s="425" t="s">
        <v>1500</v>
      </c>
      <c r="BH6" s="425" t="s">
        <v>1501</v>
      </c>
      <c r="BI6" s="425" t="s">
        <v>1502</v>
      </c>
      <c r="BJ6" s="425" t="s">
        <v>1554</v>
      </c>
      <c r="BK6" s="425" t="s">
        <v>1555</v>
      </c>
      <c r="BL6" s="425" t="s">
        <v>1556</v>
      </c>
    </row>
    <row r="7" spans="1:64" ht="15" customHeight="1" x14ac:dyDescent="0.3">
      <c r="A7" s="796" t="str">
        <f t="shared" si="2"/>
        <v>Čerpání z rostlin</v>
      </c>
      <c r="B7" s="366"/>
      <c r="C7" s="367" t="str">
        <f>IFERROR(HLOOKUP(CONCATENATE("P",IFERROR(HLOOKUP('3-Schopnosti'!$S$38,'3-Schopnosti'!$R$38:$S$55,MATCH(B7,'3-Schopnosti'!$R$38:$R$55,0),FALSE),0)),$X$6:$AP$120,MATCH(A7,$X$6:$X$120,0),FALSE)," ")</f>
        <v>X</v>
      </c>
      <c r="D7" s="366">
        <f t="shared" si="0"/>
        <v>1</v>
      </c>
      <c r="E7" s="585" t="str">
        <f t="shared" si="1"/>
        <v>NE</v>
      </c>
      <c r="F7" s="365">
        <f t="shared" si="3"/>
        <v>0</v>
      </c>
      <c r="G7" s="366"/>
      <c r="H7" s="367" t="str">
        <f>IFERROR(HLOOKUP(CONCATENATE("P",IFERROR(HLOOKUP('3-Schopnosti'!$S$38,'3-Schopnosti'!$R$38:$S$55,MATCH(G7,'3-Schopnosti'!$R$38:$R$55,0),FALSE),0)),$AS$6:$BL$120,MATCH(F7,$AS$6:$AS$120,0),FALSE)," ")</f>
        <v xml:space="preserve"> </v>
      </c>
      <c r="I7" s="366" t="str">
        <f t="shared" si="4"/>
        <v xml:space="preserve"> </v>
      </c>
      <c r="J7" s="585" t="str">
        <f t="shared" si="5"/>
        <v xml:space="preserve"> </v>
      </c>
      <c r="L7" s="483">
        <f>IF(E7="ANO",0,IFERROR(HLOOKUP('3-Schopnosti'!$S$38,'3-Schopnosti'!$R$38:$S$55,MATCH(B7,'3-Schopnosti'!$R$38:$R$55,0),FALSE),0))</f>
        <v>0</v>
      </c>
      <c r="M7" s="483">
        <f>IF(J7="ANO",0,IFERROR(HLOOKUP('3-Schopnosti'!$S$38,'3-Schopnosti'!$R$38:$S$55,MATCH(G7,'3-Schopnosti'!$R$38:$R$55,0),FALSE),0))</f>
        <v>0</v>
      </c>
      <c r="X7" s="583" t="s">
        <v>5555</v>
      </c>
      <c r="Y7" s="591">
        <v>1</v>
      </c>
      <c r="Z7" s="588" t="s">
        <v>1256</v>
      </c>
      <c r="AA7" s="588" t="s">
        <v>1510</v>
      </c>
      <c r="AB7" s="589" t="s">
        <v>410</v>
      </c>
      <c r="AC7" s="590" t="s">
        <v>2130</v>
      </c>
      <c r="AD7" s="441" t="s">
        <v>410</v>
      </c>
      <c r="AE7" s="441" t="s">
        <v>410</v>
      </c>
      <c r="AF7" s="441" t="s">
        <v>410</v>
      </c>
      <c r="AG7" s="441" t="s">
        <v>410</v>
      </c>
      <c r="AH7" s="441" t="s">
        <v>410</v>
      </c>
      <c r="AI7" s="441" t="s">
        <v>410</v>
      </c>
      <c r="AJ7" s="441" t="s">
        <v>410</v>
      </c>
      <c r="AK7" s="441" t="s">
        <v>410</v>
      </c>
      <c r="AL7" s="441" t="s">
        <v>410</v>
      </c>
      <c r="AM7" s="441" t="s">
        <v>410</v>
      </c>
      <c r="AN7" s="441" t="s">
        <v>410</v>
      </c>
      <c r="AO7" s="441" t="s">
        <v>410</v>
      </c>
      <c r="AP7" s="441" t="s">
        <v>410</v>
      </c>
      <c r="AQ7" s="441" t="s">
        <v>410</v>
      </c>
      <c r="AS7" s="583"/>
      <c r="AT7" s="591"/>
      <c r="AU7" s="588"/>
      <c r="AV7" s="588"/>
      <c r="AW7" s="589"/>
      <c r="AX7" s="590"/>
      <c r="AY7" s="590"/>
      <c r="AZ7" s="590"/>
      <c r="BA7" s="590"/>
      <c r="BB7" s="590"/>
      <c r="BC7" s="590"/>
      <c r="BD7" s="441"/>
      <c r="BE7" s="441"/>
      <c r="BF7" s="441"/>
      <c r="BG7" s="441"/>
      <c r="BH7" s="441"/>
      <c r="BI7" s="441"/>
      <c r="BJ7" s="441"/>
      <c r="BK7" s="441"/>
      <c r="BL7" s="441"/>
    </row>
    <row r="8" spans="1:64" ht="15" customHeight="1" x14ac:dyDescent="0.3">
      <c r="A8" s="796" t="str">
        <f t="shared" si="2"/>
        <v>Čerpání z talismanu</v>
      </c>
      <c r="B8" s="366"/>
      <c r="C8" s="367" t="str">
        <f>IFERROR(HLOOKUP(CONCATENATE("P",IFERROR(HLOOKUP('3-Schopnosti'!$S$38,'3-Schopnosti'!$R$38:$S$55,MATCH(B8,'3-Schopnosti'!$R$38:$R$55,0),FALSE),0)),$X$6:$AP$120,MATCH(A8,$X$6:$X$120,0),FALSE)," ")</f>
        <v>X</v>
      </c>
      <c r="D8" s="366">
        <f t="shared" si="0"/>
        <v>1</v>
      </c>
      <c r="E8" s="585" t="str">
        <f t="shared" si="1"/>
        <v>NE</v>
      </c>
      <c r="F8" s="365">
        <f t="shared" si="3"/>
        <v>0</v>
      </c>
      <c r="G8" s="366"/>
      <c r="H8" s="367" t="str">
        <f>IFERROR(HLOOKUP(CONCATENATE("P",IFERROR(HLOOKUP('3-Schopnosti'!$S$38,'3-Schopnosti'!$R$38:$S$55,MATCH(G8,'3-Schopnosti'!$R$38:$R$55,0),FALSE),0)),$AS$6:$BL$120,MATCH(F8,$AS$6:$AS$120,0),FALSE)," ")</f>
        <v xml:space="preserve"> </v>
      </c>
      <c r="I8" s="366" t="str">
        <f t="shared" si="4"/>
        <v xml:space="preserve"> </v>
      </c>
      <c r="J8" s="585" t="str">
        <f t="shared" si="5"/>
        <v xml:space="preserve"> </v>
      </c>
      <c r="L8" s="483">
        <f>IF(E8="ANO",0,IFERROR(HLOOKUP('3-Schopnosti'!$S$38,'3-Schopnosti'!$R$38:$S$55,MATCH(B8,'3-Schopnosti'!$R$38:$R$55,0),FALSE),0))</f>
        <v>0</v>
      </c>
      <c r="M8" s="483">
        <f>IF(J8="ANO",0,IFERROR(HLOOKUP('3-Schopnosti'!$S$38,'3-Schopnosti'!$R$38:$S$55,MATCH(G8,'3-Schopnosti'!$R$38:$R$55,0),FALSE),0))</f>
        <v>0</v>
      </c>
      <c r="X8" s="583" t="s">
        <v>5556</v>
      </c>
      <c r="Y8" s="591">
        <v>1</v>
      </c>
      <c r="Z8" s="588" t="s">
        <v>1256</v>
      </c>
      <c r="AA8" s="588" t="s">
        <v>1510</v>
      </c>
      <c r="AB8" s="589" t="s">
        <v>410</v>
      </c>
      <c r="AC8" s="590" t="s">
        <v>2134</v>
      </c>
      <c r="AD8" s="590" t="s">
        <v>2135</v>
      </c>
      <c r="AE8" s="590" t="s">
        <v>2136</v>
      </c>
      <c r="AF8" s="590" t="s">
        <v>2137</v>
      </c>
      <c r="AG8" s="441" t="s">
        <v>410</v>
      </c>
      <c r="AH8" s="441" t="s">
        <v>410</v>
      </c>
      <c r="AI8" s="441" t="s">
        <v>410</v>
      </c>
      <c r="AJ8" s="441" t="s">
        <v>410</v>
      </c>
      <c r="AK8" s="441" t="s">
        <v>410</v>
      </c>
      <c r="AL8" s="441" t="s">
        <v>410</v>
      </c>
      <c r="AM8" s="441" t="s">
        <v>410</v>
      </c>
      <c r="AN8" s="441" t="s">
        <v>410</v>
      </c>
      <c r="AO8" s="441" t="s">
        <v>410</v>
      </c>
      <c r="AP8" s="441" t="s">
        <v>410</v>
      </c>
      <c r="AQ8" s="441" t="s">
        <v>410</v>
      </c>
      <c r="AS8" s="583"/>
      <c r="AT8" s="591"/>
      <c r="AU8" s="588"/>
      <c r="AV8" s="588"/>
      <c r="AW8" s="589"/>
      <c r="AX8" s="590"/>
      <c r="AY8" s="590"/>
      <c r="AZ8" s="590"/>
      <c r="BA8" s="590"/>
      <c r="BB8" s="590"/>
      <c r="BC8" s="590"/>
      <c r="BD8" s="590"/>
      <c r="BE8" s="590"/>
      <c r="BF8" s="590"/>
      <c r="BG8" s="590"/>
      <c r="BH8" s="441"/>
      <c r="BI8" s="441"/>
      <c r="BJ8" s="441"/>
      <c r="BK8" s="441"/>
      <c r="BL8" s="441"/>
    </row>
    <row r="9" spans="1:64" ht="15" customHeight="1" x14ac:dyDescent="0.3">
      <c r="A9" s="796" t="str">
        <f t="shared" si="2"/>
        <v>Čerpání z živočichů</v>
      </c>
      <c r="B9" s="366"/>
      <c r="C9" s="367" t="str">
        <f>IFERROR(HLOOKUP(CONCATENATE("P",IFERROR(HLOOKUP('3-Schopnosti'!$S$38,'3-Schopnosti'!$R$38:$S$55,MATCH(B9,'3-Schopnosti'!$R$38:$R$55,0),FALSE),0)),$X$6:$AP$120,MATCH(A9,$X$6:$X$120,0),FALSE)," ")</f>
        <v>X</v>
      </c>
      <c r="D9" s="366">
        <f t="shared" si="0"/>
        <v>1</v>
      </c>
      <c r="E9" s="585" t="str">
        <f t="shared" si="1"/>
        <v>NE</v>
      </c>
      <c r="F9" s="365">
        <f t="shared" si="3"/>
        <v>0</v>
      </c>
      <c r="G9" s="366"/>
      <c r="H9" s="367" t="str">
        <f>IFERROR(HLOOKUP(CONCATENATE("P",IFERROR(HLOOKUP('3-Schopnosti'!$S$38,'3-Schopnosti'!$R$38:$S$55,MATCH(G9,'3-Schopnosti'!$R$38:$R$55,0),FALSE),0)),$AS$6:$BL$120,MATCH(F9,$AS$6:$AS$120,0),FALSE)," ")</f>
        <v xml:space="preserve"> </v>
      </c>
      <c r="I9" s="366" t="str">
        <f t="shared" si="4"/>
        <v xml:space="preserve"> </v>
      </c>
      <c r="J9" s="585" t="str">
        <f t="shared" si="5"/>
        <v xml:space="preserve"> </v>
      </c>
      <c r="L9" s="483">
        <f>IF(E9="ANO",0,IFERROR(HLOOKUP('3-Schopnosti'!$S$38,'3-Schopnosti'!$R$38:$S$55,MATCH(B9,'3-Schopnosti'!$R$38:$R$55,0),FALSE),0))</f>
        <v>0</v>
      </c>
      <c r="M9" s="483">
        <f>IF(J9="ANO",0,IFERROR(HLOOKUP('3-Schopnosti'!$S$38,'3-Schopnosti'!$R$38:$S$55,MATCH(G9,'3-Schopnosti'!$R$38:$R$55,0),FALSE),0))</f>
        <v>0</v>
      </c>
      <c r="X9" s="583" t="s">
        <v>5554</v>
      </c>
      <c r="Y9" s="591">
        <v>1</v>
      </c>
      <c r="Z9" s="588" t="s">
        <v>1256</v>
      </c>
      <c r="AA9" s="588" t="s">
        <v>1510</v>
      </c>
      <c r="AB9" s="589" t="s">
        <v>410</v>
      </c>
      <c r="AC9" s="590" t="s">
        <v>2125</v>
      </c>
      <c r="AD9" s="590" t="s">
        <v>2126</v>
      </c>
      <c r="AE9" s="590" t="s">
        <v>2127</v>
      </c>
      <c r="AF9" s="590" t="s">
        <v>2128</v>
      </c>
      <c r="AG9" s="590" t="s">
        <v>2129</v>
      </c>
      <c r="AH9" s="441" t="s">
        <v>410</v>
      </c>
      <c r="AI9" s="441" t="s">
        <v>410</v>
      </c>
      <c r="AJ9" s="441" t="s">
        <v>410</v>
      </c>
      <c r="AK9" s="441" t="s">
        <v>410</v>
      </c>
      <c r="AL9" s="441" t="s">
        <v>410</v>
      </c>
      <c r="AM9" s="441" t="s">
        <v>410</v>
      </c>
      <c r="AN9" s="441" t="s">
        <v>410</v>
      </c>
      <c r="AO9" s="441" t="s">
        <v>410</v>
      </c>
      <c r="AP9" s="441" t="s">
        <v>410</v>
      </c>
      <c r="AQ9" s="441" t="s">
        <v>410</v>
      </c>
      <c r="AS9" s="583"/>
      <c r="AT9" s="591"/>
      <c r="AU9" s="583"/>
      <c r="AV9" s="583"/>
      <c r="AW9" s="592"/>
      <c r="AX9" s="593"/>
      <c r="AY9" s="593"/>
      <c r="AZ9" s="593"/>
      <c r="BA9" s="593"/>
      <c r="BB9" s="593"/>
      <c r="BC9" s="593"/>
      <c r="BD9" s="237"/>
      <c r="BE9" s="237"/>
      <c r="BF9" s="237"/>
      <c r="BG9" s="237"/>
      <c r="BH9" s="237"/>
      <c r="BI9" s="237"/>
      <c r="BJ9" s="237"/>
      <c r="BK9" s="10"/>
      <c r="BL9" s="10"/>
    </row>
    <row r="10" spans="1:64" ht="15" customHeight="1" x14ac:dyDescent="0.3">
      <c r="A10" s="796" t="str">
        <f t="shared" si="2"/>
        <v>Extrakce přírodních jedů</v>
      </c>
      <c r="B10" s="366"/>
      <c r="C10" s="367" t="str">
        <f>IFERROR(HLOOKUP(CONCATENATE("P",IFERROR(HLOOKUP('3-Schopnosti'!$S$38,'3-Schopnosti'!$R$38:$S$55,MATCH(B10,'3-Schopnosti'!$R$38:$R$55,0),FALSE),0)),$X$6:$AP$120,MATCH(A10,$X$6:$X$120,0),FALSE)," ")</f>
        <v>X</v>
      </c>
      <c r="D10" s="366">
        <f t="shared" si="0"/>
        <v>1</v>
      </c>
      <c r="E10" s="585" t="str">
        <f t="shared" si="1"/>
        <v>NE</v>
      </c>
      <c r="F10" s="365">
        <f t="shared" si="3"/>
        <v>0</v>
      </c>
      <c r="G10" s="366"/>
      <c r="H10" s="367" t="str">
        <f>IFERROR(HLOOKUP(CONCATENATE("P",IFERROR(HLOOKUP('3-Schopnosti'!$S$38,'3-Schopnosti'!$R$38:$S$55,MATCH(G10,'3-Schopnosti'!$R$38:$R$55,0),FALSE),0)),$AS$6:$BL$120,MATCH(F10,$AS$6:$AS$120,0),FALSE)," ")</f>
        <v xml:space="preserve"> </v>
      </c>
      <c r="I10" s="366" t="str">
        <f t="shared" si="4"/>
        <v xml:space="preserve"> </v>
      </c>
      <c r="J10" s="585" t="str">
        <f t="shared" si="5"/>
        <v xml:space="preserve"> </v>
      </c>
      <c r="L10" s="483">
        <f>IF(E10="ANO",0,IFERROR(HLOOKUP('3-Schopnosti'!$S$38,'3-Schopnosti'!$R$38:$S$55,MATCH(B10,'3-Schopnosti'!$R$38:$R$55,0),FALSE),0))</f>
        <v>0</v>
      </c>
      <c r="M10" s="483">
        <f>IF(J10="ANO",0,IFERROR(HLOOKUP('3-Schopnosti'!$S$38,'3-Schopnosti'!$R$38:$S$55,MATCH(G10,'3-Schopnosti'!$R$38:$R$55,0),FALSE),0))</f>
        <v>0</v>
      </c>
      <c r="X10" s="583" t="s">
        <v>1566</v>
      </c>
      <c r="Y10" s="591">
        <v>1</v>
      </c>
      <c r="Z10" s="588" t="s">
        <v>1256</v>
      </c>
      <c r="AA10" s="588" t="s">
        <v>1510</v>
      </c>
      <c r="AB10" s="589" t="s">
        <v>410</v>
      </c>
      <c r="AC10" s="594" t="s">
        <v>5660</v>
      </c>
      <c r="AD10" s="594" t="s">
        <v>1539</v>
      </c>
      <c r="AE10" s="594" t="s">
        <v>1640</v>
      </c>
      <c r="AF10" s="594" t="s">
        <v>1640</v>
      </c>
      <c r="AG10" s="594" t="s">
        <v>1541</v>
      </c>
      <c r="AH10" s="594" t="s">
        <v>1542</v>
      </c>
      <c r="AI10" s="594" t="s">
        <v>1543</v>
      </c>
      <c r="AJ10" s="594" t="s">
        <v>1544</v>
      </c>
      <c r="AK10" s="594" t="s">
        <v>1545</v>
      </c>
      <c r="AL10" s="594" t="s">
        <v>1549</v>
      </c>
      <c r="AM10" s="441" t="s">
        <v>410</v>
      </c>
      <c r="AN10" s="441" t="s">
        <v>410</v>
      </c>
      <c r="AO10" s="441" t="s">
        <v>410</v>
      </c>
      <c r="AP10" s="441" t="s">
        <v>410</v>
      </c>
      <c r="AQ10" s="441" t="s">
        <v>410</v>
      </c>
      <c r="AS10" s="583"/>
      <c r="AT10" s="591"/>
      <c r="AU10" s="583"/>
      <c r="AV10" s="583"/>
      <c r="AW10" s="593"/>
      <c r="AX10" s="593"/>
      <c r="AY10" s="593"/>
      <c r="AZ10" s="593"/>
      <c r="BA10" s="593"/>
      <c r="BB10" s="593"/>
      <c r="BC10" s="237"/>
      <c r="BD10" s="237"/>
      <c r="BE10" s="237"/>
      <c r="BF10" s="237"/>
      <c r="BG10" s="237"/>
      <c r="BH10" s="237"/>
      <c r="BI10" s="237"/>
      <c r="BJ10" s="237"/>
      <c r="BK10" s="10"/>
      <c r="BL10" s="10"/>
    </row>
    <row r="11" spans="1:64" ht="15" customHeight="1" x14ac:dyDescent="0.3">
      <c r="A11" s="796" t="str">
        <f t="shared" si="2"/>
        <v>Léčitelství</v>
      </c>
      <c r="B11" s="366"/>
      <c r="C11" s="367" t="str">
        <f>IFERROR(HLOOKUP(CONCATENATE("P",IFERROR(HLOOKUP('3-Schopnosti'!$S$38,'3-Schopnosti'!$R$38:$S$55,MATCH(B11,'3-Schopnosti'!$R$38:$R$55,0),FALSE),0)),$X$6:$AP$120,MATCH(A11,$X$6:$X$120,0),FALSE)," ")</f>
        <v>X</v>
      </c>
      <c r="D11" s="366">
        <f t="shared" si="0"/>
        <v>1</v>
      </c>
      <c r="E11" s="585" t="str">
        <f t="shared" si="1"/>
        <v>NE</v>
      </c>
      <c r="F11" s="365">
        <f t="shared" si="3"/>
        <v>0</v>
      </c>
      <c r="G11" s="366"/>
      <c r="H11" s="367" t="str">
        <f>IFERROR(HLOOKUP(CONCATENATE("P",IFERROR(HLOOKUP('3-Schopnosti'!$S$38,'3-Schopnosti'!$R$38:$S$55,MATCH(G11,'3-Schopnosti'!$R$38:$R$55,0),FALSE),0)),$AS$6:$BL$120,MATCH(F11,$AS$6:$AS$120,0),FALSE)," ")</f>
        <v xml:space="preserve"> </v>
      </c>
      <c r="I11" s="366" t="str">
        <f t="shared" si="4"/>
        <v xml:space="preserve"> </v>
      </c>
      <c r="J11" s="585" t="str">
        <f t="shared" si="5"/>
        <v xml:space="preserve"> </v>
      </c>
      <c r="L11" s="483">
        <f>IF(E11="ANO",0,IFERROR(HLOOKUP('3-Schopnosti'!$S$38,'3-Schopnosti'!$R$38:$S$55,MATCH(B11,'3-Schopnosti'!$R$38:$R$55,0),FALSE),0))</f>
        <v>0</v>
      </c>
      <c r="M11" s="483">
        <f>IF(J11="ANO",0,IFERROR(HLOOKUP('3-Schopnosti'!$S$38,'3-Schopnosti'!$R$38:$S$55,MATCH(G11,'3-Schopnosti'!$R$38:$R$55,0),FALSE),0))</f>
        <v>0</v>
      </c>
      <c r="X11" s="583" t="s">
        <v>1572</v>
      </c>
      <c r="Y11" s="591">
        <v>1</v>
      </c>
      <c r="Z11" s="588" t="s">
        <v>1256</v>
      </c>
      <c r="AA11" s="588" t="s">
        <v>1510</v>
      </c>
      <c r="AB11" s="589" t="s">
        <v>410</v>
      </c>
      <c r="AC11" s="594" t="s">
        <v>5660</v>
      </c>
      <c r="AD11" s="594" t="s">
        <v>1539</v>
      </c>
      <c r="AE11" s="594" t="s">
        <v>1640</v>
      </c>
      <c r="AF11" s="594" t="s">
        <v>1640</v>
      </c>
      <c r="AG11" s="594" t="s">
        <v>1541</v>
      </c>
      <c r="AH11" s="594" t="s">
        <v>1542</v>
      </c>
      <c r="AI11" s="594" t="s">
        <v>1543</v>
      </c>
      <c r="AJ11" s="594" t="s">
        <v>1544</v>
      </c>
      <c r="AK11" s="594" t="s">
        <v>1545</v>
      </c>
      <c r="AL11" s="594" t="s">
        <v>1549</v>
      </c>
      <c r="AM11" s="441" t="s">
        <v>410</v>
      </c>
      <c r="AN11" s="441" t="s">
        <v>410</v>
      </c>
      <c r="AO11" s="441" t="s">
        <v>410</v>
      </c>
      <c r="AP11" s="441" t="s">
        <v>410</v>
      </c>
      <c r="AQ11" s="441" t="s">
        <v>410</v>
      </c>
      <c r="AS11" s="583"/>
      <c r="AT11" s="591"/>
      <c r="AU11" s="583"/>
      <c r="AV11" s="583"/>
      <c r="AW11" s="592"/>
      <c r="AX11" s="592"/>
      <c r="AY11" s="593"/>
      <c r="AZ11" s="593"/>
      <c r="BA11" s="593"/>
      <c r="BB11" s="237"/>
      <c r="BC11" s="237"/>
      <c r="BD11" s="237"/>
      <c r="BE11" s="237"/>
      <c r="BF11" s="237"/>
      <c r="BG11" s="237"/>
      <c r="BH11" s="237"/>
      <c r="BI11" s="237"/>
      <c r="BJ11" s="237"/>
      <c r="BK11" s="10"/>
      <c r="BL11" s="10"/>
    </row>
    <row r="12" spans="1:64" ht="15" customHeight="1" x14ac:dyDescent="0.3">
      <c r="A12" s="796" t="str">
        <f t="shared" si="2"/>
        <v>Magická znalost</v>
      </c>
      <c r="B12" s="366"/>
      <c r="C12" s="367" t="str">
        <f>IFERROR(HLOOKUP(CONCATENATE("P",IFERROR(HLOOKUP('3-Schopnosti'!$S$38,'3-Schopnosti'!$R$38:$S$55,MATCH(B12,'3-Schopnosti'!$R$38:$R$55,0),FALSE),0)),$X$6:$AP$120,MATCH(A12,$X$6:$X$120,0),FALSE)," ")</f>
        <v>X</v>
      </c>
      <c r="D12" s="366">
        <f t="shared" si="0"/>
        <v>1</v>
      </c>
      <c r="E12" s="585" t="str">
        <f t="shared" si="1"/>
        <v>NE</v>
      </c>
      <c r="F12" s="365">
        <f t="shared" si="3"/>
        <v>0</v>
      </c>
      <c r="G12" s="366"/>
      <c r="H12" s="367" t="str">
        <f>IFERROR(HLOOKUP(CONCATENATE("P",IFERROR(HLOOKUP('3-Schopnosti'!$S$38,'3-Schopnosti'!$R$38:$S$55,MATCH(G12,'3-Schopnosti'!$R$38:$R$55,0),FALSE),0)),$AS$6:$BL$120,MATCH(F12,$AS$6:$AS$120,0),FALSE)," ")</f>
        <v xml:space="preserve"> </v>
      </c>
      <c r="I12" s="366" t="str">
        <f t="shared" si="4"/>
        <v xml:space="preserve"> </v>
      </c>
      <c r="J12" s="585" t="str">
        <f t="shared" si="5"/>
        <v xml:space="preserve"> </v>
      </c>
      <c r="L12" s="483">
        <f>IF(E12="ANO",0,IFERROR(HLOOKUP('3-Schopnosti'!$S$38,'3-Schopnosti'!$R$38:$S$55,MATCH(B12,'3-Schopnosti'!$R$38:$R$55,0),FALSE),0))</f>
        <v>0</v>
      </c>
      <c r="M12" s="483">
        <f>IF(J12="ANO",0,IFERROR(HLOOKUP('3-Schopnosti'!$S$38,'3-Schopnosti'!$R$38:$S$55,MATCH(G12,'3-Schopnosti'!$R$38:$R$55,0),FALSE),0))</f>
        <v>0</v>
      </c>
      <c r="X12" s="583" t="s">
        <v>3029</v>
      </c>
      <c r="Y12" s="591">
        <v>1</v>
      </c>
      <c r="Z12" s="588" t="s">
        <v>1256</v>
      </c>
      <c r="AA12" s="588" t="s">
        <v>1510</v>
      </c>
      <c r="AB12" s="589" t="s">
        <v>410</v>
      </c>
      <c r="AC12" s="594" t="s">
        <v>5660</v>
      </c>
      <c r="AD12" s="594" t="s">
        <v>1539</v>
      </c>
      <c r="AE12" s="594" t="s">
        <v>1640</v>
      </c>
      <c r="AF12" s="594" t="s">
        <v>1640</v>
      </c>
      <c r="AG12" s="594" t="s">
        <v>1541</v>
      </c>
      <c r="AH12" s="594" t="s">
        <v>1542</v>
      </c>
      <c r="AI12" s="594" t="s">
        <v>1543</v>
      </c>
      <c r="AJ12" s="594" t="s">
        <v>1544</v>
      </c>
      <c r="AK12" s="594" t="s">
        <v>1545</v>
      </c>
      <c r="AL12" s="594" t="s">
        <v>1549</v>
      </c>
      <c r="AM12" s="441" t="s">
        <v>410</v>
      </c>
      <c r="AN12" s="441" t="s">
        <v>410</v>
      </c>
      <c r="AO12" s="441" t="s">
        <v>410</v>
      </c>
      <c r="AP12" s="441" t="s">
        <v>410</v>
      </c>
      <c r="AQ12" s="441" t="s">
        <v>410</v>
      </c>
      <c r="AS12" s="583"/>
      <c r="AT12" s="591"/>
      <c r="AU12" s="583"/>
      <c r="AV12" s="583"/>
      <c r="AW12" s="592"/>
      <c r="AX12" s="593"/>
      <c r="AY12" s="593"/>
      <c r="AZ12" s="593"/>
      <c r="BA12" s="593"/>
      <c r="BB12" s="237"/>
      <c r="BC12" s="237"/>
      <c r="BD12" s="237"/>
      <c r="BE12" s="237"/>
      <c r="BF12" s="237"/>
      <c r="BG12" s="237"/>
      <c r="BH12" s="237"/>
      <c r="BI12" s="237"/>
      <c r="BJ12" s="237"/>
      <c r="BK12" s="10"/>
      <c r="BL12" s="10"/>
    </row>
    <row r="13" spans="1:64" ht="15" customHeight="1" x14ac:dyDescent="0.3">
      <c r="A13" s="796" t="str">
        <f t="shared" si="2"/>
        <v>Povely</v>
      </c>
      <c r="B13" s="366"/>
      <c r="C13" s="367" t="str">
        <f>IFERROR(HLOOKUP(CONCATENATE("P",IFERROR(HLOOKUP('3-Schopnosti'!$S$38,'3-Schopnosti'!$R$38:$S$55,MATCH(B13,'3-Schopnosti'!$R$38:$R$55,0),FALSE),0)),$X$6:$AP$120,MATCH(A13,$X$6:$X$120,0),FALSE)," ")</f>
        <v>Hodný!</v>
      </c>
      <c r="D13" s="366">
        <f t="shared" si="0"/>
        <v>1</v>
      </c>
      <c r="E13" s="585" t="str">
        <f t="shared" si="1"/>
        <v>NE</v>
      </c>
      <c r="F13" s="365">
        <f t="shared" si="3"/>
        <v>0</v>
      </c>
      <c r="G13" s="366"/>
      <c r="H13" s="367" t="str">
        <f>IFERROR(HLOOKUP(CONCATENATE("P",IFERROR(HLOOKUP('3-Schopnosti'!$S$38,'3-Schopnosti'!$R$38:$S$55,MATCH(G13,'3-Schopnosti'!$R$38:$R$55,0),FALSE),0)),$AS$6:$BL$120,MATCH(F13,$AS$6:$AS$120,0),FALSE)," ")</f>
        <v xml:space="preserve"> </v>
      </c>
      <c r="I13" s="366" t="str">
        <f t="shared" si="4"/>
        <v xml:space="preserve"> </v>
      </c>
      <c r="J13" s="585" t="str">
        <f t="shared" si="5"/>
        <v xml:space="preserve"> </v>
      </c>
      <c r="L13" s="483">
        <f>IF(E13="ANO",0,IFERROR(HLOOKUP('3-Schopnosti'!$S$38,'3-Schopnosti'!$R$38:$S$55,MATCH(B13,'3-Schopnosti'!$R$38:$R$55,0),FALSE),0))</f>
        <v>0</v>
      </c>
      <c r="M13" s="483">
        <f>IF(J13="ANO",0,IFERROR(HLOOKUP('3-Schopnosti'!$S$38,'3-Schopnosti'!$R$38:$S$55,MATCH(G13,'3-Schopnosti'!$R$38:$R$55,0),FALSE),0))</f>
        <v>0</v>
      </c>
      <c r="X13" s="583" t="s">
        <v>1575</v>
      </c>
      <c r="Y13" s="591">
        <v>1</v>
      </c>
      <c r="Z13" s="588" t="s">
        <v>1256</v>
      </c>
      <c r="AA13" s="588" t="s">
        <v>1510</v>
      </c>
      <c r="AB13" s="589" t="s">
        <v>410</v>
      </c>
      <c r="AC13" s="594" t="s">
        <v>5660</v>
      </c>
      <c r="AD13" s="594" t="s">
        <v>1539</v>
      </c>
      <c r="AE13" s="594" t="s">
        <v>1640</v>
      </c>
      <c r="AF13" s="594" t="s">
        <v>1640</v>
      </c>
      <c r="AG13" s="594" t="s">
        <v>1541</v>
      </c>
      <c r="AH13" s="594" t="s">
        <v>1542</v>
      </c>
      <c r="AI13" s="594" t="s">
        <v>1543</v>
      </c>
      <c r="AJ13" s="594" t="s">
        <v>1544</v>
      </c>
      <c r="AK13" s="594" t="s">
        <v>1545</v>
      </c>
      <c r="AL13" s="594" t="s">
        <v>1549</v>
      </c>
      <c r="AM13" s="441" t="s">
        <v>410</v>
      </c>
      <c r="AN13" s="441" t="s">
        <v>410</v>
      </c>
      <c r="AO13" s="441" t="s">
        <v>410</v>
      </c>
      <c r="AP13" s="441" t="s">
        <v>410</v>
      </c>
      <c r="AQ13" s="441" t="s">
        <v>410</v>
      </c>
      <c r="AS13" s="583"/>
      <c r="AT13" s="591"/>
      <c r="AU13" s="583"/>
      <c r="AV13" s="583"/>
      <c r="AW13" s="593"/>
      <c r="AX13" s="593"/>
      <c r="AY13" s="593"/>
      <c r="AZ13" s="593"/>
      <c r="BA13" s="593"/>
      <c r="BB13" s="593"/>
      <c r="BC13" s="593"/>
      <c r="BD13" s="237"/>
      <c r="BE13" s="237"/>
      <c r="BF13" s="237"/>
      <c r="BG13" s="237"/>
      <c r="BH13" s="237"/>
      <c r="BI13" s="237"/>
      <c r="BJ13" s="237"/>
      <c r="BK13" s="237"/>
      <c r="BL13" s="237"/>
    </row>
    <row r="14" spans="1:64" ht="15" customHeight="1" x14ac:dyDescent="0.3">
      <c r="A14" s="796" t="str">
        <f t="shared" si="2"/>
        <v>Přežití v přírodě</v>
      </c>
      <c r="B14" s="366"/>
      <c r="C14" s="367" t="str">
        <f>IFERROR(HLOOKUP(CONCATENATE("P",IFERROR(HLOOKUP('3-Schopnosti'!$S$38,'3-Schopnosti'!$R$38:$S$55,MATCH(B14,'3-Schopnosti'!$R$38:$R$55,0),FALSE),0)),$X$6:$AP$120,MATCH(A14,$X$6:$X$120,0),FALSE)," ")</f>
        <v>Nalezení vody</v>
      </c>
      <c r="D14" s="366">
        <f t="shared" si="0"/>
        <v>1</v>
      </c>
      <c r="E14" s="585" t="str">
        <f t="shared" si="1"/>
        <v>NE</v>
      </c>
      <c r="F14" s="365">
        <f t="shared" si="3"/>
        <v>0</v>
      </c>
      <c r="G14" s="366"/>
      <c r="H14" s="367" t="str">
        <f>IFERROR(HLOOKUP(CONCATENATE("P",IFERROR(HLOOKUP('3-Schopnosti'!$S$38,'3-Schopnosti'!$R$38:$S$55,MATCH(G14,'3-Schopnosti'!$R$38:$R$55,0),FALSE),0)),$AS$6:$BL$120,MATCH(F14,$AS$6:$AS$120,0),FALSE)," ")</f>
        <v xml:space="preserve"> </v>
      </c>
      <c r="I14" s="366" t="str">
        <f t="shared" si="4"/>
        <v xml:space="preserve"> </v>
      </c>
      <c r="J14" s="585" t="str">
        <f t="shared" si="5"/>
        <v xml:space="preserve"> </v>
      </c>
      <c r="L14" s="483">
        <f>IF(E14="ANO",0,IFERROR(HLOOKUP('3-Schopnosti'!$S$38,'3-Schopnosti'!$R$38:$S$55,MATCH(B14,'3-Schopnosti'!$R$38:$R$55,0),FALSE),0))</f>
        <v>0</v>
      </c>
      <c r="M14" s="483">
        <f>IF(J14="ANO",0,IFERROR(HLOOKUP('3-Schopnosti'!$S$38,'3-Schopnosti'!$R$38:$S$55,MATCH(G14,'3-Schopnosti'!$R$38:$R$55,0),FALSE),0))</f>
        <v>0</v>
      </c>
      <c r="X14" s="583" t="s">
        <v>1622</v>
      </c>
      <c r="Y14" s="975">
        <v>1</v>
      </c>
      <c r="Z14" s="588" t="s">
        <v>1256</v>
      </c>
      <c r="AA14" s="588" t="s">
        <v>1510</v>
      </c>
      <c r="AB14" s="855" t="s">
        <v>410</v>
      </c>
      <c r="AC14" s="592" t="s">
        <v>5565</v>
      </c>
      <c r="AD14" s="592" t="s">
        <v>5566</v>
      </c>
      <c r="AE14" s="592" t="s">
        <v>5567</v>
      </c>
      <c r="AF14" s="441" t="s">
        <v>410</v>
      </c>
      <c r="AG14" s="441" t="s">
        <v>410</v>
      </c>
      <c r="AH14" s="441" t="s">
        <v>410</v>
      </c>
      <c r="AI14" s="441" t="s">
        <v>410</v>
      </c>
      <c r="AJ14" s="441" t="s">
        <v>410</v>
      </c>
      <c r="AK14" s="441" t="s">
        <v>410</v>
      </c>
      <c r="AL14" s="441" t="s">
        <v>410</v>
      </c>
      <c r="AM14" s="441" t="s">
        <v>410</v>
      </c>
      <c r="AN14" s="441" t="s">
        <v>410</v>
      </c>
      <c r="AO14" s="441" t="s">
        <v>410</v>
      </c>
      <c r="AP14" s="441" t="s">
        <v>410</v>
      </c>
      <c r="AQ14" s="441" t="s">
        <v>410</v>
      </c>
      <c r="AS14" s="583"/>
      <c r="AT14" s="591"/>
      <c r="AU14" s="583"/>
      <c r="AV14" s="583"/>
      <c r="AW14" s="593"/>
      <c r="AX14" s="593"/>
      <c r="AY14" s="593"/>
      <c r="AZ14" s="593"/>
      <c r="BA14" s="593"/>
      <c r="BB14" s="593"/>
      <c r="BC14" s="593"/>
      <c r="BD14" s="593"/>
      <c r="BE14" s="593"/>
      <c r="BF14" s="237"/>
      <c r="BG14" s="237"/>
      <c r="BH14" s="237"/>
      <c r="BI14" s="237"/>
      <c r="BJ14" s="237"/>
      <c r="BK14" s="237"/>
      <c r="BL14" s="237"/>
    </row>
    <row r="15" spans="1:64" ht="15" customHeight="1" x14ac:dyDescent="0.3">
      <c r="A15" s="796" t="str">
        <f t="shared" si="2"/>
        <v>Stopování</v>
      </c>
      <c r="B15" s="366"/>
      <c r="C15" s="367" t="str">
        <f>IFERROR(HLOOKUP(CONCATENATE("P",IFERROR(HLOOKUP('3-Schopnosti'!$S$38,'3-Schopnosti'!$R$38:$S$55,MATCH(B15,'3-Schopnosti'!$R$38:$R$55,0),FALSE),0)),$X$6:$AP$120,MATCH(A15,$X$6:$X$120,0),FALSE)," ")</f>
        <v>Nález 0, Rozez. 0</v>
      </c>
      <c r="D15" s="366">
        <f t="shared" si="0"/>
        <v>1</v>
      </c>
      <c r="E15" s="585" t="str">
        <f t="shared" si="1"/>
        <v>NE</v>
      </c>
      <c r="F15" s="365">
        <f t="shared" si="3"/>
        <v>0</v>
      </c>
      <c r="G15" s="366"/>
      <c r="H15" s="367" t="str">
        <f>IFERROR(HLOOKUP(CONCATENATE("P",IFERROR(HLOOKUP('3-Schopnosti'!$S$38,'3-Schopnosti'!$R$38:$S$55,MATCH(G15,'3-Schopnosti'!$R$38:$R$55,0),FALSE),0)),$AS$6:$BL$120,MATCH(F15,$AS$6:$AS$120,0),FALSE)," ")</f>
        <v xml:space="preserve"> </v>
      </c>
      <c r="I15" s="366" t="str">
        <f t="shared" si="4"/>
        <v xml:space="preserve"> </v>
      </c>
      <c r="J15" s="585" t="str">
        <f t="shared" si="5"/>
        <v xml:space="preserve"> </v>
      </c>
      <c r="L15" s="483">
        <f>IF(E15="ANO",0,IFERROR(HLOOKUP('3-Schopnosti'!$S$38,'3-Schopnosti'!$R$38:$S$55,MATCH(B15,'3-Schopnosti'!$R$38:$R$55,0),FALSE),0))</f>
        <v>0</v>
      </c>
      <c r="M15" s="483">
        <f>IF(J15="ANO",0,IFERROR(HLOOKUP('3-Schopnosti'!$S$38,'3-Schopnosti'!$R$38:$S$55,MATCH(G15,'3-Schopnosti'!$R$38:$R$55,0),FALSE),0))</f>
        <v>0</v>
      </c>
      <c r="X15" s="583" t="s">
        <v>1665</v>
      </c>
      <c r="Y15" s="591">
        <v>1</v>
      </c>
      <c r="Z15" s="583" t="s">
        <v>1256</v>
      </c>
      <c r="AA15" s="583" t="s">
        <v>1510</v>
      </c>
      <c r="AB15" s="592" t="s">
        <v>410</v>
      </c>
      <c r="AC15" s="593" t="s">
        <v>2500</v>
      </c>
      <c r="AD15" s="593" t="s">
        <v>2501</v>
      </c>
      <c r="AE15" s="593" t="s">
        <v>2502</v>
      </c>
      <c r="AF15" s="593" t="s">
        <v>3162</v>
      </c>
      <c r="AG15" s="593" t="s">
        <v>2503</v>
      </c>
      <c r="AH15" s="237" t="s">
        <v>410</v>
      </c>
      <c r="AI15" s="237" t="s">
        <v>410</v>
      </c>
      <c r="AJ15" s="237" t="s">
        <v>410</v>
      </c>
      <c r="AK15" s="237" t="s">
        <v>410</v>
      </c>
      <c r="AL15" s="237" t="s">
        <v>410</v>
      </c>
      <c r="AM15" s="237" t="s">
        <v>410</v>
      </c>
      <c r="AN15" s="237" t="s">
        <v>410</v>
      </c>
      <c r="AO15" s="237" t="s">
        <v>410</v>
      </c>
      <c r="AP15" s="10" t="s">
        <v>410</v>
      </c>
      <c r="AQ15" s="10" t="s">
        <v>410</v>
      </c>
      <c r="AS15" s="583"/>
      <c r="AT15" s="591"/>
      <c r="AU15" s="583"/>
      <c r="AV15" s="583"/>
      <c r="AW15" s="592"/>
      <c r="AX15" s="593"/>
      <c r="AY15" s="593"/>
      <c r="AZ15" s="593"/>
      <c r="BA15" s="593"/>
      <c r="BB15" s="593"/>
      <c r="BC15" s="237"/>
      <c r="BD15" s="237"/>
      <c r="BE15" s="237"/>
      <c r="BF15" s="237"/>
      <c r="BG15" s="237"/>
      <c r="BH15" s="237"/>
      <c r="BI15" s="237"/>
      <c r="BJ15" s="237"/>
      <c r="BK15" s="10"/>
      <c r="BL15" s="10"/>
    </row>
    <row r="16" spans="1:64" ht="15" customHeight="1" x14ac:dyDescent="0.3">
      <c r="A16" s="796" t="str">
        <f t="shared" si="2"/>
        <v>Zaklínačská magie</v>
      </c>
      <c r="B16" s="366"/>
      <c r="C16" s="367" t="str">
        <f>IFERROR(HLOOKUP(CONCATENATE("P",IFERROR(HLOOKUP('3-Schopnosti'!$S$38,'3-Schopnosti'!$R$38:$S$55,MATCH(B16,'3-Schopnosti'!$R$38:$R$55,0),FALSE),0)),$X$6:$AP$120,MATCH(A16,$X$6:$X$120,0),FALSE)," ")</f>
        <v>X</v>
      </c>
      <c r="D16" s="366">
        <f t="shared" si="0"/>
        <v>1</v>
      </c>
      <c r="E16" s="585" t="str">
        <f t="shared" si="1"/>
        <v>NE</v>
      </c>
      <c r="F16" s="365">
        <f t="shared" si="3"/>
        <v>0</v>
      </c>
      <c r="G16" s="366"/>
      <c r="H16" s="367" t="str">
        <f>IFERROR(HLOOKUP(CONCATENATE("P",IFERROR(HLOOKUP('3-Schopnosti'!$S$38,'3-Schopnosti'!$R$38:$S$55,MATCH(G16,'3-Schopnosti'!$R$38:$R$55,0),FALSE),0)),$AS$6:$BL$120,MATCH(F16,$AS$6:$AS$120,0),FALSE)," ")</f>
        <v xml:space="preserve"> </v>
      </c>
      <c r="I16" s="366" t="str">
        <f t="shared" si="4"/>
        <v xml:space="preserve"> </v>
      </c>
      <c r="J16" s="585" t="str">
        <f t="shared" si="5"/>
        <v xml:space="preserve"> </v>
      </c>
      <c r="L16" s="483">
        <f>IF(E16="ANO",0,IFERROR(HLOOKUP('3-Schopnosti'!$S$38,'3-Schopnosti'!$R$38:$S$55,MATCH(B16,'3-Schopnosti'!$R$38:$R$55,0),FALSE),0))</f>
        <v>0</v>
      </c>
      <c r="M16" s="483">
        <f>IF(J16="ANO",0,IFERROR(HLOOKUP('3-Schopnosti'!$S$38,'3-Schopnosti'!$R$38:$S$55,MATCH(G16,'3-Schopnosti'!$R$38:$R$55,0),FALSE),0))</f>
        <v>0</v>
      </c>
      <c r="U16" s="65" t="s">
        <v>1503</v>
      </c>
      <c r="X16" s="583" t="s">
        <v>1718</v>
      </c>
      <c r="Y16" s="591">
        <v>1</v>
      </c>
      <c r="Z16" s="583" t="s">
        <v>1256</v>
      </c>
      <c r="AA16" s="583" t="s">
        <v>1510</v>
      </c>
      <c r="AB16" s="592" t="s">
        <v>410</v>
      </c>
      <c r="AC16" s="593" t="s">
        <v>3385</v>
      </c>
      <c r="AD16" s="593" t="s">
        <v>3386</v>
      </c>
      <c r="AE16" s="593" t="s">
        <v>3387</v>
      </c>
      <c r="AF16" s="593" t="s">
        <v>3388</v>
      </c>
      <c r="AG16" s="593" t="s">
        <v>3389</v>
      </c>
      <c r="AH16" s="237" t="s">
        <v>410</v>
      </c>
      <c r="AI16" s="237" t="s">
        <v>410</v>
      </c>
      <c r="AJ16" s="237" t="s">
        <v>410</v>
      </c>
      <c r="AK16" s="237" t="s">
        <v>410</v>
      </c>
      <c r="AL16" s="237" t="s">
        <v>410</v>
      </c>
      <c r="AM16" s="237" t="s">
        <v>410</v>
      </c>
      <c r="AN16" s="237" t="s">
        <v>410</v>
      </c>
      <c r="AO16" s="237" t="s">
        <v>410</v>
      </c>
      <c r="AP16" s="10" t="s">
        <v>410</v>
      </c>
      <c r="AQ16" s="10" t="s">
        <v>410</v>
      </c>
      <c r="AS16" s="583"/>
      <c r="AT16" s="591"/>
      <c r="AU16" s="583"/>
      <c r="AV16" s="583"/>
      <c r="AW16" s="593"/>
      <c r="AX16" s="593"/>
      <c r="AY16" s="593"/>
      <c r="AZ16" s="593"/>
      <c r="BA16" s="593"/>
      <c r="BB16" s="593"/>
      <c r="BC16" s="593"/>
      <c r="BD16" s="593"/>
      <c r="BE16" s="593"/>
      <c r="BF16" s="237"/>
      <c r="BG16" s="237"/>
      <c r="BH16" s="237"/>
      <c r="BI16" s="237"/>
      <c r="BJ16" s="237"/>
      <c r="BK16" s="237"/>
      <c r="BL16" s="237"/>
    </row>
    <row r="17" spans="1:64" ht="15" customHeight="1" x14ac:dyDescent="0.3">
      <c r="A17" s="796" t="str">
        <f t="shared" si="2"/>
        <v>Zvířecí společník</v>
      </c>
      <c r="B17" s="366"/>
      <c r="C17" s="367" t="str">
        <f>IFERROR(HLOOKUP(CONCATENATE("P",IFERROR(HLOOKUP('3-Schopnosti'!$S$38,'3-Schopnosti'!$R$38:$S$55,MATCH(B17,'3-Schopnosti'!$R$38:$R$55,0),FALSE),0)),$X$6:$AP$120,MATCH(A17,$X$6:$X$120,0),FALSE)," ")</f>
        <v>X</v>
      </c>
      <c r="D17" s="366">
        <f t="shared" si="0"/>
        <v>1</v>
      </c>
      <c r="E17" s="585" t="str">
        <f t="shared" si="1"/>
        <v>NE</v>
      </c>
      <c r="F17" s="365">
        <f t="shared" si="3"/>
        <v>0</v>
      </c>
      <c r="G17" s="366"/>
      <c r="H17" s="367" t="str">
        <f>IFERROR(HLOOKUP(CONCATENATE("P",IFERROR(HLOOKUP('3-Schopnosti'!$S$38,'3-Schopnosti'!$R$38:$S$55,MATCH(G17,'3-Schopnosti'!$R$38:$R$55,0),FALSE),0)),$AS$6:$BL$120,MATCH(F17,$AS$6:$AS$120,0),FALSE)," ")</f>
        <v xml:space="preserve"> </v>
      </c>
      <c r="I17" s="366" t="str">
        <f t="shared" si="4"/>
        <v xml:space="preserve"> </v>
      </c>
      <c r="J17" s="585" t="str">
        <f t="shared" si="5"/>
        <v xml:space="preserve"> </v>
      </c>
      <c r="L17" s="483">
        <f>IF(E17="ANO",0,IFERROR(HLOOKUP('3-Schopnosti'!$S$38,'3-Schopnosti'!$R$38:$S$55,MATCH(B17,'3-Schopnosti'!$R$38:$R$55,0),FALSE),0))</f>
        <v>0</v>
      </c>
      <c r="M17" s="483">
        <f>IF(J17="ANO",0,IFERROR(HLOOKUP('3-Schopnosti'!$S$38,'3-Schopnosti'!$R$38:$S$55,MATCH(G17,'3-Schopnosti'!$R$38:$R$55,0),FALSE),0))</f>
        <v>0</v>
      </c>
      <c r="U17" s="233" t="s">
        <v>232</v>
      </c>
      <c r="V17" s="233" t="s">
        <v>232</v>
      </c>
      <c r="X17" s="583" t="s">
        <v>1862</v>
      </c>
      <c r="Y17" s="591">
        <v>1</v>
      </c>
      <c r="Z17" s="583" t="s">
        <v>1256</v>
      </c>
      <c r="AA17" s="583" t="s">
        <v>1510</v>
      </c>
      <c r="AB17" s="592" t="s">
        <v>3120</v>
      </c>
      <c r="AC17" s="593" t="s">
        <v>3121</v>
      </c>
      <c r="AD17" s="593" t="s">
        <v>3122</v>
      </c>
      <c r="AE17" s="593" t="s">
        <v>3123</v>
      </c>
      <c r="AF17" s="237" t="s">
        <v>410</v>
      </c>
      <c r="AG17" s="237" t="s">
        <v>410</v>
      </c>
      <c r="AH17" s="237" t="s">
        <v>410</v>
      </c>
      <c r="AI17" s="237" t="s">
        <v>410</v>
      </c>
      <c r="AJ17" s="237" t="s">
        <v>410</v>
      </c>
      <c r="AK17" s="237" t="s">
        <v>410</v>
      </c>
      <c r="AL17" s="237" t="s">
        <v>410</v>
      </c>
      <c r="AM17" s="237" t="s">
        <v>410</v>
      </c>
      <c r="AN17" s="237" t="s">
        <v>410</v>
      </c>
      <c r="AO17" s="237" t="s">
        <v>410</v>
      </c>
      <c r="AP17" s="10" t="s">
        <v>410</v>
      </c>
      <c r="AQ17" s="10" t="s">
        <v>410</v>
      </c>
      <c r="AS17" s="583"/>
      <c r="AT17" s="591"/>
      <c r="AU17" s="583"/>
      <c r="AV17" s="583"/>
      <c r="AW17" s="592"/>
      <c r="AX17" s="593"/>
      <c r="AY17" s="593"/>
      <c r="AZ17" s="593"/>
      <c r="BA17" s="593"/>
      <c r="BB17" s="593"/>
      <c r="BC17" s="237"/>
      <c r="BD17" s="237"/>
      <c r="BE17" s="237"/>
      <c r="BF17" s="237"/>
      <c r="BG17" s="237"/>
      <c r="BH17" s="237"/>
      <c r="BI17" s="237"/>
      <c r="BJ17" s="237"/>
      <c r="BK17" s="10"/>
      <c r="BL17" s="10"/>
    </row>
    <row r="18" spans="1:64" ht="15" customHeight="1" x14ac:dyDescent="0.3">
      <c r="A18" s="796" t="str">
        <f t="shared" si="2"/>
        <v>Bleskové reakce</v>
      </c>
      <c r="B18" s="366"/>
      <c r="C18" s="367" t="str">
        <f>IFERROR(HLOOKUP(CONCATENATE("P",IFERROR(HLOOKUP('3-Schopnosti'!$S$38,'3-Schopnosti'!$R$38:$S$55,MATCH(B18,'3-Schopnosti'!$R$38:$R$55,0),FALSE),0)),$X$6:$AP$120,MATCH(A18,$X$6:$X$120,0),FALSE)," ")</f>
        <v>X</v>
      </c>
      <c r="D18" s="366">
        <f t="shared" si="0"/>
        <v>2</v>
      </c>
      <c r="E18" s="585" t="str">
        <f t="shared" si="1"/>
        <v>NE</v>
      </c>
      <c r="F18" s="365">
        <f t="shared" si="3"/>
        <v>0</v>
      </c>
      <c r="G18" s="366"/>
      <c r="H18" s="367" t="str">
        <f>IFERROR(HLOOKUP(CONCATENATE("P",IFERROR(HLOOKUP('3-Schopnosti'!$S$38,'3-Schopnosti'!$R$38:$S$55,MATCH(G18,'3-Schopnosti'!$R$38:$R$55,0),FALSE),0)),$AS$6:$BL$120,MATCH(F18,$AS$6:$AS$120,0),FALSE)," ")</f>
        <v xml:space="preserve"> </v>
      </c>
      <c r="I18" s="366" t="str">
        <f t="shared" si="4"/>
        <v xml:space="preserve"> </v>
      </c>
      <c r="J18" s="585" t="str">
        <f t="shared" si="5"/>
        <v xml:space="preserve"> </v>
      </c>
      <c r="L18" s="483">
        <f>IF(E18="ANO",0,IFERROR(HLOOKUP('3-Schopnosti'!$S$38,'3-Schopnosti'!$R$38:$S$55,MATCH(B18,'3-Schopnosti'!$R$38:$R$55,0),FALSE),0))</f>
        <v>0</v>
      </c>
      <c r="M18" s="483">
        <f>IF(J18="ANO",0,IFERROR(HLOOKUP('3-Schopnosti'!$S$38,'3-Schopnosti'!$R$38:$S$55,MATCH(G18,'3-Schopnosti'!$R$38:$R$55,0),FALSE),0))</f>
        <v>0</v>
      </c>
      <c r="U18" s="233" t="s">
        <v>5667</v>
      </c>
      <c r="V18" s="233" t="s">
        <v>5667</v>
      </c>
      <c r="X18" s="583" t="s">
        <v>5543</v>
      </c>
      <c r="Y18" s="591">
        <v>1</v>
      </c>
      <c r="Z18" s="583" t="s">
        <v>1256</v>
      </c>
      <c r="AA18" s="583" t="s">
        <v>1510</v>
      </c>
      <c r="AB18" s="593" t="s">
        <v>5539</v>
      </c>
      <c r="AC18" s="593" t="s">
        <v>5538</v>
      </c>
      <c r="AD18" s="593" t="s">
        <v>5540</v>
      </c>
      <c r="AE18" s="593" t="s">
        <v>5544</v>
      </c>
      <c r="AF18" s="593" t="s">
        <v>5541</v>
      </c>
      <c r="AG18" s="593" t="s">
        <v>5542</v>
      </c>
      <c r="AH18" s="237" t="s">
        <v>410</v>
      </c>
      <c r="AI18" s="237" t="s">
        <v>410</v>
      </c>
      <c r="AJ18" s="237" t="s">
        <v>410</v>
      </c>
      <c r="AK18" s="237" t="s">
        <v>410</v>
      </c>
      <c r="AL18" s="237" t="s">
        <v>410</v>
      </c>
      <c r="AM18" s="237" t="s">
        <v>410</v>
      </c>
      <c r="AN18" s="237" t="s">
        <v>410</v>
      </c>
      <c r="AO18" s="237" t="s">
        <v>410</v>
      </c>
      <c r="AP18" s="10" t="s">
        <v>410</v>
      </c>
      <c r="AQ18" s="10" t="s">
        <v>410</v>
      </c>
      <c r="AS18" s="583"/>
      <c r="AT18" s="591"/>
      <c r="AU18" s="588"/>
      <c r="AV18" s="588"/>
      <c r="AW18" s="589"/>
      <c r="AX18" s="590"/>
      <c r="AY18" s="590"/>
      <c r="AZ18" s="590"/>
      <c r="BA18" s="590"/>
      <c r="BB18" s="590"/>
      <c r="BC18" s="590"/>
      <c r="BD18" s="441"/>
      <c r="BE18" s="441"/>
      <c r="BF18" s="441"/>
      <c r="BG18" s="441"/>
      <c r="BH18" s="441"/>
      <c r="BI18" s="441"/>
      <c r="BJ18" s="441"/>
      <c r="BK18" s="441"/>
      <c r="BL18" s="441"/>
    </row>
    <row r="19" spans="1:64" ht="15" customHeight="1" x14ac:dyDescent="0.3">
      <c r="A19" s="796" t="str">
        <f t="shared" si="2"/>
        <v>Úsporné kouzlení</v>
      </c>
      <c r="B19" s="366"/>
      <c r="C19" s="367" t="str">
        <f>IFERROR(HLOOKUP(CONCATENATE("P",IFERROR(HLOOKUP('3-Schopnosti'!$S$38,'3-Schopnosti'!$R$38:$S$55,MATCH(B19,'3-Schopnosti'!$R$38:$R$55,0),FALSE),0)),$X$6:$AP$120,MATCH(A19,$X$6:$X$120,0),FALSE)," ")</f>
        <v>3A / 10 k</v>
      </c>
      <c r="D19" s="366">
        <f t="shared" si="0"/>
        <v>2</v>
      </c>
      <c r="E19" s="585" t="str">
        <f t="shared" si="1"/>
        <v>NE</v>
      </c>
      <c r="F19" s="365">
        <f t="shared" si="3"/>
        <v>0</v>
      </c>
      <c r="G19" s="366"/>
      <c r="H19" s="367" t="str">
        <f>IFERROR(HLOOKUP(CONCATENATE("P",IFERROR(HLOOKUP('3-Schopnosti'!$S$38,'3-Schopnosti'!$R$38:$S$55,MATCH(G19,'3-Schopnosti'!$R$38:$R$55,0),FALSE),0)),$AS$6:$BL$120,MATCH(F19,$AS$6:$AS$120,0),FALSE)," ")</f>
        <v xml:space="preserve"> </v>
      </c>
      <c r="I19" s="366" t="str">
        <f t="shared" si="4"/>
        <v xml:space="preserve"> </v>
      </c>
      <c r="J19" s="585" t="str">
        <f t="shared" si="5"/>
        <v xml:space="preserve"> </v>
      </c>
      <c r="L19" s="483">
        <f>IF(E19="ANO",0,IFERROR(HLOOKUP('3-Schopnosti'!$S$38,'3-Schopnosti'!$R$38:$S$55,MATCH(B19,'3-Schopnosti'!$R$38:$R$55,0),FALSE),0))</f>
        <v>0</v>
      </c>
      <c r="M19" s="483">
        <f>IF(J19="ANO",0,IFERROR(HLOOKUP('3-Schopnosti'!$S$38,'3-Schopnosti'!$R$38:$S$55,MATCH(G19,'3-Schopnosti'!$R$38:$R$55,0),FALSE),0))</f>
        <v>0</v>
      </c>
      <c r="U19" s="233" t="s">
        <v>5668</v>
      </c>
      <c r="V19" s="233" t="s">
        <v>5667</v>
      </c>
      <c r="X19" s="583" t="s">
        <v>1911</v>
      </c>
      <c r="Y19" s="591">
        <v>1</v>
      </c>
      <c r="Z19" s="583" t="s">
        <v>1256</v>
      </c>
      <c r="AA19" s="583" t="s">
        <v>1510</v>
      </c>
      <c r="AB19" s="594" t="s">
        <v>4176</v>
      </c>
      <c r="AC19" s="594" t="s">
        <v>4177</v>
      </c>
      <c r="AD19" s="594" t="s">
        <v>4178</v>
      </c>
      <c r="AE19" s="594" t="s">
        <v>4179</v>
      </c>
      <c r="AF19" s="594" t="s">
        <v>4180</v>
      </c>
      <c r="AG19" s="594" t="s">
        <v>4181</v>
      </c>
      <c r="AH19" s="593" t="s">
        <v>410</v>
      </c>
      <c r="AI19" s="237" t="s">
        <v>410</v>
      </c>
      <c r="AJ19" s="237" t="s">
        <v>410</v>
      </c>
      <c r="AK19" s="237" t="s">
        <v>410</v>
      </c>
      <c r="AL19" s="237" t="s">
        <v>410</v>
      </c>
      <c r="AM19" s="237" t="s">
        <v>410</v>
      </c>
      <c r="AN19" s="237" t="s">
        <v>410</v>
      </c>
      <c r="AO19" s="237" t="s">
        <v>410</v>
      </c>
      <c r="AP19" s="10" t="s">
        <v>410</v>
      </c>
      <c r="AQ19" s="10" t="s">
        <v>410</v>
      </c>
      <c r="AS19" s="583"/>
      <c r="AT19" s="591"/>
      <c r="AU19" s="588"/>
      <c r="AV19" s="588"/>
      <c r="AW19" s="589"/>
      <c r="AX19" s="590"/>
      <c r="AY19" s="590"/>
      <c r="AZ19" s="590"/>
      <c r="BA19" s="589"/>
      <c r="BB19" s="441"/>
      <c r="BC19" s="441"/>
      <c r="BD19" s="441"/>
      <c r="BE19" s="441"/>
      <c r="BF19" s="441"/>
      <c r="BG19" s="441"/>
      <c r="BH19" s="441"/>
      <c r="BI19" s="441"/>
      <c r="BJ19" s="441"/>
      <c r="BK19" s="441"/>
      <c r="BL19" s="441"/>
    </row>
    <row r="20" spans="1:64" ht="15" customHeight="1" x14ac:dyDescent="0.3">
      <c r="A20" s="796" t="str">
        <f t="shared" si="2"/>
        <v>Zkouška trav</v>
      </c>
      <c r="B20" s="366"/>
      <c r="C20" s="367" t="str">
        <f>IFERROR(HLOOKUP(CONCATENATE("P",IFERROR(HLOOKUP('3-Schopnosti'!$S$38,'3-Schopnosti'!$R$38:$S$55,MATCH(B20,'3-Schopnosti'!$R$38:$R$55,0),FALSE),0)),$X$6:$AP$120,MATCH(A20,$X$6:$X$120,0),FALSE)," ")</f>
        <v>X</v>
      </c>
      <c r="D20" s="366">
        <f t="shared" si="0"/>
        <v>3</v>
      </c>
      <c r="E20" s="585" t="str">
        <f t="shared" si="1"/>
        <v>NE</v>
      </c>
      <c r="F20" s="365">
        <f t="shared" si="3"/>
        <v>0</v>
      </c>
      <c r="G20" s="366"/>
      <c r="H20" s="367" t="str">
        <f>IFERROR(HLOOKUP(CONCATENATE("P",IFERROR(HLOOKUP('3-Schopnosti'!$S$38,'3-Schopnosti'!$R$38:$S$55,MATCH(G20,'3-Schopnosti'!$R$38:$R$55,0),FALSE),0)),$AS$6:$BL$120,MATCH(F20,$AS$6:$AS$120,0),FALSE)," ")</f>
        <v xml:space="preserve"> </v>
      </c>
      <c r="I20" s="366" t="str">
        <f t="shared" si="4"/>
        <v xml:space="preserve"> </v>
      </c>
      <c r="J20" s="585" t="str">
        <f t="shared" si="5"/>
        <v xml:space="preserve"> </v>
      </c>
      <c r="L20" s="483">
        <f>IF(E20="ANO",0,IFERROR(HLOOKUP('3-Schopnosti'!$S$38,'3-Schopnosti'!$R$38:$S$55,MATCH(B20,'3-Schopnosti'!$R$38:$R$55,0),FALSE),0))</f>
        <v>0</v>
      </c>
      <c r="M20" s="483">
        <f>IF(J20="ANO",0,IFERROR(HLOOKUP('3-Schopnosti'!$S$38,'3-Schopnosti'!$R$38:$S$55,MATCH(G20,'3-Schopnosti'!$R$38:$R$55,0),FALSE),0))</f>
        <v>0</v>
      </c>
      <c r="U20" s="233" t="s">
        <v>1127</v>
      </c>
      <c r="V20" s="233" t="s">
        <v>1127</v>
      </c>
      <c r="X20" s="583" t="s">
        <v>1978</v>
      </c>
      <c r="Y20" s="591">
        <v>1</v>
      </c>
      <c r="Z20" s="583" t="s">
        <v>1256</v>
      </c>
      <c r="AA20" s="583" t="s">
        <v>1510</v>
      </c>
      <c r="AB20" s="593" t="s">
        <v>410</v>
      </c>
      <c r="AC20" s="593" t="s">
        <v>2043</v>
      </c>
      <c r="AD20" s="593" t="s">
        <v>2041</v>
      </c>
      <c r="AE20" s="593" t="s">
        <v>2042</v>
      </c>
      <c r="AF20" s="593" t="s">
        <v>2044</v>
      </c>
      <c r="AG20" s="593" t="s">
        <v>2312</v>
      </c>
      <c r="AH20" s="593" t="s">
        <v>2045</v>
      </c>
      <c r="AI20" s="593" t="s">
        <v>2048</v>
      </c>
      <c r="AJ20" s="593" t="s">
        <v>2313</v>
      </c>
      <c r="AK20" s="593" t="s">
        <v>2314</v>
      </c>
      <c r="AL20" s="593" t="s">
        <v>2315</v>
      </c>
      <c r="AM20" s="237" t="s">
        <v>410</v>
      </c>
      <c r="AN20" s="237" t="s">
        <v>410</v>
      </c>
      <c r="AO20" s="237" t="s">
        <v>410</v>
      </c>
      <c r="AP20" s="237" t="s">
        <v>410</v>
      </c>
      <c r="AQ20" s="237" t="s">
        <v>410</v>
      </c>
      <c r="AS20" s="583"/>
      <c r="AT20" s="591"/>
      <c r="AU20" s="588"/>
      <c r="AV20" s="588"/>
      <c r="AW20" s="589"/>
      <c r="AX20" s="593"/>
      <c r="AY20" s="593"/>
      <c r="AZ20" s="593"/>
      <c r="BA20" s="593"/>
      <c r="BB20" s="593"/>
      <c r="BC20" s="593"/>
      <c r="BD20" s="441"/>
      <c r="BE20" s="441"/>
      <c r="BF20" s="441"/>
      <c r="BG20" s="441"/>
      <c r="BH20" s="441"/>
      <c r="BI20" s="441"/>
      <c r="BJ20" s="441"/>
      <c r="BK20" s="441"/>
      <c r="BL20" s="441"/>
    </row>
    <row r="21" spans="1:64" ht="15" customHeight="1" x14ac:dyDescent="0.3">
      <c r="A21" s="796" t="str">
        <f t="shared" si="2"/>
        <v>Boj proti zvířatům</v>
      </c>
      <c r="B21" s="366"/>
      <c r="C21" s="367" t="str">
        <f>IFERROR(HLOOKUP(CONCATENATE("P",IFERROR(HLOOKUP('3-Schopnosti'!$S$38,'3-Schopnosti'!$R$38:$S$55,MATCH(B21,'3-Schopnosti'!$R$38:$R$55,0),FALSE),0)),$X$6:$AP$120,MATCH(A21,$X$6:$X$120,0),FALSE)," ")</f>
        <v>X</v>
      </c>
      <c r="D21" s="366">
        <f t="shared" si="0"/>
        <v>6</v>
      </c>
      <c r="E21" s="585" t="str">
        <f t="shared" si="1"/>
        <v>NE</v>
      </c>
      <c r="F21" s="365">
        <f t="shared" si="3"/>
        <v>0</v>
      </c>
      <c r="G21" s="366"/>
      <c r="H21" s="367" t="str">
        <f>IFERROR(HLOOKUP(CONCATENATE("P",IFERROR(HLOOKUP('3-Schopnosti'!$S$38,'3-Schopnosti'!$R$38:$S$55,MATCH(G21,'3-Schopnosti'!$R$38:$R$55,0),FALSE),0)),$AS$6:$BL$120,MATCH(F21,$AS$6:$AS$120,0),FALSE)," ")</f>
        <v xml:space="preserve"> </v>
      </c>
      <c r="I21" s="366" t="str">
        <f t="shared" si="4"/>
        <v xml:space="preserve"> </v>
      </c>
      <c r="J21" s="585" t="str">
        <f t="shared" si="5"/>
        <v xml:space="preserve"> </v>
      </c>
      <c r="L21" s="483">
        <f>IF(E21="ANO",0,IFERROR(HLOOKUP('3-Schopnosti'!$S$38,'3-Schopnosti'!$R$38:$S$55,MATCH(B21,'3-Schopnosti'!$R$38:$R$55,0),FALSE),0))</f>
        <v>0</v>
      </c>
      <c r="M21" s="483">
        <f>IF(J21="ANO",0,IFERROR(HLOOKUP('3-Schopnosti'!$S$38,'3-Schopnosti'!$R$38:$S$55,MATCH(G21,'3-Schopnosti'!$R$38:$R$55,0),FALSE),0))</f>
        <v>0</v>
      </c>
      <c r="U21" s="233" t="s">
        <v>1061</v>
      </c>
      <c r="V21" s="233" t="s">
        <v>1127</v>
      </c>
      <c r="X21" s="583" t="s">
        <v>1998</v>
      </c>
      <c r="Y21" s="591">
        <v>1</v>
      </c>
      <c r="Z21" s="583" t="s">
        <v>1256</v>
      </c>
      <c r="AA21" s="583" t="s">
        <v>1510</v>
      </c>
      <c r="AB21" s="593" t="s">
        <v>410</v>
      </c>
      <c r="AC21" s="593" t="s">
        <v>4430</v>
      </c>
      <c r="AD21" s="593" t="s">
        <v>1999</v>
      </c>
      <c r="AE21" s="593" t="s">
        <v>2000</v>
      </c>
      <c r="AF21" s="593" t="s">
        <v>2001</v>
      </c>
      <c r="AG21" s="593" t="s">
        <v>4182</v>
      </c>
      <c r="AH21" s="593" t="s">
        <v>2002</v>
      </c>
      <c r="AI21" s="237" t="s">
        <v>410</v>
      </c>
      <c r="AJ21" s="237" t="s">
        <v>410</v>
      </c>
      <c r="AK21" s="237" t="s">
        <v>410</v>
      </c>
      <c r="AL21" s="237" t="s">
        <v>410</v>
      </c>
      <c r="AM21" s="237" t="s">
        <v>410</v>
      </c>
      <c r="AN21" s="237" t="s">
        <v>410</v>
      </c>
      <c r="AO21" s="237" t="s">
        <v>410</v>
      </c>
      <c r="AP21" s="237" t="s">
        <v>410</v>
      </c>
      <c r="AQ21" s="237" t="s">
        <v>410</v>
      </c>
      <c r="AS21" s="583"/>
      <c r="AT21" s="591"/>
      <c r="AU21" s="583"/>
      <c r="AV21" s="583"/>
      <c r="AW21" s="592"/>
      <c r="AX21" s="593"/>
      <c r="AY21" s="593"/>
      <c r="AZ21" s="593"/>
      <c r="BA21" s="593"/>
      <c r="BB21" s="593"/>
      <c r="BC21" s="237"/>
      <c r="BD21" s="237"/>
      <c r="BE21" s="237"/>
      <c r="BF21" s="237"/>
      <c r="BG21" s="237"/>
      <c r="BH21" s="237"/>
      <c r="BI21" s="237"/>
      <c r="BJ21" s="237"/>
      <c r="BK21" s="10"/>
      <c r="BL21" s="10"/>
    </row>
    <row r="22" spans="1:64" ht="15" customHeight="1" x14ac:dyDescent="0.3">
      <c r="A22" s="796" t="str">
        <f t="shared" si="2"/>
        <v>Odolnost vůči jedům</v>
      </c>
      <c r="B22" s="366"/>
      <c r="C22" s="367" t="str">
        <f>IFERROR(HLOOKUP(CONCATENATE("P",IFERROR(HLOOKUP('3-Schopnosti'!$S$38,'3-Schopnosti'!$R$38:$S$55,MATCH(B22,'3-Schopnosti'!$R$38:$R$55,0),FALSE),0)),$X$6:$AP$120,MATCH(A22,$X$6:$X$120,0),FALSE)," ")</f>
        <v>X</v>
      </c>
      <c r="D22" s="366">
        <f t="shared" si="0"/>
        <v>6</v>
      </c>
      <c r="E22" s="585" t="str">
        <f t="shared" si="1"/>
        <v>NE</v>
      </c>
      <c r="F22" s="365">
        <f t="shared" si="3"/>
        <v>0</v>
      </c>
      <c r="G22" s="366"/>
      <c r="H22" s="367" t="str">
        <f>IFERROR(HLOOKUP(CONCATENATE("P",IFERROR(HLOOKUP('3-Schopnosti'!$S$38,'3-Schopnosti'!$R$38:$S$55,MATCH(G22,'3-Schopnosti'!$R$38:$R$55,0),FALSE),0)),$AS$6:$BL$120,MATCH(F22,$AS$6:$AS$120,0),FALSE)," ")</f>
        <v xml:space="preserve"> </v>
      </c>
      <c r="I22" s="366" t="str">
        <f t="shared" si="4"/>
        <v xml:space="preserve"> </v>
      </c>
      <c r="J22" s="585" t="str">
        <f t="shared" si="5"/>
        <v xml:space="preserve"> </v>
      </c>
      <c r="L22" s="483">
        <f>IF(E22="ANO",0,IFERROR(HLOOKUP('3-Schopnosti'!$S$38,'3-Schopnosti'!$R$38:$S$55,MATCH(B22,'3-Schopnosti'!$R$38:$R$55,0),FALSE),0))</f>
        <v>0</v>
      </c>
      <c r="M22" s="483">
        <f>IF(J22="ANO",0,IFERROR(HLOOKUP('3-Schopnosti'!$S$38,'3-Schopnosti'!$R$38:$S$55,MATCH(G22,'3-Schopnosti'!$R$38:$R$55,0),FALSE),0))</f>
        <v>0</v>
      </c>
      <c r="U22" s="233" t="s">
        <v>1106</v>
      </c>
      <c r="V22" s="233" t="s">
        <v>270</v>
      </c>
      <c r="X22" s="583" t="s">
        <v>1477</v>
      </c>
      <c r="Y22" s="591">
        <v>2</v>
      </c>
      <c r="Z22" s="588" t="s">
        <v>1256</v>
      </c>
      <c r="AA22" s="588" t="s">
        <v>1510</v>
      </c>
      <c r="AB22" s="589" t="s">
        <v>410</v>
      </c>
      <c r="AC22" s="590" t="s">
        <v>1525</v>
      </c>
      <c r="AD22" s="590" t="s">
        <v>3316</v>
      </c>
      <c r="AE22" s="590" t="s">
        <v>4233</v>
      </c>
      <c r="AF22" s="590" t="s">
        <v>4234</v>
      </c>
      <c r="AG22" s="441" t="s">
        <v>410</v>
      </c>
      <c r="AH22" s="441" t="s">
        <v>410</v>
      </c>
      <c r="AI22" s="441" t="s">
        <v>410</v>
      </c>
      <c r="AJ22" s="441" t="s">
        <v>410</v>
      </c>
      <c r="AK22" s="441" t="s">
        <v>410</v>
      </c>
      <c r="AL22" s="441" t="s">
        <v>410</v>
      </c>
      <c r="AM22" s="441" t="s">
        <v>410</v>
      </c>
      <c r="AN22" s="441" t="s">
        <v>410</v>
      </c>
      <c r="AO22" s="441" t="s">
        <v>410</v>
      </c>
      <c r="AP22" s="441" t="s">
        <v>410</v>
      </c>
      <c r="AQ22" s="441" t="s">
        <v>410</v>
      </c>
      <c r="AS22" s="583"/>
      <c r="AT22" s="591"/>
      <c r="AU22" s="583"/>
      <c r="AV22" s="583"/>
      <c r="AW22" s="592"/>
      <c r="AX22" s="593"/>
      <c r="AY22" s="593"/>
      <c r="AZ22" s="593"/>
      <c r="BA22" s="593"/>
      <c r="BB22" s="593"/>
      <c r="BC22" s="593"/>
      <c r="BD22" s="237"/>
      <c r="BE22" s="237"/>
      <c r="BF22" s="237"/>
      <c r="BG22" s="237"/>
      <c r="BH22" s="237"/>
      <c r="BI22" s="237"/>
      <c r="BJ22" s="237"/>
      <c r="BK22" s="10"/>
      <c r="BL22" s="10"/>
    </row>
    <row r="23" spans="1:64" ht="15" customHeight="1" x14ac:dyDescent="0.3">
      <c r="A23" s="796" t="str">
        <f t="shared" si="2"/>
        <v>Pokr.boj s jednoruč. meči</v>
      </c>
      <c r="B23" s="366"/>
      <c r="C23" s="367" t="str">
        <f>IFERROR(HLOOKUP(CONCATENATE("P",IFERROR(HLOOKUP('3-Schopnosti'!$S$38,'3-Schopnosti'!$R$38:$S$55,MATCH(B23,'3-Schopnosti'!$R$38:$R$55,0),FALSE),0)),$X$6:$AP$120,MATCH(A23,$X$6:$X$120,0),FALSE)," ")</f>
        <v>X</v>
      </c>
      <c r="D23" s="366">
        <f t="shared" si="0"/>
        <v>6</v>
      </c>
      <c r="E23" s="585" t="str">
        <f t="shared" si="1"/>
        <v>NE</v>
      </c>
      <c r="F23" s="365">
        <f t="shared" si="3"/>
        <v>0</v>
      </c>
      <c r="G23" s="366"/>
      <c r="H23" s="367" t="str">
        <f>IFERROR(HLOOKUP(CONCATENATE("P",IFERROR(HLOOKUP('3-Schopnosti'!$S$38,'3-Schopnosti'!$R$38:$S$55,MATCH(G23,'3-Schopnosti'!$R$38:$R$55,0),FALSE),0)),$AS$6:$BL$120,MATCH(F23,$AS$6:$AS$120,0),FALSE)," ")</f>
        <v xml:space="preserve"> </v>
      </c>
      <c r="I23" s="366" t="str">
        <f t="shared" si="4"/>
        <v xml:space="preserve"> </v>
      </c>
      <c r="J23" s="585" t="str">
        <f t="shared" si="5"/>
        <v xml:space="preserve"> </v>
      </c>
      <c r="L23" s="483">
        <f>IF(E23="ANO",0,IFERROR(HLOOKUP('3-Schopnosti'!$S$38,'3-Schopnosti'!$R$38:$S$55,MATCH(B23,'3-Schopnosti'!$R$38:$R$55,0),FALSE),0))</f>
        <v>0</v>
      </c>
      <c r="M23" s="483">
        <f>IF(J23="ANO",0,IFERROR(HLOOKUP('3-Schopnosti'!$S$38,'3-Schopnosti'!$R$38:$S$55,MATCH(G23,'3-Schopnosti'!$R$38:$R$55,0),FALSE),0))</f>
        <v>0</v>
      </c>
      <c r="U23" s="233" t="s">
        <v>3115</v>
      </c>
      <c r="V23" s="233" t="s">
        <v>3115</v>
      </c>
      <c r="X23" s="583" t="s">
        <v>3033</v>
      </c>
      <c r="Y23" s="591">
        <v>2</v>
      </c>
      <c r="Z23" s="583" t="s">
        <v>1256</v>
      </c>
      <c r="AA23" s="583" t="s">
        <v>1510</v>
      </c>
      <c r="AB23" s="593" t="s">
        <v>3034</v>
      </c>
      <c r="AC23" s="593" t="s">
        <v>3035</v>
      </c>
      <c r="AD23" s="593" t="s">
        <v>3036</v>
      </c>
      <c r="AE23" s="593" t="s">
        <v>3038</v>
      </c>
      <c r="AF23" s="593" t="s">
        <v>3037</v>
      </c>
      <c r="AG23" s="237" t="s">
        <v>410</v>
      </c>
      <c r="AH23" s="237" t="s">
        <v>410</v>
      </c>
      <c r="AI23" s="237" t="s">
        <v>410</v>
      </c>
      <c r="AJ23" s="237" t="s">
        <v>410</v>
      </c>
      <c r="AK23" s="237" t="s">
        <v>410</v>
      </c>
      <c r="AL23" s="237" t="s">
        <v>410</v>
      </c>
      <c r="AM23" s="237" t="s">
        <v>410</v>
      </c>
      <c r="AN23" s="237" t="s">
        <v>410</v>
      </c>
      <c r="AO23" s="237" t="s">
        <v>410</v>
      </c>
      <c r="AP23" s="10" t="s">
        <v>410</v>
      </c>
      <c r="AQ23" s="10" t="s">
        <v>410</v>
      </c>
      <c r="AS23" s="583"/>
      <c r="AT23" s="591"/>
      <c r="AU23" s="583"/>
      <c r="AV23" s="583"/>
      <c r="AW23" s="592"/>
      <c r="AX23" s="593"/>
      <c r="AY23" s="593"/>
      <c r="AZ23" s="593"/>
      <c r="BA23" s="593"/>
      <c r="BB23" s="593"/>
      <c r="BC23" s="237"/>
      <c r="BD23" s="237"/>
      <c r="BE23" s="237"/>
      <c r="BF23" s="237"/>
      <c r="BG23" s="237"/>
      <c r="BH23" s="237"/>
      <c r="BI23" s="237"/>
      <c r="BJ23" s="237"/>
      <c r="BK23" s="10"/>
      <c r="BL23" s="10"/>
    </row>
    <row r="24" spans="1:64" ht="15" customHeight="1" x14ac:dyDescent="0.3">
      <c r="A24" s="796" t="str">
        <f t="shared" si="2"/>
        <v>Pokročilá lukostřelba</v>
      </c>
      <c r="B24" s="366"/>
      <c r="C24" s="367" t="str">
        <f>IFERROR(HLOOKUP(CONCATENATE("P",IFERROR(HLOOKUP('3-Schopnosti'!$S$38,'3-Schopnosti'!$R$38:$S$55,MATCH(B24,'3-Schopnosti'!$R$38:$R$55,0),FALSE),0)),$X$6:$AP$120,MATCH(A24,$X$6:$X$120,0),FALSE)," ")</f>
        <v>X</v>
      </c>
      <c r="D24" s="366">
        <f t="shared" si="0"/>
        <v>6</v>
      </c>
      <c r="E24" s="585" t="str">
        <f t="shared" si="1"/>
        <v>NE</v>
      </c>
      <c r="F24" s="365">
        <f t="shared" si="3"/>
        <v>0</v>
      </c>
      <c r="G24" s="366"/>
      <c r="H24" s="367" t="str">
        <f>IFERROR(HLOOKUP(CONCATENATE("P",IFERROR(HLOOKUP('3-Schopnosti'!$S$38,'3-Schopnosti'!$R$38:$S$55,MATCH(G24,'3-Schopnosti'!$R$38:$R$55,0),FALSE),0)),$AS$6:$BL$120,MATCH(F24,$AS$6:$AS$120,0),FALSE)," ")</f>
        <v xml:space="preserve"> </v>
      </c>
      <c r="I24" s="366" t="str">
        <f t="shared" si="4"/>
        <v xml:space="preserve"> </v>
      </c>
      <c r="J24" s="585" t="str">
        <f t="shared" si="5"/>
        <v xml:space="preserve"> </v>
      </c>
      <c r="L24" s="483">
        <f>IF(E24="ANO",0,IFERROR(HLOOKUP('3-Schopnosti'!$S$38,'3-Schopnosti'!$R$38:$S$55,MATCH(B24,'3-Schopnosti'!$R$38:$R$55,0),FALSE),0))</f>
        <v>0</v>
      </c>
      <c r="M24" s="483">
        <f>IF(J24="ANO",0,IFERROR(HLOOKUP('3-Schopnosti'!$S$38,'3-Schopnosti'!$R$38:$S$55,MATCH(G24,'3-Schopnosti'!$R$38:$R$55,0),FALSE),0))</f>
        <v>0</v>
      </c>
      <c r="U24" s="233" t="s">
        <v>3116</v>
      </c>
      <c r="V24" s="233" t="s">
        <v>3115</v>
      </c>
      <c r="X24" s="583" t="s">
        <v>1992</v>
      </c>
      <c r="Y24" s="591">
        <v>3</v>
      </c>
      <c r="Z24" s="583" t="s">
        <v>1256</v>
      </c>
      <c r="AA24" s="583" t="s">
        <v>1510</v>
      </c>
      <c r="AB24" s="593" t="s">
        <v>410</v>
      </c>
      <c r="AC24" s="593" t="s">
        <v>2319</v>
      </c>
      <c r="AD24" s="593" t="s">
        <v>3395</v>
      </c>
      <c r="AE24" s="593" t="s">
        <v>3398</v>
      </c>
      <c r="AF24" s="593" t="s">
        <v>3399</v>
      </c>
      <c r="AG24" s="593" t="s">
        <v>3400</v>
      </c>
      <c r="AH24" s="593" t="s">
        <v>3401</v>
      </c>
      <c r="AI24" s="593" t="s">
        <v>3402</v>
      </c>
      <c r="AJ24" s="593" t="s">
        <v>3403</v>
      </c>
      <c r="AK24" s="593" t="s">
        <v>2320</v>
      </c>
      <c r="AL24" s="593" t="s">
        <v>2321</v>
      </c>
      <c r="AM24" s="237" t="s">
        <v>410</v>
      </c>
      <c r="AN24" s="237" t="s">
        <v>410</v>
      </c>
      <c r="AO24" s="237" t="s">
        <v>410</v>
      </c>
      <c r="AP24" s="237" t="s">
        <v>410</v>
      </c>
      <c r="AQ24" s="237" t="s">
        <v>410</v>
      </c>
      <c r="AS24" s="583"/>
      <c r="AT24" s="591"/>
      <c r="AU24" s="588"/>
      <c r="AV24" s="588"/>
      <c r="AW24" s="589"/>
      <c r="AX24" s="593"/>
      <c r="AY24" s="593"/>
      <c r="AZ24" s="593"/>
      <c r="BA24" s="237"/>
      <c r="BB24" s="237"/>
      <c r="BC24" s="237"/>
      <c r="BD24" s="237"/>
      <c r="BE24" s="237"/>
      <c r="BF24" s="237"/>
      <c r="BG24" s="237"/>
      <c r="BH24" s="237"/>
      <c r="BI24" s="237"/>
      <c r="BJ24" s="237"/>
      <c r="BK24" s="237"/>
      <c r="BL24" s="237"/>
    </row>
    <row r="25" spans="1:64" ht="15" customHeight="1" x14ac:dyDescent="0.3">
      <c r="A25" s="796" t="str">
        <f t="shared" si="2"/>
        <v>Telekineze</v>
      </c>
      <c r="B25" s="366"/>
      <c r="C25" s="367" t="str">
        <f>IFERROR(HLOOKUP(CONCATENATE("P",IFERROR(HLOOKUP('3-Schopnosti'!$S$38,'3-Schopnosti'!$R$38:$S$55,MATCH(B25,'3-Schopnosti'!$R$38:$R$55,0),FALSE),0)),$X$6:$AP$120,MATCH(A25,$X$6:$X$120,0),FALSE)," ")</f>
        <v>X</v>
      </c>
      <c r="D25" s="366">
        <f t="shared" si="0"/>
        <v>6</v>
      </c>
      <c r="E25" s="585" t="str">
        <f t="shared" si="1"/>
        <v>NE</v>
      </c>
      <c r="F25" s="365">
        <f t="shared" si="3"/>
        <v>0</v>
      </c>
      <c r="G25" s="366"/>
      <c r="H25" s="367" t="str">
        <f>IFERROR(HLOOKUP(CONCATENATE("P",IFERROR(HLOOKUP('3-Schopnosti'!$S$38,'3-Schopnosti'!$R$38:$S$55,MATCH(G25,'3-Schopnosti'!$R$38:$R$55,0),FALSE),0)),$AS$6:$BL$120,MATCH(F25,$AS$6:$AS$120,0),FALSE)," ")</f>
        <v xml:space="preserve"> </v>
      </c>
      <c r="I25" s="366" t="str">
        <f t="shared" si="4"/>
        <v xml:space="preserve"> </v>
      </c>
      <c r="J25" s="585" t="str">
        <f t="shared" si="5"/>
        <v xml:space="preserve"> </v>
      </c>
      <c r="L25" s="483">
        <f>IF(E25="ANO",0,IFERROR(HLOOKUP('3-Schopnosti'!$S$38,'3-Schopnosti'!$R$38:$S$55,MATCH(B25,'3-Schopnosti'!$R$38:$R$55,0),FALSE),0))</f>
        <v>0</v>
      </c>
      <c r="M25" s="483">
        <f>IF(J25="ANO",0,IFERROR(HLOOKUP('3-Schopnosti'!$S$38,'3-Schopnosti'!$R$38:$S$55,MATCH(G25,'3-Schopnosti'!$R$38:$R$55,0),FALSE),0))</f>
        <v>0</v>
      </c>
      <c r="U25" s="233" t="s">
        <v>180</v>
      </c>
      <c r="V25" s="233" t="s">
        <v>180</v>
      </c>
      <c r="X25" s="583" t="s">
        <v>1489</v>
      </c>
      <c r="Y25" s="591">
        <v>6</v>
      </c>
      <c r="Z25" s="588" t="s">
        <v>1256</v>
      </c>
      <c r="AA25" s="588" t="s">
        <v>1510</v>
      </c>
      <c r="AB25" s="589" t="s">
        <v>410</v>
      </c>
      <c r="AC25" s="590" t="s">
        <v>3117</v>
      </c>
      <c r="AD25" s="590" t="s">
        <v>3118</v>
      </c>
      <c r="AE25" s="590" t="s">
        <v>3179</v>
      </c>
      <c r="AF25" s="590" t="s">
        <v>3180</v>
      </c>
      <c r="AG25" s="590" t="s">
        <v>3181</v>
      </c>
      <c r="AH25" s="590" t="s">
        <v>3178</v>
      </c>
      <c r="AI25" s="441" t="s">
        <v>410</v>
      </c>
      <c r="AJ25" s="441" t="s">
        <v>410</v>
      </c>
      <c r="AK25" s="441" t="s">
        <v>410</v>
      </c>
      <c r="AL25" s="441" t="s">
        <v>410</v>
      </c>
      <c r="AM25" s="441" t="s">
        <v>410</v>
      </c>
      <c r="AN25" s="441" t="s">
        <v>410</v>
      </c>
      <c r="AO25" s="441" t="s">
        <v>410</v>
      </c>
      <c r="AP25" s="441" t="s">
        <v>410</v>
      </c>
      <c r="AQ25" s="441" t="s">
        <v>410</v>
      </c>
      <c r="AS25" s="583"/>
      <c r="AT25" s="591"/>
      <c r="AU25" s="583"/>
      <c r="AV25" s="583"/>
      <c r="AW25" s="592"/>
      <c r="AX25" s="593"/>
      <c r="AY25" s="593"/>
      <c r="AZ25" s="593"/>
      <c r="BA25" s="593"/>
      <c r="BB25" s="593"/>
      <c r="BC25" s="237"/>
      <c r="BD25" s="237"/>
      <c r="BE25" s="237"/>
      <c r="BF25" s="237"/>
      <c r="BG25" s="237"/>
      <c r="BH25" s="237"/>
      <c r="BI25" s="237"/>
      <c r="BJ25" s="237"/>
      <c r="BK25" s="10"/>
      <c r="BL25" s="10"/>
    </row>
    <row r="26" spans="1:64" ht="15" customHeight="1" x14ac:dyDescent="0.3">
      <c r="A26" s="796" t="str">
        <f t="shared" si="2"/>
        <v>Telepatie</v>
      </c>
      <c r="B26" s="366"/>
      <c r="C26" s="367" t="str">
        <f>IFERROR(HLOOKUP(CONCATENATE("P",IFERROR(HLOOKUP('3-Schopnosti'!$S$38,'3-Schopnosti'!$R$38:$S$55,MATCH(B26,'3-Schopnosti'!$R$38:$R$55,0),FALSE),0)),$X$6:$AP$120,MATCH(A26,$X$6:$X$120,0),FALSE)," ")</f>
        <v>X</v>
      </c>
      <c r="D26" s="366">
        <f t="shared" si="0"/>
        <v>6</v>
      </c>
      <c r="E26" s="585" t="str">
        <f t="shared" si="1"/>
        <v>NE</v>
      </c>
      <c r="F26" s="365">
        <f t="shared" si="3"/>
        <v>0</v>
      </c>
      <c r="G26" s="366"/>
      <c r="H26" s="367" t="str">
        <f>IFERROR(HLOOKUP(CONCATENATE("P",IFERROR(HLOOKUP('3-Schopnosti'!$S$38,'3-Schopnosti'!$R$38:$S$55,MATCH(G26,'3-Schopnosti'!$R$38:$R$55,0),FALSE),0)),$AS$6:$BL$120,MATCH(F26,$AS$6:$AS$120,0),FALSE)," ")</f>
        <v xml:space="preserve"> </v>
      </c>
      <c r="I26" s="366" t="str">
        <f t="shared" si="4"/>
        <v xml:space="preserve"> </v>
      </c>
      <c r="J26" s="585" t="str">
        <f t="shared" si="5"/>
        <v xml:space="preserve"> </v>
      </c>
      <c r="L26" s="483">
        <f>IF(E26="ANO",0,IFERROR(HLOOKUP('3-Schopnosti'!$S$38,'3-Schopnosti'!$R$38:$S$55,MATCH(B26,'3-Schopnosti'!$R$38:$R$55,0),FALSE),0))</f>
        <v>0</v>
      </c>
      <c r="M26" s="483">
        <f>IF(J26="ANO",0,IFERROR(HLOOKUP('3-Schopnosti'!$S$38,'3-Schopnosti'!$R$38:$S$55,MATCH(G26,'3-Schopnosti'!$R$38:$R$55,0),FALSE),0))</f>
        <v>0</v>
      </c>
      <c r="U26" s="233" t="s">
        <v>1011</v>
      </c>
      <c r="V26" s="233" t="s">
        <v>257</v>
      </c>
      <c r="X26" s="583" t="s">
        <v>1774</v>
      </c>
      <c r="Y26" s="591">
        <v>6</v>
      </c>
      <c r="Z26" s="583" t="s">
        <v>1256</v>
      </c>
      <c r="AA26" s="583" t="s">
        <v>1510</v>
      </c>
      <c r="AB26" s="592" t="s">
        <v>410</v>
      </c>
      <c r="AC26" s="593" t="s">
        <v>67</v>
      </c>
      <c r="AD26" s="593" t="s">
        <v>3159</v>
      </c>
      <c r="AE26" s="593" t="s">
        <v>3160</v>
      </c>
      <c r="AF26" s="593" t="s">
        <v>3274</v>
      </c>
      <c r="AG26" s="237" t="s">
        <v>410</v>
      </c>
      <c r="AH26" s="237" t="s">
        <v>410</v>
      </c>
      <c r="AI26" s="237" t="s">
        <v>410</v>
      </c>
      <c r="AJ26" s="237" t="s">
        <v>410</v>
      </c>
      <c r="AK26" s="237" t="s">
        <v>410</v>
      </c>
      <c r="AL26" s="237" t="s">
        <v>410</v>
      </c>
      <c r="AM26" s="237" t="s">
        <v>410</v>
      </c>
      <c r="AN26" s="237" t="s">
        <v>410</v>
      </c>
      <c r="AO26" s="237" t="s">
        <v>410</v>
      </c>
      <c r="AP26" s="10" t="s">
        <v>410</v>
      </c>
      <c r="AQ26" s="10" t="s">
        <v>410</v>
      </c>
      <c r="AS26" s="583"/>
      <c r="AT26" s="591"/>
      <c r="AU26" s="583"/>
      <c r="AV26" s="583"/>
      <c r="AW26" s="592"/>
      <c r="AX26" s="854"/>
      <c r="AY26" s="854"/>
      <c r="AZ26" s="854"/>
      <c r="BA26" s="854"/>
      <c r="BB26" s="854"/>
      <c r="BC26" s="237"/>
      <c r="BD26" s="237"/>
      <c r="BE26" s="237"/>
      <c r="BF26" s="237"/>
      <c r="BG26" s="237"/>
      <c r="BH26" s="237"/>
      <c r="BI26" s="237"/>
      <c r="BJ26" s="237"/>
      <c r="BK26" s="10"/>
      <c r="BL26" s="10"/>
    </row>
    <row r="27" spans="1:64" ht="15" customHeight="1" x14ac:dyDescent="0.3">
      <c r="A27" s="796" t="str">
        <f t="shared" si="2"/>
        <v>Zaklínačské elixíry</v>
      </c>
      <c r="B27" s="366"/>
      <c r="C27" s="367" t="str">
        <f>IFERROR(HLOOKUP(CONCATENATE("P",IFERROR(HLOOKUP('3-Schopnosti'!$S$38,'3-Schopnosti'!$R$38:$S$55,MATCH(B27,'3-Schopnosti'!$R$38:$R$55,0),FALSE),0)),$X$6:$AP$120,MATCH(A27,$X$6:$X$120,0),FALSE)," ")</f>
        <v>X</v>
      </c>
      <c r="D27" s="366">
        <f t="shared" si="0"/>
        <v>6</v>
      </c>
      <c r="E27" s="585" t="str">
        <f t="shared" si="1"/>
        <v>NE</v>
      </c>
      <c r="F27" s="365">
        <f t="shared" si="3"/>
        <v>0</v>
      </c>
      <c r="G27" s="366"/>
      <c r="H27" s="367" t="str">
        <f>IFERROR(HLOOKUP(CONCATENATE("P",IFERROR(HLOOKUP('3-Schopnosti'!$S$38,'3-Schopnosti'!$R$38:$S$55,MATCH(G27,'3-Schopnosti'!$R$38:$R$55,0),FALSE),0)),$AS$6:$BL$120,MATCH(F27,$AS$6:$AS$120,0),FALSE)," ")</f>
        <v xml:space="preserve"> </v>
      </c>
      <c r="I27" s="366" t="str">
        <f t="shared" si="4"/>
        <v xml:space="preserve"> </v>
      </c>
      <c r="J27" s="585" t="str">
        <f t="shared" si="5"/>
        <v xml:space="preserve"> </v>
      </c>
      <c r="L27" s="483">
        <f>IF(E27="ANO",0,IFERROR(HLOOKUP('3-Schopnosti'!$S$38,'3-Schopnosti'!$R$38:$S$55,MATCH(B27,'3-Schopnosti'!$R$38:$R$55,0),FALSE),0))</f>
        <v>0</v>
      </c>
      <c r="M27" s="483">
        <f>IF(J27="ANO",0,IFERROR(HLOOKUP('3-Schopnosti'!$S$38,'3-Schopnosti'!$R$38:$S$55,MATCH(G27,'3-Schopnosti'!$R$38:$R$55,0),FALSE),0))</f>
        <v>0</v>
      </c>
      <c r="U27" s="233" t="s">
        <v>257</v>
      </c>
      <c r="V27" s="233" t="s">
        <v>257</v>
      </c>
      <c r="X27" s="583" t="s">
        <v>1846</v>
      </c>
      <c r="Y27" s="591">
        <v>6</v>
      </c>
      <c r="Z27" s="583" t="s">
        <v>1256</v>
      </c>
      <c r="AA27" s="583" t="s">
        <v>1510</v>
      </c>
      <c r="AB27" s="592" t="s">
        <v>410</v>
      </c>
      <c r="AC27" s="593" t="s">
        <v>1591</v>
      </c>
      <c r="AD27" s="593" t="s">
        <v>1847</v>
      </c>
      <c r="AE27" s="593" t="s">
        <v>3198</v>
      </c>
      <c r="AF27" s="593" t="s">
        <v>1841</v>
      </c>
      <c r="AG27" s="593" t="s">
        <v>1842</v>
      </c>
      <c r="AH27" s="237" t="s">
        <v>410</v>
      </c>
      <c r="AI27" s="237" t="s">
        <v>410</v>
      </c>
      <c r="AJ27" s="237" t="s">
        <v>410</v>
      </c>
      <c r="AK27" s="237" t="s">
        <v>410</v>
      </c>
      <c r="AL27" s="237" t="s">
        <v>410</v>
      </c>
      <c r="AM27" s="237" t="s">
        <v>410</v>
      </c>
      <c r="AN27" s="237" t="s">
        <v>410</v>
      </c>
      <c r="AO27" s="237" t="s">
        <v>410</v>
      </c>
      <c r="AP27" s="10" t="s">
        <v>410</v>
      </c>
      <c r="AQ27" s="10" t="s">
        <v>410</v>
      </c>
      <c r="AS27" s="583"/>
      <c r="AT27" s="591"/>
      <c r="AU27" s="583"/>
      <c r="AV27" s="583"/>
      <c r="AW27" s="593"/>
      <c r="AX27" s="856"/>
      <c r="AY27" s="856"/>
      <c r="AZ27" s="856"/>
      <c r="BA27" s="854"/>
      <c r="BB27" s="237"/>
      <c r="BC27" s="237"/>
      <c r="BD27" s="237"/>
      <c r="BE27" s="237"/>
      <c r="BF27" s="237"/>
      <c r="BG27" s="237"/>
      <c r="BH27" s="237"/>
      <c r="BI27" s="237"/>
      <c r="BJ27" s="237"/>
      <c r="BK27" s="237"/>
      <c r="BL27" s="237"/>
    </row>
    <row r="28" spans="1:64" ht="15" customHeight="1" x14ac:dyDescent="0.3">
      <c r="A28" s="796" t="str">
        <f t="shared" si="2"/>
        <v>Zostřené smysly</v>
      </c>
      <c r="B28" s="366"/>
      <c r="C28" s="367" t="str">
        <f>IFERROR(HLOOKUP(CONCATENATE("P",IFERROR(HLOOKUP('3-Schopnosti'!$S$38,'3-Schopnosti'!$R$38:$S$55,MATCH(B28,'3-Schopnosti'!$R$38:$R$55,0),FALSE),0)),$X$6:$AP$120,MATCH(A28,$X$6:$X$120,0),FALSE)," ")</f>
        <v>X</v>
      </c>
      <c r="D28" s="366">
        <f t="shared" si="0"/>
        <v>6</v>
      </c>
      <c r="E28" s="585" t="str">
        <f t="shared" si="1"/>
        <v>NE</v>
      </c>
      <c r="F28" s="365">
        <f t="shared" si="3"/>
        <v>0</v>
      </c>
      <c r="G28" s="366"/>
      <c r="H28" s="367" t="str">
        <f>IFERROR(HLOOKUP(CONCATENATE("P",IFERROR(HLOOKUP('3-Schopnosti'!$S$38,'3-Schopnosti'!$R$38:$S$55,MATCH(G28,'3-Schopnosti'!$R$38:$R$55,0),FALSE),0)),$AS$6:$BL$120,MATCH(F28,$AS$6:$AS$120,0),FALSE)," ")</f>
        <v xml:space="preserve"> </v>
      </c>
      <c r="I28" s="366" t="str">
        <f t="shared" si="4"/>
        <v xml:space="preserve"> </v>
      </c>
      <c r="J28" s="585" t="str">
        <f t="shared" si="5"/>
        <v xml:space="preserve"> </v>
      </c>
      <c r="L28" s="483">
        <f>IF(E28="ANO",0,IFERROR(HLOOKUP('3-Schopnosti'!$S$38,'3-Schopnosti'!$R$38:$S$55,MATCH(B28,'3-Schopnosti'!$R$38:$R$55,0),FALSE),0))</f>
        <v>0</v>
      </c>
      <c r="M28" s="483">
        <f>IF(J28="ANO",0,IFERROR(HLOOKUP('3-Schopnosti'!$S$38,'3-Schopnosti'!$R$38:$S$55,MATCH(G28,'3-Schopnosti'!$R$38:$R$55,0),FALSE),0))</f>
        <v>0</v>
      </c>
      <c r="U28" s="233" t="s">
        <v>261</v>
      </c>
      <c r="V28" s="233" t="s">
        <v>261</v>
      </c>
      <c r="X28" s="583" t="s">
        <v>5505</v>
      </c>
      <c r="Y28" s="591">
        <v>6</v>
      </c>
      <c r="Z28" s="583" t="s">
        <v>1256</v>
      </c>
      <c r="AA28" s="583" t="s">
        <v>1510</v>
      </c>
      <c r="AB28" s="592" t="s">
        <v>410</v>
      </c>
      <c r="AC28" s="593" t="s">
        <v>3126</v>
      </c>
      <c r="AD28" s="593" t="s">
        <v>3127</v>
      </c>
      <c r="AE28" s="593" t="s">
        <v>3128</v>
      </c>
      <c r="AF28" s="593" t="s">
        <v>3129</v>
      </c>
      <c r="AG28" s="593" t="s">
        <v>3130</v>
      </c>
      <c r="AH28" s="237" t="s">
        <v>410</v>
      </c>
      <c r="AI28" s="237" t="s">
        <v>410</v>
      </c>
      <c r="AJ28" s="237" t="s">
        <v>410</v>
      </c>
      <c r="AK28" s="237" t="s">
        <v>410</v>
      </c>
      <c r="AL28" s="237" t="s">
        <v>410</v>
      </c>
      <c r="AM28" s="237" t="s">
        <v>410</v>
      </c>
      <c r="AN28" s="237" t="s">
        <v>410</v>
      </c>
      <c r="AO28" s="237" t="s">
        <v>410</v>
      </c>
      <c r="AP28" s="10" t="s">
        <v>410</v>
      </c>
      <c r="AQ28" s="10" t="s">
        <v>410</v>
      </c>
      <c r="AS28" s="583"/>
      <c r="AT28" s="591"/>
      <c r="AU28" s="588"/>
      <c r="AV28" s="588"/>
      <c r="AW28" s="589"/>
      <c r="AX28" s="590"/>
      <c r="AY28" s="590"/>
      <c r="AZ28" s="590"/>
      <c r="BA28" s="590"/>
      <c r="BB28" s="590"/>
      <c r="BC28" s="441"/>
      <c r="BD28" s="441"/>
      <c r="BE28" s="441"/>
      <c r="BF28" s="441"/>
      <c r="BG28" s="441"/>
      <c r="BH28" s="441"/>
      <c r="BI28" s="441"/>
      <c r="BJ28" s="441"/>
      <c r="BK28" s="441"/>
      <c r="BL28" s="441"/>
    </row>
    <row r="29" spans="1:64" ht="15" customHeight="1" x14ac:dyDescent="0.3">
      <c r="A29" s="796" t="str">
        <f t="shared" si="2"/>
        <v>Boj s netvory</v>
      </c>
      <c r="B29" s="366"/>
      <c r="C29" s="367" t="str">
        <f>IFERROR(HLOOKUP(CONCATENATE("P",IFERROR(HLOOKUP('3-Schopnosti'!$S$38,'3-Schopnosti'!$R$38:$S$55,MATCH(B29,'3-Schopnosti'!$R$38:$R$55,0),FALSE),0)),$X$6:$AP$120,MATCH(A29,$X$6:$X$120,0),FALSE)," ")</f>
        <v>X</v>
      </c>
      <c r="D29" s="366">
        <f t="shared" si="0"/>
        <v>11</v>
      </c>
      <c r="E29" s="585" t="str">
        <f t="shared" si="1"/>
        <v>NE</v>
      </c>
      <c r="F29" s="365">
        <f t="shared" si="3"/>
        <v>0</v>
      </c>
      <c r="G29" s="366"/>
      <c r="H29" s="367" t="str">
        <f>IFERROR(HLOOKUP(CONCATENATE("P",IFERROR(HLOOKUP('3-Schopnosti'!$S$38,'3-Schopnosti'!$R$38:$S$55,MATCH(G29,'3-Schopnosti'!$R$38:$R$55,0),FALSE),0)),$AS$6:$BL$120,MATCH(F29,$AS$6:$AS$120,0),FALSE)," ")</f>
        <v xml:space="preserve"> </v>
      </c>
      <c r="I29" s="366" t="str">
        <f t="shared" si="4"/>
        <v xml:space="preserve"> </v>
      </c>
      <c r="J29" s="585" t="str">
        <f t="shared" si="5"/>
        <v xml:space="preserve"> </v>
      </c>
      <c r="L29" s="483">
        <f>IF(E29="ANO",0,IFERROR(HLOOKUP('3-Schopnosti'!$S$38,'3-Schopnosti'!$R$38:$S$55,MATCH(B29,'3-Schopnosti'!$R$38:$R$55,0),FALSE),0))</f>
        <v>0</v>
      </c>
      <c r="M29" s="483">
        <f>IF(J29="ANO",0,IFERROR(HLOOKUP('3-Schopnosti'!$S$38,'3-Schopnosti'!$R$38:$S$55,MATCH(G29,'3-Schopnosti'!$R$38:$R$55,0),FALSE),0))</f>
        <v>0</v>
      </c>
      <c r="U29" s="233" t="s">
        <v>1012</v>
      </c>
      <c r="V29" s="233" t="s">
        <v>261</v>
      </c>
      <c r="X29" s="583" t="s">
        <v>1922</v>
      </c>
      <c r="Y29" s="591">
        <v>6</v>
      </c>
      <c r="Z29" s="583" t="s">
        <v>1256</v>
      </c>
      <c r="AA29" s="583" t="s">
        <v>1510</v>
      </c>
      <c r="AB29" s="592" t="s">
        <v>410</v>
      </c>
      <c r="AC29" s="593" t="s">
        <v>107</v>
      </c>
      <c r="AD29" s="593" t="s">
        <v>1924</v>
      </c>
      <c r="AE29" s="593" t="s">
        <v>1925</v>
      </c>
      <c r="AF29" s="593" t="s">
        <v>3154</v>
      </c>
      <c r="AG29" s="593" t="s">
        <v>3155</v>
      </c>
      <c r="AH29" s="237" t="s">
        <v>410</v>
      </c>
      <c r="AI29" s="237" t="s">
        <v>410</v>
      </c>
      <c r="AJ29" s="237" t="s">
        <v>410</v>
      </c>
      <c r="AK29" s="237" t="s">
        <v>410</v>
      </c>
      <c r="AL29" s="237" t="s">
        <v>410</v>
      </c>
      <c r="AM29" s="237" t="s">
        <v>410</v>
      </c>
      <c r="AN29" s="237" t="s">
        <v>410</v>
      </c>
      <c r="AO29" s="237" t="s">
        <v>410</v>
      </c>
      <c r="AP29" s="10" t="s">
        <v>410</v>
      </c>
      <c r="AQ29" s="10" t="s">
        <v>410</v>
      </c>
      <c r="AS29" s="583"/>
      <c r="AT29" s="591"/>
      <c r="AU29" s="588"/>
      <c r="AV29" s="588"/>
      <c r="AW29" s="441"/>
      <c r="AX29" s="590"/>
      <c r="AY29" s="426"/>
      <c r="AZ29" s="426"/>
      <c r="BA29" s="426"/>
      <c r="BB29" s="426"/>
      <c r="BC29" s="426"/>
      <c r="BD29" s="441"/>
      <c r="BE29" s="441"/>
      <c r="BF29" s="441"/>
      <c r="BG29" s="441"/>
      <c r="BH29" s="441"/>
      <c r="BI29" s="441"/>
      <c r="BJ29" s="441"/>
      <c r="BK29" s="441"/>
      <c r="BL29" s="441"/>
    </row>
    <row r="30" spans="1:64" ht="15" customHeight="1" x14ac:dyDescent="0.3">
      <c r="A30" s="796" t="str">
        <f t="shared" si="2"/>
        <v>Komunikace se zvířaty</v>
      </c>
      <c r="B30" s="366"/>
      <c r="C30" s="367" t="str">
        <f>IFERROR(HLOOKUP(CONCATENATE("P",IFERROR(HLOOKUP('3-Schopnosti'!$S$38,'3-Schopnosti'!$R$38:$S$55,MATCH(B30,'3-Schopnosti'!$R$38:$R$55,0),FALSE),0)),$X$6:$AP$120,MATCH(A30,$X$6:$X$120,0),FALSE)," ")</f>
        <v>X</v>
      </c>
      <c r="D30" s="366">
        <f t="shared" si="0"/>
        <v>11</v>
      </c>
      <c r="E30" s="585" t="str">
        <f t="shared" si="1"/>
        <v>NE</v>
      </c>
      <c r="F30" s="365">
        <f t="shared" si="3"/>
        <v>0</v>
      </c>
      <c r="G30" s="366"/>
      <c r="H30" s="367" t="str">
        <f>IFERROR(HLOOKUP(CONCATENATE("P",IFERROR(HLOOKUP('3-Schopnosti'!$S$38,'3-Schopnosti'!$R$38:$S$55,MATCH(G30,'3-Schopnosti'!$R$38:$R$55,0),FALSE),0)),$AS$6:$BL$120,MATCH(F30,$AS$6:$AS$120,0),FALSE)," ")</f>
        <v xml:space="preserve"> </v>
      </c>
      <c r="I30" s="366" t="str">
        <f t="shared" si="4"/>
        <v xml:space="preserve"> </v>
      </c>
      <c r="J30" s="585" t="str">
        <f t="shared" si="5"/>
        <v xml:space="preserve"> </v>
      </c>
      <c r="L30" s="483">
        <f>IF(E30="ANO",0,IFERROR(HLOOKUP('3-Schopnosti'!$S$38,'3-Schopnosti'!$R$38:$S$55,MATCH(B30,'3-Schopnosti'!$R$38:$R$55,0),FALSE),0))</f>
        <v>0</v>
      </c>
      <c r="M30" s="483">
        <f>IF(J30="ANO",0,IFERROR(HLOOKUP('3-Schopnosti'!$S$38,'3-Schopnosti'!$R$38:$S$55,MATCH(G30,'3-Schopnosti'!$R$38:$R$55,0),FALSE),0))</f>
        <v>0</v>
      </c>
      <c r="U30" s="233" t="s">
        <v>1059</v>
      </c>
      <c r="V30" s="233" t="s">
        <v>270</v>
      </c>
      <c r="X30" s="583" t="s">
        <v>1926</v>
      </c>
      <c r="Y30" s="591">
        <v>6</v>
      </c>
      <c r="Z30" s="583" t="s">
        <v>1256</v>
      </c>
      <c r="AA30" s="583" t="s">
        <v>1510</v>
      </c>
      <c r="AB30" s="592" t="s">
        <v>410</v>
      </c>
      <c r="AC30" s="593" t="s">
        <v>1829</v>
      </c>
      <c r="AD30" s="593" t="s">
        <v>3156</v>
      </c>
      <c r="AE30" s="593" t="s">
        <v>1927</v>
      </c>
      <c r="AF30" s="593" t="s">
        <v>3157</v>
      </c>
      <c r="AG30" s="593" t="s">
        <v>3158</v>
      </c>
      <c r="AH30" s="237" t="s">
        <v>410</v>
      </c>
      <c r="AI30" s="237" t="s">
        <v>410</v>
      </c>
      <c r="AJ30" s="237" t="s">
        <v>410</v>
      </c>
      <c r="AK30" s="237" t="s">
        <v>410</v>
      </c>
      <c r="AL30" s="237" t="s">
        <v>410</v>
      </c>
      <c r="AM30" s="237" t="s">
        <v>410</v>
      </c>
      <c r="AN30" s="237" t="s">
        <v>410</v>
      </c>
      <c r="AO30" s="237" t="s">
        <v>410</v>
      </c>
      <c r="AP30" s="10" t="s">
        <v>410</v>
      </c>
      <c r="AQ30" s="10" t="s">
        <v>410</v>
      </c>
      <c r="AS30" s="583"/>
      <c r="AT30" s="591"/>
      <c r="AU30" s="588"/>
      <c r="AV30" s="588"/>
      <c r="AW30" s="589"/>
      <c r="AX30" s="593"/>
      <c r="AY30" s="593"/>
      <c r="AZ30" s="593"/>
      <c r="BA30" s="593"/>
      <c r="BB30" s="441"/>
      <c r="BC30" s="441"/>
      <c r="BD30" s="441"/>
      <c r="BE30" s="441"/>
      <c r="BF30" s="441"/>
      <c r="BG30" s="441"/>
      <c r="BH30" s="441"/>
      <c r="BI30" s="441"/>
      <c r="BJ30" s="441"/>
      <c r="BK30" s="441"/>
      <c r="BL30" s="441"/>
    </row>
    <row r="31" spans="1:64" ht="15" customHeight="1" x14ac:dyDescent="0.3">
      <c r="A31" s="796" t="str">
        <f t="shared" si="2"/>
        <v>Odhad povahy</v>
      </c>
      <c r="B31" s="366"/>
      <c r="C31" s="367" t="str">
        <f>IFERROR(HLOOKUP(CONCATENATE("P",IFERROR(HLOOKUP('3-Schopnosti'!$S$38,'3-Schopnosti'!$R$38:$S$55,MATCH(B31,'3-Schopnosti'!$R$38:$R$55,0),FALSE),0)),$X$6:$AP$120,MATCH(A31,$X$6:$X$120,0),FALSE)," ")</f>
        <v>X</v>
      </c>
      <c r="D31" s="366">
        <f t="shared" si="0"/>
        <v>11</v>
      </c>
      <c r="E31" s="585" t="str">
        <f t="shared" si="1"/>
        <v>NE</v>
      </c>
      <c r="F31" s="365">
        <f t="shared" si="3"/>
        <v>0</v>
      </c>
      <c r="G31" s="366"/>
      <c r="H31" s="367" t="str">
        <f>IFERROR(HLOOKUP(CONCATENATE("P",IFERROR(HLOOKUP('3-Schopnosti'!$S$38,'3-Schopnosti'!$R$38:$S$55,MATCH(G31,'3-Schopnosti'!$R$38:$R$55,0),FALSE),0)),$AS$6:$BL$120,MATCH(F31,$AS$6:$AS$120,0),FALSE)," ")</f>
        <v xml:space="preserve"> </v>
      </c>
      <c r="I31" s="366" t="str">
        <f t="shared" si="4"/>
        <v xml:space="preserve"> </v>
      </c>
      <c r="J31" s="585" t="str">
        <f t="shared" si="5"/>
        <v xml:space="preserve"> </v>
      </c>
      <c r="L31" s="483">
        <f>IF(E31="ANO",0,IFERROR(HLOOKUP('3-Schopnosti'!$S$38,'3-Schopnosti'!$R$38:$S$55,MATCH(B31,'3-Schopnosti'!$R$38:$R$55,0),FALSE),0))</f>
        <v>0</v>
      </c>
      <c r="M31" s="483">
        <f>IF(J31="ANO",0,IFERROR(HLOOKUP('3-Schopnosti'!$S$38,'3-Schopnosti'!$R$38:$S$55,MATCH(G31,'3-Schopnosti'!$R$38:$R$55,0),FALSE),0))</f>
        <v>0</v>
      </c>
      <c r="U31" s="233" t="s">
        <v>270</v>
      </c>
      <c r="V31" s="233" t="s">
        <v>270</v>
      </c>
      <c r="X31" s="583" t="s">
        <v>1979</v>
      </c>
      <c r="Y31" s="591">
        <v>6</v>
      </c>
      <c r="Z31" s="583" t="s">
        <v>1256</v>
      </c>
      <c r="AA31" s="583" t="s">
        <v>1510</v>
      </c>
      <c r="AB31" s="593" t="s">
        <v>410</v>
      </c>
      <c r="AC31" s="237"/>
      <c r="AD31" s="237"/>
      <c r="AE31" s="237"/>
      <c r="AF31" s="237"/>
      <c r="AG31" s="237" t="s">
        <v>410</v>
      </c>
      <c r="AH31" s="237" t="s">
        <v>410</v>
      </c>
      <c r="AI31" s="237" t="s">
        <v>410</v>
      </c>
      <c r="AJ31" s="237" t="s">
        <v>410</v>
      </c>
      <c r="AK31" s="237" t="s">
        <v>410</v>
      </c>
      <c r="AL31" s="237" t="s">
        <v>410</v>
      </c>
      <c r="AM31" s="237" t="s">
        <v>410</v>
      </c>
      <c r="AN31" s="237" t="s">
        <v>410</v>
      </c>
      <c r="AO31" s="237" t="s">
        <v>410</v>
      </c>
      <c r="AP31" s="237" t="s">
        <v>410</v>
      </c>
      <c r="AQ31" s="237" t="s">
        <v>410</v>
      </c>
      <c r="AS31" s="583"/>
      <c r="AT31" s="591"/>
      <c r="AU31" s="583"/>
      <c r="AV31" s="583"/>
      <c r="AW31" s="592"/>
      <c r="AX31" s="593"/>
      <c r="AY31" s="593"/>
      <c r="AZ31" s="593"/>
      <c r="BA31" s="593"/>
      <c r="BB31" s="593"/>
      <c r="BC31" s="593"/>
      <c r="BD31" s="237"/>
      <c r="BE31" s="237"/>
      <c r="BF31" s="237"/>
      <c r="BG31" s="237"/>
      <c r="BH31" s="237"/>
      <c r="BI31" s="237"/>
      <c r="BJ31" s="237"/>
      <c r="BK31" s="10"/>
      <c r="BL31" s="10"/>
    </row>
    <row r="32" spans="1:64" ht="15" customHeight="1" x14ac:dyDescent="0.3">
      <c r="A32" s="796" t="str">
        <f t="shared" si="2"/>
        <v>Rychlý pochod</v>
      </c>
      <c r="B32" s="366"/>
      <c r="C32" s="367" t="str">
        <f>IFERROR(HLOOKUP(CONCATENATE("P",IFERROR(HLOOKUP('3-Schopnosti'!$S$38,'3-Schopnosti'!$R$38:$S$55,MATCH(B32,'3-Schopnosti'!$R$38:$R$55,0),FALSE),0)),$X$6:$AP$120,MATCH(A32,$X$6:$X$120,0),FALSE)," ")</f>
        <v>X</v>
      </c>
      <c r="D32" s="366">
        <f t="shared" si="0"/>
        <v>11</v>
      </c>
      <c r="E32" s="585" t="str">
        <f t="shared" si="1"/>
        <v>NE</v>
      </c>
      <c r="F32" s="365">
        <f t="shared" si="3"/>
        <v>0</v>
      </c>
      <c r="G32" s="366"/>
      <c r="H32" s="367" t="str">
        <f>IFERROR(HLOOKUP(CONCATENATE("P",IFERROR(HLOOKUP('3-Schopnosti'!$S$38,'3-Schopnosti'!$R$38:$S$55,MATCH(G32,'3-Schopnosti'!$R$38:$R$55,0),FALSE),0)),$AS$6:$BL$120,MATCH(F32,$AS$6:$AS$120,0),FALSE)," ")</f>
        <v xml:space="preserve"> </v>
      </c>
      <c r="I32" s="366" t="str">
        <f t="shared" si="4"/>
        <v xml:space="preserve"> </v>
      </c>
      <c r="J32" s="585" t="str">
        <f t="shared" si="5"/>
        <v xml:space="preserve"> </v>
      </c>
      <c r="L32" s="483">
        <f>IF(E32="ANO",0,IFERROR(HLOOKUP('3-Schopnosti'!$S$38,'3-Schopnosti'!$R$38:$S$55,MATCH(B32,'3-Schopnosti'!$R$38:$R$55,0),FALSE),0))</f>
        <v>0</v>
      </c>
      <c r="M32" s="483">
        <f>IF(J32="ANO",0,IFERROR(HLOOKUP('3-Schopnosti'!$S$38,'3-Schopnosti'!$R$38:$S$55,MATCH(G32,'3-Schopnosti'!$R$38:$R$55,0),FALSE),0))</f>
        <v>0</v>
      </c>
      <c r="U32" s="233" t="s">
        <v>275</v>
      </c>
      <c r="V32" s="233" t="s">
        <v>275</v>
      </c>
      <c r="X32" s="583" t="s">
        <v>1994</v>
      </c>
      <c r="Y32" s="591">
        <v>6</v>
      </c>
      <c r="Z32" s="583" t="s">
        <v>1256</v>
      </c>
      <c r="AA32" s="583" t="s">
        <v>1510</v>
      </c>
      <c r="AB32" s="593" t="s">
        <v>410</v>
      </c>
      <c r="AC32" s="593" t="s">
        <v>67</v>
      </c>
      <c r="AD32" s="593" t="s">
        <v>3159</v>
      </c>
      <c r="AE32" s="593" t="s">
        <v>3160</v>
      </c>
      <c r="AF32" s="237" t="s">
        <v>410</v>
      </c>
      <c r="AG32" s="237" t="s">
        <v>410</v>
      </c>
      <c r="AH32" s="237" t="s">
        <v>410</v>
      </c>
      <c r="AI32" s="237" t="s">
        <v>410</v>
      </c>
      <c r="AJ32" s="237" t="s">
        <v>410</v>
      </c>
      <c r="AK32" s="237" t="s">
        <v>410</v>
      </c>
      <c r="AL32" s="237" t="s">
        <v>410</v>
      </c>
      <c r="AM32" s="237" t="s">
        <v>410</v>
      </c>
      <c r="AN32" s="237" t="s">
        <v>410</v>
      </c>
      <c r="AO32" s="237" t="s">
        <v>410</v>
      </c>
      <c r="AP32" s="237" t="s">
        <v>410</v>
      </c>
      <c r="AQ32" s="237" t="s">
        <v>410</v>
      </c>
      <c r="AS32" s="583"/>
      <c r="AT32" s="591"/>
      <c r="AU32" s="583"/>
      <c r="AV32" s="583"/>
      <c r="AW32" s="592"/>
      <c r="AX32" s="593"/>
      <c r="AY32" s="593"/>
      <c r="AZ32" s="593"/>
      <c r="BA32" s="593"/>
      <c r="BB32" s="593"/>
      <c r="BC32" s="237"/>
      <c r="BD32" s="237"/>
      <c r="BE32" s="237"/>
      <c r="BF32" s="237"/>
      <c r="BG32" s="237"/>
      <c r="BH32" s="237"/>
      <c r="BI32" s="237"/>
      <c r="BJ32" s="237"/>
      <c r="BK32" s="10"/>
      <c r="BL32" s="10"/>
    </row>
    <row r="33" spans="1:64" ht="15" customHeight="1" x14ac:dyDescent="0.3">
      <c r="A33" s="796" t="str">
        <f t="shared" si="2"/>
        <v>Život na cestách</v>
      </c>
      <c r="B33" s="366"/>
      <c r="C33" s="367" t="str">
        <f>IFERROR(HLOOKUP(CONCATENATE("P",IFERROR(HLOOKUP('3-Schopnosti'!$S$38,'3-Schopnosti'!$R$38:$S$55,MATCH(B33,'3-Schopnosti'!$R$38:$R$55,0),FALSE),0)),$X$6:$AP$120,MATCH(A33,$X$6:$X$120,0),FALSE)," ")</f>
        <v>X</v>
      </c>
      <c r="D33" s="366">
        <f t="shared" si="0"/>
        <v>11</v>
      </c>
      <c r="E33" s="585" t="str">
        <f t="shared" si="1"/>
        <v>NE</v>
      </c>
      <c r="F33" s="365">
        <f t="shared" si="3"/>
        <v>0</v>
      </c>
      <c r="G33" s="366"/>
      <c r="H33" s="367" t="str">
        <f>IFERROR(HLOOKUP(CONCATENATE("P",IFERROR(HLOOKUP('3-Schopnosti'!$S$38,'3-Schopnosti'!$R$38:$S$55,MATCH(G33,'3-Schopnosti'!$R$38:$R$55,0),FALSE),0)),$AS$6:$BL$120,MATCH(F33,$AS$6:$AS$120,0),FALSE)," ")</f>
        <v xml:space="preserve"> </v>
      </c>
      <c r="I33" s="366" t="str">
        <f t="shared" si="4"/>
        <v xml:space="preserve"> </v>
      </c>
      <c r="J33" s="585" t="str">
        <f t="shared" si="5"/>
        <v xml:space="preserve"> </v>
      </c>
      <c r="L33" s="483">
        <f>IF(E33="ANO",0,IFERROR(HLOOKUP('3-Schopnosti'!$S$38,'3-Schopnosti'!$R$38:$S$55,MATCH(B33,'3-Schopnosti'!$R$38:$R$55,0),FALSE),0))</f>
        <v>0</v>
      </c>
      <c r="M33" s="483">
        <f>IF(J33="ANO",0,IFERROR(HLOOKUP('3-Schopnosti'!$S$38,'3-Schopnosti'!$R$38:$S$55,MATCH(G33,'3-Schopnosti'!$R$38:$R$55,0),FALSE),0))</f>
        <v>0</v>
      </c>
      <c r="U33" s="233" t="s">
        <v>1013</v>
      </c>
      <c r="V33" s="233" t="s">
        <v>275</v>
      </c>
      <c r="X33" s="583" t="s">
        <v>1515</v>
      </c>
      <c r="Y33" s="591">
        <v>11</v>
      </c>
      <c r="Z33" s="588" t="s">
        <v>1256</v>
      </c>
      <c r="AA33" s="588" t="s">
        <v>1510</v>
      </c>
      <c r="AB33" s="589" t="s">
        <v>410</v>
      </c>
      <c r="AC33" s="590" t="s">
        <v>3379</v>
      </c>
      <c r="AD33" s="590" t="s">
        <v>1486</v>
      </c>
      <c r="AE33" s="590" t="s">
        <v>1516</v>
      </c>
      <c r="AF33" s="590" t="s">
        <v>1487</v>
      </c>
      <c r="AG33" s="590" t="s">
        <v>1488</v>
      </c>
      <c r="AH33" s="590" t="s">
        <v>1517</v>
      </c>
      <c r="AI33" s="441" t="s">
        <v>410</v>
      </c>
      <c r="AJ33" s="441" t="s">
        <v>410</v>
      </c>
      <c r="AK33" s="441" t="s">
        <v>410</v>
      </c>
      <c r="AL33" s="441" t="s">
        <v>410</v>
      </c>
      <c r="AM33" s="441" t="s">
        <v>410</v>
      </c>
      <c r="AN33" s="441" t="s">
        <v>410</v>
      </c>
      <c r="AO33" s="441" t="s">
        <v>410</v>
      </c>
      <c r="AP33" s="441" t="s">
        <v>410</v>
      </c>
      <c r="AQ33" s="441" t="s">
        <v>410</v>
      </c>
      <c r="AS33" s="583"/>
      <c r="AT33" s="591"/>
      <c r="AU33" s="583"/>
      <c r="AV33" s="583"/>
      <c r="AW33" s="592"/>
      <c r="AX33" s="593"/>
      <c r="AY33" s="593"/>
      <c r="AZ33" s="593"/>
      <c r="BA33" s="593"/>
      <c r="BB33" s="593"/>
      <c r="BC33" s="593"/>
      <c r="BD33" s="237"/>
      <c r="BE33" s="237"/>
      <c r="BF33" s="237"/>
      <c r="BG33" s="237"/>
      <c r="BH33" s="237"/>
      <c r="BI33" s="237"/>
      <c r="BJ33" s="237"/>
      <c r="BK33" s="10"/>
      <c r="BL33" s="10"/>
    </row>
    <row r="34" spans="1:64" ht="15" customHeight="1" x14ac:dyDescent="0.3">
      <c r="A34" s="796" t="str">
        <f t="shared" si="2"/>
        <v>Mistrovský boj s dl.meči</v>
      </c>
      <c r="B34" s="366"/>
      <c r="C34" s="367" t="str">
        <f>IFERROR(HLOOKUP(CONCATENATE("P",IFERROR(HLOOKUP('3-Schopnosti'!$S$38,'3-Schopnosti'!$R$38:$S$55,MATCH(B34,'3-Schopnosti'!$R$38:$R$55,0),FALSE),0)),$X$6:$AP$120,MATCH(A34,$X$6:$X$120,0),FALSE)," ")</f>
        <v>X</v>
      </c>
      <c r="D34" s="366">
        <f t="shared" si="0"/>
        <v>16</v>
      </c>
      <c r="E34" s="585" t="str">
        <f t="shared" si="1"/>
        <v>NE</v>
      </c>
      <c r="F34" s="365">
        <f t="shared" si="3"/>
        <v>0</v>
      </c>
      <c r="G34" s="366"/>
      <c r="H34" s="367" t="str">
        <f>IFERROR(HLOOKUP(CONCATENATE("P",IFERROR(HLOOKUP('3-Schopnosti'!$S$38,'3-Schopnosti'!$R$38:$S$55,MATCH(G34,'3-Schopnosti'!$R$38:$R$55,0),FALSE),0)),$AS$6:$BL$120,MATCH(F34,$AS$6:$AS$120,0),FALSE)," ")</f>
        <v xml:space="preserve"> </v>
      </c>
      <c r="I34" s="366" t="str">
        <f t="shared" si="4"/>
        <v xml:space="preserve"> </v>
      </c>
      <c r="J34" s="585" t="str">
        <f t="shared" si="5"/>
        <v xml:space="preserve"> </v>
      </c>
      <c r="L34" s="483">
        <f>IF(E34="ANO",0,IFERROR(HLOOKUP('3-Schopnosti'!$S$38,'3-Schopnosti'!$R$38:$S$55,MATCH(B34,'3-Schopnosti'!$R$38:$R$55,0),FALSE),0))</f>
        <v>0</v>
      </c>
      <c r="M34" s="483">
        <f>IF(J34="ANO",0,IFERROR(HLOOKUP('3-Schopnosti'!$S$38,'3-Schopnosti'!$R$38:$S$55,MATCH(G34,'3-Schopnosti'!$R$38:$R$55,0),FALSE),0))</f>
        <v>0</v>
      </c>
      <c r="U34" s="233" t="s">
        <v>5603</v>
      </c>
      <c r="V34" s="233" t="s">
        <v>5603</v>
      </c>
      <c r="X34" s="583" t="s">
        <v>1638</v>
      </c>
      <c r="Y34" s="591">
        <v>11</v>
      </c>
      <c r="Z34" s="583" t="s">
        <v>1256</v>
      </c>
      <c r="AA34" s="583" t="s">
        <v>1510</v>
      </c>
      <c r="AB34" s="592" t="s">
        <v>410</v>
      </c>
      <c r="AC34" s="237"/>
      <c r="AD34" s="237"/>
      <c r="AE34" s="237"/>
      <c r="AF34" s="237"/>
      <c r="AG34" s="237"/>
      <c r="AH34" s="237"/>
      <c r="AI34" s="237"/>
      <c r="AJ34" s="237" t="s">
        <v>410</v>
      </c>
      <c r="AK34" s="237" t="s">
        <v>410</v>
      </c>
      <c r="AL34" s="237" t="s">
        <v>410</v>
      </c>
      <c r="AM34" s="237" t="s">
        <v>410</v>
      </c>
      <c r="AN34" s="237" t="s">
        <v>410</v>
      </c>
      <c r="AO34" s="237" t="s">
        <v>410</v>
      </c>
      <c r="AP34" s="10" t="s">
        <v>410</v>
      </c>
      <c r="AQ34" s="10" t="s">
        <v>410</v>
      </c>
      <c r="AS34" s="583"/>
      <c r="AT34" s="591"/>
      <c r="AU34" s="583"/>
      <c r="AV34" s="583"/>
      <c r="AW34" s="592"/>
      <c r="AX34" s="593"/>
      <c r="AY34" s="593"/>
      <c r="AZ34" s="593"/>
      <c r="BA34" s="593"/>
      <c r="BB34" s="593"/>
      <c r="BC34" s="237"/>
      <c r="BD34" s="237"/>
      <c r="BE34" s="237"/>
      <c r="BF34" s="237"/>
      <c r="BG34" s="237"/>
      <c r="BH34" s="237"/>
      <c r="BI34" s="237"/>
      <c r="BJ34" s="237"/>
      <c r="BK34" s="10"/>
      <c r="BL34" s="10"/>
    </row>
    <row r="35" spans="1:64" ht="15" customHeight="1" x14ac:dyDescent="0.3">
      <c r="A35" s="796" t="str">
        <f t="shared" si="2"/>
        <v>Neovlivnitelnost</v>
      </c>
      <c r="B35" s="366"/>
      <c r="C35" s="367" t="str">
        <f>IFERROR(HLOOKUP(CONCATENATE("P",IFERROR(HLOOKUP('3-Schopnosti'!$S$38,'3-Schopnosti'!$R$38:$S$55,MATCH(B35,'3-Schopnosti'!$R$38:$R$55,0),FALSE),0)),$X$6:$AP$120,MATCH(A35,$X$6:$X$120,0),FALSE)," ")</f>
        <v>X</v>
      </c>
      <c r="D35" s="366">
        <f t="shared" ref="D35:D68" si="6">IFERROR(HLOOKUP($Y$6,$X$6:$AP$120,MATCH(A35,$X$6:$X$120,0),FALSE)," ")</f>
        <v>16</v>
      </c>
      <c r="E35" s="585" t="str">
        <f t="shared" ref="E35:E68" si="7">IFERROR(HLOOKUP($Z$6,$X$6:$AP$120,MATCH(A35,$X$6:$X$120,0),FALSE)," ")</f>
        <v>NE</v>
      </c>
      <c r="F35" s="365">
        <f t="shared" si="3"/>
        <v>0</v>
      </c>
      <c r="G35" s="366"/>
      <c r="H35" s="367" t="str">
        <f>IFERROR(HLOOKUP(CONCATENATE("P",IFERROR(HLOOKUP('3-Schopnosti'!$S$38,'3-Schopnosti'!$R$38:$S$55,MATCH(G35,'3-Schopnosti'!$R$38:$R$55,0),FALSE),0)),$AS$6:$BL$120,MATCH(F35,$AS$6:$AS$120,0),FALSE)," ")</f>
        <v xml:space="preserve"> </v>
      </c>
      <c r="I35" s="366" t="str">
        <f t="shared" si="4"/>
        <v xml:space="preserve"> </v>
      </c>
      <c r="J35" s="585" t="str">
        <f t="shared" si="5"/>
        <v xml:space="preserve"> </v>
      </c>
      <c r="L35" s="483">
        <f>IF(E35="ANO",0,IFERROR(HLOOKUP('3-Schopnosti'!$S$38,'3-Schopnosti'!$R$38:$S$55,MATCH(B35,'3-Schopnosti'!$R$38:$R$55,0),FALSE),0))</f>
        <v>0</v>
      </c>
      <c r="M35" s="483">
        <f>IF(J35="ANO",0,IFERROR(HLOOKUP('3-Schopnosti'!$S$38,'3-Schopnosti'!$R$38:$S$55,MATCH(G35,'3-Schopnosti'!$R$38:$R$55,0),FALSE),0))</f>
        <v>0</v>
      </c>
      <c r="U35" s="233" t="s">
        <v>5604</v>
      </c>
      <c r="V35" s="233" t="s">
        <v>5603</v>
      </c>
      <c r="X35" s="583" t="s">
        <v>1782</v>
      </c>
      <c r="Y35" s="591">
        <v>11</v>
      </c>
      <c r="Z35" s="583" t="s">
        <v>1256</v>
      </c>
      <c r="AA35" s="583" t="s">
        <v>1510</v>
      </c>
      <c r="AB35" s="592" t="s">
        <v>410</v>
      </c>
      <c r="AC35" s="593" t="s">
        <v>66</v>
      </c>
      <c r="AD35" s="593" t="s">
        <v>67</v>
      </c>
      <c r="AE35" s="593" t="s">
        <v>68</v>
      </c>
      <c r="AF35" s="593" t="s">
        <v>70</v>
      </c>
      <c r="AG35" s="237" t="s">
        <v>410</v>
      </c>
      <c r="AH35" s="237" t="s">
        <v>410</v>
      </c>
      <c r="AI35" s="237" t="s">
        <v>410</v>
      </c>
      <c r="AJ35" s="237" t="s">
        <v>410</v>
      </c>
      <c r="AK35" s="237" t="s">
        <v>410</v>
      </c>
      <c r="AL35" s="237" t="s">
        <v>410</v>
      </c>
      <c r="AM35" s="237" t="s">
        <v>410</v>
      </c>
      <c r="AN35" s="237" t="s">
        <v>410</v>
      </c>
      <c r="AO35" s="237" t="s">
        <v>410</v>
      </c>
      <c r="AP35" s="10" t="s">
        <v>410</v>
      </c>
      <c r="AQ35" s="10" t="s">
        <v>410</v>
      </c>
      <c r="AS35" s="583"/>
      <c r="AT35" s="591"/>
      <c r="AU35" s="583"/>
      <c r="AV35" s="583"/>
      <c r="AW35" s="592"/>
      <c r="AX35" s="856"/>
      <c r="AY35" s="856"/>
      <c r="AZ35" s="856"/>
      <c r="BA35" s="854"/>
      <c r="BB35" s="237"/>
      <c r="BC35" s="237"/>
      <c r="BD35" s="237"/>
      <c r="BE35" s="237"/>
      <c r="BF35" s="237"/>
      <c r="BG35" s="237"/>
      <c r="BH35" s="237"/>
      <c r="BI35" s="237"/>
      <c r="BJ35" s="237"/>
      <c r="BK35" s="10"/>
      <c r="BL35" s="10"/>
    </row>
    <row r="36" spans="1:64" ht="15" customHeight="1" x14ac:dyDescent="0.3">
      <c r="A36" s="796" t="str">
        <f t="shared" si="2"/>
        <v>Bylinkaření</v>
      </c>
      <c r="B36" s="366"/>
      <c r="C36" s="367">
        <f>IFERROR(HLOOKUP(CONCATENATE("P",IFERROR(HLOOKUP('3-Schopnosti'!$S$38,'3-Schopnosti'!$R$38:$S$55,MATCH(B36,'3-Schopnosti'!$R$38:$R$55,0),FALSE),0)),$X$6:$AP$120,MATCH(A36,$X$6:$X$120,0),FALSE)," ")</f>
        <v>0</v>
      </c>
      <c r="D36" s="366">
        <f t="shared" si="6"/>
        <v>0</v>
      </c>
      <c r="E36" s="585" t="str">
        <f t="shared" si="7"/>
        <v>ANO</v>
      </c>
      <c r="F36" s="365">
        <f t="shared" si="3"/>
        <v>0</v>
      </c>
      <c r="G36" s="366"/>
      <c r="H36" s="367" t="str">
        <f>IFERROR(HLOOKUP(CONCATENATE("P",IFERROR(HLOOKUP('3-Schopnosti'!$S$38,'3-Schopnosti'!$R$38:$S$55,MATCH(G36,'3-Schopnosti'!$R$38:$R$55,0),FALSE),0)),$AS$6:$BL$120,MATCH(F36,$AS$6:$AS$120,0),FALSE)," ")</f>
        <v xml:space="preserve"> </v>
      </c>
      <c r="I36" s="366" t="str">
        <f t="shared" si="4"/>
        <v xml:space="preserve"> </v>
      </c>
      <c r="J36" s="585" t="str">
        <f t="shared" si="5"/>
        <v xml:space="preserve"> </v>
      </c>
      <c r="L36" s="483">
        <f>IF(E36="ANO",0,IFERROR(HLOOKUP('3-Schopnosti'!$S$38,'3-Schopnosti'!$R$38:$S$55,MATCH(B36,'3-Schopnosti'!$R$38:$R$55,0),FALSE),0))</f>
        <v>0</v>
      </c>
      <c r="M36" s="483">
        <f>IF(J36="ANO",0,IFERROR(HLOOKUP('3-Schopnosti'!$S$38,'3-Schopnosti'!$R$38:$S$55,MATCH(G36,'3-Schopnosti'!$R$38:$R$55,0),FALSE),0))</f>
        <v>0</v>
      </c>
      <c r="U36" s="233" t="s">
        <v>272</v>
      </c>
      <c r="V36" s="233" t="s">
        <v>272</v>
      </c>
      <c r="X36" s="583" t="s">
        <v>1885</v>
      </c>
      <c r="Y36" s="591">
        <v>11</v>
      </c>
      <c r="Z36" s="583" t="s">
        <v>1256</v>
      </c>
      <c r="AA36" s="583" t="s">
        <v>1510</v>
      </c>
      <c r="AB36" s="592" t="s">
        <v>410</v>
      </c>
      <c r="AC36" s="593" t="s">
        <v>2261</v>
      </c>
      <c r="AD36" s="593" t="s">
        <v>2262</v>
      </c>
      <c r="AE36" s="593" t="s">
        <v>2263</v>
      </c>
      <c r="AF36" s="593" t="s">
        <v>2264</v>
      </c>
      <c r="AG36" s="237" t="s">
        <v>410</v>
      </c>
      <c r="AH36" s="237" t="s">
        <v>410</v>
      </c>
      <c r="AI36" s="237" t="s">
        <v>410</v>
      </c>
      <c r="AJ36" s="237" t="s">
        <v>410</v>
      </c>
      <c r="AK36" s="237" t="s">
        <v>410</v>
      </c>
      <c r="AL36" s="237" t="s">
        <v>410</v>
      </c>
      <c r="AM36" s="237" t="s">
        <v>410</v>
      </c>
      <c r="AN36" s="237" t="s">
        <v>410</v>
      </c>
      <c r="AO36" s="237" t="s">
        <v>410</v>
      </c>
      <c r="AP36" s="10" t="s">
        <v>410</v>
      </c>
      <c r="AQ36" s="10" t="s">
        <v>410</v>
      </c>
      <c r="AS36" s="583"/>
      <c r="AT36" s="591"/>
      <c r="AU36" s="583"/>
      <c r="AV36" s="583"/>
      <c r="AW36" s="593"/>
      <c r="AX36" s="593"/>
      <c r="AY36" s="593"/>
      <c r="AZ36" s="593"/>
      <c r="BA36" s="593"/>
      <c r="BB36" s="593"/>
      <c r="BC36" s="593"/>
      <c r="BD36" s="237"/>
      <c r="BE36" s="237"/>
      <c r="BF36" s="237"/>
      <c r="BG36" s="237"/>
      <c r="BH36" s="237"/>
      <c r="BI36" s="237"/>
      <c r="BJ36" s="237"/>
      <c r="BK36" s="237"/>
      <c r="BL36" s="237"/>
    </row>
    <row r="37" spans="1:64" ht="15" customHeight="1" x14ac:dyDescent="0.3">
      <c r="A37" s="796" t="str">
        <f t="shared" si="2"/>
        <v>Ochočování zvířat</v>
      </c>
      <c r="B37" s="366"/>
      <c r="C37" s="367">
        <f>IFERROR(HLOOKUP(CONCATENATE("P",IFERROR(HLOOKUP('3-Schopnosti'!$S$38,'3-Schopnosti'!$R$38:$S$55,MATCH(B37,'3-Schopnosti'!$R$38:$R$55,0),FALSE),0)),$X$6:$AP$120,MATCH(A37,$X$6:$X$120,0),FALSE)," ")</f>
        <v>0</v>
      </c>
      <c r="D37" s="366">
        <f t="shared" si="6"/>
        <v>0</v>
      </c>
      <c r="E37" s="585" t="str">
        <f t="shared" si="7"/>
        <v>ANO</v>
      </c>
      <c r="F37" s="365">
        <f t="shared" si="3"/>
        <v>0</v>
      </c>
      <c r="G37" s="366"/>
      <c r="H37" s="367" t="str">
        <f>IFERROR(HLOOKUP(CONCATENATE("P",IFERROR(HLOOKUP('3-Schopnosti'!$S$38,'3-Schopnosti'!$R$38:$S$55,MATCH(G37,'3-Schopnosti'!$R$38:$R$55,0),FALSE),0)),$AS$6:$BL$120,MATCH(F37,$AS$6:$AS$120,0),FALSE)," ")</f>
        <v xml:space="preserve"> </v>
      </c>
      <c r="I37" s="366" t="str">
        <f t="shared" si="4"/>
        <v xml:space="preserve"> </v>
      </c>
      <c r="J37" s="585" t="str">
        <f t="shared" si="5"/>
        <v xml:space="preserve"> </v>
      </c>
      <c r="L37" s="483">
        <f>IF(E37="ANO",0,IFERROR(HLOOKUP('3-Schopnosti'!$S$38,'3-Schopnosti'!$R$38:$S$55,MATCH(B37,'3-Schopnosti'!$R$38:$R$55,0),FALSE),0))</f>
        <v>0</v>
      </c>
      <c r="M37" s="483">
        <f>IF(J37="ANO",0,IFERROR(HLOOKUP('3-Schopnosti'!$S$38,'3-Schopnosti'!$R$38:$S$55,MATCH(G37,'3-Schopnosti'!$R$38:$R$55,0),FALSE),0))</f>
        <v>0</v>
      </c>
      <c r="U37" s="233" t="s">
        <v>1014</v>
      </c>
      <c r="V37" s="233" t="s">
        <v>272</v>
      </c>
      <c r="X37" s="583" t="s">
        <v>2003</v>
      </c>
      <c r="Y37" s="591">
        <v>11</v>
      </c>
      <c r="Z37" s="583" t="s">
        <v>1256</v>
      </c>
      <c r="AA37" s="583" t="s">
        <v>1510</v>
      </c>
      <c r="AB37" s="593" t="s">
        <v>410</v>
      </c>
      <c r="AC37" s="593" t="s">
        <v>5559</v>
      </c>
      <c r="AD37" s="593" t="s">
        <v>4342</v>
      </c>
      <c r="AE37" s="593" t="s">
        <v>5558</v>
      </c>
      <c r="AF37" s="237" t="s">
        <v>410</v>
      </c>
      <c r="AG37" s="237" t="s">
        <v>410</v>
      </c>
      <c r="AH37" s="237" t="s">
        <v>410</v>
      </c>
      <c r="AI37" s="237" t="s">
        <v>410</v>
      </c>
      <c r="AJ37" s="237" t="s">
        <v>410</v>
      </c>
      <c r="AK37" s="237" t="s">
        <v>410</v>
      </c>
      <c r="AL37" s="237" t="s">
        <v>410</v>
      </c>
      <c r="AM37" s="237" t="s">
        <v>410</v>
      </c>
      <c r="AN37" s="237" t="s">
        <v>410</v>
      </c>
      <c r="AO37" s="237" t="s">
        <v>410</v>
      </c>
      <c r="AP37" s="237" t="s">
        <v>410</v>
      </c>
      <c r="AQ37" s="237" t="s">
        <v>410</v>
      </c>
      <c r="AS37" s="583"/>
      <c r="AT37" s="591"/>
      <c r="AU37" s="583"/>
      <c r="AV37" s="583"/>
      <c r="AW37" s="593"/>
      <c r="AX37" s="593"/>
      <c r="AY37" s="593"/>
      <c r="AZ37" s="593"/>
      <c r="BA37" s="237"/>
      <c r="BB37" s="237"/>
      <c r="BC37" s="237"/>
      <c r="BD37" s="237"/>
      <c r="BE37" s="237"/>
      <c r="BF37" s="237"/>
      <c r="BG37" s="237"/>
      <c r="BH37" s="237"/>
      <c r="BI37" s="237"/>
      <c r="BJ37" s="237"/>
      <c r="BK37" s="237"/>
      <c r="BL37" s="237"/>
    </row>
    <row r="38" spans="1:64" ht="15" customHeight="1" x14ac:dyDescent="0.3">
      <c r="A38" s="796" t="str">
        <f t="shared" si="2"/>
        <v>Kouzla pocestných</v>
      </c>
      <c r="B38" s="366"/>
      <c r="C38" s="367" t="str">
        <f>IFERROR(HLOOKUP(CONCATENATE("P",IFERROR(HLOOKUP('3-Schopnosti'!$S$38,'3-Schopnosti'!$R$38:$S$55,MATCH(B38,'3-Schopnosti'!$R$38:$R$55,0),FALSE),0)),$X$6:$AP$120,MATCH(A38,$X$6:$X$120,0),FALSE)," ")</f>
        <v>X</v>
      </c>
      <c r="D38" s="366">
        <f t="shared" si="6"/>
        <v>1</v>
      </c>
      <c r="E38" s="585" t="str">
        <f t="shared" si="7"/>
        <v>ANO</v>
      </c>
      <c r="F38" s="365">
        <f t="shared" si="3"/>
        <v>0</v>
      </c>
      <c r="G38" s="366"/>
      <c r="H38" s="367" t="str">
        <f>IFERROR(HLOOKUP(CONCATENATE("P",IFERROR(HLOOKUP('3-Schopnosti'!$S$38,'3-Schopnosti'!$R$38:$S$55,MATCH(G38,'3-Schopnosti'!$R$38:$R$55,0),FALSE),0)),$AS$6:$BL$120,MATCH(F38,$AS$6:$AS$120,0),FALSE)," ")</f>
        <v xml:space="preserve"> </v>
      </c>
      <c r="I38" s="366" t="str">
        <f t="shared" si="4"/>
        <v xml:space="preserve"> </v>
      </c>
      <c r="J38" s="585" t="str">
        <f t="shared" si="5"/>
        <v xml:space="preserve"> </v>
      </c>
      <c r="L38" s="483">
        <f>IF(E38="ANO",0,IFERROR(HLOOKUP('3-Schopnosti'!$S$38,'3-Schopnosti'!$R$38:$S$55,MATCH(B38,'3-Schopnosti'!$R$38:$R$55,0),FALSE),0))</f>
        <v>0</v>
      </c>
      <c r="M38" s="483">
        <f>IF(J38="ANO",0,IFERROR(HLOOKUP('3-Schopnosti'!$S$38,'3-Schopnosti'!$R$38:$S$55,MATCH(G38,'3-Schopnosti'!$R$38:$R$55,0),FALSE),0))</f>
        <v>0</v>
      </c>
      <c r="R38" t="s">
        <v>1194</v>
      </c>
      <c r="S38" t="s">
        <v>1195</v>
      </c>
      <c r="U38" s="233" t="s">
        <v>645</v>
      </c>
      <c r="V38" s="233" t="s">
        <v>271</v>
      </c>
      <c r="X38" s="583" t="s">
        <v>1735</v>
      </c>
      <c r="Y38" s="591">
        <v>16</v>
      </c>
      <c r="Z38" s="583" t="s">
        <v>1256</v>
      </c>
      <c r="AA38" s="583" t="s">
        <v>1510</v>
      </c>
      <c r="AB38" s="592" t="s">
        <v>410</v>
      </c>
      <c r="AC38" s="593" t="s">
        <v>3390</v>
      </c>
      <c r="AD38" s="593" t="s">
        <v>3391</v>
      </c>
      <c r="AE38" s="593" t="s">
        <v>3392</v>
      </c>
      <c r="AF38" s="593" t="s">
        <v>3393</v>
      </c>
      <c r="AG38" s="593" t="s">
        <v>3394</v>
      </c>
      <c r="AH38" s="237" t="s">
        <v>410</v>
      </c>
      <c r="AI38" s="237" t="s">
        <v>410</v>
      </c>
      <c r="AJ38" s="237" t="s">
        <v>410</v>
      </c>
      <c r="AK38" s="237" t="s">
        <v>410</v>
      </c>
      <c r="AL38" s="237" t="s">
        <v>410</v>
      </c>
      <c r="AM38" s="237" t="s">
        <v>410</v>
      </c>
      <c r="AN38" s="237" t="s">
        <v>410</v>
      </c>
      <c r="AO38" s="237" t="s">
        <v>410</v>
      </c>
      <c r="AP38" s="10" t="s">
        <v>410</v>
      </c>
      <c r="AQ38" s="10" t="s">
        <v>410</v>
      </c>
      <c r="AS38" s="583"/>
      <c r="AT38" s="591"/>
      <c r="AU38" s="583"/>
      <c r="AV38" s="583"/>
      <c r="AW38" s="594"/>
    </row>
    <row r="39" spans="1:64" ht="15" customHeight="1" x14ac:dyDescent="0.3">
      <c r="A39" s="796" t="str">
        <f t="shared" si="2"/>
        <v>L: Ošetři lehká zranění</v>
      </c>
      <c r="B39" s="366"/>
      <c r="C39" s="367" t="str">
        <f>IFERROR(HLOOKUP(CONCATENATE("P",IFERROR(HLOOKUP('3-Schopnosti'!$S$38,'3-Schopnosti'!$R$38:$S$55,MATCH(B39,'3-Schopnosti'!$R$38:$R$55,0),FALSE),0)),$X$6:$AP$120,MATCH(A39,$X$6:$X$120,0),FALSE)," ")</f>
        <v>X</v>
      </c>
      <c r="D39" s="366">
        <f t="shared" si="6"/>
        <v>1</v>
      </c>
      <c r="E39" s="585" t="str">
        <f t="shared" si="7"/>
        <v>ANO</v>
      </c>
      <c r="F39" s="365">
        <f t="shared" si="3"/>
        <v>0</v>
      </c>
      <c r="G39" s="366"/>
      <c r="H39" s="367" t="str">
        <f>IFERROR(HLOOKUP(CONCATENATE("P",IFERROR(HLOOKUP('3-Schopnosti'!$S$38,'3-Schopnosti'!$R$38:$S$55,MATCH(G39,'3-Schopnosti'!$R$38:$R$55,0),FALSE),0)),$AS$6:$BL$120,MATCH(F39,$AS$6:$AS$120,0),FALSE)," ")</f>
        <v xml:space="preserve"> </v>
      </c>
      <c r="I39" s="366" t="str">
        <f t="shared" si="4"/>
        <v xml:space="preserve"> </v>
      </c>
      <c r="J39" s="585" t="str">
        <f t="shared" si="5"/>
        <v xml:space="preserve"> </v>
      </c>
      <c r="L39" s="483">
        <f>IF(E39="ANO",0,IFERROR(HLOOKUP('3-Schopnosti'!$S$38,'3-Schopnosti'!$R$38:$S$55,MATCH(B39,'3-Schopnosti'!$R$38:$R$55,0),FALSE),0))</f>
        <v>0</v>
      </c>
      <c r="M39" s="483">
        <f>IF(J39="ANO",0,IFERROR(HLOOKUP('3-Schopnosti'!$S$38,'3-Schopnosti'!$R$38:$S$55,MATCH(G39,'3-Schopnosti'!$R$38:$R$55,0),FALSE),0))</f>
        <v>0</v>
      </c>
      <c r="O39" s="58" t="s">
        <v>162</v>
      </c>
      <c r="P39" s="115"/>
      <c r="R39" s="63"/>
      <c r="S39" s="63">
        <v>0</v>
      </c>
      <c r="U39" s="233" t="s">
        <v>5585</v>
      </c>
      <c r="V39" s="233" t="s">
        <v>5585</v>
      </c>
      <c r="X39" s="583" t="s">
        <v>1758</v>
      </c>
      <c r="Y39" s="591">
        <v>16</v>
      </c>
      <c r="Z39" s="583" t="s">
        <v>1256</v>
      </c>
      <c r="AA39" s="583" t="s">
        <v>1510</v>
      </c>
      <c r="AB39" s="592" t="s">
        <v>410</v>
      </c>
      <c r="AC39" s="593" t="s">
        <v>67</v>
      </c>
      <c r="AD39" s="593" t="s">
        <v>68</v>
      </c>
      <c r="AE39" s="593" t="s">
        <v>70</v>
      </c>
      <c r="AF39" s="593" t="s">
        <v>74</v>
      </c>
      <c r="AG39" s="593" t="s">
        <v>410</v>
      </c>
      <c r="AH39" s="237" t="s">
        <v>410</v>
      </c>
      <c r="AI39" s="237" t="s">
        <v>410</v>
      </c>
      <c r="AJ39" s="237" t="s">
        <v>410</v>
      </c>
      <c r="AK39" s="237" t="s">
        <v>410</v>
      </c>
      <c r="AL39" s="237" t="s">
        <v>410</v>
      </c>
      <c r="AM39" s="237" t="s">
        <v>410</v>
      </c>
      <c r="AN39" s="237" t="s">
        <v>410</v>
      </c>
      <c r="AO39" s="237" t="s">
        <v>410</v>
      </c>
      <c r="AP39" s="10" t="s">
        <v>410</v>
      </c>
      <c r="AQ39" s="10" t="s">
        <v>410</v>
      </c>
      <c r="AS39" s="583"/>
      <c r="AT39" s="591"/>
      <c r="AU39" s="588"/>
      <c r="AV39" s="588"/>
      <c r="AW39" s="589"/>
      <c r="AX39" s="590"/>
      <c r="AY39" s="590"/>
      <c r="AZ39" s="590"/>
      <c r="BA39" s="590"/>
      <c r="BB39" s="590"/>
      <c r="BC39" s="590"/>
      <c r="BD39" s="590"/>
      <c r="BE39" s="590"/>
      <c r="BF39" s="590"/>
      <c r="BG39" s="590"/>
      <c r="BH39" s="441"/>
      <c r="BI39" s="441"/>
      <c r="BJ39" s="441"/>
      <c r="BK39" s="441"/>
      <c r="BL39" s="441"/>
    </row>
    <row r="40" spans="1:64" ht="15" customHeight="1" x14ac:dyDescent="0.3">
      <c r="A40" s="797" t="str">
        <f t="shared" si="2"/>
        <v>Meditace</v>
      </c>
      <c r="B40" s="596"/>
      <c r="C40" s="597" t="str">
        <f>IFERROR(HLOOKUP(CONCATENATE("P",IFERROR(HLOOKUP('3-Schopnosti'!$S$38,'3-Schopnosti'!$R$38:$S$55,MATCH(B40,'3-Schopnosti'!$R$38:$R$55,0),FALSE),0)),$X$6:$AP$120,MATCH(A40,$X$6:$X$120,0),FALSE)," ")</f>
        <v>1sm.+1sm./zdroj</v>
      </c>
      <c r="D40" s="596">
        <f t="shared" si="6"/>
        <v>1</v>
      </c>
      <c r="E40" s="598" t="str">
        <f t="shared" si="7"/>
        <v>ANO</v>
      </c>
      <c r="F40" s="599">
        <f t="shared" si="3"/>
        <v>0</v>
      </c>
      <c r="G40" s="596"/>
      <c r="H40" s="597" t="str">
        <f>IFERROR(HLOOKUP(CONCATENATE("P",IFERROR(HLOOKUP('3-Schopnosti'!$S$38,'3-Schopnosti'!$R$38:$S$55,MATCH(G40,'3-Schopnosti'!$R$38:$R$55,0),FALSE),0)),$AS$6:$BL$120,MATCH(F40,$AS$6:$AS$120,0),FALSE)," ")</f>
        <v xml:space="preserve"> </v>
      </c>
      <c r="I40" s="596" t="str">
        <f t="shared" si="4"/>
        <v xml:space="preserve"> </v>
      </c>
      <c r="J40" s="598" t="str">
        <f t="shared" si="5"/>
        <v xml:space="preserve"> </v>
      </c>
      <c r="L40" s="483">
        <f>IF(E40="ANO",0,IFERROR(HLOOKUP('3-Schopnosti'!$S$38,'3-Schopnosti'!$R$38:$S$55,MATCH(B40,'3-Schopnosti'!$R$38:$R$55,0),FALSE),0))</f>
        <v>0</v>
      </c>
      <c r="M40" s="483">
        <f>IF(J40="ANO",0,IFERROR(HLOOKUP('3-Schopnosti'!$S$38,'3-Schopnosti'!$R$38:$S$55,MATCH(G40,'3-Schopnosti'!$R$38:$R$55,0),FALSE),0))</f>
        <v>0</v>
      </c>
      <c r="O40" s="130" t="s">
        <v>168</v>
      </c>
      <c r="P40" s="131" t="s">
        <v>8</v>
      </c>
      <c r="R40" s="63">
        <v>0</v>
      </c>
      <c r="S40" s="63">
        <v>0</v>
      </c>
      <c r="U40" s="233" t="s">
        <v>5587</v>
      </c>
      <c r="V40" s="233" t="s">
        <v>5587</v>
      </c>
      <c r="X40" s="583" t="s">
        <v>2067</v>
      </c>
      <c r="Y40" s="591">
        <v>0</v>
      </c>
      <c r="Z40" s="588" t="s">
        <v>1564</v>
      </c>
      <c r="AA40" s="588" t="s">
        <v>1510</v>
      </c>
      <c r="AB40" s="595"/>
      <c r="AC40" s="9" t="s">
        <v>410</v>
      </c>
      <c r="AD40" s="9" t="s">
        <v>410</v>
      </c>
      <c r="AE40" s="9" t="s">
        <v>410</v>
      </c>
      <c r="AF40" s="9" t="s">
        <v>410</v>
      </c>
      <c r="AG40" s="9" t="s">
        <v>410</v>
      </c>
      <c r="AH40" s="9" t="s">
        <v>410</v>
      </c>
      <c r="AI40" s="9" t="s">
        <v>410</v>
      </c>
      <c r="AJ40" s="9" t="s">
        <v>410</v>
      </c>
      <c r="AK40" s="9" t="s">
        <v>410</v>
      </c>
      <c r="AL40" s="9" t="s">
        <v>410</v>
      </c>
      <c r="AM40" s="9" t="s">
        <v>410</v>
      </c>
      <c r="AN40" s="9" t="s">
        <v>410</v>
      </c>
      <c r="AO40" s="9" t="s">
        <v>410</v>
      </c>
      <c r="AP40" s="9" t="s">
        <v>410</v>
      </c>
      <c r="AQ40" s="9" t="s">
        <v>410</v>
      </c>
      <c r="AS40" s="583"/>
      <c r="AT40" s="591"/>
      <c r="AU40" s="588"/>
      <c r="AV40" s="588"/>
      <c r="AW40" s="589"/>
      <c r="AX40" s="590"/>
      <c r="AY40" s="590"/>
      <c r="AZ40" s="590"/>
      <c r="BA40" s="590"/>
      <c r="BB40" s="590"/>
      <c r="BC40" s="590"/>
      <c r="BD40" s="590"/>
      <c r="BE40" s="590"/>
      <c r="BF40" s="590"/>
      <c r="BG40" s="590"/>
      <c r="BH40" s="441"/>
      <c r="BI40" s="441"/>
      <c r="BJ40" s="441"/>
      <c r="BK40" s="441"/>
      <c r="BL40" s="441"/>
    </row>
    <row r="41" spans="1:64" ht="15" customHeight="1" x14ac:dyDescent="0.3">
      <c r="A41" s="796" t="str">
        <f t="shared" ref="A41:A59" si="8">X45</f>
        <v>Př.vP: Nalezení vody</v>
      </c>
      <c r="B41" s="366"/>
      <c r="C41" s="367" t="str">
        <f>IFERROR(HLOOKUP(CONCATENATE("P",IFERROR(HLOOKUP('3-Schopnosti'!$S$38,'3-Schopnosti'!$R$38:$S$55,MATCH(B41,'3-Schopnosti'!$R$38:$R$55,0),FALSE),0)),$X$6:$AP$120,MATCH(A41,$X$6:$X$120,0),FALSE)," ")</f>
        <v>X</v>
      </c>
      <c r="D41" s="366">
        <f t="shared" ref="D41:D59" si="9">IFERROR(HLOOKUP($Y$6,$X$6:$AP$120,MATCH(A41,$X$6:$X$120,0),FALSE)," ")</f>
        <v>1</v>
      </c>
      <c r="E41" s="585" t="str">
        <f t="shared" ref="E41:E59" si="10">IFERROR(HLOOKUP($Z$6,$X$6:$AP$120,MATCH(A41,$X$6:$X$120,0),FALSE)," ")</f>
        <v>ANO</v>
      </c>
      <c r="F41" s="365">
        <f t="shared" si="3"/>
        <v>0</v>
      </c>
      <c r="G41" s="366"/>
      <c r="H41" s="367" t="str">
        <f>IFERROR(HLOOKUP(CONCATENATE("P",IFERROR(HLOOKUP('3-Schopnosti'!$S$38,'3-Schopnosti'!$R$38:$S$55,MATCH(G41,'3-Schopnosti'!$R$38:$R$55,0),FALSE),0)),$AS$6:$BL$120,MATCH(F41,$AS$6:$AS$120,0),FALSE)," ")</f>
        <v xml:space="preserve"> </v>
      </c>
      <c r="I41" s="366" t="str">
        <f t="shared" si="4"/>
        <v xml:space="preserve"> </v>
      </c>
      <c r="J41" s="585" t="str">
        <f t="shared" si="5"/>
        <v xml:space="preserve"> </v>
      </c>
      <c r="L41" s="483">
        <f>IF(E41="ANO",0,IFERROR(HLOOKUP('3-Schopnosti'!$S$38,'3-Schopnosti'!$R$38:$S$55,MATCH(B41,'3-Schopnosti'!$R$38:$R$55,0),FALSE),0))</f>
        <v>0</v>
      </c>
      <c r="M41" s="483">
        <f>IF(J41="ANO",0,IFERROR(HLOOKUP('3-Schopnosti'!$S$38,'3-Schopnosti'!$R$38:$S$55,MATCH(G41,'3-Schopnosti'!$R$38:$R$55,0),FALSE),0))</f>
        <v>0</v>
      </c>
      <c r="O41" s="130" t="s">
        <v>175</v>
      </c>
      <c r="P41" s="131" t="s">
        <v>7</v>
      </c>
      <c r="R41" s="63" t="s">
        <v>402</v>
      </c>
      <c r="S41" s="63">
        <v>1</v>
      </c>
      <c r="U41" s="233" t="s">
        <v>5586</v>
      </c>
      <c r="V41" s="233" t="s">
        <v>5585</v>
      </c>
      <c r="X41" s="583" t="s">
        <v>2066</v>
      </c>
      <c r="Y41" s="591">
        <v>0</v>
      </c>
      <c r="Z41" s="583" t="s">
        <v>1564</v>
      </c>
      <c r="AA41" s="583" t="s">
        <v>1510</v>
      </c>
      <c r="AB41" s="10"/>
      <c r="AC41" t="s">
        <v>410</v>
      </c>
      <c r="AD41" t="s">
        <v>410</v>
      </c>
      <c r="AE41" t="s">
        <v>410</v>
      </c>
      <c r="AF41" t="s">
        <v>410</v>
      </c>
      <c r="AG41" t="s">
        <v>410</v>
      </c>
      <c r="AH41" t="s">
        <v>410</v>
      </c>
      <c r="AI41" t="s">
        <v>410</v>
      </c>
      <c r="AJ41" t="s">
        <v>410</v>
      </c>
      <c r="AK41" t="s">
        <v>410</v>
      </c>
      <c r="AL41" t="s">
        <v>410</v>
      </c>
      <c r="AM41" t="s">
        <v>410</v>
      </c>
      <c r="AN41" t="s">
        <v>410</v>
      </c>
      <c r="AO41" t="s">
        <v>410</v>
      </c>
      <c r="AP41" t="s">
        <v>410</v>
      </c>
      <c r="AQ41" t="s">
        <v>410</v>
      </c>
      <c r="AS41" s="583"/>
      <c r="AT41" s="591"/>
      <c r="AU41" s="583"/>
      <c r="AV41" s="583"/>
      <c r="AW41" s="593"/>
      <c r="AX41" s="593"/>
      <c r="AY41" s="593"/>
      <c r="AZ41" s="593"/>
      <c r="BA41" s="593"/>
      <c r="BB41" s="593"/>
      <c r="BC41" s="593"/>
      <c r="BD41" s="593"/>
      <c r="BE41" s="593"/>
    </row>
    <row r="42" spans="1:64" ht="15" customHeight="1" thickBot="1" x14ac:dyDescent="0.35">
      <c r="A42" s="797" t="str">
        <f t="shared" si="8"/>
        <v>Př.vP: Vábnička</v>
      </c>
      <c r="B42" s="596"/>
      <c r="C42" s="597" t="str">
        <f>IFERROR(HLOOKUP(CONCATENATE("P",IFERROR(HLOOKUP('3-Schopnosti'!$S$38,'3-Schopnosti'!$R$38:$S$55,MATCH(B42,'3-Schopnosti'!$R$38:$R$55,0),FALSE),0)),$X$6:$AP$120,MATCH(A42,$X$6:$X$120,0),FALSE)," ")</f>
        <v>X</v>
      </c>
      <c r="D42" s="596">
        <f t="shared" si="9"/>
        <v>1</v>
      </c>
      <c r="E42" s="598" t="str">
        <f t="shared" si="10"/>
        <v>ANO</v>
      </c>
      <c r="F42" s="601">
        <f t="shared" si="3"/>
        <v>0</v>
      </c>
      <c r="G42" s="551"/>
      <c r="H42" s="552" t="str">
        <f>IFERROR(HLOOKUP(CONCATENATE("P",IFERROR(HLOOKUP('3-Schopnosti'!$S$38,'3-Schopnosti'!$R$38:$S$55,MATCH(G42,'3-Schopnosti'!$R$38:$R$55,0),FALSE),0)),$AS$6:$BL$120,MATCH(F42,$AS$6:$AS$120,0),FALSE)," ")</f>
        <v xml:space="preserve"> </v>
      </c>
      <c r="I42" s="551" t="str">
        <f t="shared" si="4"/>
        <v xml:space="preserve"> </v>
      </c>
      <c r="J42" s="586" t="str">
        <f t="shared" si="5"/>
        <v xml:space="preserve"> </v>
      </c>
      <c r="L42" s="483">
        <f>IF(E42="ANO",0,IFERROR(HLOOKUP('3-Schopnosti'!$S$38,'3-Schopnosti'!$R$38:$S$55,MATCH(B42,'3-Schopnosti'!$R$38:$R$55,0),FALSE),0))</f>
        <v>0</v>
      </c>
      <c r="M42" s="483">
        <f>IF(J42="ANO",0,IFERROR(HLOOKUP('3-Schopnosti'!$S$38,'3-Schopnosti'!$R$38:$S$55,MATCH(G42,'3-Schopnosti'!$R$38:$R$55,0),FALSE),0))</f>
        <v>0</v>
      </c>
      <c r="O42" s="130" t="s">
        <v>178</v>
      </c>
      <c r="P42" s="131" t="s">
        <v>4</v>
      </c>
      <c r="R42" s="63" t="s">
        <v>403</v>
      </c>
      <c r="S42" s="63">
        <v>2</v>
      </c>
      <c r="U42" s="233" t="s">
        <v>5588</v>
      </c>
      <c r="V42" s="233" t="s">
        <v>5587</v>
      </c>
      <c r="X42" s="583" t="s">
        <v>2043</v>
      </c>
      <c r="Y42" s="591">
        <v>1</v>
      </c>
      <c r="Z42" s="583" t="s">
        <v>1564</v>
      </c>
      <c r="AA42" s="583" t="s">
        <v>1510</v>
      </c>
      <c r="AB42" s="593" t="s">
        <v>410</v>
      </c>
      <c r="AC42" s="593" t="s">
        <v>3046</v>
      </c>
      <c r="AD42" s="593" t="s">
        <v>3047</v>
      </c>
      <c r="AE42" s="593" t="s">
        <v>3049</v>
      </c>
      <c r="AF42" s="593" t="s">
        <v>3050</v>
      </c>
      <c r="AG42" s="593" t="s">
        <v>3048</v>
      </c>
      <c r="AH42" s="593" t="s">
        <v>3051</v>
      </c>
      <c r="AI42" s="593" t="s">
        <v>3052</v>
      </c>
      <c r="AJ42" s="593" t="s">
        <v>3053</v>
      </c>
      <c r="AK42" s="237" t="s">
        <v>410</v>
      </c>
      <c r="AL42" s="237" t="s">
        <v>410</v>
      </c>
      <c r="AM42" s="237" t="s">
        <v>410</v>
      </c>
      <c r="AN42" s="237" t="s">
        <v>410</v>
      </c>
      <c r="AO42" s="237" t="s">
        <v>410</v>
      </c>
      <c r="AP42" s="237" t="s">
        <v>410</v>
      </c>
      <c r="AQ42" s="237" t="s">
        <v>410</v>
      </c>
      <c r="AS42" s="583"/>
      <c r="AT42" s="591"/>
      <c r="AU42" s="588"/>
      <c r="AV42" s="588"/>
      <c r="AW42" s="589"/>
      <c r="AX42" s="589"/>
      <c r="AY42" s="590"/>
      <c r="AZ42" s="590"/>
      <c r="BA42" s="590"/>
      <c r="BB42" s="590"/>
      <c r="BC42" s="590"/>
      <c r="BD42" s="590"/>
      <c r="BE42" s="590"/>
      <c r="BF42" s="590"/>
      <c r="BG42" s="590"/>
      <c r="BH42" s="441"/>
      <c r="BI42" s="441"/>
      <c r="BJ42" s="441"/>
      <c r="BK42" s="441"/>
      <c r="BL42" s="441"/>
    </row>
    <row r="43" spans="1:64" ht="15" customHeight="1" x14ac:dyDescent="0.3">
      <c r="A43" s="796" t="str">
        <f t="shared" si="8"/>
        <v>Přírodní magie</v>
      </c>
      <c r="B43" s="366"/>
      <c r="C43" s="367">
        <f>IFERROR(HLOOKUP(CONCATENATE("P",IFERROR(HLOOKUP('3-Schopnosti'!$S$38,'3-Schopnosti'!$R$38:$S$55,MATCH(B43,'3-Schopnosti'!$R$38:$R$55,0),FALSE),0)),$X$6:$AP$120,MATCH(A43,$X$6:$X$120,0),FALSE)," ")</f>
        <v>0</v>
      </c>
      <c r="D43" s="366">
        <f t="shared" si="9"/>
        <v>1</v>
      </c>
      <c r="E43" s="585" t="str">
        <f t="shared" si="10"/>
        <v>ANO</v>
      </c>
      <c r="F43" s="600"/>
      <c r="G43" s="549"/>
      <c r="H43" s="550" t="str">
        <f>IFERROR(HLOOKUP(CONCATENATE("P",IFERROR(HLOOKUP('3-Schopnosti'!$S$38,'3-Schopnosti'!$R$38:$S$55,MATCH(G43,'3-Schopnosti'!$R$38:$R$55,0),FALSE),0)),$AS$6:$BL$120,MATCH(F43,$AS$6:$AS$120,0),FALSE)," ")</f>
        <v xml:space="preserve"> </v>
      </c>
      <c r="I43" s="549" t="str">
        <f t="shared" si="4"/>
        <v xml:space="preserve"> </v>
      </c>
      <c r="J43" s="587" t="str">
        <f t="shared" si="5"/>
        <v xml:space="preserve"> </v>
      </c>
      <c r="L43" s="483">
        <f>IF(E43="ANO",0,IFERROR(HLOOKUP('3-Schopnosti'!$S$38,'3-Schopnosti'!$R$38:$S$55,MATCH(B43,'3-Schopnosti'!$R$38:$R$55,0),FALSE),0))</f>
        <v>0</v>
      </c>
      <c r="M43" s="483">
        <f>IF(J43="ANO",0,IFERROR(HLOOKUP('3-Schopnosti'!$S$38,'3-Schopnosti'!$R$38:$S$55,MATCH(G43,'3-Schopnosti'!$R$38:$R$55,0),FALSE),0))</f>
        <v>0</v>
      </c>
      <c r="O43" s="130" t="s">
        <v>173</v>
      </c>
      <c r="P43" s="131" t="s">
        <v>0</v>
      </c>
      <c r="R43" s="63" t="s">
        <v>404</v>
      </c>
      <c r="S43" s="63">
        <v>3</v>
      </c>
      <c r="U43" s="233" t="s">
        <v>265</v>
      </c>
      <c r="V43" s="233" t="s">
        <v>265</v>
      </c>
      <c r="X43" s="583" t="s">
        <v>2196</v>
      </c>
      <c r="Y43" s="591">
        <v>1</v>
      </c>
      <c r="Z43" s="583" t="s">
        <v>1564</v>
      </c>
      <c r="AA43" s="583" t="s">
        <v>1510</v>
      </c>
      <c r="AB43" s="592" t="s">
        <v>410</v>
      </c>
      <c r="AC43" s="592" t="s">
        <v>3164</v>
      </c>
      <c r="AD43" s="592" t="s">
        <v>3165</v>
      </c>
      <c r="AE43" s="592" t="s">
        <v>3166</v>
      </c>
      <c r="AF43" s="592" t="s">
        <v>3167</v>
      </c>
      <c r="AG43" s="592" t="s">
        <v>3168</v>
      </c>
      <c r="AH43" s="583" t="s">
        <v>410</v>
      </c>
      <c r="AI43" t="s">
        <v>410</v>
      </c>
      <c r="AJ43" t="s">
        <v>410</v>
      </c>
      <c r="AK43" t="s">
        <v>410</v>
      </c>
      <c r="AL43" t="s">
        <v>410</v>
      </c>
      <c r="AM43" t="s">
        <v>410</v>
      </c>
      <c r="AN43" t="s">
        <v>410</v>
      </c>
      <c r="AO43" t="s">
        <v>410</v>
      </c>
      <c r="AP43" t="s">
        <v>410</v>
      </c>
      <c r="AQ43" t="s">
        <v>410</v>
      </c>
      <c r="AS43" s="583"/>
      <c r="AT43" s="591"/>
      <c r="AU43" s="583"/>
      <c r="AV43" s="583"/>
      <c r="AW43" s="593"/>
      <c r="AX43" s="593"/>
      <c r="AY43" s="594"/>
      <c r="AZ43" s="594"/>
      <c r="BA43" s="594"/>
      <c r="BB43" s="594"/>
      <c r="BC43" s="594"/>
      <c r="BD43" s="594"/>
      <c r="BE43" s="594"/>
    </row>
    <row r="44" spans="1:64" ht="15" customHeight="1" x14ac:dyDescent="0.3">
      <c r="A44" s="797" t="str">
        <f t="shared" si="8"/>
        <v>Kouzla hraničářská</v>
      </c>
      <c r="B44" s="596"/>
      <c r="C44" s="597" t="str">
        <f>IFERROR(HLOOKUP(CONCATENATE("P",IFERROR(HLOOKUP('3-Schopnosti'!$S$38,'3-Schopnosti'!$R$38:$S$55,MATCH(B44,'3-Schopnosti'!$R$38:$R$55,0),FALSE),0)),$X$6:$AP$120,MATCH(A44,$X$6:$X$120,0),FALSE)," ")</f>
        <v>X</v>
      </c>
      <c r="D44" s="596">
        <f t="shared" si="9"/>
        <v>2</v>
      </c>
      <c r="E44" s="598" t="str">
        <f t="shared" si="10"/>
        <v>ANO</v>
      </c>
      <c r="F44" s="365"/>
      <c r="G44" s="366"/>
      <c r="H44" s="367" t="str">
        <f>IFERROR(HLOOKUP(CONCATENATE("P",IFERROR(HLOOKUP('3-Schopnosti'!$S$38,'3-Schopnosti'!$R$38:$S$55,MATCH(G44,'3-Schopnosti'!$R$38:$R$55,0),FALSE),0)),$AS$6:$BL$120,MATCH(F44,$AS$6:$AS$120,0),FALSE)," ")</f>
        <v xml:space="preserve"> </v>
      </c>
      <c r="I44" s="366" t="str">
        <f t="shared" si="4"/>
        <v xml:space="preserve"> </v>
      </c>
      <c r="J44" s="585" t="str">
        <f t="shared" si="5"/>
        <v xml:space="preserve"> </v>
      </c>
      <c r="L44" s="483">
        <f>IF(E44="ANO",0,IFERROR(HLOOKUP('3-Schopnosti'!$S$38,'3-Schopnosti'!$R$38:$S$55,MATCH(B44,'3-Schopnosti'!$R$38:$R$55,0),FALSE),0))</f>
        <v>0</v>
      </c>
      <c r="M44" s="483">
        <f>IF(J44="ANO",0,IFERROR(HLOOKUP('3-Schopnosti'!$S$38,'3-Schopnosti'!$R$38:$S$55,MATCH(G44,'3-Schopnosti'!$R$38:$R$55,0),FALSE),0))</f>
        <v>0</v>
      </c>
      <c r="O44" s="130" t="s">
        <v>185</v>
      </c>
      <c r="P44" s="131" t="s">
        <v>6</v>
      </c>
      <c r="R44" s="63" t="s">
        <v>405</v>
      </c>
      <c r="S44" s="63">
        <v>4</v>
      </c>
      <c r="U44" s="233" t="s">
        <v>1015</v>
      </c>
      <c r="V44" s="233" t="s">
        <v>265</v>
      </c>
      <c r="X44" s="583" t="s">
        <v>2204</v>
      </c>
      <c r="Y44" s="591">
        <v>1</v>
      </c>
      <c r="Z44" s="583" t="s">
        <v>1564</v>
      </c>
      <c r="AA44" s="583" t="s">
        <v>1510</v>
      </c>
      <c r="AB44" s="592" t="s">
        <v>2205</v>
      </c>
      <c r="AC44" s="593" t="s">
        <v>410</v>
      </c>
      <c r="AD44" s="237" t="s">
        <v>410</v>
      </c>
      <c r="AE44" s="237" t="s">
        <v>410</v>
      </c>
      <c r="AF44" s="237" t="s">
        <v>410</v>
      </c>
      <c r="AG44" s="237" t="s">
        <v>410</v>
      </c>
      <c r="AH44" s="237" t="s">
        <v>410</v>
      </c>
      <c r="AI44" s="237" t="s">
        <v>410</v>
      </c>
      <c r="AJ44" s="237" t="s">
        <v>410</v>
      </c>
      <c r="AK44" s="237" t="s">
        <v>410</v>
      </c>
      <c r="AL44" s="237" t="s">
        <v>410</v>
      </c>
      <c r="AM44" s="237" t="s">
        <v>410</v>
      </c>
      <c r="AN44" s="237" t="s">
        <v>410</v>
      </c>
      <c r="AO44" s="237" t="s">
        <v>410</v>
      </c>
      <c r="AP44" s="10" t="s">
        <v>410</v>
      </c>
      <c r="AQ44" s="10" t="s">
        <v>410</v>
      </c>
      <c r="AS44" s="583"/>
      <c r="AT44" s="591"/>
      <c r="AU44" s="588"/>
      <c r="AV44" s="588"/>
      <c r="AW44" s="589"/>
      <c r="AX44" s="589"/>
      <c r="AY44" s="589"/>
      <c r="AZ44" s="590"/>
      <c r="BA44" s="590"/>
      <c r="BB44" s="590"/>
      <c r="BC44" s="590"/>
      <c r="BD44" s="590"/>
      <c r="BE44" s="590"/>
      <c r="BF44" s="590"/>
      <c r="BG44" s="590"/>
      <c r="BH44" s="441"/>
      <c r="BI44" s="441"/>
      <c r="BJ44" s="441"/>
      <c r="BK44" s="441"/>
      <c r="BL44" s="441"/>
    </row>
    <row r="45" spans="1:64" ht="15" customHeight="1" x14ac:dyDescent="0.3">
      <c r="A45" s="796" t="str">
        <f t="shared" si="8"/>
        <v>L: Neutralizace jedu</v>
      </c>
      <c r="B45" s="366"/>
      <c r="C45" s="367" t="str">
        <f>IFERROR(HLOOKUP(CONCATENATE("P",IFERROR(HLOOKUP('3-Schopnosti'!$S$38,'3-Schopnosti'!$R$38:$S$55,MATCH(B45,'3-Schopnosti'!$R$38:$R$55,0),FALSE),0)),$X$6:$AP$120,MATCH(A45,$X$6:$X$120,0),FALSE)," ")</f>
        <v>X</v>
      </c>
      <c r="D45" s="366">
        <f t="shared" si="9"/>
        <v>2</v>
      </c>
      <c r="E45" s="585" t="str">
        <f t="shared" si="10"/>
        <v>ANO</v>
      </c>
      <c r="F45" s="365"/>
      <c r="G45" s="366"/>
      <c r="H45" s="367" t="str">
        <f>IFERROR(HLOOKUP(CONCATENATE("P",IFERROR(HLOOKUP('3-Schopnosti'!$S$38,'3-Schopnosti'!$R$38:$S$55,MATCH(G45,'3-Schopnosti'!$R$38:$R$55,0),FALSE),0)),$AS$6:$BL$120,MATCH(F45,$AS$6:$AS$120,0),FALSE)," ")</f>
        <v xml:space="preserve"> </v>
      </c>
      <c r="I45" s="366" t="str">
        <f t="shared" si="4"/>
        <v xml:space="preserve"> </v>
      </c>
      <c r="J45" s="585" t="str">
        <f t="shared" si="5"/>
        <v xml:space="preserve"> </v>
      </c>
      <c r="L45" s="483">
        <f>IF(E45="ANO",0,IFERROR(HLOOKUP('3-Schopnosti'!$S$38,'3-Schopnosti'!$R$38:$S$55,MATCH(B45,'3-Schopnosti'!$R$38:$R$55,0),FALSE),0))</f>
        <v>0</v>
      </c>
      <c r="M45" s="483">
        <f>IF(J45="ANO",0,IFERROR(HLOOKUP('3-Schopnosti'!$S$38,'3-Schopnosti'!$R$38:$S$55,MATCH(G45,'3-Schopnosti'!$R$38:$R$55,0),FALSE),0))</f>
        <v>0</v>
      </c>
      <c r="O45" s="130" t="s">
        <v>188</v>
      </c>
      <c r="P45" s="131" t="s">
        <v>5</v>
      </c>
      <c r="R45" s="63" t="s">
        <v>278</v>
      </c>
      <c r="S45" s="63">
        <v>5</v>
      </c>
      <c r="U45" s="233" t="s">
        <v>262</v>
      </c>
      <c r="V45" s="233" t="s">
        <v>262</v>
      </c>
      <c r="X45" s="583" t="s">
        <v>1875</v>
      </c>
      <c r="Y45" s="591">
        <v>1</v>
      </c>
      <c r="Z45" s="583" t="s">
        <v>1564</v>
      </c>
      <c r="AA45" s="583" t="s">
        <v>1510</v>
      </c>
      <c r="AB45" s="592" t="s">
        <v>410</v>
      </c>
      <c r="AC45" s="593" t="s">
        <v>4983</v>
      </c>
      <c r="AD45" s="237" t="s">
        <v>410</v>
      </c>
      <c r="AE45" s="237" t="s">
        <v>410</v>
      </c>
      <c r="AF45" s="237" t="s">
        <v>410</v>
      </c>
      <c r="AG45" s="237" t="s">
        <v>410</v>
      </c>
      <c r="AH45" s="237" t="s">
        <v>410</v>
      </c>
      <c r="AI45" s="237" t="s">
        <v>410</v>
      </c>
      <c r="AJ45" s="237" t="s">
        <v>410</v>
      </c>
      <c r="AK45" s="237" t="s">
        <v>410</v>
      </c>
      <c r="AL45" s="237" t="s">
        <v>410</v>
      </c>
      <c r="AM45" s="237" t="s">
        <v>410</v>
      </c>
      <c r="AN45" s="237" t="s">
        <v>410</v>
      </c>
      <c r="AO45" s="237" t="s">
        <v>410</v>
      </c>
      <c r="AP45" s="10" t="s">
        <v>410</v>
      </c>
      <c r="AQ45" s="10" t="s">
        <v>410</v>
      </c>
      <c r="AS45" s="583"/>
      <c r="AT45" s="591"/>
      <c r="AU45" s="583"/>
      <c r="AV45" s="583"/>
      <c r="AW45" s="593"/>
      <c r="AX45" s="583"/>
      <c r="AY45" s="583"/>
      <c r="AZ45" s="593"/>
      <c r="BA45" s="593"/>
      <c r="BB45" s="593"/>
      <c r="BC45" s="593"/>
      <c r="BD45" s="593"/>
      <c r="BE45" s="593"/>
    </row>
    <row r="46" spans="1:64" ht="15" customHeight="1" x14ac:dyDescent="0.3">
      <c r="A46" s="797" t="str">
        <f t="shared" si="8"/>
        <v>Př.vP: Cit země</v>
      </c>
      <c r="B46" s="596"/>
      <c r="C46" s="597" t="str">
        <f>IFERROR(HLOOKUP(CONCATENATE("P",IFERROR(HLOOKUP('3-Schopnosti'!$S$38,'3-Schopnosti'!$R$38:$S$55,MATCH(B46,'3-Schopnosti'!$R$38:$R$55,0),FALSE),0)),$X$6:$AP$120,MATCH(A46,$X$6:$X$120,0),FALSE)," ")</f>
        <v>X</v>
      </c>
      <c r="D46" s="596">
        <f t="shared" si="9"/>
        <v>2</v>
      </c>
      <c r="E46" s="598" t="str">
        <f t="shared" si="10"/>
        <v>ANO</v>
      </c>
      <c r="F46" s="365"/>
      <c r="G46" s="366"/>
      <c r="H46" s="367" t="str">
        <f>IFERROR(HLOOKUP(CONCATENATE("P",IFERROR(HLOOKUP('3-Schopnosti'!$S$38,'3-Schopnosti'!$R$38:$S$55,MATCH(G46,'3-Schopnosti'!$R$38:$R$55,0),FALSE),0)),$AS$6:$BL$120,MATCH(F46,$AS$6:$AS$120,0),FALSE)," ")</f>
        <v xml:space="preserve"> </v>
      </c>
      <c r="I46" s="366" t="str">
        <f t="shared" si="4"/>
        <v xml:space="preserve"> </v>
      </c>
      <c r="J46" s="585" t="str">
        <f t="shared" si="5"/>
        <v xml:space="preserve"> </v>
      </c>
      <c r="L46" s="483">
        <f>IF(E46="ANO",0,IFERROR(HLOOKUP('3-Schopnosti'!$S$38,'3-Schopnosti'!$R$38:$S$55,MATCH(B46,'3-Schopnosti'!$R$38:$R$55,0),FALSE),0))</f>
        <v>0</v>
      </c>
      <c r="M46" s="483">
        <f>IF(J46="ANO",0,IFERROR(HLOOKUP('3-Schopnosti'!$S$38,'3-Schopnosti'!$R$38:$S$55,MATCH(G46,'3-Schopnosti'!$R$38:$R$55,0),FALSE),0))</f>
        <v>0</v>
      </c>
      <c r="O46" s="130"/>
      <c r="P46" s="131"/>
      <c r="R46" s="63" t="s">
        <v>406</v>
      </c>
      <c r="S46" s="63">
        <v>6</v>
      </c>
      <c r="U46" s="233" t="s">
        <v>1016</v>
      </c>
      <c r="V46" s="233" t="s">
        <v>262</v>
      </c>
      <c r="X46" s="583" t="s">
        <v>1876</v>
      </c>
      <c r="Y46" s="591">
        <v>1</v>
      </c>
      <c r="Z46" s="583" t="s">
        <v>1564</v>
      </c>
      <c r="AA46" s="583" t="s">
        <v>1510</v>
      </c>
      <c r="AB46" s="592" t="s">
        <v>410</v>
      </c>
      <c r="AC46" s="593" t="s">
        <v>4978</v>
      </c>
      <c r="AD46" s="237" t="s">
        <v>410</v>
      </c>
      <c r="AE46" s="237" t="s">
        <v>410</v>
      </c>
      <c r="AF46" s="237" t="s">
        <v>410</v>
      </c>
      <c r="AG46" s="237" t="s">
        <v>410</v>
      </c>
      <c r="AH46" s="237" t="s">
        <v>410</v>
      </c>
      <c r="AI46" s="237" t="s">
        <v>410</v>
      </c>
      <c r="AJ46" s="237" t="s">
        <v>410</v>
      </c>
      <c r="AK46" s="237" t="s">
        <v>410</v>
      </c>
      <c r="AL46" s="237" t="s">
        <v>410</v>
      </c>
      <c r="AM46" s="237" t="s">
        <v>410</v>
      </c>
      <c r="AN46" s="237" t="s">
        <v>410</v>
      </c>
      <c r="AO46" s="237" t="s">
        <v>410</v>
      </c>
      <c r="AP46" s="10" t="s">
        <v>410</v>
      </c>
      <c r="AQ46" s="10" t="s">
        <v>410</v>
      </c>
      <c r="AS46" s="583"/>
      <c r="AT46" s="591"/>
      <c r="AU46" s="588"/>
      <c r="AV46" s="588"/>
      <c r="AW46" s="589"/>
      <c r="AX46" s="589"/>
      <c r="AY46" s="589"/>
      <c r="AZ46" s="589"/>
      <c r="BA46" s="590"/>
      <c r="BB46" s="590"/>
      <c r="BC46" s="590"/>
      <c r="BD46" s="590"/>
      <c r="BE46" s="590"/>
      <c r="BF46" s="590"/>
      <c r="BG46" s="590"/>
      <c r="BH46" s="441"/>
      <c r="BI46" s="441"/>
      <c r="BJ46" s="441"/>
      <c r="BK46" s="441"/>
      <c r="BL46" s="441"/>
    </row>
    <row r="47" spans="1:64" ht="15" customHeight="1" x14ac:dyDescent="0.3">
      <c r="A47" s="796" t="str">
        <f t="shared" si="8"/>
        <v>Kouzla léčivá</v>
      </c>
      <c r="B47" s="366"/>
      <c r="C47" s="367" t="str">
        <f>IFERROR(HLOOKUP(CONCATENATE("P",IFERROR(HLOOKUP('3-Schopnosti'!$S$38,'3-Schopnosti'!$R$38:$S$55,MATCH(B47,'3-Schopnosti'!$R$38:$R$55,0),FALSE),0)),$X$6:$AP$120,MATCH(A47,$X$6:$X$120,0),FALSE)," ")</f>
        <v>X</v>
      </c>
      <c r="D47" s="366">
        <f t="shared" si="9"/>
        <v>3</v>
      </c>
      <c r="E47" s="585" t="str">
        <f t="shared" si="10"/>
        <v>ANO</v>
      </c>
      <c r="F47" s="365"/>
      <c r="G47" s="366"/>
      <c r="H47" s="367" t="str">
        <f>IFERROR(HLOOKUP(CONCATENATE("P",IFERROR(HLOOKUP('3-Schopnosti'!$S$38,'3-Schopnosti'!$R$38:$S$55,MATCH(G47,'3-Schopnosti'!$R$38:$R$55,0),FALSE),0)),$AS$6:$BL$120,MATCH(F47,$AS$6:$AS$120,0),FALSE)," ")</f>
        <v xml:space="preserve"> </v>
      </c>
      <c r="I47" s="366" t="str">
        <f t="shared" si="4"/>
        <v xml:space="preserve"> </v>
      </c>
      <c r="J47" s="585" t="str">
        <f t="shared" si="5"/>
        <v xml:space="preserve"> </v>
      </c>
      <c r="L47" s="483">
        <f>IF(E47="ANO",0,IFERROR(HLOOKUP('3-Schopnosti'!$S$38,'3-Schopnosti'!$R$38:$S$55,MATCH(B47,'3-Schopnosti'!$R$38:$R$55,0),FALSE),0))</f>
        <v>0</v>
      </c>
      <c r="M47" s="483">
        <f>IF(J47="ANO",0,IFERROR(HLOOKUP('3-Schopnosti'!$S$38,'3-Schopnosti'!$R$38:$S$55,MATCH(G47,'3-Schopnosti'!$R$38:$R$55,0),FALSE),0))</f>
        <v>0</v>
      </c>
      <c r="R47" s="63" t="s">
        <v>407</v>
      </c>
      <c r="S47" s="63">
        <v>7</v>
      </c>
      <c r="U47" s="233" t="s">
        <v>4754</v>
      </c>
      <c r="V47" s="233" t="s">
        <v>4754</v>
      </c>
      <c r="X47" s="583" t="s">
        <v>3026</v>
      </c>
      <c r="Y47" s="591">
        <v>1</v>
      </c>
      <c r="Z47" s="583" t="s">
        <v>1564</v>
      </c>
      <c r="AA47" s="583" t="s">
        <v>1510</v>
      </c>
      <c r="AB47" s="592"/>
      <c r="AC47" s="592" t="s">
        <v>410</v>
      </c>
      <c r="AD47" s="592" t="s">
        <v>410</v>
      </c>
      <c r="AE47" s="592" t="s">
        <v>410</v>
      </c>
      <c r="AF47" s="10" t="s">
        <v>410</v>
      </c>
      <c r="AG47" s="10" t="s">
        <v>410</v>
      </c>
      <c r="AH47" s="10" t="s">
        <v>410</v>
      </c>
      <c r="AI47" s="10" t="s">
        <v>410</v>
      </c>
      <c r="AJ47" s="10" t="s">
        <v>410</v>
      </c>
      <c r="AK47" s="10" t="s">
        <v>410</v>
      </c>
      <c r="AL47" s="10" t="s">
        <v>410</v>
      </c>
      <c r="AM47" s="10" t="s">
        <v>410</v>
      </c>
      <c r="AN47" s="10" t="s">
        <v>410</v>
      </c>
      <c r="AO47" s="10" t="s">
        <v>410</v>
      </c>
      <c r="AP47" s="10" t="s">
        <v>410</v>
      </c>
      <c r="AQ47" s="10" t="s">
        <v>410</v>
      </c>
      <c r="AS47" s="583"/>
      <c r="AT47" s="591"/>
      <c r="AU47" s="583"/>
      <c r="AV47" s="583"/>
      <c r="AW47" s="593"/>
      <c r="AX47" s="583"/>
      <c r="AY47" s="583"/>
      <c r="AZ47" s="583"/>
      <c r="BA47" s="593"/>
      <c r="BB47" s="593"/>
      <c r="BC47" s="593"/>
      <c r="BD47" s="593"/>
      <c r="BE47" s="593"/>
    </row>
    <row r="48" spans="1:64" ht="15" customHeight="1" x14ac:dyDescent="0.3">
      <c r="A48" s="797" t="str">
        <f t="shared" si="8"/>
        <v>L: Ošetři těžká zranění</v>
      </c>
      <c r="B48" s="596"/>
      <c r="C48" s="597" t="str">
        <f>IFERROR(HLOOKUP(CONCATENATE("P",IFERROR(HLOOKUP('3-Schopnosti'!$S$38,'3-Schopnosti'!$R$38:$S$55,MATCH(B48,'3-Schopnosti'!$R$38:$R$55,0),FALSE),0)),$X$6:$AP$120,MATCH(A48,$X$6:$X$120,0),FALSE)," ")</f>
        <v>X</v>
      </c>
      <c r="D48" s="596">
        <f t="shared" si="9"/>
        <v>3</v>
      </c>
      <c r="E48" s="598" t="str">
        <f t="shared" si="10"/>
        <v>ANO</v>
      </c>
      <c r="F48" s="365"/>
      <c r="G48" s="366"/>
      <c r="H48" s="367" t="str">
        <f>IFERROR(HLOOKUP(CONCATENATE("P",IFERROR(HLOOKUP('3-Schopnosti'!$S$38,'3-Schopnosti'!$R$38:$S$55,MATCH(G48,'3-Schopnosti'!$R$38:$R$55,0),FALSE),0)),$AS$6:$BL$120,MATCH(F48,$AS$6:$AS$120,0),FALSE)," ")</f>
        <v xml:space="preserve"> </v>
      </c>
      <c r="I48" s="366" t="str">
        <f t="shared" si="4"/>
        <v xml:space="preserve"> </v>
      </c>
      <c r="J48" s="585" t="str">
        <f t="shared" si="5"/>
        <v xml:space="preserve"> </v>
      </c>
      <c r="L48" s="483">
        <f>IF(E48="ANO",0,IFERROR(HLOOKUP('3-Schopnosti'!$S$38,'3-Schopnosti'!$R$38:$S$55,MATCH(B48,'3-Schopnosti'!$R$38:$R$55,0),FALSE),0))</f>
        <v>0</v>
      </c>
      <c r="M48" s="483">
        <f>IF(J48="ANO",0,IFERROR(HLOOKUP('3-Schopnosti'!$S$38,'3-Schopnosti'!$R$38:$S$55,MATCH(G48,'3-Schopnosti'!$R$38:$R$55,0),FALSE),0))</f>
        <v>0</v>
      </c>
      <c r="O48" t="s">
        <v>192</v>
      </c>
      <c r="R48" s="63" t="s">
        <v>408</v>
      </c>
      <c r="S48" s="63">
        <v>8</v>
      </c>
      <c r="U48" s="233" t="s">
        <v>4753</v>
      </c>
      <c r="V48" s="233" t="s">
        <v>4754</v>
      </c>
      <c r="X48" s="583" t="s">
        <v>3145</v>
      </c>
      <c r="Y48" s="591">
        <v>2</v>
      </c>
      <c r="Z48" s="583" t="s">
        <v>1564</v>
      </c>
      <c r="AA48" s="583" t="s">
        <v>1510</v>
      </c>
      <c r="AB48" s="593" t="s">
        <v>410</v>
      </c>
      <c r="AC48" s="593" t="s">
        <v>3039</v>
      </c>
      <c r="AD48" s="593" t="s">
        <v>3040</v>
      </c>
      <c r="AE48" s="593" t="s">
        <v>3041</v>
      </c>
      <c r="AF48" s="593" t="s">
        <v>4634</v>
      </c>
      <c r="AG48" s="593" t="s">
        <v>3042</v>
      </c>
      <c r="AH48" s="593" t="s">
        <v>3043</v>
      </c>
      <c r="AI48" s="593" t="s">
        <v>3044</v>
      </c>
      <c r="AJ48" s="593" t="s">
        <v>3045</v>
      </c>
      <c r="AK48" s="237" t="s">
        <v>410</v>
      </c>
      <c r="AL48" s="237" t="s">
        <v>410</v>
      </c>
      <c r="AM48" s="237" t="s">
        <v>410</v>
      </c>
      <c r="AN48" s="237" t="s">
        <v>410</v>
      </c>
      <c r="AO48" s="237" t="s">
        <v>410</v>
      </c>
      <c r="AP48" s="237" t="s">
        <v>410</v>
      </c>
      <c r="AQ48" s="237" t="s">
        <v>410</v>
      </c>
      <c r="AS48" s="583"/>
      <c r="AT48" s="591"/>
      <c r="AU48" s="588"/>
      <c r="AV48" s="588"/>
      <c r="AW48" s="589"/>
      <c r="AX48" s="589"/>
      <c r="AY48" s="589"/>
      <c r="AZ48" s="589"/>
      <c r="BA48" s="589"/>
      <c r="BB48" s="590"/>
      <c r="BC48" s="590"/>
      <c r="BD48" s="590"/>
      <c r="BE48" s="590"/>
      <c r="BF48" s="590"/>
      <c r="BG48" s="590"/>
      <c r="BH48" s="441"/>
      <c r="BI48" s="441"/>
      <c r="BJ48" s="441"/>
      <c r="BK48" s="441"/>
      <c r="BL48" s="441"/>
    </row>
    <row r="49" spans="1:64" ht="15" customHeight="1" x14ac:dyDescent="0.3">
      <c r="A49" s="796" t="str">
        <f t="shared" si="8"/>
        <v>Př.vP: Maskování</v>
      </c>
      <c r="B49" s="366"/>
      <c r="C49" s="367" t="str">
        <f>IFERROR(HLOOKUP(CONCATENATE("P",IFERROR(HLOOKUP('3-Schopnosti'!$S$38,'3-Schopnosti'!$R$38:$S$55,MATCH(B49,'3-Schopnosti'!$R$38:$R$55,0),FALSE),0)),$X$6:$AP$120,MATCH(A49,$X$6:$X$120,0),FALSE)," ")</f>
        <v>X</v>
      </c>
      <c r="D49" s="366">
        <f t="shared" si="9"/>
        <v>3</v>
      </c>
      <c r="E49" s="585" t="str">
        <f t="shared" si="10"/>
        <v>ANO</v>
      </c>
      <c r="F49" s="365"/>
      <c r="G49" s="366"/>
      <c r="H49" s="367" t="str">
        <f>IFERROR(HLOOKUP(CONCATENATE("P",IFERROR(HLOOKUP('3-Schopnosti'!$S$38,'3-Schopnosti'!$R$38:$S$55,MATCH(G49,'3-Schopnosti'!$R$38:$R$55,0),FALSE),0)),$AS$6:$BL$120,MATCH(F49,$AS$6:$AS$120,0),FALSE)," ")</f>
        <v xml:space="preserve"> </v>
      </c>
      <c r="I49" s="366" t="str">
        <f t="shared" si="4"/>
        <v xml:space="preserve"> </v>
      </c>
      <c r="J49" s="585" t="str">
        <f t="shared" si="5"/>
        <v xml:space="preserve"> </v>
      </c>
      <c r="L49" s="483">
        <f>IF(E49="ANO",0,IFERROR(HLOOKUP('3-Schopnosti'!$S$38,'3-Schopnosti'!$R$38:$S$55,MATCH(B49,'3-Schopnosti'!$R$38:$R$55,0),FALSE),0))</f>
        <v>0</v>
      </c>
      <c r="M49" s="483">
        <f>IF(J49="ANO",0,IFERROR(HLOOKUP('3-Schopnosti'!$S$38,'3-Schopnosti'!$R$38:$S$55,MATCH(G49,'3-Schopnosti'!$R$38:$R$55,0),FALSE),0))</f>
        <v>0</v>
      </c>
      <c r="O49" t="s">
        <v>112</v>
      </c>
      <c r="P49" s="55" t="s">
        <v>189</v>
      </c>
      <c r="R49" s="63" t="s">
        <v>409</v>
      </c>
      <c r="S49" s="63">
        <v>9</v>
      </c>
      <c r="U49" s="233" t="s">
        <v>274</v>
      </c>
      <c r="V49" s="233" t="s">
        <v>274</v>
      </c>
      <c r="X49" s="583" t="s">
        <v>2197</v>
      </c>
      <c r="Y49" s="591">
        <v>2</v>
      </c>
      <c r="Z49" s="583" t="s">
        <v>1564</v>
      </c>
      <c r="AA49" s="583" t="s">
        <v>1510</v>
      </c>
      <c r="AB49" s="592" t="s">
        <v>410</v>
      </c>
      <c r="AC49" s="583" t="s">
        <v>410</v>
      </c>
      <c r="AD49" s="583" t="s">
        <v>3169</v>
      </c>
      <c r="AE49" s="583" t="s">
        <v>3170</v>
      </c>
      <c r="AF49" s="583" t="s">
        <v>3171</v>
      </c>
      <c r="AG49" s="583" t="s">
        <v>3172</v>
      </c>
      <c r="AH49" s="583" t="s">
        <v>410</v>
      </c>
      <c r="AI49" t="s">
        <v>410</v>
      </c>
      <c r="AJ49" t="s">
        <v>410</v>
      </c>
      <c r="AK49" t="s">
        <v>410</v>
      </c>
      <c r="AL49" t="s">
        <v>410</v>
      </c>
      <c r="AM49" t="s">
        <v>410</v>
      </c>
      <c r="AN49" t="s">
        <v>410</v>
      </c>
      <c r="AO49" t="s">
        <v>410</v>
      </c>
      <c r="AP49" t="s">
        <v>410</v>
      </c>
      <c r="AQ49" t="s">
        <v>410</v>
      </c>
      <c r="AS49" s="583"/>
      <c r="AT49" s="591"/>
      <c r="AU49" s="583"/>
      <c r="AV49" s="583"/>
      <c r="AW49" s="593"/>
      <c r="AX49" s="583"/>
      <c r="AY49" s="583"/>
      <c r="AZ49" s="583"/>
      <c r="BA49" s="583"/>
      <c r="BB49" s="593"/>
      <c r="BC49" s="593"/>
      <c r="BD49" s="593"/>
      <c r="BE49" s="593"/>
    </row>
    <row r="50" spans="1:64" ht="15" customHeight="1" x14ac:dyDescent="0.3">
      <c r="A50" s="797" t="str">
        <f t="shared" si="8"/>
        <v>L: Ošetři popáleniny/omrzliny</v>
      </c>
      <c r="B50" s="596"/>
      <c r="C50" s="597" t="str">
        <f>IFERROR(HLOOKUP(CONCATENATE("P",IFERROR(HLOOKUP('3-Schopnosti'!$S$38,'3-Schopnosti'!$R$38:$S$55,MATCH(B50,'3-Schopnosti'!$R$38:$R$55,0),FALSE),0)),$X$6:$AP$120,MATCH(A50,$X$6:$X$120,0),FALSE)," ")</f>
        <v>X</v>
      </c>
      <c r="D50" s="596">
        <f t="shared" si="9"/>
        <v>4</v>
      </c>
      <c r="E50" s="598" t="str">
        <f t="shared" si="10"/>
        <v>ANO</v>
      </c>
      <c r="F50" s="365"/>
      <c r="G50" s="366"/>
      <c r="H50" s="367" t="str">
        <f>IFERROR(HLOOKUP(CONCATENATE("P",IFERROR(HLOOKUP('3-Schopnosti'!$S$38,'3-Schopnosti'!$R$38:$S$55,MATCH(G50,'3-Schopnosti'!$R$38:$R$55,0),FALSE),0)),$AS$6:$BL$120,MATCH(F50,$AS$6:$AS$120,0),FALSE)," ")</f>
        <v xml:space="preserve"> </v>
      </c>
      <c r="I50" s="366" t="str">
        <f t="shared" si="4"/>
        <v xml:space="preserve"> </v>
      </c>
      <c r="J50" s="585" t="str">
        <f t="shared" si="5"/>
        <v xml:space="preserve"> </v>
      </c>
      <c r="L50" s="483">
        <f>IF(E50="ANO",0,IFERROR(HLOOKUP('3-Schopnosti'!$S$38,'3-Schopnosti'!$R$38:$S$55,MATCH(B50,'3-Schopnosti'!$R$38:$R$55,0),FALSE),0))</f>
        <v>0</v>
      </c>
      <c r="M50" s="483">
        <f>IF(J50="ANO",0,IFERROR(HLOOKUP('3-Schopnosti'!$S$38,'3-Schopnosti'!$R$38:$S$55,MATCH(G50,'3-Schopnosti'!$R$38:$R$55,0),FALSE),0))</f>
        <v>0</v>
      </c>
      <c r="O50" t="s">
        <v>113</v>
      </c>
      <c r="P50" s="55" t="s">
        <v>183</v>
      </c>
      <c r="R50" s="63" t="s">
        <v>410</v>
      </c>
      <c r="S50" s="63">
        <v>10</v>
      </c>
      <c r="U50" s="233" t="s">
        <v>1017</v>
      </c>
      <c r="V50" s="233" t="s">
        <v>274</v>
      </c>
      <c r="X50" s="583" t="s">
        <v>1877</v>
      </c>
      <c r="Y50" s="591">
        <v>2</v>
      </c>
      <c r="Z50" s="583" t="s">
        <v>1564</v>
      </c>
      <c r="AA50" s="583" t="s">
        <v>1510</v>
      </c>
      <c r="AB50" s="592" t="s">
        <v>410</v>
      </c>
      <c r="AC50" s="593" t="s">
        <v>4979</v>
      </c>
      <c r="AD50" s="237" t="s">
        <v>410</v>
      </c>
      <c r="AE50" s="237" t="s">
        <v>410</v>
      </c>
      <c r="AF50" s="237" t="s">
        <v>410</v>
      </c>
      <c r="AG50" s="237" t="s">
        <v>410</v>
      </c>
      <c r="AH50" s="237" t="s">
        <v>410</v>
      </c>
      <c r="AI50" s="237" t="s">
        <v>410</v>
      </c>
      <c r="AJ50" s="237" t="s">
        <v>410</v>
      </c>
      <c r="AK50" s="237" t="s">
        <v>410</v>
      </c>
      <c r="AL50" s="237" t="s">
        <v>410</v>
      </c>
      <c r="AM50" s="237" t="s">
        <v>410</v>
      </c>
      <c r="AN50" s="237" t="s">
        <v>410</v>
      </c>
      <c r="AO50" s="237" t="s">
        <v>410</v>
      </c>
      <c r="AP50" s="10" t="s">
        <v>410</v>
      </c>
      <c r="AQ50" s="10" t="s">
        <v>410</v>
      </c>
      <c r="AS50" s="583"/>
      <c r="AT50" s="591"/>
      <c r="AU50" s="588"/>
      <c r="AV50" s="588"/>
      <c r="AW50" s="589"/>
      <c r="AX50" s="589"/>
      <c r="AY50" s="589"/>
      <c r="AZ50" s="589"/>
      <c r="BA50" s="589"/>
      <c r="BB50" s="589"/>
      <c r="BC50" s="590"/>
      <c r="BD50" s="590"/>
      <c r="BE50" s="590"/>
      <c r="BF50" s="590"/>
      <c r="BG50" s="590"/>
      <c r="BH50" s="441"/>
      <c r="BI50" s="441"/>
      <c r="BJ50" s="441"/>
      <c r="BK50" s="441"/>
      <c r="BL50" s="441"/>
    </row>
    <row r="51" spans="1:64" ht="15" customHeight="1" x14ac:dyDescent="0.3">
      <c r="A51" s="796" t="str">
        <f t="shared" si="8"/>
        <v>Př.vP: Cit vody</v>
      </c>
      <c r="B51" s="366"/>
      <c r="C51" s="367" t="str">
        <f>IFERROR(HLOOKUP(CONCATENATE("P",IFERROR(HLOOKUP('3-Schopnosti'!$S$38,'3-Schopnosti'!$R$38:$S$55,MATCH(B51,'3-Schopnosti'!$R$38:$R$55,0),FALSE),0)),$X$6:$AP$120,MATCH(A51,$X$6:$X$120,0),FALSE)," ")</f>
        <v>X</v>
      </c>
      <c r="D51" s="366">
        <f t="shared" si="9"/>
        <v>4</v>
      </c>
      <c r="E51" s="585" t="str">
        <f t="shared" si="10"/>
        <v>ANO</v>
      </c>
      <c r="F51" s="365"/>
      <c r="G51" s="366"/>
      <c r="H51" s="367" t="str">
        <f>IFERROR(HLOOKUP(CONCATENATE("P",IFERROR(HLOOKUP('3-Schopnosti'!$S$38,'3-Schopnosti'!$R$38:$S$55,MATCH(G51,'3-Schopnosti'!$R$38:$R$55,0),FALSE),0)),$AS$6:$BL$120,MATCH(F51,$AS$6:$AS$120,0),FALSE)," ")</f>
        <v xml:space="preserve"> </v>
      </c>
      <c r="I51" s="366" t="str">
        <f t="shared" si="4"/>
        <v xml:space="preserve"> </v>
      </c>
      <c r="J51" s="585" t="str">
        <f t="shared" si="5"/>
        <v xml:space="preserve"> </v>
      </c>
      <c r="L51" s="483">
        <f>IF(E51="ANO",0,IFERROR(HLOOKUP('3-Schopnosti'!$S$38,'3-Schopnosti'!$R$38:$S$55,MATCH(B51,'3-Schopnosti'!$R$38:$R$55,0),FALSE),0))</f>
        <v>0</v>
      </c>
      <c r="M51" s="483">
        <f>IF(J51="ANO",0,IFERROR(HLOOKUP('3-Schopnosti'!$S$38,'3-Schopnosti'!$R$38:$S$55,MATCH(G51,'3-Schopnosti'!$R$38:$R$55,0),FALSE),0))</f>
        <v>0</v>
      </c>
      <c r="O51" t="s">
        <v>114</v>
      </c>
      <c r="P51" s="55" t="s">
        <v>182</v>
      </c>
      <c r="R51" s="63" t="s">
        <v>411</v>
      </c>
      <c r="S51" s="63">
        <v>11</v>
      </c>
      <c r="U51" s="233" t="s">
        <v>5589</v>
      </c>
      <c r="V51" s="233" t="s">
        <v>5589</v>
      </c>
      <c r="X51" s="583" t="s">
        <v>3150</v>
      </c>
      <c r="Y51" s="591">
        <v>3</v>
      </c>
      <c r="Z51" s="583" t="s">
        <v>1564</v>
      </c>
      <c r="AA51" s="583" t="s">
        <v>1510</v>
      </c>
      <c r="AB51" s="593" t="s">
        <v>410</v>
      </c>
      <c r="AC51" s="593" t="s">
        <v>3054</v>
      </c>
      <c r="AD51" s="593" t="s">
        <v>3055</v>
      </c>
      <c r="AE51" s="593" t="s">
        <v>3056</v>
      </c>
      <c r="AF51" s="593" t="s">
        <v>3057</v>
      </c>
      <c r="AG51" s="593" t="s">
        <v>3059</v>
      </c>
      <c r="AH51" s="593" t="s">
        <v>3060</v>
      </c>
      <c r="AI51" s="593" t="s">
        <v>3058</v>
      </c>
      <c r="AJ51" s="593" t="s">
        <v>3061</v>
      </c>
      <c r="AK51" s="237" t="s">
        <v>410</v>
      </c>
      <c r="AL51" s="237" t="s">
        <v>410</v>
      </c>
      <c r="AM51" s="237" t="s">
        <v>410</v>
      </c>
      <c r="AN51" s="237" t="s">
        <v>410</v>
      </c>
      <c r="AO51" s="237" t="s">
        <v>410</v>
      </c>
      <c r="AP51" s="237" t="s">
        <v>410</v>
      </c>
      <c r="AQ51" s="237" t="s">
        <v>410</v>
      </c>
      <c r="AS51" s="583"/>
      <c r="AT51" s="591"/>
      <c r="AU51" s="588"/>
      <c r="AV51" s="588"/>
      <c r="AW51" s="589"/>
      <c r="AX51" s="441"/>
      <c r="AY51" s="441"/>
      <c r="AZ51" s="441"/>
      <c r="BA51" s="441"/>
      <c r="BB51" s="441"/>
      <c r="BC51" s="441"/>
      <c r="BD51" s="441"/>
      <c r="BE51" s="441"/>
      <c r="BF51" s="441"/>
      <c r="BG51" s="441"/>
      <c r="BH51" s="441"/>
      <c r="BI51" s="441"/>
      <c r="BJ51" s="441"/>
      <c r="BK51" s="441"/>
      <c r="BL51" s="441"/>
    </row>
    <row r="52" spans="1:64" ht="15" customHeight="1" x14ac:dyDescent="0.3">
      <c r="A52" s="797" t="str">
        <f t="shared" si="8"/>
        <v>K: Znamení</v>
      </c>
      <c r="B52" s="596"/>
      <c r="C52" s="597" t="str">
        <f>IFERROR(HLOOKUP(CONCATENATE("P",IFERROR(HLOOKUP('3-Schopnosti'!$S$38,'3-Schopnosti'!$R$38:$S$55,MATCH(B52,'3-Schopnosti'!$R$38:$R$55,0),FALSE),0)),$X$6:$AP$120,MATCH(A52,$X$6:$X$120,0),FALSE)," ")</f>
        <v>X</v>
      </c>
      <c r="D52" s="596">
        <f t="shared" si="9"/>
        <v>5</v>
      </c>
      <c r="E52" s="598" t="str">
        <f t="shared" si="10"/>
        <v>ANO</v>
      </c>
      <c r="F52" s="365"/>
      <c r="G52" s="366"/>
      <c r="H52" s="367" t="str">
        <f>IFERROR(HLOOKUP(CONCATENATE("P",IFERROR(HLOOKUP('3-Schopnosti'!$S$38,'3-Schopnosti'!$R$38:$S$55,MATCH(G52,'3-Schopnosti'!$R$38:$R$55,0),FALSE),0)),$AS$6:$BL$120,MATCH(F52,$AS$6:$AS$120,0),FALSE)," ")</f>
        <v xml:space="preserve"> </v>
      </c>
      <c r="I52" s="366" t="str">
        <f t="shared" si="4"/>
        <v xml:space="preserve"> </v>
      </c>
      <c r="J52" s="585" t="str">
        <f t="shared" si="5"/>
        <v xml:space="preserve"> </v>
      </c>
      <c r="L52" s="483">
        <f>IF(E52="ANO",0,IFERROR(HLOOKUP('3-Schopnosti'!$S$38,'3-Schopnosti'!$R$38:$S$55,MATCH(B52,'3-Schopnosti'!$R$38:$R$55,0),FALSE),0))</f>
        <v>0</v>
      </c>
      <c r="M52" s="483">
        <f>IF(J52="ANO",0,IFERROR(HLOOKUP('3-Schopnosti'!$S$38,'3-Schopnosti'!$R$38:$S$55,MATCH(G52,'3-Schopnosti'!$R$38:$R$55,0),FALSE),0))</f>
        <v>0</v>
      </c>
      <c r="R52" s="63" t="s">
        <v>412</v>
      </c>
      <c r="S52" s="63">
        <v>12</v>
      </c>
      <c r="U52" s="233" t="s">
        <v>5590</v>
      </c>
      <c r="V52" s="233" t="s">
        <v>5589</v>
      </c>
      <c r="X52" s="583" t="s">
        <v>2198</v>
      </c>
      <c r="Y52" s="591">
        <v>3</v>
      </c>
      <c r="Z52" s="583" t="s">
        <v>1564</v>
      </c>
      <c r="AA52" s="583" t="s">
        <v>1510</v>
      </c>
      <c r="AB52" s="592" t="s">
        <v>410</v>
      </c>
      <c r="AC52" s="583" t="s">
        <v>410</v>
      </c>
      <c r="AD52" s="583" t="s">
        <v>410</v>
      </c>
      <c r="AE52" s="592" t="s">
        <v>3173</v>
      </c>
      <c r="AF52" s="592" t="s">
        <v>3173</v>
      </c>
      <c r="AG52" s="592" t="s">
        <v>3174</v>
      </c>
      <c r="AH52" s="583" t="s">
        <v>410</v>
      </c>
      <c r="AI52" t="s">
        <v>410</v>
      </c>
      <c r="AJ52" t="s">
        <v>410</v>
      </c>
      <c r="AK52" t="s">
        <v>410</v>
      </c>
      <c r="AL52" t="s">
        <v>410</v>
      </c>
      <c r="AM52" t="s">
        <v>410</v>
      </c>
      <c r="AN52" t="s">
        <v>410</v>
      </c>
      <c r="AO52" t="s">
        <v>410</v>
      </c>
      <c r="AP52" t="s">
        <v>410</v>
      </c>
      <c r="AQ52" t="s">
        <v>410</v>
      </c>
      <c r="AS52" s="583"/>
      <c r="AT52" s="591"/>
      <c r="AU52" s="583"/>
      <c r="AV52" s="583"/>
      <c r="AW52" s="593"/>
      <c r="AX52" s="583"/>
      <c r="AY52" s="583"/>
      <c r="AZ52" s="583"/>
      <c r="BA52" s="583"/>
      <c r="BB52" s="583"/>
      <c r="BC52" s="593"/>
      <c r="BD52" s="593"/>
      <c r="BE52" s="593"/>
    </row>
    <row r="53" spans="1:64" ht="15" customHeight="1" x14ac:dyDescent="0.3">
      <c r="A53" s="796" t="str">
        <f t="shared" si="8"/>
        <v>L: Vyleč lehkou nemoc</v>
      </c>
      <c r="B53" s="366"/>
      <c r="C53" s="367" t="str">
        <f>IFERROR(HLOOKUP(CONCATENATE("P",IFERROR(HLOOKUP('3-Schopnosti'!$S$38,'3-Schopnosti'!$R$38:$S$55,MATCH(B53,'3-Schopnosti'!$R$38:$R$55,0),FALSE),0)),$X$6:$AP$120,MATCH(A53,$X$6:$X$120,0),FALSE)," ")</f>
        <v>X</v>
      </c>
      <c r="D53" s="366">
        <f t="shared" si="9"/>
        <v>5</v>
      </c>
      <c r="E53" s="585" t="str">
        <f t="shared" si="10"/>
        <v>ANO</v>
      </c>
      <c r="F53" s="365"/>
      <c r="G53" s="366"/>
      <c r="H53" s="367" t="str">
        <f>IFERROR(HLOOKUP(CONCATENATE("P",IFERROR(HLOOKUP('3-Schopnosti'!$S$38,'3-Schopnosti'!$R$38:$S$55,MATCH(G53,'3-Schopnosti'!$R$38:$R$55,0),FALSE),0)),$AS$6:$BL$120,MATCH(F53,$AS$6:$AS$120,0),FALSE)," ")</f>
        <v xml:space="preserve"> </v>
      </c>
      <c r="I53" s="366" t="str">
        <f t="shared" si="4"/>
        <v xml:space="preserve"> </v>
      </c>
      <c r="J53" s="585" t="str">
        <f t="shared" si="5"/>
        <v xml:space="preserve"> </v>
      </c>
      <c r="L53" s="483">
        <f>IF(E53="ANO",0,IFERROR(HLOOKUP('3-Schopnosti'!$S$38,'3-Schopnosti'!$R$38:$S$55,MATCH(B53,'3-Schopnosti'!$R$38:$R$55,0),FALSE),0))</f>
        <v>0</v>
      </c>
      <c r="M53" s="483">
        <f>IF(J53="ANO",0,IFERROR(HLOOKUP('3-Schopnosti'!$S$38,'3-Schopnosti'!$R$38:$S$55,MATCH(G53,'3-Schopnosti'!$R$38:$R$55,0),FALSE),0))</f>
        <v>0</v>
      </c>
      <c r="R53" s="63" t="s">
        <v>413</v>
      </c>
      <c r="S53" s="63">
        <v>13</v>
      </c>
      <c r="U53" s="233" t="s">
        <v>268</v>
      </c>
      <c r="V53" s="233" t="s">
        <v>268</v>
      </c>
      <c r="X53" s="583" t="s">
        <v>1878</v>
      </c>
      <c r="Y53" s="591">
        <v>3</v>
      </c>
      <c r="Z53" s="583" t="s">
        <v>1564</v>
      </c>
      <c r="AA53" s="583" t="s">
        <v>1510</v>
      </c>
      <c r="AB53" s="592" t="s">
        <v>410</v>
      </c>
      <c r="AC53" s="593" t="s">
        <v>4980</v>
      </c>
      <c r="AD53" s="237" t="s">
        <v>410</v>
      </c>
      <c r="AE53" s="237" t="s">
        <v>410</v>
      </c>
      <c r="AF53" s="237" t="s">
        <v>410</v>
      </c>
      <c r="AG53" s="237" t="s">
        <v>410</v>
      </c>
      <c r="AH53" s="237" t="s">
        <v>410</v>
      </c>
      <c r="AI53" s="237" t="s">
        <v>410</v>
      </c>
      <c r="AJ53" s="237" t="s">
        <v>410</v>
      </c>
      <c r="AK53" s="237" t="s">
        <v>410</v>
      </c>
      <c r="AL53" s="237" t="s">
        <v>410</v>
      </c>
      <c r="AM53" s="237" t="s">
        <v>410</v>
      </c>
      <c r="AN53" s="237" t="s">
        <v>410</v>
      </c>
      <c r="AO53" s="237" t="s">
        <v>410</v>
      </c>
      <c r="AP53" s="10" t="s">
        <v>410</v>
      </c>
      <c r="AQ53" s="10" t="s">
        <v>410</v>
      </c>
      <c r="AS53" s="583"/>
      <c r="AT53" s="591"/>
      <c r="AU53" s="588"/>
      <c r="AV53" s="588"/>
      <c r="AW53" s="589"/>
      <c r="AX53" s="589"/>
      <c r="AY53" s="589"/>
      <c r="AZ53" s="589"/>
      <c r="BA53" s="589"/>
      <c r="BB53" s="589"/>
      <c r="BC53" s="589"/>
      <c r="BD53" s="590"/>
      <c r="BE53" s="590"/>
      <c r="BF53" s="590"/>
      <c r="BG53" s="590"/>
      <c r="BH53" s="441"/>
      <c r="BI53" s="441"/>
      <c r="BJ53" s="441"/>
      <c r="BK53" s="441"/>
      <c r="BL53" s="441"/>
    </row>
    <row r="54" spans="1:64" ht="15" customHeight="1" x14ac:dyDescent="0.3">
      <c r="A54" s="797" t="str">
        <f t="shared" si="8"/>
        <v>Př.vP: Vytrvalý pochod</v>
      </c>
      <c r="B54" s="596"/>
      <c r="C54" s="597" t="str">
        <f>IFERROR(HLOOKUP(CONCATENATE("P",IFERROR(HLOOKUP('3-Schopnosti'!$S$38,'3-Schopnosti'!$R$38:$S$55,MATCH(B54,'3-Schopnosti'!$R$38:$R$55,0),FALSE),0)),$X$6:$AP$120,MATCH(A54,$X$6:$X$120,0),FALSE)," ")</f>
        <v>X</v>
      </c>
      <c r="D54" s="596">
        <f t="shared" si="9"/>
        <v>5</v>
      </c>
      <c r="E54" s="598" t="str">
        <f t="shared" si="10"/>
        <v>ANO</v>
      </c>
      <c r="F54" s="365"/>
      <c r="G54" s="366"/>
      <c r="H54" s="367" t="str">
        <f>IFERROR(HLOOKUP(CONCATENATE("P",IFERROR(HLOOKUP('3-Schopnosti'!$S$38,'3-Schopnosti'!$R$38:$S$55,MATCH(G54,'3-Schopnosti'!$R$38:$R$55,0),FALSE),0)),$AS$6:$BL$120,MATCH(F54,$AS$6:$AS$120,0),FALSE)," ")</f>
        <v xml:space="preserve"> </v>
      </c>
      <c r="I54" s="366" t="str">
        <f t="shared" si="4"/>
        <v xml:space="preserve"> </v>
      </c>
      <c r="J54" s="585" t="str">
        <f t="shared" si="5"/>
        <v xml:space="preserve"> </v>
      </c>
      <c r="L54" s="483">
        <f>IF(E54="ANO",0,IFERROR(HLOOKUP('3-Schopnosti'!$S$38,'3-Schopnosti'!$R$38:$S$55,MATCH(B54,'3-Schopnosti'!$R$38:$R$55,0),FALSE),0))</f>
        <v>0</v>
      </c>
      <c r="M54" s="483">
        <f>IF(J54="ANO",0,IFERROR(HLOOKUP('3-Schopnosti'!$S$38,'3-Schopnosti'!$R$38:$S$55,MATCH(G54,'3-Schopnosti'!$R$38:$R$55,0),FALSE),0))</f>
        <v>0</v>
      </c>
      <c r="R54" s="63" t="s">
        <v>414</v>
      </c>
      <c r="S54" s="63">
        <v>14</v>
      </c>
      <c r="U54" s="233" t="s">
        <v>1018</v>
      </c>
      <c r="V54" s="233" t="s">
        <v>268</v>
      </c>
      <c r="X54" s="583" t="s">
        <v>3163</v>
      </c>
      <c r="Y54" s="591">
        <v>4</v>
      </c>
      <c r="Z54" s="583" t="s">
        <v>1564</v>
      </c>
      <c r="AA54" s="583" t="s">
        <v>1510</v>
      </c>
      <c r="AB54" s="592" t="s">
        <v>410</v>
      </c>
      <c r="AC54" s="583" t="s">
        <v>410</v>
      </c>
      <c r="AD54" s="583" t="s">
        <v>410</v>
      </c>
      <c r="AE54" s="583" t="s">
        <v>410</v>
      </c>
      <c r="AF54" s="592" t="s">
        <v>3175</v>
      </c>
      <c r="AG54" s="592" t="s">
        <v>3175</v>
      </c>
      <c r="AH54" s="583" t="s">
        <v>410</v>
      </c>
      <c r="AI54" t="s">
        <v>410</v>
      </c>
      <c r="AJ54" t="s">
        <v>410</v>
      </c>
      <c r="AK54" t="s">
        <v>410</v>
      </c>
      <c r="AL54" t="s">
        <v>410</v>
      </c>
      <c r="AM54" t="s">
        <v>410</v>
      </c>
      <c r="AN54" t="s">
        <v>410</v>
      </c>
      <c r="AO54" t="s">
        <v>410</v>
      </c>
      <c r="AP54" t="s">
        <v>410</v>
      </c>
      <c r="AQ54" t="s">
        <v>410</v>
      </c>
      <c r="AS54" s="583"/>
      <c r="AT54" s="591"/>
      <c r="AU54" s="588"/>
      <c r="AV54" s="588"/>
      <c r="AW54" s="589"/>
      <c r="AX54" s="441"/>
      <c r="AY54" s="441"/>
      <c r="AZ54" s="441"/>
      <c r="BA54" s="441"/>
      <c r="BB54" s="441"/>
      <c r="BC54" s="441"/>
      <c r="BD54" s="441"/>
      <c r="BE54" s="441"/>
      <c r="BF54" s="441"/>
      <c r="BG54" s="441"/>
      <c r="BH54" s="441"/>
      <c r="BI54" s="441"/>
      <c r="BJ54" s="441"/>
      <c r="BK54" s="441"/>
      <c r="BL54" s="441"/>
    </row>
    <row r="55" spans="1:64" ht="15" customHeight="1" x14ac:dyDescent="0.3">
      <c r="A55" s="796" t="str">
        <f t="shared" si="8"/>
        <v>Čerpání z harmonie</v>
      </c>
      <c r="B55" s="366"/>
      <c r="C55" s="367" t="str">
        <f>IFERROR(HLOOKUP(CONCATENATE("P",IFERROR(HLOOKUP('3-Schopnosti'!$S$38,'3-Schopnosti'!$R$38:$S$55,MATCH(B55,'3-Schopnosti'!$R$38:$R$55,0),FALSE),0)),$X$6:$AP$120,MATCH(A55,$X$6:$X$120,0),FALSE)," ")</f>
        <v>X</v>
      </c>
      <c r="D55" s="366">
        <f t="shared" si="9"/>
        <v>6</v>
      </c>
      <c r="E55" s="585" t="str">
        <f t="shared" si="10"/>
        <v>ANO</v>
      </c>
      <c r="F55" s="365"/>
      <c r="G55" s="366"/>
      <c r="H55" s="367" t="str">
        <f>IFERROR(HLOOKUP(CONCATENATE("P",IFERROR(HLOOKUP('3-Schopnosti'!$S$38,'3-Schopnosti'!$R$38:$S$55,MATCH(G55,'3-Schopnosti'!$R$38:$R$55,0),FALSE),0)),$AS$6:$BL$120,MATCH(F55,$AS$6:$AS$120,0),FALSE)," ")</f>
        <v xml:space="preserve"> </v>
      </c>
      <c r="I55" s="366" t="str">
        <f t="shared" si="4"/>
        <v xml:space="preserve"> </v>
      </c>
      <c r="J55" s="585" t="str">
        <f t="shared" si="5"/>
        <v xml:space="preserve"> </v>
      </c>
      <c r="L55" s="483">
        <f>IF(E55="ANO",0,IFERROR(HLOOKUP('3-Schopnosti'!$S$38,'3-Schopnosti'!$R$38:$S$55,MATCH(B55,'3-Schopnosti'!$R$38:$R$55,0),FALSE),0))</f>
        <v>0</v>
      </c>
      <c r="M55" s="483">
        <f>IF(J55="ANO",0,IFERROR(HLOOKUP('3-Schopnosti'!$S$38,'3-Schopnosti'!$R$38:$S$55,MATCH(G55,'3-Schopnosti'!$R$38:$R$55,0),FALSE),0))</f>
        <v>0</v>
      </c>
      <c r="R55" s="63" t="s">
        <v>415</v>
      </c>
      <c r="S55" s="63">
        <v>15</v>
      </c>
      <c r="U55" s="233" t="s">
        <v>1019</v>
      </c>
      <c r="V55" s="233" t="s">
        <v>263</v>
      </c>
      <c r="X55" s="583" t="s">
        <v>1879</v>
      </c>
      <c r="Y55" s="591">
        <v>4</v>
      </c>
      <c r="Z55" s="583" t="s">
        <v>1564</v>
      </c>
      <c r="AA55" s="583" t="s">
        <v>1510</v>
      </c>
      <c r="AB55" s="592" t="s">
        <v>410</v>
      </c>
      <c r="AC55" s="593" t="s">
        <v>4981</v>
      </c>
      <c r="AD55" s="237" t="s">
        <v>410</v>
      </c>
      <c r="AE55" s="237" t="s">
        <v>410</v>
      </c>
      <c r="AF55" s="237" t="s">
        <v>410</v>
      </c>
      <c r="AG55" s="237" t="s">
        <v>410</v>
      </c>
      <c r="AH55" s="237" t="s">
        <v>410</v>
      </c>
      <c r="AI55" s="237" t="s">
        <v>410</v>
      </c>
      <c r="AJ55" s="237" t="s">
        <v>410</v>
      </c>
      <c r="AK55" s="237" t="s">
        <v>410</v>
      </c>
      <c r="AL55" s="237" t="s">
        <v>410</v>
      </c>
      <c r="AM55" s="237" t="s">
        <v>410</v>
      </c>
      <c r="AN55" s="237" t="s">
        <v>410</v>
      </c>
      <c r="AO55" s="237" t="s">
        <v>410</v>
      </c>
      <c r="AP55" s="10" t="s">
        <v>410</v>
      </c>
      <c r="AQ55" s="10" t="s">
        <v>410</v>
      </c>
      <c r="AS55" s="583"/>
      <c r="AT55" s="591"/>
      <c r="AU55" s="583"/>
      <c r="AV55" s="583"/>
      <c r="AW55" s="593"/>
      <c r="AX55" s="583"/>
      <c r="AY55" s="583"/>
      <c r="AZ55" s="583"/>
      <c r="BA55" s="583"/>
      <c r="BB55" s="583"/>
      <c r="BC55" s="583"/>
      <c r="BD55" s="593"/>
      <c r="BE55" s="593"/>
    </row>
    <row r="56" spans="1:64" ht="15" customHeight="1" x14ac:dyDescent="0.3">
      <c r="A56" s="797" t="str">
        <f t="shared" si="8"/>
        <v>Kouzla Meče 1</v>
      </c>
      <c r="B56" s="596"/>
      <c r="C56" s="597" t="str">
        <f>IFERROR(HLOOKUP(CONCATENATE("P",IFERROR(HLOOKUP('3-Schopnosti'!$S$38,'3-Schopnosti'!$R$38:$S$55,MATCH(B56,'3-Schopnosti'!$R$38:$R$55,0),FALSE),0)),$X$6:$AP$120,MATCH(A56,$X$6:$X$120,0),FALSE)," ")</f>
        <v>X</v>
      </c>
      <c r="D56" s="596">
        <f t="shared" si="9"/>
        <v>6</v>
      </c>
      <c r="E56" s="598" t="str">
        <f t="shared" si="10"/>
        <v>ANO</v>
      </c>
      <c r="F56" s="365"/>
      <c r="G56" s="366"/>
      <c r="H56" s="367" t="str">
        <f>IFERROR(HLOOKUP(CONCATENATE("P",IFERROR(HLOOKUP('3-Schopnosti'!$S$38,'3-Schopnosti'!$R$38:$S$55,MATCH(G56,'3-Schopnosti'!$R$38:$R$55,0),FALSE),0)),$AS$6:$BL$120,MATCH(F56,$AS$6:$AS$120,0),FALSE)," ")</f>
        <v xml:space="preserve"> </v>
      </c>
      <c r="I56" s="366" t="str">
        <f t="shared" si="4"/>
        <v xml:space="preserve"> </v>
      </c>
      <c r="J56" s="585" t="str">
        <f t="shared" si="5"/>
        <v xml:space="preserve"> </v>
      </c>
      <c r="L56" s="483">
        <f>IF(E56="ANO",0,IFERROR(HLOOKUP('3-Schopnosti'!$S$38,'3-Schopnosti'!$R$38:$S$55,MATCH(B56,'3-Schopnosti'!$R$38:$R$55,0),FALSE),0))</f>
        <v>0</v>
      </c>
      <c r="M56" s="483">
        <f>IF(J56="ANO",0,IFERROR(HLOOKUP('3-Schopnosti'!$S$38,'3-Schopnosti'!$R$38:$S$55,MATCH(G56,'3-Schopnosti'!$R$38:$R$55,0),FALSE),0))</f>
        <v>0</v>
      </c>
      <c r="U56" s="233" t="s">
        <v>263</v>
      </c>
      <c r="V56" s="233" t="s">
        <v>263</v>
      </c>
      <c r="X56" s="583" t="s">
        <v>3396</v>
      </c>
      <c r="Y56" s="591">
        <v>5</v>
      </c>
      <c r="Z56" s="583" t="s">
        <v>1564</v>
      </c>
      <c r="AA56" s="583" t="s">
        <v>1510</v>
      </c>
      <c r="AB56" s="593" t="s">
        <v>410</v>
      </c>
      <c r="AC56" s="593"/>
      <c r="AD56" s="593"/>
      <c r="AE56" s="593"/>
      <c r="AF56" s="593"/>
      <c r="AG56" s="593"/>
      <c r="AH56" s="593"/>
      <c r="AI56" s="593"/>
      <c r="AJ56" s="593"/>
      <c r="AK56" s="593" t="s">
        <v>410</v>
      </c>
      <c r="AL56" s="237" t="s">
        <v>410</v>
      </c>
      <c r="AM56" s="237" t="s">
        <v>410</v>
      </c>
      <c r="AN56" s="237" t="s">
        <v>410</v>
      </c>
      <c r="AO56" s="237" t="s">
        <v>410</v>
      </c>
      <c r="AP56" s="237" t="s">
        <v>410</v>
      </c>
      <c r="AQ56" s="237" t="s">
        <v>410</v>
      </c>
      <c r="AS56" s="583"/>
      <c r="AT56" s="591"/>
      <c r="AU56" s="588"/>
      <c r="AV56" s="588"/>
      <c r="AW56" s="589"/>
      <c r="AX56" s="589"/>
      <c r="AY56" s="589"/>
      <c r="AZ56" s="589"/>
      <c r="BA56" s="589"/>
      <c r="BB56" s="589"/>
      <c r="BC56" s="589"/>
      <c r="BD56" s="589"/>
      <c r="BE56" s="616"/>
      <c r="BF56" s="616"/>
      <c r="BG56" s="616"/>
      <c r="BH56" s="441"/>
      <c r="BI56" s="441"/>
      <c r="BJ56" s="441"/>
      <c r="BK56" s="441"/>
      <c r="BL56" s="441"/>
    </row>
    <row r="57" spans="1:64" ht="15" customHeight="1" x14ac:dyDescent="0.3">
      <c r="A57" s="796" t="str">
        <f t="shared" si="8"/>
        <v>Kouzla psychická</v>
      </c>
      <c r="B57" s="366"/>
      <c r="C57" s="367" t="str">
        <f>IFERROR(HLOOKUP(CONCATENATE("P",IFERROR(HLOOKUP('3-Schopnosti'!$S$38,'3-Schopnosti'!$R$38:$S$55,MATCH(B57,'3-Schopnosti'!$R$38:$R$55,0),FALSE),0)),$X$6:$AP$120,MATCH(A57,$X$6:$X$120,0),FALSE)," ")</f>
        <v>X</v>
      </c>
      <c r="D57" s="366">
        <f t="shared" si="9"/>
        <v>8</v>
      </c>
      <c r="E57" s="585" t="str">
        <f t="shared" si="10"/>
        <v>ANO</v>
      </c>
      <c r="F57" s="365"/>
      <c r="G57" s="366"/>
      <c r="H57" s="367" t="str">
        <f>IFERROR(HLOOKUP(CONCATENATE("P",IFERROR(HLOOKUP('3-Schopnosti'!$S$38,'3-Schopnosti'!$R$38:$S$55,MATCH(G57,'3-Schopnosti'!$R$38:$R$55,0),FALSE),0)),$AS$6:$BL$120,MATCH(F57,$AS$6:$AS$120,0),FALSE)," ")</f>
        <v xml:space="preserve"> </v>
      </c>
      <c r="I57" s="366" t="str">
        <f t="shared" si="4"/>
        <v xml:space="preserve"> </v>
      </c>
      <c r="J57" s="585" t="str">
        <f t="shared" si="5"/>
        <v xml:space="preserve"> </v>
      </c>
      <c r="L57" s="483">
        <f>IF(E57="ANO",0,IFERROR(HLOOKUP('3-Schopnosti'!$S$38,'3-Schopnosti'!$R$38:$S$55,MATCH(B57,'3-Schopnosti'!$R$38:$R$55,0),FALSE),0))</f>
        <v>0</v>
      </c>
      <c r="M57" s="483">
        <f>IF(J57="ANO",0,IFERROR(HLOOKUP('3-Schopnosti'!$S$38,'3-Schopnosti'!$R$38:$S$55,MATCH(G57,'3-Schopnosti'!$R$38:$R$55,0),FALSE),0))</f>
        <v>0</v>
      </c>
      <c r="U57" s="233" t="s">
        <v>256</v>
      </c>
      <c r="V57" s="233" t="s">
        <v>256</v>
      </c>
      <c r="X57" s="583" t="s">
        <v>2199</v>
      </c>
      <c r="Y57" s="591">
        <v>5</v>
      </c>
      <c r="Z57" s="583" t="s">
        <v>1564</v>
      </c>
      <c r="AA57" s="583" t="s">
        <v>1510</v>
      </c>
      <c r="AB57" s="592" t="s">
        <v>410</v>
      </c>
      <c r="AC57" s="583" t="s">
        <v>410</v>
      </c>
      <c r="AD57" s="583" t="s">
        <v>410</v>
      </c>
      <c r="AE57" s="583" t="s">
        <v>410</v>
      </c>
      <c r="AF57" s="583" t="s">
        <v>410</v>
      </c>
      <c r="AG57" s="592" t="s">
        <v>2200</v>
      </c>
      <c r="AH57" s="583" t="s">
        <v>410</v>
      </c>
      <c r="AI57" t="s">
        <v>410</v>
      </c>
      <c r="AJ57" t="s">
        <v>410</v>
      </c>
      <c r="AK57" t="s">
        <v>410</v>
      </c>
      <c r="AL57" t="s">
        <v>410</v>
      </c>
      <c r="AM57" t="s">
        <v>410</v>
      </c>
      <c r="AN57" t="s">
        <v>410</v>
      </c>
      <c r="AO57" t="s">
        <v>410</v>
      </c>
      <c r="AP57" t="s">
        <v>410</v>
      </c>
      <c r="AQ57" t="s">
        <v>410</v>
      </c>
      <c r="AS57" s="583"/>
      <c r="AT57" s="591"/>
      <c r="AU57" s="588"/>
      <c r="AV57" s="588"/>
      <c r="AW57" s="589"/>
      <c r="AX57" s="441"/>
      <c r="AY57" s="441"/>
      <c r="AZ57" s="441"/>
      <c r="BA57" s="441"/>
      <c r="BB57" s="441"/>
      <c r="BC57" s="441"/>
      <c r="BD57" s="441"/>
      <c r="BE57" s="441"/>
      <c r="BF57" s="441"/>
      <c r="BG57" s="441"/>
      <c r="BH57" s="441"/>
      <c r="BI57" s="441"/>
      <c r="BJ57" s="441"/>
      <c r="BK57" s="441"/>
      <c r="BL57" s="441"/>
    </row>
    <row r="58" spans="1:64" ht="15" customHeight="1" x14ac:dyDescent="0.3">
      <c r="A58" s="797" t="str">
        <f t="shared" si="8"/>
        <v>Kouzla pocestných 2</v>
      </c>
      <c r="B58" s="596"/>
      <c r="C58" s="597" t="str">
        <f>IFERROR(HLOOKUP(CONCATENATE("P",IFERROR(HLOOKUP('3-Schopnosti'!$S$38,'3-Schopnosti'!$R$38:$S$55,MATCH(B58,'3-Schopnosti'!$R$38:$R$55,0),FALSE),0)),$X$6:$AP$120,MATCH(A58,$X$6:$X$120,0),FALSE)," ")</f>
        <v>X</v>
      </c>
      <c r="D58" s="596">
        <f t="shared" si="9"/>
        <v>11</v>
      </c>
      <c r="E58" s="598" t="str">
        <f t="shared" si="10"/>
        <v>ANO</v>
      </c>
      <c r="F58" s="365"/>
      <c r="G58" s="366"/>
      <c r="H58" s="367" t="str">
        <f>IFERROR(HLOOKUP(CONCATENATE("P",IFERROR(HLOOKUP('3-Schopnosti'!$S$38,'3-Schopnosti'!$R$38:$S$55,MATCH(G58,'3-Schopnosti'!$R$38:$R$55,0),FALSE),0)),$AS$6:$BL$120,MATCH(F58,$AS$6:$AS$120,0),FALSE)," ")</f>
        <v xml:space="preserve"> </v>
      </c>
      <c r="I58" s="366" t="str">
        <f t="shared" si="4"/>
        <v xml:space="preserve"> </v>
      </c>
      <c r="J58" s="585" t="str">
        <f t="shared" si="5"/>
        <v xml:space="preserve"> </v>
      </c>
      <c r="L58" s="483">
        <f>IF(E58="ANO",0,IFERROR(HLOOKUP('3-Schopnosti'!$S$38,'3-Schopnosti'!$R$38:$S$55,MATCH(B58,'3-Schopnosti'!$R$38:$R$55,0),FALSE),0))</f>
        <v>0</v>
      </c>
      <c r="M58" s="483">
        <f>IF(J58="ANO",0,IFERROR(HLOOKUP('3-Schopnosti'!$S$38,'3-Schopnosti'!$R$38:$S$55,MATCH(G58,'3-Schopnosti'!$R$38:$R$55,0),FALSE),0))</f>
        <v>0</v>
      </c>
      <c r="U58" s="233" t="s">
        <v>1020</v>
      </c>
      <c r="V58" s="233" t="s">
        <v>256</v>
      </c>
      <c r="X58" s="583" t="s">
        <v>1880</v>
      </c>
      <c r="Y58" s="591">
        <v>5</v>
      </c>
      <c r="Z58" s="583" t="s">
        <v>1564</v>
      </c>
      <c r="AA58" s="583" t="s">
        <v>1510</v>
      </c>
      <c r="AB58" s="592" t="s">
        <v>410</v>
      </c>
      <c r="AC58" s="593" t="s">
        <v>3161</v>
      </c>
      <c r="AD58" s="237" t="s">
        <v>410</v>
      </c>
      <c r="AE58" s="237" t="s">
        <v>410</v>
      </c>
      <c r="AF58" s="237" t="s">
        <v>410</v>
      </c>
      <c r="AG58" s="237" t="s">
        <v>410</v>
      </c>
      <c r="AH58" s="237" t="s">
        <v>410</v>
      </c>
      <c r="AI58" s="237" t="s">
        <v>410</v>
      </c>
      <c r="AJ58" s="237" t="s">
        <v>410</v>
      </c>
      <c r="AK58" s="237" t="s">
        <v>410</v>
      </c>
      <c r="AL58" s="237" t="s">
        <v>410</v>
      </c>
      <c r="AM58" s="237" t="s">
        <v>410</v>
      </c>
      <c r="AN58" s="237" t="s">
        <v>410</v>
      </c>
      <c r="AO58" s="237" t="s">
        <v>410</v>
      </c>
      <c r="AP58" s="10" t="s">
        <v>410</v>
      </c>
      <c r="AQ58" s="10" t="s">
        <v>410</v>
      </c>
      <c r="AS58" s="583"/>
      <c r="AT58" s="591"/>
      <c r="AU58" s="583"/>
      <c r="AV58" s="583"/>
      <c r="AW58" s="593"/>
      <c r="AX58" s="583"/>
      <c r="AY58" s="583"/>
      <c r="AZ58" s="583"/>
      <c r="BA58" s="583"/>
      <c r="BB58" s="583"/>
      <c r="BC58" s="583"/>
      <c r="BD58" s="583"/>
      <c r="BE58" s="593"/>
    </row>
    <row r="59" spans="1:64" ht="15" customHeight="1" thickBot="1" x14ac:dyDescent="0.35">
      <c r="A59" s="798" t="str">
        <f t="shared" si="8"/>
        <v>Kouzla Meče 2</v>
      </c>
      <c r="B59" s="551"/>
      <c r="C59" s="552" t="str">
        <f>IFERROR(HLOOKUP(CONCATENATE("P",IFERROR(HLOOKUP('3-Schopnosti'!$S$38,'3-Schopnosti'!$R$38:$S$55,MATCH(B59,'3-Schopnosti'!$R$38:$R$55,0),FALSE),0)),$X$6:$AP$120,MATCH(A59,$X$6:$X$120,0),FALSE)," ")</f>
        <v>X</v>
      </c>
      <c r="D59" s="551">
        <f t="shared" si="9"/>
        <v>13</v>
      </c>
      <c r="E59" s="586" t="str">
        <f t="shared" si="10"/>
        <v>ANO</v>
      </c>
      <c r="F59" s="365"/>
      <c r="G59" s="366"/>
      <c r="H59" s="367" t="str">
        <f>IFERROR(HLOOKUP(CONCATENATE("P",IFERROR(HLOOKUP('3-Schopnosti'!$S$38,'3-Schopnosti'!$R$38:$S$55,MATCH(G59,'3-Schopnosti'!$R$38:$R$55,0),FALSE),0)),$AS$6:$BL$120,MATCH(F59,$AS$6:$AS$120,0),FALSE)," ")</f>
        <v xml:space="preserve"> </v>
      </c>
      <c r="I59" s="366" t="str">
        <f t="shared" si="4"/>
        <v xml:space="preserve"> </v>
      </c>
      <c r="J59" s="585" t="str">
        <f t="shared" si="5"/>
        <v xml:space="preserve"> </v>
      </c>
      <c r="L59" s="483">
        <f>IF(E59="ANO",0,IFERROR(HLOOKUP('3-Schopnosti'!$S$38,'3-Schopnosti'!$R$38:$S$55,MATCH(B59,'3-Schopnosti'!$R$38:$R$55,0),FALSE),0))</f>
        <v>0</v>
      </c>
      <c r="M59" s="483">
        <f>IF(J59="ANO",0,IFERROR(HLOOKUP('3-Schopnosti'!$S$38,'3-Schopnosti'!$R$38:$S$55,MATCH(G59,'3-Schopnosti'!$R$38:$R$55,0),FALSE),0))</f>
        <v>0</v>
      </c>
      <c r="U59" s="233" t="s">
        <v>269</v>
      </c>
      <c r="V59" s="233" t="s">
        <v>269</v>
      </c>
      <c r="X59" s="583" t="s">
        <v>3028</v>
      </c>
      <c r="Y59" s="591">
        <v>6</v>
      </c>
      <c r="Z59" s="588" t="s">
        <v>1564</v>
      </c>
      <c r="AA59" s="588" t="s">
        <v>1510</v>
      </c>
      <c r="AB59" s="589" t="s">
        <v>410</v>
      </c>
      <c r="AC59" s="594" t="s">
        <v>5660</v>
      </c>
      <c r="AD59" s="594" t="s">
        <v>1539</v>
      </c>
      <c r="AE59" s="594" t="s">
        <v>1640</v>
      </c>
      <c r="AF59" s="594" t="s">
        <v>1640</v>
      </c>
      <c r="AG59" s="594" t="s">
        <v>1541</v>
      </c>
      <c r="AH59" s="594" t="s">
        <v>1542</v>
      </c>
      <c r="AI59" s="594" t="s">
        <v>1543</v>
      </c>
      <c r="AJ59" s="594" t="s">
        <v>1544</v>
      </c>
      <c r="AK59" s="594" t="s">
        <v>1545</v>
      </c>
      <c r="AL59" s="594" t="s">
        <v>1549</v>
      </c>
      <c r="AM59" s="441" t="s">
        <v>410</v>
      </c>
      <c r="AN59" s="441" t="s">
        <v>410</v>
      </c>
      <c r="AO59" s="441" t="s">
        <v>410</v>
      </c>
      <c r="AP59" s="441" t="s">
        <v>410</v>
      </c>
      <c r="AQ59" s="441" t="s">
        <v>410</v>
      </c>
      <c r="AS59" s="583"/>
      <c r="AT59" s="591"/>
      <c r="AU59" s="588"/>
      <c r="AV59" s="588"/>
      <c r="AW59" s="589"/>
      <c r="AX59" s="589"/>
      <c r="AY59" s="589"/>
      <c r="AZ59" s="589"/>
      <c r="BA59" s="589"/>
      <c r="BB59" s="589"/>
      <c r="BC59" s="589"/>
      <c r="BD59" s="589"/>
      <c r="BE59" s="589"/>
      <c r="BF59" s="590"/>
      <c r="BG59" s="590"/>
      <c r="BH59" s="441"/>
      <c r="BI59" s="441"/>
      <c r="BJ59" s="441"/>
      <c r="BK59" s="441"/>
      <c r="BL59" s="441"/>
    </row>
    <row r="60" spans="1:64" ht="15" customHeight="1" x14ac:dyDescent="0.3">
      <c r="A60" s="799"/>
      <c r="B60" s="549"/>
      <c r="C60" s="550" t="str">
        <f>IFERROR(HLOOKUP(CONCATENATE("P",IFERROR(HLOOKUP('3-Schopnosti'!$S$38,'3-Schopnosti'!$R$38:$S$55,MATCH(B60,'3-Schopnosti'!$R$38:$R$55,0),FALSE),0)),$X$6:$AP$120,MATCH(A60,$X$6:$X$120,0),FALSE)," ")</f>
        <v xml:space="preserve"> </v>
      </c>
      <c r="D60" s="549" t="str">
        <f t="shared" si="6"/>
        <v xml:space="preserve"> </v>
      </c>
      <c r="E60" s="587" t="str">
        <f t="shared" si="7"/>
        <v xml:space="preserve"> </v>
      </c>
      <c r="F60" s="800" t="s">
        <v>1199</v>
      </c>
      <c r="G60" s="800"/>
      <c r="H60" s="454"/>
      <c r="I60" s="454"/>
      <c r="J60" s="801"/>
      <c r="L60" s="483">
        <f>IF(E60="ANO",0,IFERROR(HLOOKUP('3-Schopnosti'!$S$38,'3-Schopnosti'!$R$38:$S$55,MATCH(B60,'3-Schopnosti'!$R$38:$R$55,0),FALSE),0))</f>
        <v>0</v>
      </c>
      <c r="U60" s="233" t="s">
        <v>1021</v>
      </c>
      <c r="V60" s="233" t="s">
        <v>269</v>
      </c>
      <c r="X60" s="583" t="s">
        <v>2046</v>
      </c>
      <c r="Y60" s="591">
        <v>6</v>
      </c>
      <c r="Z60" s="583" t="s">
        <v>1564</v>
      </c>
      <c r="AA60" s="583" t="s">
        <v>1510</v>
      </c>
      <c r="AB60" s="593" t="s">
        <v>410</v>
      </c>
      <c r="AC60" s="237"/>
      <c r="AD60" s="237"/>
      <c r="AE60" s="237"/>
      <c r="AF60" s="237"/>
      <c r="AG60" s="237"/>
      <c r="AH60" s="237"/>
      <c r="AI60" s="237"/>
      <c r="AJ60" s="237"/>
      <c r="AK60" s="237" t="s">
        <v>410</v>
      </c>
      <c r="AL60" s="237" t="s">
        <v>410</v>
      </c>
      <c r="AM60" s="237" t="s">
        <v>410</v>
      </c>
      <c r="AN60" s="237" t="s">
        <v>410</v>
      </c>
      <c r="AO60" s="237" t="s">
        <v>410</v>
      </c>
      <c r="AP60" s="237" t="s">
        <v>410</v>
      </c>
      <c r="AQ60" s="237" t="s">
        <v>410</v>
      </c>
      <c r="AS60" s="583"/>
      <c r="AT60" s="591"/>
      <c r="AU60" s="588"/>
      <c r="AV60" s="588"/>
      <c r="AW60" s="589"/>
      <c r="AX60" s="441"/>
      <c r="AY60" s="441"/>
      <c r="AZ60" s="441"/>
      <c r="BA60" s="441"/>
      <c r="BB60" s="441"/>
      <c r="BC60" s="441"/>
      <c r="BD60" s="441"/>
      <c r="BE60" s="441"/>
      <c r="BF60" s="441"/>
      <c r="BG60" s="441"/>
      <c r="BH60" s="441"/>
      <c r="BI60" s="441"/>
      <c r="BJ60" s="441"/>
      <c r="BK60" s="441"/>
      <c r="BL60" s="441"/>
    </row>
    <row r="61" spans="1:64" ht="15" customHeight="1" x14ac:dyDescent="0.3">
      <c r="A61" s="796"/>
      <c r="B61" s="366"/>
      <c r="C61" s="367" t="str">
        <f>IFERROR(HLOOKUP(CONCATENATE("P",IFERROR(HLOOKUP('3-Schopnosti'!$S$38,'3-Schopnosti'!$R$38:$S$55,MATCH(B61,'3-Schopnosti'!$R$38:$R$55,0),FALSE),0)),$X$6:$AP$120,MATCH(A61,$X$6:$X$120,0),FALSE)," ")</f>
        <v xml:space="preserve"> </v>
      </c>
      <c r="D61" s="366" t="str">
        <f t="shared" si="6"/>
        <v xml:space="preserve"> </v>
      </c>
      <c r="E61" s="585" t="str">
        <f t="shared" si="7"/>
        <v xml:space="preserve"> </v>
      </c>
      <c r="F61" s="1017"/>
      <c r="G61" s="372"/>
      <c r="H61" s="372"/>
      <c r="I61" s="373"/>
      <c r="J61" s="802"/>
      <c r="L61" s="483">
        <f>IF(E61="ANO",0,IFERROR(HLOOKUP('3-Schopnosti'!$S$38,'3-Schopnosti'!$R$38:$S$55,MATCH(B61,'3-Schopnosti'!$R$38:$R$55,0),FALSE),0))</f>
        <v>0</v>
      </c>
      <c r="U61" s="233" t="s">
        <v>267</v>
      </c>
      <c r="V61" s="233" t="s">
        <v>267</v>
      </c>
      <c r="X61" s="583" t="s">
        <v>3404</v>
      </c>
      <c r="Y61" s="591">
        <v>8</v>
      </c>
      <c r="Z61" s="583" t="s">
        <v>1564</v>
      </c>
      <c r="AA61" s="583" t="s">
        <v>1510</v>
      </c>
      <c r="AB61" s="593" t="s">
        <v>410</v>
      </c>
      <c r="AC61" s="237"/>
      <c r="AD61" s="237"/>
      <c r="AE61" s="237"/>
      <c r="AF61" s="237"/>
      <c r="AG61" s="237"/>
      <c r="AH61" s="237"/>
      <c r="AI61" s="237"/>
      <c r="AJ61" s="237"/>
      <c r="AK61" s="237" t="s">
        <v>410</v>
      </c>
      <c r="AL61" s="237" t="s">
        <v>410</v>
      </c>
      <c r="AM61" s="237" t="s">
        <v>410</v>
      </c>
      <c r="AN61" s="237" t="s">
        <v>410</v>
      </c>
      <c r="AO61" s="237" t="s">
        <v>410</v>
      </c>
      <c r="AP61" s="237" t="s">
        <v>410</v>
      </c>
      <c r="AQ61" s="237" t="s">
        <v>410</v>
      </c>
      <c r="AS61" s="583"/>
      <c r="AT61" s="591"/>
      <c r="AU61" s="588"/>
      <c r="AV61" s="588"/>
      <c r="AW61" s="589"/>
      <c r="AX61" s="589"/>
      <c r="AY61" s="589"/>
      <c r="AZ61" s="589"/>
      <c r="BA61" s="589"/>
      <c r="BB61" s="589"/>
      <c r="BC61" s="589"/>
      <c r="BD61" s="589"/>
      <c r="BE61" s="589"/>
      <c r="BF61" s="589"/>
      <c r="BG61" s="590"/>
      <c r="BH61" s="441"/>
      <c r="BI61" s="441"/>
      <c r="BJ61" s="441"/>
      <c r="BK61" s="441"/>
      <c r="BL61" s="441"/>
    </row>
    <row r="62" spans="1:64" ht="15" customHeight="1" x14ac:dyDescent="0.3">
      <c r="A62" s="796"/>
      <c r="B62" s="366"/>
      <c r="C62" s="367" t="str">
        <f>IFERROR(HLOOKUP(CONCATENATE("P",IFERROR(HLOOKUP('3-Schopnosti'!$S$38,'3-Schopnosti'!$R$38:$S$55,MATCH(B62,'3-Schopnosti'!$R$38:$R$55,0),FALSE),0)),$X$6:$AP$120,MATCH(A62,$X$6:$X$120,0),FALSE)," ")</f>
        <v xml:space="preserve"> </v>
      </c>
      <c r="D62" s="366" t="str">
        <f t="shared" si="6"/>
        <v xml:space="preserve"> </v>
      </c>
      <c r="E62" s="585" t="str">
        <f t="shared" si="7"/>
        <v xml:space="preserve"> </v>
      </c>
      <c r="F62" s="1017"/>
      <c r="G62" s="372"/>
      <c r="H62" s="372"/>
      <c r="I62" s="373"/>
      <c r="J62" s="802"/>
      <c r="L62" s="483">
        <f>IF(E62="ANO",0,IFERROR(HLOOKUP('3-Schopnosti'!$S$38,'3-Schopnosti'!$R$38:$S$55,MATCH(B62,'3-Schopnosti'!$R$38:$R$55,0),FALSE),0))</f>
        <v>0</v>
      </c>
      <c r="U62" s="233" t="s">
        <v>1022</v>
      </c>
      <c r="V62" s="233" t="s">
        <v>267</v>
      </c>
      <c r="X62" s="583" t="s">
        <v>2048</v>
      </c>
      <c r="Y62" s="591">
        <v>11</v>
      </c>
      <c r="Z62" s="583" t="s">
        <v>1564</v>
      </c>
      <c r="AA62" s="583" t="s">
        <v>1510</v>
      </c>
      <c r="AB62" s="593" t="s">
        <v>410</v>
      </c>
      <c r="AC62" s="237"/>
      <c r="AD62" s="237"/>
      <c r="AE62" s="237"/>
      <c r="AF62" s="237"/>
      <c r="AG62" s="237"/>
      <c r="AH62" s="237"/>
      <c r="AI62" s="237"/>
      <c r="AJ62" s="237"/>
      <c r="AK62" s="237" t="s">
        <v>410</v>
      </c>
      <c r="AL62" s="237" t="s">
        <v>410</v>
      </c>
      <c r="AM62" s="237" t="s">
        <v>410</v>
      </c>
      <c r="AN62" s="237" t="s">
        <v>410</v>
      </c>
      <c r="AO62" s="237" t="s">
        <v>410</v>
      </c>
      <c r="AP62" s="237" t="s">
        <v>410</v>
      </c>
      <c r="AQ62" s="237" t="s">
        <v>410</v>
      </c>
      <c r="AS62" s="583"/>
      <c r="AT62" s="591"/>
      <c r="AU62" s="588"/>
      <c r="AV62" s="588"/>
      <c r="AW62" s="589"/>
      <c r="AX62" s="441"/>
      <c r="AY62" s="441"/>
      <c r="AZ62" s="441"/>
      <c r="BA62" s="441"/>
      <c r="BB62" s="441"/>
      <c r="BC62" s="441"/>
      <c r="BD62" s="441"/>
      <c r="BE62" s="441"/>
      <c r="BF62" s="441"/>
      <c r="BG62" s="441"/>
      <c r="BH62" s="441"/>
      <c r="BI62" s="441"/>
      <c r="BJ62" s="441"/>
      <c r="BK62" s="441"/>
      <c r="BL62" s="441"/>
    </row>
    <row r="63" spans="1:64" ht="15" customHeight="1" x14ac:dyDescent="0.3">
      <c r="A63" s="796"/>
      <c r="B63" s="366"/>
      <c r="C63" s="367" t="str">
        <f>IFERROR(HLOOKUP(CONCATENATE("P",IFERROR(HLOOKUP('3-Schopnosti'!$S$38,'3-Schopnosti'!$R$38:$S$55,MATCH(B63,'3-Schopnosti'!$R$38:$R$55,0),FALSE),0)),$X$6:$AP$120,MATCH(A63,$X$6:$X$120,0),FALSE)," ")</f>
        <v xml:space="preserve"> </v>
      </c>
      <c r="D63" s="366" t="str">
        <f t="shared" si="6"/>
        <v xml:space="preserve"> </v>
      </c>
      <c r="E63" s="585" t="str">
        <f t="shared" si="7"/>
        <v xml:space="preserve"> </v>
      </c>
      <c r="F63" s="372"/>
      <c r="G63" s="372"/>
      <c r="H63" s="372"/>
      <c r="I63" s="373"/>
      <c r="J63" s="802"/>
      <c r="L63" s="483">
        <f>IF(E63="ANO",0,IFERROR(HLOOKUP('3-Schopnosti'!$S$38,'3-Schopnosti'!$R$38:$S$55,MATCH(B63,'3-Schopnosti'!$R$38:$R$55,0),FALSE),0))</f>
        <v>0</v>
      </c>
      <c r="U63" s="233" t="s">
        <v>258</v>
      </c>
      <c r="V63" s="233" t="s">
        <v>258</v>
      </c>
      <c r="X63" s="583" t="s">
        <v>2047</v>
      </c>
      <c r="Y63" s="591">
        <v>13</v>
      </c>
      <c r="Z63" s="583" t="s">
        <v>1564</v>
      </c>
      <c r="AA63" s="583" t="s">
        <v>1510</v>
      </c>
      <c r="AB63" s="593" t="s">
        <v>410</v>
      </c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 t="s">
        <v>410</v>
      </c>
      <c r="AO63" s="237" t="s">
        <v>410</v>
      </c>
      <c r="AP63" s="237" t="s">
        <v>410</v>
      </c>
      <c r="AQ63" s="237" t="s">
        <v>410</v>
      </c>
      <c r="AS63" s="583"/>
      <c r="AT63" s="591"/>
      <c r="AU63" s="588"/>
      <c r="AV63" s="588"/>
      <c r="AW63" s="589"/>
      <c r="AX63" s="441"/>
      <c r="AY63" s="441"/>
      <c r="AZ63" s="441"/>
      <c r="BA63" s="441"/>
      <c r="BB63" s="441"/>
      <c r="BC63" s="441"/>
      <c r="BD63" s="441"/>
      <c r="BE63" s="441"/>
      <c r="BF63" s="441"/>
      <c r="BG63" s="441"/>
      <c r="BH63" s="441"/>
      <c r="BI63" s="441"/>
      <c r="BJ63" s="441"/>
      <c r="BK63" s="441"/>
      <c r="BL63" s="441"/>
    </row>
    <row r="64" spans="1:64" ht="15" customHeight="1" x14ac:dyDescent="0.3">
      <c r="A64" s="796"/>
      <c r="B64" s="366"/>
      <c r="C64" s="367" t="str">
        <f>IFERROR(HLOOKUP(CONCATENATE("P",IFERROR(HLOOKUP('3-Schopnosti'!$S$38,'3-Schopnosti'!$R$38:$S$55,MATCH(B64,'3-Schopnosti'!$R$38:$R$55,0),FALSE),0)),$X$6:$AP$120,MATCH(A64,$X$6:$X$120,0),FALSE)," ")</f>
        <v xml:space="preserve"> </v>
      </c>
      <c r="D64" s="366" t="str">
        <f t="shared" si="6"/>
        <v xml:space="preserve"> </v>
      </c>
      <c r="E64" s="585" t="str">
        <f t="shared" si="7"/>
        <v xml:space="preserve"> </v>
      </c>
      <c r="F64" s="372"/>
      <c r="G64" s="372"/>
      <c r="H64" s="372"/>
      <c r="I64" s="373"/>
      <c r="J64" s="802"/>
      <c r="L64" s="483">
        <f>IF(E64="ANO",0,IFERROR(HLOOKUP('3-Schopnosti'!$S$38,'3-Schopnosti'!$R$38:$S$55,MATCH(B64,'3-Schopnosti'!$R$38:$R$55,0),FALSE),0))</f>
        <v>0</v>
      </c>
      <c r="U64" s="233" t="s">
        <v>1023</v>
      </c>
      <c r="V64" s="233" t="s">
        <v>258</v>
      </c>
      <c r="X64" s="583" t="s">
        <v>5557</v>
      </c>
      <c r="Y64" s="591">
        <v>16</v>
      </c>
      <c r="Z64" s="583" t="s">
        <v>1564</v>
      </c>
      <c r="AA64" s="583" t="s">
        <v>1510</v>
      </c>
      <c r="AB64" s="593" t="s">
        <v>410</v>
      </c>
      <c r="AC64" s="593" t="s">
        <v>3070</v>
      </c>
      <c r="AD64" s="593" t="s">
        <v>3071</v>
      </c>
      <c r="AE64" s="593" t="s">
        <v>3072</v>
      </c>
      <c r="AF64" s="593" t="s">
        <v>3073</v>
      </c>
      <c r="AG64" s="593" t="s">
        <v>3074</v>
      </c>
      <c r="AH64" s="593" t="s">
        <v>3075</v>
      </c>
      <c r="AI64" s="593" t="s">
        <v>3076</v>
      </c>
      <c r="AJ64" s="593" t="s">
        <v>1068</v>
      </c>
      <c r="AK64" s="237" t="s">
        <v>410</v>
      </c>
      <c r="AL64" s="237" t="s">
        <v>410</v>
      </c>
      <c r="AM64" s="237" t="s">
        <v>410</v>
      </c>
      <c r="AN64" s="237" t="s">
        <v>410</v>
      </c>
      <c r="AO64" s="237" t="s">
        <v>410</v>
      </c>
      <c r="AP64" s="237" t="s">
        <v>410</v>
      </c>
      <c r="AQ64" s="237" t="s">
        <v>410</v>
      </c>
      <c r="AS64" s="583"/>
      <c r="AT64" s="591"/>
      <c r="AU64" s="583"/>
      <c r="AV64" s="583"/>
      <c r="AW64" s="593"/>
      <c r="AX64" s="593"/>
      <c r="AY64" s="593"/>
      <c r="AZ64" s="593"/>
      <c r="BA64" s="593"/>
      <c r="BB64" s="237"/>
      <c r="BC64" s="237"/>
      <c r="BD64" s="237"/>
      <c r="BE64" s="237"/>
      <c r="BF64" s="237"/>
      <c r="BG64" s="237"/>
      <c r="BH64" s="237"/>
      <c r="BI64" s="237"/>
      <c r="BJ64" s="237"/>
      <c r="BK64" s="237"/>
      <c r="BL64" s="237"/>
    </row>
    <row r="65" spans="1:64" ht="15" customHeight="1" x14ac:dyDescent="0.3">
      <c r="A65" s="796"/>
      <c r="B65" s="366"/>
      <c r="C65" s="367" t="str">
        <f>IFERROR(HLOOKUP(CONCATENATE("P",IFERROR(HLOOKUP('3-Schopnosti'!$S$38,'3-Schopnosti'!$R$38:$S$55,MATCH(B65,'3-Schopnosti'!$R$38:$R$55,0),FALSE),0)),$X$6:$AP$120,MATCH(A65,$X$6:$X$120,0),FALSE)," ")</f>
        <v xml:space="preserve"> </v>
      </c>
      <c r="D65" s="366" t="str">
        <f t="shared" si="6"/>
        <v xml:space="preserve"> </v>
      </c>
      <c r="E65" s="585" t="str">
        <f t="shared" si="7"/>
        <v xml:space="preserve"> </v>
      </c>
      <c r="F65" s="372"/>
      <c r="G65" s="372"/>
      <c r="H65" s="372"/>
      <c r="I65" s="373"/>
      <c r="J65" s="802"/>
      <c r="L65" s="483">
        <f>IF(E65="ANO",0,IFERROR(HLOOKUP('3-Schopnosti'!$S$38,'3-Schopnosti'!$R$38:$S$55,MATCH(B65,'3-Schopnosti'!$R$38:$R$55,0),FALSE),0))</f>
        <v>0</v>
      </c>
      <c r="U65" s="233" t="s">
        <v>1058</v>
      </c>
      <c r="V65" s="233" t="s">
        <v>1058</v>
      </c>
      <c r="X65" s="583" t="s">
        <v>3397</v>
      </c>
      <c r="Y65" s="591">
        <v>18</v>
      </c>
      <c r="Z65" s="583" t="s">
        <v>1564</v>
      </c>
      <c r="AA65" s="583" t="s">
        <v>1510</v>
      </c>
      <c r="AB65" s="593" t="s">
        <v>410</v>
      </c>
      <c r="AC65" s="593"/>
      <c r="AD65" s="593"/>
      <c r="AE65" s="593"/>
      <c r="AF65" s="593"/>
      <c r="AG65" s="593"/>
      <c r="AH65" s="593"/>
      <c r="AI65" s="593"/>
      <c r="AJ65" s="593"/>
      <c r="AK65" s="593" t="s">
        <v>410</v>
      </c>
      <c r="AL65" s="237" t="s">
        <v>410</v>
      </c>
      <c r="AM65" s="237" t="s">
        <v>410</v>
      </c>
      <c r="AN65" s="237" t="s">
        <v>410</v>
      </c>
      <c r="AO65" s="237" t="s">
        <v>410</v>
      </c>
      <c r="AP65" s="237" t="s">
        <v>410</v>
      </c>
      <c r="AQ65" s="237" t="s">
        <v>410</v>
      </c>
      <c r="AS65" s="583"/>
      <c r="AT65" s="591"/>
      <c r="AU65" s="588"/>
      <c r="AV65" s="588"/>
      <c r="AW65" s="589"/>
      <c r="AX65" s="589"/>
      <c r="AY65" s="589"/>
      <c r="AZ65" s="589"/>
      <c r="BA65" s="589"/>
      <c r="BB65" s="589"/>
      <c r="BC65" s="589"/>
      <c r="BD65" s="589"/>
      <c r="BE65" s="589"/>
      <c r="BF65" s="589"/>
      <c r="BG65" s="590"/>
      <c r="BH65" s="441"/>
      <c r="BI65" s="441"/>
      <c r="BJ65" s="441"/>
      <c r="BK65" s="441"/>
      <c r="BL65" s="441"/>
    </row>
    <row r="66" spans="1:64" ht="15" customHeight="1" x14ac:dyDescent="0.3">
      <c r="A66" s="796"/>
      <c r="B66" s="366"/>
      <c r="C66" s="367" t="str">
        <f>IFERROR(HLOOKUP(CONCATENATE("P",IFERROR(HLOOKUP('3-Schopnosti'!$S$38,'3-Schopnosti'!$R$38:$S$55,MATCH(B66,'3-Schopnosti'!$R$38:$R$55,0),FALSE),0)),$X$6:$AP$120,MATCH(A66,$X$6:$X$120,0),FALSE)," ")</f>
        <v xml:space="preserve"> </v>
      </c>
      <c r="D66" s="366" t="str">
        <f t="shared" si="6"/>
        <v xml:space="preserve"> </v>
      </c>
      <c r="E66" s="585" t="str">
        <f t="shared" si="7"/>
        <v xml:space="preserve"> </v>
      </c>
      <c r="F66" s="372"/>
      <c r="G66" s="372"/>
      <c r="H66" s="372"/>
      <c r="I66" s="373"/>
      <c r="J66" s="802"/>
      <c r="L66" s="483">
        <f>IF(E66="ANO",0,IFERROR(HLOOKUP('3-Schopnosti'!$S$38,'3-Schopnosti'!$R$38:$S$55,MATCH(B66,'3-Schopnosti'!$R$38:$R$55,0),FALSE),0))</f>
        <v>0</v>
      </c>
      <c r="U66" s="233" t="s">
        <v>1024</v>
      </c>
      <c r="V66" s="233" t="s">
        <v>264</v>
      </c>
      <c r="X66" s="583"/>
      <c r="Y66" s="591"/>
      <c r="Z66" s="583"/>
      <c r="AA66" s="583"/>
      <c r="AB66" s="592"/>
      <c r="AC66" s="593"/>
      <c r="AD66" s="237"/>
      <c r="AE66" s="237"/>
      <c r="AF66" s="237"/>
      <c r="AG66" s="237"/>
      <c r="AH66" s="237"/>
      <c r="AI66" s="237"/>
      <c r="AJ66" s="237"/>
      <c r="AK66" s="237"/>
      <c r="AL66" s="237"/>
      <c r="AM66" s="237"/>
      <c r="AN66" s="237"/>
      <c r="AO66" s="237"/>
      <c r="AP66" s="10"/>
      <c r="AQ66" s="10"/>
      <c r="AT66" s="1122"/>
      <c r="AW66" s="237"/>
      <c r="AX66" s="237"/>
      <c r="AY66" s="237"/>
      <c r="AZ66" s="237"/>
      <c r="BA66" s="237"/>
      <c r="BB66" s="237"/>
      <c r="BC66" s="237"/>
      <c r="BD66" s="237"/>
      <c r="BE66" s="237"/>
      <c r="BF66" s="237"/>
      <c r="BG66" s="237"/>
      <c r="BH66" s="237"/>
      <c r="BI66" s="237"/>
      <c r="BJ66" s="237"/>
      <c r="BK66" s="237"/>
      <c r="BL66" s="237"/>
    </row>
    <row r="67" spans="1:64" ht="15" customHeight="1" x14ac:dyDescent="0.3">
      <c r="A67" s="796"/>
      <c r="B67" s="366"/>
      <c r="C67" s="367" t="str">
        <f>IFERROR(HLOOKUP(CONCATENATE("P",IFERROR(HLOOKUP('3-Schopnosti'!$S$38,'3-Schopnosti'!$R$38:$S$55,MATCH(B67,'3-Schopnosti'!$R$38:$R$55,0),FALSE),0)),$X$6:$AP$120,MATCH(A67,$X$6:$X$120,0),FALSE)," ")</f>
        <v xml:space="preserve"> </v>
      </c>
      <c r="D67" s="366" t="str">
        <f t="shared" si="6"/>
        <v xml:space="preserve"> </v>
      </c>
      <c r="E67" s="585" t="str">
        <f t="shared" si="7"/>
        <v xml:space="preserve"> </v>
      </c>
      <c r="F67" s="372"/>
      <c r="G67" s="372"/>
      <c r="H67" s="372"/>
      <c r="I67" s="373"/>
      <c r="J67" s="802"/>
      <c r="L67" s="483">
        <f>IF(E67="ANO",0,IFERROR(HLOOKUP('3-Schopnosti'!$S$38,'3-Schopnosti'!$R$38:$S$55,MATCH(B67,'3-Schopnosti'!$R$38:$R$55,0),FALSE),0))</f>
        <v>0</v>
      </c>
      <c r="U67" s="233" t="s">
        <v>264</v>
      </c>
      <c r="V67" s="233" t="s">
        <v>264</v>
      </c>
      <c r="X67" s="583"/>
      <c r="Y67" s="591"/>
      <c r="Z67" s="588"/>
      <c r="AA67" s="588"/>
      <c r="AB67" s="589"/>
      <c r="AC67" s="593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10"/>
      <c r="AQ67" s="10"/>
      <c r="AT67" s="1122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7"/>
      <c r="BH67" s="237"/>
      <c r="BI67" s="237"/>
      <c r="BJ67" s="237"/>
      <c r="BK67" s="237"/>
      <c r="BL67" s="237"/>
    </row>
    <row r="68" spans="1:64" ht="15" customHeight="1" thickBot="1" x14ac:dyDescent="0.35">
      <c r="A68" s="798"/>
      <c r="B68" s="551"/>
      <c r="C68" s="552" t="str">
        <f>IFERROR(HLOOKUP(CONCATENATE("P",IFERROR(HLOOKUP('3-Schopnosti'!$S$38,'3-Schopnosti'!$R$38:$S$55,MATCH(B68,'3-Schopnosti'!$R$38:$R$55,0),FALSE),0)),$X$6:$AP$120,MATCH(A68,$X$6:$X$120,0),FALSE)," ")</f>
        <v xml:space="preserve"> </v>
      </c>
      <c r="D68" s="551" t="str">
        <f t="shared" si="6"/>
        <v xml:space="preserve"> </v>
      </c>
      <c r="E68" s="586" t="str">
        <f t="shared" si="7"/>
        <v xml:space="preserve"> </v>
      </c>
      <c r="F68" s="803"/>
      <c r="G68" s="803"/>
      <c r="H68" s="803"/>
      <c r="I68" s="804"/>
      <c r="J68" s="805"/>
      <c r="K68" s="481"/>
      <c r="L68" s="483">
        <f>IF(E68="ANO",0,IFERROR(HLOOKUP('3-Schopnosti'!$S$38,'3-Schopnosti'!$R$38:$S$55,MATCH(B68,'3-Schopnosti'!$R$38:$R$55,0),FALSE),0))</f>
        <v>0</v>
      </c>
      <c r="U68" s="233" t="s">
        <v>5644</v>
      </c>
      <c r="V68" s="233" t="s">
        <v>5644</v>
      </c>
      <c r="X68" s="583"/>
      <c r="Y68" s="591"/>
      <c r="Z68" s="588"/>
      <c r="AA68" s="588"/>
      <c r="AB68" s="589"/>
      <c r="AC68" s="593"/>
      <c r="AD68" s="237"/>
      <c r="AE68" s="237"/>
      <c r="AF68" s="237"/>
      <c r="AG68" s="237"/>
      <c r="AH68" s="237"/>
      <c r="AI68" s="237"/>
      <c r="AJ68" s="237"/>
      <c r="AK68" s="237"/>
      <c r="AL68" s="237"/>
      <c r="AM68" s="237"/>
      <c r="AN68" s="237"/>
      <c r="AO68" s="237"/>
      <c r="AP68" s="10"/>
      <c r="AQ68" s="10"/>
      <c r="AT68" s="1122"/>
      <c r="AW68" s="237"/>
      <c r="AX68" s="237"/>
      <c r="AY68" s="237"/>
      <c r="AZ68" s="237"/>
      <c r="BA68" s="237"/>
      <c r="BB68" s="237"/>
      <c r="BC68" s="237"/>
      <c r="BD68" s="237"/>
      <c r="BE68" s="237"/>
      <c r="BF68" s="237"/>
      <c r="BG68" s="237"/>
      <c r="BH68" s="237"/>
      <c r="BI68" s="237"/>
      <c r="BJ68" s="237"/>
      <c r="BK68" s="237"/>
      <c r="BL68" s="237"/>
    </row>
    <row r="69" spans="1:64" ht="15" customHeight="1" x14ac:dyDescent="0.3">
      <c r="A69" s="368" t="s">
        <v>1198</v>
      </c>
      <c r="B69" s="375">
        <f>SUM(L3:L68)</f>
        <v>0</v>
      </c>
      <c r="H69" s="368" t="s">
        <v>1198</v>
      </c>
      <c r="I69" s="375">
        <f>SUM(M4:M59)</f>
        <v>0</v>
      </c>
      <c r="U69" s="233" t="s">
        <v>5645</v>
      </c>
      <c r="V69" s="233" t="s">
        <v>5644</v>
      </c>
      <c r="X69" s="583"/>
      <c r="Y69" s="591"/>
      <c r="Z69" s="588"/>
      <c r="AA69" s="588"/>
      <c r="AB69" s="589"/>
      <c r="AC69" s="593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10"/>
      <c r="AQ69" s="10"/>
      <c r="AT69" s="1122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7"/>
      <c r="BH69" s="237"/>
      <c r="BI69" s="237"/>
      <c r="BJ69" s="237"/>
      <c r="BK69" s="237"/>
      <c r="BL69" s="237"/>
    </row>
    <row r="70" spans="1:64" ht="15" customHeight="1" x14ac:dyDescent="0.3">
      <c r="A70" s="368" t="s">
        <v>164</v>
      </c>
      <c r="B70" s="375">
        <f>'Tvorba postavy'!L6</f>
        <v>20</v>
      </c>
      <c r="H70" s="368" t="s">
        <v>164</v>
      </c>
      <c r="I70" s="375">
        <f>IFERROR('Tvorba postavy'!$L$8,0)</f>
        <v>0</v>
      </c>
      <c r="U70" s="233" t="s">
        <v>209</v>
      </c>
      <c r="V70" s="233" t="s">
        <v>209</v>
      </c>
      <c r="X70" s="583"/>
      <c r="Y70" s="591"/>
      <c r="Z70" s="588"/>
      <c r="AA70" s="588"/>
      <c r="AB70" s="589"/>
      <c r="AC70" s="593"/>
      <c r="AD70" s="237"/>
      <c r="AE70" s="237"/>
      <c r="AF70" s="237"/>
      <c r="AG70" s="237"/>
      <c r="AH70" s="237"/>
      <c r="AI70" s="237"/>
      <c r="AJ70" s="237"/>
      <c r="AK70" s="237"/>
      <c r="AL70" s="237"/>
      <c r="AM70" s="237"/>
      <c r="AN70" s="237"/>
      <c r="AO70" s="237"/>
      <c r="AP70" s="10"/>
      <c r="AQ70" s="10"/>
      <c r="AU70" s="9"/>
      <c r="AV70" s="9"/>
      <c r="AW70" s="441"/>
      <c r="AX70" s="441"/>
      <c r="AY70" s="441"/>
      <c r="AZ70" s="441"/>
      <c r="BA70" s="441"/>
      <c r="BB70" s="426"/>
      <c r="BC70" s="426"/>
      <c r="BD70" s="426"/>
      <c r="BE70" s="426"/>
      <c r="BF70" s="426"/>
      <c r="BG70" s="426"/>
      <c r="BH70" s="441"/>
      <c r="BI70" s="441"/>
      <c r="BJ70" s="441"/>
      <c r="BK70" s="441"/>
      <c r="BL70" s="441"/>
    </row>
    <row r="71" spans="1:64" ht="15" customHeight="1" x14ac:dyDescent="0.3">
      <c r="A71" t="s">
        <v>3109</v>
      </c>
      <c r="B71" s="403">
        <f>B70-B69</f>
        <v>20</v>
      </c>
      <c r="H71" t="s">
        <v>3109</v>
      </c>
      <c r="I71" s="403">
        <f>I70-I69</f>
        <v>0</v>
      </c>
      <c r="U71" s="233" t="s">
        <v>1128</v>
      </c>
      <c r="V71" s="233" t="s">
        <v>209</v>
      </c>
      <c r="X71" s="583"/>
      <c r="Y71" s="591"/>
      <c r="Z71" s="588"/>
      <c r="AA71" s="588"/>
      <c r="AB71" s="589"/>
      <c r="AC71" s="592"/>
      <c r="AD71" s="237"/>
      <c r="AE71" s="237"/>
      <c r="AF71" s="237"/>
      <c r="AG71" s="237"/>
      <c r="AH71" s="237"/>
      <c r="AI71" s="237"/>
      <c r="AJ71" s="237"/>
      <c r="AK71" s="237"/>
      <c r="AL71" s="237"/>
      <c r="AM71" s="237"/>
      <c r="AN71" s="237"/>
      <c r="AO71" s="237"/>
      <c r="AP71" s="10"/>
      <c r="AQ71" s="10"/>
      <c r="AU71" s="9"/>
      <c r="AV71" s="9"/>
      <c r="AW71" s="441"/>
      <c r="AX71" s="441"/>
      <c r="AY71" s="441"/>
      <c r="AZ71" s="441"/>
      <c r="BA71" s="441"/>
      <c r="BB71" s="441"/>
      <c r="BC71" s="426"/>
      <c r="BD71" s="426"/>
      <c r="BE71" s="426"/>
      <c r="BF71" s="426"/>
      <c r="BG71" s="426"/>
      <c r="BH71" s="441"/>
      <c r="BI71" s="441"/>
      <c r="BJ71" s="441"/>
      <c r="BK71" s="441"/>
      <c r="BL71" s="441"/>
    </row>
    <row r="72" spans="1:64" ht="15" customHeight="1" x14ac:dyDescent="0.3">
      <c r="U72" s="233" t="s">
        <v>1010</v>
      </c>
      <c r="V72" s="233" t="s">
        <v>180</v>
      </c>
      <c r="X72" s="583"/>
      <c r="Y72" s="591"/>
      <c r="Z72" s="588"/>
      <c r="AA72" s="588"/>
      <c r="AB72" s="589"/>
      <c r="AC72" s="593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10"/>
      <c r="AQ72" s="10"/>
      <c r="AU72" s="9"/>
      <c r="AV72" s="9"/>
      <c r="AW72" s="441"/>
      <c r="AX72" s="441"/>
      <c r="AY72" s="441"/>
      <c r="AZ72" s="441"/>
      <c r="BA72" s="441"/>
      <c r="BB72" s="441"/>
      <c r="BC72" s="441"/>
      <c r="BD72" s="426"/>
      <c r="BE72" s="426"/>
      <c r="BF72" s="426"/>
      <c r="BG72" s="426"/>
      <c r="BH72" s="441"/>
      <c r="BI72" s="441"/>
      <c r="BJ72" s="441"/>
      <c r="BK72" s="441"/>
      <c r="BL72" s="441"/>
    </row>
    <row r="73" spans="1:64" ht="15" customHeight="1" x14ac:dyDescent="0.3">
      <c r="U73" s="233" t="s">
        <v>5583</v>
      </c>
      <c r="V73" s="233" t="s">
        <v>5584</v>
      </c>
      <c r="X73" s="583"/>
      <c r="Y73" s="591"/>
      <c r="Z73" s="588"/>
      <c r="AA73" s="588"/>
      <c r="AB73" s="589"/>
      <c r="AC73" s="593"/>
      <c r="AD73" s="237"/>
      <c r="AE73" s="237"/>
      <c r="AF73" s="237"/>
      <c r="AG73" s="237"/>
      <c r="AH73" s="237"/>
      <c r="AI73" s="237"/>
      <c r="AJ73" s="237"/>
      <c r="AK73" s="237"/>
      <c r="AL73" s="237"/>
      <c r="AM73" s="237"/>
      <c r="AN73" s="237"/>
      <c r="AO73" s="237"/>
      <c r="AP73" s="10"/>
      <c r="AQ73" s="10"/>
      <c r="AU73" s="9"/>
      <c r="AV73" s="9"/>
      <c r="AW73" s="441"/>
      <c r="AX73" s="441"/>
      <c r="AY73" s="441"/>
      <c r="AZ73" s="441"/>
      <c r="BA73" s="441"/>
      <c r="BB73" s="441"/>
      <c r="BC73" s="441"/>
      <c r="BD73" s="441"/>
      <c r="BE73" s="461"/>
      <c r="BF73" s="461"/>
      <c r="BG73" s="461"/>
      <c r="BH73" s="441"/>
      <c r="BI73" s="441"/>
      <c r="BJ73" s="441"/>
      <c r="BK73" s="441"/>
      <c r="BL73" s="441"/>
    </row>
    <row r="74" spans="1:64" ht="15" customHeight="1" x14ac:dyDescent="0.3">
      <c r="U74" s="233" t="s">
        <v>5584</v>
      </c>
      <c r="V74" s="233" t="s">
        <v>5584</v>
      </c>
      <c r="X74" s="583"/>
      <c r="Y74" s="591"/>
      <c r="Z74" s="583"/>
      <c r="AA74" s="583"/>
      <c r="AB74" s="10"/>
      <c r="AC74"/>
      <c r="AU74" s="9"/>
      <c r="AV74" s="9"/>
      <c r="AW74" s="441"/>
      <c r="AX74" s="441"/>
      <c r="AY74" s="441"/>
      <c r="AZ74" s="441"/>
      <c r="BA74" s="441"/>
      <c r="BB74" s="441"/>
      <c r="BC74" s="441"/>
      <c r="BD74" s="441"/>
      <c r="BE74" s="441"/>
      <c r="BF74" s="426"/>
      <c r="BG74" s="426"/>
      <c r="BH74" s="441"/>
      <c r="BI74" s="441"/>
      <c r="BJ74" s="441"/>
      <c r="BK74" s="441"/>
      <c r="BL74" s="441"/>
    </row>
    <row r="75" spans="1:64" ht="15" customHeight="1" x14ac:dyDescent="0.3">
      <c r="U75" s="233" t="s">
        <v>271</v>
      </c>
      <c r="V75" s="233" t="s">
        <v>271</v>
      </c>
      <c r="X75" s="583"/>
      <c r="Y75" s="591"/>
      <c r="Z75" s="583"/>
      <c r="AA75" s="583"/>
      <c r="AB75" s="593"/>
      <c r="AC75" s="237"/>
      <c r="AD75" s="237"/>
      <c r="AE75" s="237"/>
      <c r="AF75" s="237"/>
      <c r="AG75" s="237"/>
      <c r="AH75" s="237"/>
      <c r="AI75" s="237"/>
      <c r="AJ75" s="237"/>
      <c r="AK75" s="237"/>
      <c r="AL75" s="237"/>
      <c r="AM75" s="237"/>
      <c r="AN75" s="237"/>
      <c r="AO75" s="237"/>
      <c r="AP75" s="237"/>
      <c r="AQ75" s="237"/>
      <c r="AU75" s="9"/>
      <c r="AV75" s="9"/>
      <c r="AW75" s="441"/>
      <c r="AX75" s="441"/>
      <c r="AY75" s="441"/>
      <c r="AZ75" s="441"/>
      <c r="BA75" s="441"/>
      <c r="BB75" s="441"/>
      <c r="BC75" s="441"/>
      <c r="BD75" s="441"/>
      <c r="BE75" s="441"/>
      <c r="BF75" s="441"/>
      <c r="BG75" s="426"/>
      <c r="BH75" s="441"/>
      <c r="BI75" s="441"/>
      <c r="BJ75" s="441"/>
      <c r="BK75" s="441"/>
      <c r="BL75" s="441"/>
    </row>
    <row r="76" spans="1:64" ht="15" customHeight="1" x14ac:dyDescent="0.3">
      <c r="U76" s="233" t="s">
        <v>207</v>
      </c>
      <c r="V76" s="233" t="s">
        <v>207</v>
      </c>
      <c r="X76" s="583"/>
      <c r="Y76" s="591"/>
      <c r="Z76" s="588"/>
      <c r="AA76" s="588"/>
      <c r="AB76" s="589"/>
      <c r="AC76" s="589"/>
      <c r="AD76" s="589"/>
      <c r="AE76" s="589"/>
      <c r="AF76" s="589"/>
      <c r="AG76" s="589"/>
      <c r="AH76" s="589"/>
      <c r="AI76" s="589"/>
      <c r="AJ76" s="589"/>
      <c r="AK76" s="590"/>
      <c r="AL76" s="590"/>
      <c r="AM76" s="441"/>
      <c r="AN76" s="441"/>
      <c r="AO76" s="441"/>
      <c r="AP76" s="441"/>
      <c r="AQ76" s="441"/>
      <c r="AU76" s="9"/>
      <c r="AV76" s="9"/>
      <c r="AW76" s="441"/>
      <c r="AX76" s="426"/>
      <c r="AY76" s="426"/>
      <c r="AZ76" s="426"/>
      <c r="BA76" s="426"/>
      <c r="BB76" s="426"/>
      <c r="BC76" s="426"/>
      <c r="BD76" s="426"/>
      <c r="BE76" s="426"/>
      <c r="BF76" s="426"/>
      <c r="BG76" s="426"/>
      <c r="BH76" s="441"/>
      <c r="BI76" s="441"/>
      <c r="BJ76" s="441"/>
      <c r="BK76" s="441"/>
      <c r="BL76" s="441"/>
    </row>
    <row r="77" spans="1:64" ht="15" customHeight="1" x14ac:dyDescent="0.3">
      <c r="U77" s="233" t="s">
        <v>1027</v>
      </c>
      <c r="V77" s="233" t="s">
        <v>207</v>
      </c>
      <c r="X77" s="583"/>
      <c r="Y77" s="591"/>
      <c r="Z77" s="588"/>
      <c r="AA77" s="588"/>
      <c r="AB77" s="589"/>
      <c r="AC77" s="589"/>
      <c r="AD77" s="589"/>
      <c r="AE77" s="589"/>
      <c r="AF77" s="589"/>
      <c r="AG77" s="589"/>
      <c r="AH77" s="589"/>
      <c r="AI77" s="589"/>
      <c r="AJ77" s="589"/>
      <c r="AK77" s="589"/>
      <c r="AL77" s="590"/>
      <c r="AM77" s="441"/>
      <c r="AN77" s="441"/>
      <c r="AO77" s="441"/>
      <c r="AP77" s="441"/>
      <c r="AQ77" s="441"/>
      <c r="AU77" s="9"/>
      <c r="AV77" s="9"/>
      <c r="AW77" s="441"/>
      <c r="AX77" s="426"/>
      <c r="AY77" s="426"/>
      <c r="AZ77" s="426"/>
      <c r="BA77" s="426"/>
      <c r="BB77" s="426"/>
      <c r="BC77" s="426"/>
      <c r="BD77" s="441"/>
      <c r="BE77" s="441"/>
      <c r="BF77" s="441"/>
      <c r="BG77" s="441"/>
      <c r="BH77" s="441"/>
      <c r="BI77" s="441"/>
      <c r="BJ77" s="441"/>
      <c r="BK77" s="441"/>
      <c r="BL77" s="441"/>
    </row>
    <row r="78" spans="1:64" ht="15" customHeight="1" x14ac:dyDescent="0.3">
      <c r="U78" s="233" t="s">
        <v>4481</v>
      </c>
      <c r="V78" s="233" t="s">
        <v>3115</v>
      </c>
      <c r="X78" s="583"/>
      <c r="Y78" s="591"/>
      <c r="Z78" s="583"/>
      <c r="AA78" s="583"/>
      <c r="AB78" s="593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U78" s="9"/>
      <c r="AV78" s="9"/>
      <c r="AW78" s="441"/>
      <c r="AX78" s="426"/>
      <c r="AY78" s="426"/>
      <c r="AZ78" s="426"/>
      <c r="BA78" s="426"/>
      <c r="BB78" s="426"/>
      <c r="BC78" s="426"/>
      <c r="BD78" s="426"/>
      <c r="BE78" s="426"/>
      <c r="BF78" s="441"/>
      <c r="BG78" s="441"/>
      <c r="BH78" s="441"/>
      <c r="BI78" s="441"/>
      <c r="BJ78" s="441"/>
      <c r="BK78" s="441"/>
      <c r="BL78" s="441"/>
    </row>
    <row r="79" spans="1:64" ht="15" customHeight="1" x14ac:dyDescent="0.3">
      <c r="U79" s="233" t="s">
        <v>259</v>
      </c>
      <c r="V79" s="233" t="s">
        <v>259</v>
      </c>
      <c r="X79" s="583"/>
      <c r="Y79" s="591"/>
      <c r="Z79" s="583"/>
      <c r="AA79" s="583"/>
      <c r="AB79" s="593"/>
      <c r="AC79" s="237"/>
      <c r="AD79" s="237"/>
      <c r="AE79" s="237"/>
      <c r="AF79" s="237"/>
      <c r="AG79" s="237"/>
      <c r="AH79" s="237"/>
      <c r="AI79" s="237"/>
      <c r="AJ79" s="237"/>
      <c r="AK79" s="237"/>
      <c r="AL79" s="237"/>
      <c r="AM79" s="237"/>
      <c r="AN79" s="237"/>
      <c r="AO79" s="237"/>
      <c r="AP79" s="237"/>
      <c r="AQ79" s="237"/>
      <c r="AU79" s="9"/>
      <c r="AV79" s="9"/>
      <c r="AW79" s="441"/>
      <c r="AX79" s="426"/>
      <c r="AY79" s="426"/>
      <c r="AZ79" s="426"/>
      <c r="BA79" s="426"/>
      <c r="BB79" s="426"/>
      <c r="BC79" s="426"/>
      <c r="BD79" s="426"/>
      <c r="BE79" s="426"/>
      <c r="BF79" s="426"/>
      <c r="BG79" s="426"/>
      <c r="BH79" s="441"/>
      <c r="BI79" s="441"/>
      <c r="BJ79" s="441"/>
      <c r="BK79" s="441"/>
      <c r="BL79" s="441"/>
    </row>
    <row r="80" spans="1:64" ht="15" customHeight="1" x14ac:dyDescent="0.3">
      <c r="U80" s="233" t="s">
        <v>1025</v>
      </c>
      <c r="V80" s="233" t="s">
        <v>259</v>
      </c>
      <c r="X80" s="583"/>
      <c r="Y80" s="591"/>
      <c r="Z80" s="583"/>
      <c r="AA80" s="583"/>
      <c r="AB80" s="593"/>
      <c r="AC80" s="593"/>
      <c r="AD80" s="593"/>
      <c r="AE80" s="593"/>
      <c r="AF80" s="593"/>
      <c r="AG80" s="593"/>
      <c r="AH80" s="593"/>
      <c r="AI80" s="593"/>
      <c r="AJ80" s="593"/>
      <c r="AK80" s="237"/>
      <c r="AL80" s="237"/>
      <c r="AM80" s="237"/>
      <c r="AN80" s="237"/>
      <c r="AO80" s="237"/>
      <c r="AP80" s="237"/>
      <c r="AQ80" s="237"/>
      <c r="AU80" s="9"/>
      <c r="AV80" s="9"/>
      <c r="AW80" s="441"/>
      <c r="AX80" s="426"/>
      <c r="AY80" s="426"/>
      <c r="AZ80" s="426"/>
      <c r="BA80" s="426"/>
      <c r="BB80" s="426"/>
      <c r="BC80" s="441"/>
      <c r="BD80" s="441"/>
      <c r="BE80" s="441"/>
      <c r="BF80" s="441"/>
      <c r="BG80" s="441"/>
      <c r="BH80" s="441"/>
      <c r="BI80" s="441"/>
      <c r="BJ80" s="441"/>
      <c r="BK80" s="441"/>
      <c r="BL80" s="441"/>
    </row>
    <row r="81" spans="24:64" ht="15" customHeight="1" x14ac:dyDescent="0.3">
      <c r="X81" s="583"/>
      <c r="Y81" s="591"/>
      <c r="Z81" s="583"/>
      <c r="AA81" s="583"/>
      <c r="AB81" s="593"/>
      <c r="AC81" s="593"/>
      <c r="AD81" s="593"/>
      <c r="AE81" s="593"/>
      <c r="AF81" s="593"/>
      <c r="AG81" s="593"/>
      <c r="AH81" s="593"/>
      <c r="AI81" s="593"/>
      <c r="AJ81" s="593"/>
      <c r="AK81" s="593"/>
      <c r="AL81" s="237"/>
      <c r="AM81" s="237"/>
      <c r="AN81" s="237"/>
      <c r="AO81" s="237"/>
      <c r="AP81" s="237"/>
      <c r="AQ81" s="237"/>
      <c r="AU81" s="9"/>
      <c r="AV81" s="9"/>
      <c r="AW81" s="441"/>
      <c r="AX81" s="426"/>
      <c r="AY81" s="426"/>
      <c r="AZ81" s="426"/>
      <c r="BA81" s="426"/>
      <c r="BB81" s="426"/>
      <c r="BC81" s="426"/>
      <c r="BD81" s="441"/>
      <c r="BE81" s="441"/>
      <c r="BF81" s="441"/>
      <c r="BG81" s="441"/>
      <c r="BH81" s="441"/>
      <c r="BI81" s="441"/>
      <c r="BJ81" s="441"/>
      <c r="BK81" s="441"/>
      <c r="BL81" s="441"/>
    </row>
    <row r="82" spans="24:64" ht="15" customHeight="1" x14ac:dyDescent="0.3">
      <c r="X82"/>
      <c r="Y82"/>
      <c r="Z82" s="9"/>
      <c r="AA82" s="9"/>
      <c r="AB82" s="441"/>
      <c r="AC82" s="457"/>
      <c r="AD82" s="457"/>
      <c r="AE82" s="457"/>
      <c r="AF82" s="457"/>
      <c r="AG82" s="457"/>
      <c r="AH82" s="457"/>
      <c r="AI82" s="457"/>
      <c r="AJ82" s="457"/>
      <c r="AK82" s="457"/>
      <c r="AL82" s="457"/>
      <c r="AM82" s="441"/>
      <c r="AN82" s="441"/>
      <c r="AO82" s="441"/>
      <c r="AP82" s="441"/>
      <c r="AQ82" s="441"/>
      <c r="AU82" s="9"/>
      <c r="AV82" s="9"/>
      <c r="AW82" s="441"/>
      <c r="AX82" s="426"/>
      <c r="AY82" s="426"/>
      <c r="AZ82" s="426"/>
      <c r="BA82" s="426"/>
      <c r="BB82" s="426"/>
      <c r="BC82" s="426"/>
      <c r="BD82" s="426"/>
      <c r="BE82" s="426"/>
      <c r="BF82" s="441"/>
      <c r="BG82" s="441"/>
      <c r="BH82" s="441"/>
      <c r="BI82" s="441"/>
      <c r="BJ82" s="441"/>
      <c r="BK82" s="441"/>
      <c r="BL82" s="441"/>
    </row>
    <row r="83" spans="24:64" ht="15" customHeight="1" x14ac:dyDescent="0.3">
      <c r="X83"/>
      <c r="Y83"/>
      <c r="Z83" s="9"/>
      <c r="AA83" s="9"/>
      <c r="AB83" s="441"/>
      <c r="AC83" s="457"/>
      <c r="AD83" s="457"/>
      <c r="AE83" s="457"/>
      <c r="AF83" s="457"/>
      <c r="AG83" s="457"/>
      <c r="AH83" s="457"/>
      <c r="AI83" s="457"/>
      <c r="AJ83" s="457"/>
      <c r="AK83" s="457"/>
      <c r="AL83" s="457"/>
      <c r="AM83" s="441"/>
      <c r="AN83" s="441"/>
      <c r="AO83" s="441"/>
      <c r="AP83" s="441"/>
      <c r="AQ83" s="441"/>
      <c r="AU83" s="9"/>
      <c r="AV83" s="9"/>
      <c r="AW83" s="441"/>
      <c r="AX83" s="426"/>
      <c r="AY83" s="426"/>
      <c r="AZ83" s="426"/>
      <c r="BA83" s="426"/>
      <c r="BB83" s="426"/>
      <c r="BC83" s="426"/>
      <c r="BD83" s="426"/>
      <c r="BE83" s="426"/>
      <c r="BF83" s="426"/>
      <c r="BG83" s="426"/>
      <c r="BH83" s="426"/>
      <c r="BI83" s="426"/>
      <c r="BJ83" s="426"/>
      <c r="BK83" s="441"/>
      <c r="BL83" s="441"/>
    </row>
    <row r="84" spans="24:64" ht="15" customHeight="1" x14ac:dyDescent="0.3">
      <c r="X84"/>
      <c r="Y84"/>
      <c r="Z84" s="9"/>
      <c r="AA84" s="9"/>
      <c r="AB84" s="441"/>
      <c r="AC84" s="457"/>
      <c r="AD84" s="457"/>
      <c r="AE84" s="457"/>
      <c r="AF84" s="457"/>
      <c r="AG84" s="457"/>
      <c r="AH84" s="457"/>
      <c r="AI84" s="457"/>
      <c r="AJ84" s="457"/>
      <c r="AK84" s="457"/>
      <c r="AL84" s="457"/>
      <c r="AM84" s="441"/>
      <c r="AN84" s="441"/>
      <c r="AO84" s="441"/>
      <c r="AP84" s="441"/>
      <c r="AQ84" s="441"/>
      <c r="AU84" s="9"/>
      <c r="AV84" s="9"/>
      <c r="AW84" s="441"/>
      <c r="AX84" s="426"/>
      <c r="AY84" s="426"/>
      <c r="AZ84" s="426"/>
      <c r="BA84" s="426"/>
      <c r="BB84" s="426"/>
      <c r="BC84" s="426"/>
      <c r="BD84" s="426"/>
      <c r="BE84" s="426"/>
      <c r="BF84" s="426"/>
      <c r="BG84" s="426"/>
      <c r="BH84" s="426"/>
      <c r="BI84" s="426"/>
      <c r="BJ84" s="426"/>
      <c r="BK84" s="441"/>
      <c r="BL84" s="441"/>
    </row>
    <row r="85" spans="24:64" ht="15" customHeight="1" x14ac:dyDescent="0.3">
      <c r="X85"/>
      <c r="Y85"/>
      <c r="Z85" s="9"/>
      <c r="AA85" s="9"/>
      <c r="AB85" s="441"/>
      <c r="AC85" s="237"/>
      <c r="AD85" s="237"/>
      <c r="AE85" s="237"/>
      <c r="AF85" s="237"/>
      <c r="AG85" s="441"/>
      <c r="AH85" s="441"/>
      <c r="AI85" s="441"/>
      <c r="AJ85" s="441"/>
      <c r="AK85" s="441"/>
      <c r="AL85" s="441"/>
      <c r="AM85" s="441"/>
      <c r="AN85" s="441"/>
      <c r="AO85" s="441"/>
      <c r="AP85" s="441"/>
      <c r="AQ85" s="441"/>
      <c r="AU85" s="9"/>
      <c r="AV85" s="9"/>
      <c r="AW85" s="441"/>
      <c r="AX85" s="426"/>
      <c r="AY85" s="426"/>
      <c r="AZ85" s="426"/>
      <c r="BA85" s="426"/>
      <c r="BB85" s="426"/>
      <c r="BC85" s="441"/>
      <c r="BD85" s="441"/>
      <c r="BE85" s="441"/>
      <c r="BF85" s="441"/>
      <c r="BG85" s="441"/>
      <c r="BH85" s="441"/>
      <c r="BI85" s="441"/>
      <c r="BJ85" s="441"/>
      <c r="BK85" s="441"/>
      <c r="BL85" s="441"/>
    </row>
    <row r="86" spans="24:64" ht="15" customHeight="1" x14ac:dyDescent="0.3">
      <c r="X86"/>
      <c r="Y86"/>
      <c r="Z86" s="9"/>
      <c r="AA86" s="9"/>
      <c r="AB86" s="441"/>
      <c r="AC86" s="237"/>
      <c r="AD86" s="237"/>
      <c r="AE86" s="237"/>
      <c r="AF86" s="237"/>
      <c r="AG86" s="237"/>
      <c r="AH86" s="237"/>
      <c r="AI86" s="441"/>
      <c r="AJ86" s="441"/>
      <c r="AK86" s="441"/>
      <c r="AL86" s="441"/>
      <c r="AM86" s="441"/>
      <c r="AN86" s="441"/>
      <c r="AO86" s="441"/>
      <c r="AP86" s="441"/>
      <c r="AQ86" s="441"/>
      <c r="AU86" s="9"/>
      <c r="AV86" s="9"/>
      <c r="AW86" s="441"/>
      <c r="AX86" s="426"/>
      <c r="AY86" s="426"/>
      <c r="AZ86" s="426"/>
      <c r="BA86" s="426"/>
      <c r="BB86" s="426"/>
      <c r="BC86" s="426"/>
      <c r="BD86" s="441"/>
      <c r="BE86" s="441"/>
      <c r="BF86" s="441"/>
      <c r="BG86" s="441"/>
      <c r="BH86" s="441"/>
      <c r="BI86" s="441"/>
      <c r="BJ86" s="441"/>
      <c r="BK86" s="441"/>
      <c r="BL86" s="441"/>
    </row>
    <row r="87" spans="24:64" ht="15" customHeight="1" x14ac:dyDescent="0.3">
      <c r="X87"/>
      <c r="Y87"/>
      <c r="Z87" s="9"/>
      <c r="AA87" s="9"/>
      <c r="AB87" s="441"/>
      <c r="AC87" s="237"/>
      <c r="AD87" s="237"/>
      <c r="AE87" s="237"/>
      <c r="AF87" s="237"/>
      <c r="AG87" s="237"/>
      <c r="AH87" s="237"/>
      <c r="AI87" s="237"/>
      <c r="AJ87" s="237"/>
      <c r="AK87" s="441"/>
      <c r="AL87" s="441"/>
      <c r="AM87" s="441"/>
      <c r="AN87" s="441"/>
      <c r="AO87" s="441"/>
      <c r="AP87" s="441"/>
      <c r="AQ87" s="441"/>
      <c r="AU87" s="9"/>
      <c r="AV87" s="9"/>
      <c r="AW87" s="441"/>
      <c r="AX87" s="237"/>
      <c r="AY87" s="237"/>
      <c r="AZ87" s="237"/>
      <c r="BA87" s="237"/>
      <c r="BB87" s="441"/>
      <c r="BC87" s="441"/>
      <c r="BD87" s="441"/>
      <c r="BE87" s="441"/>
      <c r="BF87" s="441"/>
      <c r="BG87" s="441"/>
      <c r="BH87" s="441"/>
      <c r="BI87" s="441"/>
      <c r="BJ87" s="441"/>
      <c r="BK87" s="441"/>
      <c r="BL87" s="441"/>
    </row>
    <row r="88" spans="24:64" ht="15" customHeight="1" x14ac:dyDescent="0.3">
      <c r="X88"/>
      <c r="Y88"/>
      <c r="Z88" s="9"/>
      <c r="AA88" s="9"/>
      <c r="AB88" s="441"/>
      <c r="AC88" s="237"/>
      <c r="AD88" s="237"/>
      <c r="AE88" s="237"/>
      <c r="AF88" s="237"/>
      <c r="AG88" s="237"/>
      <c r="AH88" s="237"/>
      <c r="AI88" s="441"/>
      <c r="AJ88" s="441"/>
      <c r="AK88" s="441"/>
      <c r="AL88" s="441"/>
      <c r="AM88" s="441"/>
      <c r="AN88" s="441"/>
      <c r="AO88" s="441"/>
      <c r="AP88" s="441"/>
      <c r="AQ88" s="441"/>
      <c r="AU88" s="9"/>
      <c r="AV88" s="9"/>
      <c r="AW88" s="441"/>
      <c r="AX88" s="237"/>
      <c r="AY88" s="237"/>
      <c r="AZ88" s="237"/>
      <c r="BA88" s="237"/>
      <c r="BB88" s="441"/>
      <c r="BC88" s="441"/>
      <c r="BD88" s="441"/>
      <c r="BE88" s="441"/>
      <c r="BF88" s="441"/>
      <c r="BG88" s="441"/>
      <c r="BH88" s="441"/>
      <c r="BI88" s="441"/>
      <c r="BJ88" s="441"/>
      <c r="BK88" s="441"/>
      <c r="BL88" s="441"/>
    </row>
    <row r="89" spans="24:64" ht="15" customHeight="1" x14ac:dyDescent="0.3">
      <c r="X89"/>
      <c r="Y89"/>
      <c r="Z89" s="9"/>
      <c r="AA89" s="9"/>
      <c r="AB89" s="441"/>
      <c r="AC89" s="237"/>
      <c r="AD89" s="237"/>
      <c r="AE89" s="237"/>
      <c r="AF89" s="237"/>
      <c r="AG89" s="237"/>
      <c r="AH89" s="237"/>
      <c r="AI89" s="441"/>
      <c r="AJ89" s="441"/>
      <c r="AK89" s="441"/>
      <c r="AL89" s="441"/>
      <c r="AM89" s="441"/>
      <c r="AN89" s="441"/>
      <c r="AO89" s="441"/>
      <c r="AP89" s="441"/>
      <c r="AQ89" s="441"/>
      <c r="AU89" s="9"/>
      <c r="AV89" s="9"/>
      <c r="AW89" s="441"/>
      <c r="AX89" s="237"/>
      <c r="AY89" s="237"/>
      <c r="AZ89" s="237"/>
      <c r="BA89" s="237"/>
      <c r="BB89" s="441"/>
      <c r="BC89" s="441"/>
      <c r="BD89" s="441"/>
      <c r="BE89" s="441"/>
      <c r="BF89" s="441"/>
      <c r="BG89" s="441"/>
      <c r="BH89" s="441"/>
      <c r="BI89" s="441"/>
      <c r="BJ89" s="441"/>
      <c r="BK89" s="441"/>
      <c r="BL89" s="441"/>
    </row>
    <row r="90" spans="24:64" ht="15" customHeight="1" x14ac:dyDescent="0.3">
      <c r="X90"/>
      <c r="Y90"/>
      <c r="Z90" s="9"/>
      <c r="AA90" s="9"/>
      <c r="AB90" s="237"/>
      <c r="AC90" s="237"/>
      <c r="AD90" s="237"/>
      <c r="AE90" s="237"/>
      <c r="AF90" s="237"/>
      <c r="AG90" s="237"/>
      <c r="AH90" s="237"/>
      <c r="AI90" s="441"/>
      <c r="AJ90" s="441"/>
      <c r="AK90" s="441"/>
      <c r="AL90" s="441"/>
      <c r="AM90" s="441"/>
      <c r="AN90" s="441"/>
      <c r="AO90" s="441"/>
      <c r="AP90" s="441"/>
      <c r="AQ90" s="441"/>
      <c r="AU90" s="9"/>
      <c r="AV90" s="9"/>
      <c r="AW90" s="441"/>
      <c r="AX90" s="237"/>
      <c r="AY90" s="237"/>
      <c r="AZ90" s="237"/>
      <c r="BA90" s="237"/>
      <c r="BB90" s="237"/>
      <c r="BC90" s="237"/>
      <c r="BD90" s="441"/>
      <c r="BE90" s="441"/>
      <c r="BF90" s="441"/>
      <c r="BG90" s="441"/>
      <c r="BH90" s="441"/>
      <c r="BI90" s="441"/>
      <c r="BJ90" s="441"/>
      <c r="BK90" s="441"/>
      <c r="BL90" s="441"/>
    </row>
    <row r="91" spans="24:64" ht="15" customHeight="1" x14ac:dyDescent="0.3">
      <c r="X91"/>
      <c r="Y91"/>
      <c r="Z91" s="9"/>
      <c r="AA91" s="9"/>
      <c r="AB91" s="237"/>
      <c r="AC91" s="237"/>
      <c r="AD91" s="237"/>
      <c r="AE91" s="237"/>
      <c r="AF91" s="237"/>
      <c r="AG91" s="237"/>
      <c r="AH91" s="237"/>
      <c r="AI91" s="441"/>
      <c r="AJ91" s="441"/>
      <c r="AK91" s="441"/>
      <c r="AL91" s="441"/>
      <c r="AM91" s="441"/>
      <c r="AN91" s="441"/>
      <c r="AO91" s="441"/>
      <c r="AP91" s="441"/>
      <c r="AQ91" s="441"/>
      <c r="AU91" s="9"/>
      <c r="AV91" s="9"/>
      <c r="AW91" s="441"/>
      <c r="AX91" s="237"/>
      <c r="AY91" s="237"/>
      <c r="AZ91" s="237"/>
      <c r="BA91" s="237"/>
      <c r="BB91" s="237"/>
      <c r="BC91" s="237"/>
      <c r="BD91" s="237"/>
      <c r="BE91" s="237"/>
      <c r="BF91" s="441"/>
      <c r="BG91" s="441"/>
      <c r="BH91" s="441"/>
      <c r="BI91" s="441"/>
      <c r="BJ91" s="441"/>
      <c r="BK91" s="441"/>
      <c r="BL91" s="441"/>
    </row>
    <row r="92" spans="24:64" ht="15" customHeight="1" x14ac:dyDescent="0.3">
      <c r="X92"/>
      <c r="Y92"/>
      <c r="Z92" s="9"/>
      <c r="AA92" s="9"/>
      <c r="AB92" s="237"/>
      <c r="AC92" s="237"/>
      <c r="AD92" s="237"/>
      <c r="AE92" s="237"/>
      <c r="AF92" s="237"/>
      <c r="AG92" s="237"/>
      <c r="AH92" s="237"/>
      <c r="AI92" s="441"/>
      <c r="AJ92" s="441"/>
      <c r="AK92" s="441"/>
      <c r="AL92" s="441"/>
      <c r="AM92" s="441"/>
      <c r="AN92" s="441"/>
      <c r="AO92" s="441"/>
      <c r="AP92" s="441"/>
      <c r="AQ92" s="441"/>
      <c r="AU92" s="9"/>
      <c r="AV92" s="9"/>
      <c r="AW92" s="441"/>
      <c r="AX92" s="237"/>
      <c r="AY92" s="237"/>
      <c r="AZ92" s="237"/>
      <c r="BA92" s="237"/>
      <c r="BB92" s="237"/>
      <c r="BC92" s="237"/>
      <c r="BD92" s="441"/>
      <c r="BE92" s="441"/>
      <c r="BF92" s="441"/>
      <c r="BG92" s="441"/>
      <c r="BH92" s="441"/>
      <c r="BI92" s="441"/>
      <c r="BJ92" s="441"/>
      <c r="BK92" s="441"/>
      <c r="BL92" s="441"/>
    </row>
    <row r="93" spans="24:64" ht="15" customHeight="1" x14ac:dyDescent="0.3">
      <c r="X93"/>
      <c r="Y93"/>
      <c r="Z93" s="9"/>
      <c r="AA93" s="9"/>
      <c r="AB93" s="237"/>
      <c r="AC93" s="237"/>
      <c r="AD93" s="237"/>
      <c r="AE93" s="237"/>
      <c r="AF93" s="237"/>
      <c r="AG93" s="237"/>
      <c r="AH93" s="237"/>
      <c r="AI93" s="441"/>
      <c r="AJ93" s="441"/>
      <c r="AK93" s="441"/>
      <c r="AL93" s="441"/>
      <c r="AM93" s="441"/>
      <c r="AN93" s="441"/>
      <c r="AO93" s="441"/>
      <c r="AP93" s="441"/>
      <c r="AQ93" s="441"/>
      <c r="AU93" s="9"/>
      <c r="AV93" s="9"/>
      <c r="AW93" s="441"/>
      <c r="AX93" s="237"/>
      <c r="AY93" s="237"/>
      <c r="AZ93" s="237"/>
      <c r="BA93" s="237"/>
      <c r="BB93" s="237"/>
      <c r="BC93" s="237"/>
      <c r="BD93" s="441"/>
      <c r="BE93" s="441"/>
      <c r="BF93" s="441"/>
      <c r="BG93" s="441"/>
      <c r="BH93" s="441"/>
      <c r="BI93" s="441"/>
      <c r="BJ93" s="441"/>
      <c r="BK93" s="441"/>
      <c r="BL93" s="441"/>
    </row>
    <row r="94" spans="24:64" ht="15" customHeight="1" x14ac:dyDescent="0.3">
      <c r="X94"/>
      <c r="Y94"/>
      <c r="Z94" s="9"/>
      <c r="AA94" s="9"/>
      <c r="AB94" s="441"/>
      <c r="AC94" s="237"/>
      <c r="AD94" s="237"/>
      <c r="AE94" s="237"/>
      <c r="AF94" s="237"/>
      <c r="AG94" s="237"/>
      <c r="AH94" s="237"/>
      <c r="AI94" s="237"/>
      <c r="AJ94" s="237"/>
      <c r="AK94" s="237"/>
      <c r="AL94" s="441"/>
      <c r="AM94" s="441"/>
      <c r="AN94" s="441"/>
      <c r="AO94" s="441"/>
      <c r="AP94" s="441"/>
      <c r="AQ94" s="441"/>
      <c r="AU94" s="9"/>
      <c r="AV94" s="9"/>
      <c r="AW94" s="237"/>
      <c r="AX94" s="237"/>
      <c r="AY94" s="237"/>
      <c r="AZ94" s="237"/>
      <c r="BA94" s="237"/>
      <c r="BB94" s="237"/>
      <c r="BC94" s="237"/>
      <c r="BD94" s="441"/>
      <c r="BE94" s="441"/>
      <c r="BF94" s="441"/>
      <c r="BG94" s="441"/>
      <c r="BH94" s="441"/>
      <c r="BI94" s="441"/>
      <c r="BJ94" s="441"/>
      <c r="BK94" s="441"/>
      <c r="BL94" s="441"/>
    </row>
    <row r="95" spans="24:64" ht="15" customHeight="1" x14ac:dyDescent="0.3">
      <c r="X95"/>
      <c r="Y95"/>
      <c r="Z95" s="9"/>
      <c r="AA95" s="9"/>
      <c r="AB95" s="441"/>
      <c r="AC95" s="237"/>
      <c r="AD95" s="237"/>
      <c r="AE95" s="237"/>
      <c r="AF95" s="237"/>
      <c r="AG95" s="237"/>
      <c r="AH95" s="237"/>
      <c r="AI95" s="441"/>
      <c r="AJ95" s="441"/>
      <c r="AK95" s="441"/>
      <c r="AL95" s="441"/>
      <c r="AM95" s="441"/>
      <c r="AN95" s="441"/>
      <c r="AO95" s="441"/>
      <c r="AP95" s="441"/>
      <c r="AQ95" s="441"/>
      <c r="AU95" s="9"/>
      <c r="AV95" s="9"/>
      <c r="AW95" s="237"/>
      <c r="AX95" s="237"/>
      <c r="AY95" s="237"/>
      <c r="AZ95" s="237"/>
      <c r="BA95" s="237"/>
      <c r="BB95" s="237"/>
      <c r="BC95" s="237"/>
      <c r="BD95" s="441"/>
      <c r="BE95" s="441"/>
      <c r="BF95" s="441"/>
      <c r="BG95" s="441"/>
      <c r="BH95" s="441"/>
      <c r="BI95" s="441"/>
      <c r="BJ95" s="441"/>
      <c r="BK95" s="441"/>
      <c r="BL95" s="441"/>
    </row>
    <row r="96" spans="24:64" ht="15" customHeight="1" x14ac:dyDescent="0.3">
      <c r="X96"/>
      <c r="Y96"/>
      <c r="Z96" s="9"/>
      <c r="AA96" s="9"/>
      <c r="AB96" s="426"/>
      <c r="AC96" s="426"/>
      <c r="AD96" s="426"/>
      <c r="AE96" s="426"/>
      <c r="AF96" s="426"/>
      <c r="AG96" s="426"/>
      <c r="AH96" s="426"/>
      <c r="AI96" s="441"/>
      <c r="AJ96" s="441"/>
      <c r="AK96" s="441"/>
      <c r="AL96" s="441"/>
      <c r="AM96" s="441"/>
      <c r="AN96" s="441"/>
      <c r="AO96" s="441"/>
      <c r="AP96" s="441"/>
      <c r="AQ96" s="441"/>
      <c r="AU96" s="9"/>
      <c r="AV96" s="9"/>
      <c r="AW96" s="237"/>
      <c r="AX96" s="237"/>
      <c r="AY96" s="237"/>
      <c r="AZ96" s="237"/>
      <c r="BA96" s="237"/>
      <c r="BB96" s="237"/>
      <c r="BC96" s="237"/>
      <c r="BD96" s="441"/>
      <c r="BE96" s="441"/>
      <c r="BF96" s="441"/>
      <c r="BG96" s="441"/>
      <c r="BH96" s="441"/>
      <c r="BI96" s="441"/>
      <c r="BJ96" s="441"/>
      <c r="BK96" s="441"/>
      <c r="BL96" s="441"/>
    </row>
    <row r="97" spans="24:64" x14ac:dyDescent="0.3">
      <c r="X97"/>
      <c r="Y97"/>
      <c r="Z97" s="9"/>
      <c r="AA97" s="9"/>
      <c r="AB97" s="426"/>
      <c r="AC97" s="426"/>
      <c r="AD97" s="426"/>
      <c r="AE97" s="426"/>
      <c r="AF97" s="426"/>
      <c r="AG97" s="426"/>
      <c r="AH97" s="426"/>
      <c r="AI97" s="441"/>
      <c r="AJ97" s="441"/>
      <c r="AK97" s="441"/>
      <c r="AL97" s="441"/>
      <c r="AM97" s="441"/>
      <c r="AN97" s="441"/>
      <c r="AO97" s="441"/>
      <c r="AP97" s="441"/>
      <c r="AQ97" s="441"/>
      <c r="AU97" s="9"/>
      <c r="AV97" s="9"/>
      <c r="AW97" s="237"/>
      <c r="AX97" s="237"/>
      <c r="AY97" s="237"/>
      <c r="AZ97" s="237"/>
      <c r="BA97" s="237"/>
      <c r="BB97" s="237"/>
      <c r="BC97" s="237"/>
      <c r="BD97" s="441"/>
      <c r="BE97" s="441"/>
      <c r="BF97" s="441"/>
      <c r="BG97" s="441"/>
      <c r="BH97" s="441"/>
      <c r="BI97" s="441"/>
      <c r="BJ97" s="441"/>
      <c r="BK97" s="441"/>
      <c r="BL97" s="441"/>
    </row>
    <row r="98" spans="24:64" x14ac:dyDescent="0.3">
      <c r="X98"/>
      <c r="Y98"/>
      <c r="Z98" s="9"/>
      <c r="AA98" s="9"/>
      <c r="AB98" s="426"/>
      <c r="AC98" s="426"/>
      <c r="AD98" s="426"/>
      <c r="AE98" s="426"/>
      <c r="AF98" s="426"/>
      <c r="AG98" s="426"/>
      <c r="AH98" s="426"/>
      <c r="AI98" s="441"/>
      <c r="AJ98" s="441"/>
      <c r="AK98" s="441"/>
      <c r="AL98" s="441"/>
      <c r="AM98" s="441"/>
      <c r="AN98" s="441"/>
      <c r="AO98" s="441"/>
      <c r="AP98" s="441"/>
      <c r="AQ98" s="441"/>
      <c r="AU98" s="9"/>
      <c r="AV98" s="9"/>
      <c r="AW98" s="441"/>
      <c r="AX98" s="237"/>
      <c r="AY98" s="237"/>
      <c r="AZ98" s="237"/>
      <c r="BA98" s="237"/>
      <c r="BB98" s="237"/>
      <c r="BC98" s="237"/>
      <c r="BD98" s="237"/>
      <c r="BE98" s="237"/>
      <c r="BF98" s="237"/>
      <c r="BG98" s="441"/>
      <c r="BH98" s="441"/>
      <c r="BI98" s="441"/>
      <c r="BJ98" s="441"/>
      <c r="BK98" s="441"/>
      <c r="BL98" s="441"/>
    </row>
    <row r="99" spans="24:64" x14ac:dyDescent="0.3">
      <c r="X99"/>
      <c r="Y99"/>
      <c r="Z99" s="9"/>
      <c r="AA99" s="9"/>
      <c r="AB99" s="426"/>
      <c r="AC99" s="426"/>
      <c r="AD99" s="426"/>
      <c r="AE99" s="426"/>
      <c r="AF99" s="426"/>
      <c r="AG99" s="426"/>
      <c r="AH99" s="426"/>
      <c r="AI99" s="441"/>
      <c r="AJ99" s="441"/>
      <c r="AK99" s="441"/>
      <c r="AL99" s="441"/>
      <c r="AM99" s="441"/>
      <c r="AN99" s="441"/>
      <c r="AO99" s="441"/>
      <c r="AP99" s="441"/>
      <c r="AQ99" s="441"/>
      <c r="AU99" s="9"/>
      <c r="AV99" s="9"/>
      <c r="AW99" s="441"/>
      <c r="AX99" s="237"/>
      <c r="AY99" s="237"/>
      <c r="AZ99" s="237"/>
      <c r="BA99" s="237"/>
      <c r="BB99" s="237"/>
      <c r="BC99" s="237"/>
      <c r="BD99" s="441"/>
      <c r="BE99" s="441"/>
      <c r="BF99" s="441"/>
      <c r="BG99" s="441"/>
      <c r="BH99" s="441"/>
      <c r="BI99" s="441"/>
      <c r="BJ99" s="441"/>
      <c r="BK99" s="441"/>
      <c r="BL99" s="441"/>
    </row>
    <row r="100" spans="24:64" x14ac:dyDescent="0.3">
      <c r="X100"/>
      <c r="Y100"/>
      <c r="Z100" s="9"/>
      <c r="AA100" s="9"/>
      <c r="AB100" s="441"/>
      <c r="AC100" s="237"/>
      <c r="AD100" s="237"/>
      <c r="AE100" s="237"/>
      <c r="AF100" s="237"/>
      <c r="AG100" s="237"/>
      <c r="AH100" s="237"/>
      <c r="AI100" s="441"/>
      <c r="AJ100" s="441"/>
      <c r="AK100" s="441"/>
      <c r="AL100" s="441"/>
      <c r="AM100" s="441"/>
      <c r="AN100" s="441"/>
      <c r="AO100" s="441"/>
      <c r="AP100" s="441"/>
      <c r="AQ100" s="441"/>
      <c r="AU100" s="9"/>
      <c r="AV100" s="9"/>
      <c r="AW100" s="441"/>
      <c r="AX100" s="237"/>
      <c r="AY100" s="237"/>
      <c r="AZ100" s="237"/>
      <c r="BA100" s="237"/>
      <c r="BB100" s="237"/>
      <c r="BC100" s="237"/>
      <c r="BD100" s="237"/>
      <c r="BE100" s="237"/>
      <c r="BF100" s="237"/>
      <c r="BG100" s="237"/>
      <c r="BH100" s="237"/>
      <c r="BI100" s="441"/>
      <c r="BJ100" s="441"/>
      <c r="BK100" s="441"/>
      <c r="BL100" s="441"/>
    </row>
    <row r="101" spans="24:64" x14ac:dyDescent="0.3">
      <c r="X101"/>
      <c r="Y101"/>
      <c r="Z101" s="9"/>
      <c r="AA101" s="9"/>
      <c r="AB101" s="441"/>
      <c r="AC101" s="237"/>
      <c r="AD101" s="237"/>
      <c r="AE101" s="237"/>
      <c r="AF101" s="237"/>
      <c r="AG101" s="237"/>
      <c r="AH101" s="237"/>
      <c r="AI101" s="237"/>
      <c r="AJ101" s="237"/>
      <c r="AK101" s="237"/>
      <c r="AL101" s="237"/>
      <c r="AM101" s="237"/>
      <c r="AN101" s="237"/>
      <c r="AO101" s="237"/>
      <c r="AP101" s="237"/>
      <c r="AQ101" s="237"/>
      <c r="AU101" s="9"/>
      <c r="AV101" s="9"/>
      <c r="AW101" s="426"/>
      <c r="AX101" s="426"/>
      <c r="AY101" s="426"/>
      <c r="AZ101" s="426"/>
      <c r="BA101" s="426"/>
      <c r="BB101" s="426"/>
      <c r="BC101" s="426"/>
      <c r="BD101" s="441"/>
      <c r="BE101" s="441"/>
      <c r="BF101" s="441"/>
      <c r="BG101" s="441"/>
      <c r="BH101" s="441"/>
      <c r="BI101" s="441"/>
      <c r="BJ101" s="441"/>
      <c r="BK101" s="441"/>
      <c r="BL101" s="441"/>
    </row>
    <row r="102" spans="24:64" x14ac:dyDescent="0.3">
      <c r="X102"/>
      <c r="Y102"/>
      <c r="Z102" s="9"/>
      <c r="AA102" s="9"/>
      <c r="AB102" s="441"/>
      <c r="AC102" s="237"/>
      <c r="AD102" s="237"/>
      <c r="AE102" s="237"/>
      <c r="AF102" s="237"/>
      <c r="AG102" s="441"/>
      <c r="AH102" s="441"/>
      <c r="AI102" s="441"/>
      <c r="AJ102" s="441"/>
      <c r="AK102" s="441"/>
      <c r="AL102" s="441"/>
      <c r="AM102" s="441"/>
      <c r="AN102" s="441"/>
      <c r="AO102" s="441"/>
      <c r="AP102" s="441"/>
      <c r="AQ102" s="441"/>
      <c r="AU102" s="9"/>
      <c r="AV102" s="9"/>
      <c r="AW102" s="426"/>
      <c r="AX102" s="426"/>
      <c r="AY102" s="426"/>
      <c r="AZ102" s="426"/>
      <c r="BA102" s="426"/>
      <c r="BB102" s="426"/>
      <c r="BC102" s="426"/>
      <c r="BD102" s="441"/>
      <c r="BE102" s="441"/>
      <c r="BF102" s="441"/>
      <c r="BG102" s="441"/>
      <c r="BH102" s="441"/>
      <c r="BI102" s="441"/>
      <c r="BJ102" s="441"/>
      <c r="BK102" s="441"/>
      <c r="BL102" s="441"/>
    </row>
    <row r="103" spans="24:64" x14ac:dyDescent="0.3">
      <c r="X103"/>
      <c r="Y103"/>
      <c r="Z103" s="9"/>
      <c r="AA103" s="9"/>
      <c r="AB103" s="441"/>
      <c r="AC103" s="237"/>
      <c r="AD103" s="237"/>
      <c r="AE103" s="237"/>
      <c r="AF103" s="237"/>
      <c r="AG103" s="237"/>
      <c r="AH103" s="237"/>
      <c r="AI103" s="237"/>
      <c r="AJ103" s="237"/>
      <c r="AK103" s="441"/>
      <c r="AL103" s="441"/>
      <c r="AM103" s="441"/>
      <c r="AN103" s="441"/>
      <c r="AO103" s="441"/>
      <c r="AP103" s="441"/>
      <c r="AQ103" s="441"/>
      <c r="AU103" s="9"/>
      <c r="AV103" s="9"/>
      <c r="AW103" s="426"/>
      <c r="AX103" s="426"/>
      <c r="AY103" s="426"/>
      <c r="AZ103" s="426"/>
      <c r="BA103" s="426"/>
      <c r="BB103" s="426"/>
      <c r="BC103" s="426"/>
      <c r="BD103" s="441"/>
      <c r="BE103" s="441"/>
      <c r="BF103" s="441"/>
      <c r="BG103" s="441"/>
      <c r="BH103" s="441"/>
      <c r="BI103" s="441"/>
      <c r="BJ103" s="441"/>
      <c r="BK103" s="441"/>
      <c r="BL103" s="441"/>
    </row>
    <row r="104" spans="24:64" x14ac:dyDescent="0.3">
      <c r="X104"/>
      <c r="Y104"/>
      <c r="Z104" s="9"/>
      <c r="AA104" s="9"/>
      <c r="AB104" s="441"/>
      <c r="AC104" s="237"/>
      <c r="AD104" s="237"/>
      <c r="AE104" s="237"/>
      <c r="AF104" s="237"/>
      <c r="AG104" s="237"/>
      <c r="AH104" s="237"/>
      <c r="AI104" s="237"/>
      <c r="AJ104" s="237"/>
      <c r="AK104" s="10"/>
      <c r="AL104" s="10"/>
      <c r="AM104" s="441"/>
      <c r="AN104" s="237"/>
      <c r="AO104" s="237"/>
      <c r="AP104" s="237"/>
      <c r="AQ104" s="237"/>
      <c r="AU104" s="9"/>
      <c r="AV104" s="9"/>
      <c r="AW104" s="426"/>
      <c r="AX104" s="426"/>
      <c r="AY104" s="426"/>
      <c r="AZ104" s="426"/>
      <c r="BA104" s="426"/>
      <c r="BB104" s="426"/>
      <c r="BC104" s="426"/>
      <c r="BD104" s="441"/>
      <c r="BE104" s="441"/>
      <c r="BF104" s="441"/>
      <c r="BG104" s="441"/>
      <c r="BH104" s="441"/>
      <c r="BI104" s="441"/>
      <c r="BJ104" s="441"/>
      <c r="BK104" s="441"/>
      <c r="BL104" s="441"/>
    </row>
    <row r="105" spans="24:64" x14ac:dyDescent="0.3">
      <c r="X105"/>
      <c r="Y105"/>
      <c r="Z105" s="9"/>
      <c r="AA105" s="9"/>
      <c r="AB105" s="441"/>
      <c r="AC105" s="237"/>
      <c r="AD105" s="237"/>
      <c r="AE105" s="237"/>
      <c r="AF105" s="237"/>
      <c r="AG105" s="237"/>
      <c r="AH105" s="237"/>
      <c r="AI105" s="237"/>
      <c r="AJ105" s="237"/>
      <c r="AK105" s="441"/>
      <c r="AL105" s="441"/>
      <c r="AM105" s="441"/>
      <c r="AN105" s="441"/>
      <c r="AO105" s="441"/>
      <c r="AP105" s="441"/>
      <c r="AQ105" s="441"/>
      <c r="AU105" s="9"/>
      <c r="AV105" s="9"/>
      <c r="AW105" s="441"/>
      <c r="AX105" s="237"/>
      <c r="AY105" s="237"/>
      <c r="AZ105" s="237"/>
      <c r="BA105" s="237"/>
      <c r="BB105" s="237"/>
      <c r="BC105" s="237"/>
      <c r="BD105" s="441"/>
      <c r="BE105" s="441"/>
      <c r="BF105" s="441"/>
      <c r="BG105" s="441"/>
      <c r="BH105" s="441"/>
      <c r="BI105" s="441"/>
      <c r="BJ105" s="441"/>
      <c r="BK105" s="441"/>
      <c r="BL105" s="441"/>
    </row>
    <row r="106" spans="24:64" x14ac:dyDescent="0.3">
      <c r="X106"/>
      <c r="Y106"/>
      <c r="Z106" s="9"/>
      <c r="AA106" s="9"/>
      <c r="AB106" s="10"/>
      <c r="AC106" s="426"/>
      <c r="AD106" s="426"/>
      <c r="AE106" s="426"/>
      <c r="AF106" s="426"/>
      <c r="AG106" s="426"/>
      <c r="AH106" s="441"/>
      <c r="AI106" s="441"/>
      <c r="AJ106" s="441"/>
      <c r="AK106" s="441"/>
      <c r="AL106" s="441"/>
      <c r="AM106" s="441"/>
      <c r="AN106" s="441"/>
      <c r="AO106" s="441"/>
      <c r="AP106" s="441"/>
      <c r="AQ106" s="441"/>
      <c r="AU106" s="9"/>
      <c r="AV106" s="9"/>
      <c r="AW106" s="441"/>
      <c r="AX106" s="237"/>
      <c r="AY106" s="237"/>
      <c r="AZ106" s="237"/>
      <c r="BA106" s="237"/>
      <c r="BB106" s="237"/>
      <c r="BC106" s="237"/>
      <c r="BD106" s="237"/>
      <c r="BE106" s="237"/>
      <c r="BF106" s="237"/>
      <c r="BG106" s="237"/>
      <c r="BH106" s="237"/>
      <c r="BI106" s="237"/>
      <c r="BJ106" s="237"/>
      <c r="BK106" s="237"/>
      <c r="BL106" s="237"/>
    </row>
    <row r="107" spans="24:64" x14ac:dyDescent="0.3">
      <c r="X107"/>
      <c r="Y107"/>
      <c r="Z107" s="9"/>
      <c r="AA107" s="9"/>
      <c r="AB107" s="10"/>
      <c r="AC107" s="426"/>
      <c r="AD107" s="426"/>
      <c r="AE107" s="426"/>
      <c r="AF107" s="426"/>
      <c r="AG107" s="426"/>
      <c r="AH107" s="441"/>
      <c r="AI107" s="441"/>
      <c r="AJ107" s="441"/>
      <c r="AK107" s="441"/>
      <c r="AL107" s="441"/>
      <c r="AM107" s="441"/>
      <c r="AN107" s="441"/>
      <c r="AO107" s="441"/>
      <c r="AP107" s="441"/>
      <c r="AQ107" s="441"/>
      <c r="AU107" s="9"/>
      <c r="AV107" s="9"/>
      <c r="AW107" s="441"/>
      <c r="BF107" s="441"/>
      <c r="BG107" s="441"/>
      <c r="BH107" s="441"/>
      <c r="BI107" s="441"/>
      <c r="BJ107" s="441"/>
      <c r="BK107" s="441"/>
      <c r="BL107" s="441"/>
    </row>
    <row r="108" spans="24:64" x14ac:dyDescent="0.3">
      <c r="X108"/>
      <c r="Y108"/>
      <c r="Z108" s="9"/>
      <c r="AA108" s="9"/>
      <c r="AB108" s="10"/>
      <c r="AC108" s="426"/>
      <c r="AD108" s="426"/>
      <c r="AE108" s="426"/>
      <c r="AF108" s="426"/>
      <c r="AG108" s="426"/>
      <c r="AH108" s="441"/>
      <c r="AI108" s="441"/>
      <c r="AJ108" s="441"/>
      <c r="AK108" s="441"/>
      <c r="AL108" s="441"/>
      <c r="AM108" s="441"/>
      <c r="AN108" s="441"/>
      <c r="AO108" s="441"/>
      <c r="AP108" s="441"/>
      <c r="AQ108" s="441"/>
      <c r="AU108" s="9"/>
      <c r="AV108" s="9"/>
      <c r="AW108" s="441"/>
      <c r="AX108" s="237"/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7"/>
      <c r="BJ108" s="237"/>
      <c r="BK108" s="237"/>
      <c r="BL108" s="237"/>
    </row>
    <row r="109" spans="24:64" x14ac:dyDescent="0.3">
      <c r="X109"/>
      <c r="Y109"/>
      <c r="Z109" s="9"/>
      <c r="AA109" s="9"/>
      <c r="AB109" s="10"/>
      <c r="AC109" s="10"/>
      <c r="AD109" s="10"/>
      <c r="AE109" s="10"/>
      <c r="AF109" s="10"/>
      <c r="AG109" s="10"/>
      <c r="AH109" s="10"/>
      <c r="AI109" s="441"/>
      <c r="AJ109" s="441"/>
      <c r="AK109" s="441"/>
      <c r="AL109" s="441"/>
      <c r="AM109" s="441"/>
      <c r="AN109" s="441"/>
      <c r="AO109" s="441"/>
      <c r="AP109" s="441"/>
      <c r="AQ109" s="441"/>
      <c r="AU109" s="9"/>
      <c r="AV109" s="9"/>
      <c r="AW109" s="441"/>
      <c r="AX109" s="237"/>
      <c r="AY109" s="237"/>
      <c r="AZ109" s="237"/>
      <c r="BA109" s="237"/>
      <c r="BB109" s="441"/>
      <c r="BC109" s="441"/>
      <c r="BD109" s="441"/>
      <c r="BE109" s="441"/>
      <c r="BF109" s="441"/>
      <c r="BG109" s="441"/>
      <c r="BH109" s="441"/>
      <c r="BI109" s="441"/>
      <c r="BJ109" s="441"/>
      <c r="BK109" s="441"/>
      <c r="BL109" s="441"/>
    </row>
    <row r="110" spans="24:64" x14ac:dyDescent="0.3">
      <c r="X110"/>
      <c r="Y110"/>
      <c r="Z110" s="9"/>
      <c r="AA110" s="9"/>
      <c r="AB110" s="10"/>
      <c r="AC110" s="10"/>
      <c r="AD110" s="10"/>
      <c r="AE110" s="10"/>
      <c r="AF110" s="10"/>
      <c r="AG110" s="10"/>
      <c r="AH110" s="441"/>
      <c r="AI110" s="441"/>
      <c r="AJ110" s="441"/>
      <c r="AK110" s="441"/>
      <c r="AL110" s="441"/>
      <c r="AM110" s="441"/>
      <c r="AN110" s="441"/>
      <c r="AO110" s="441"/>
      <c r="AP110" s="441"/>
      <c r="AQ110" s="441"/>
      <c r="AU110" s="9"/>
      <c r="AV110" s="9"/>
      <c r="AW110" s="441"/>
      <c r="AX110" s="237"/>
      <c r="AY110" s="237"/>
      <c r="AZ110" s="237"/>
      <c r="BA110" s="237"/>
      <c r="BB110" s="237"/>
      <c r="BC110" s="237"/>
      <c r="BD110" s="237"/>
      <c r="BE110" s="237"/>
      <c r="BF110" s="441"/>
      <c r="BG110" s="441"/>
      <c r="BH110" s="441"/>
      <c r="BI110" s="441"/>
      <c r="BJ110" s="441"/>
      <c r="BK110" s="441"/>
      <c r="BL110" s="441"/>
    </row>
    <row r="111" spans="24:64" x14ac:dyDescent="0.3">
      <c r="X111"/>
      <c r="Y111"/>
      <c r="Z111" s="9"/>
      <c r="AA111" s="9"/>
      <c r="AB111" s="10"/>
      <c r="AC111" s="10"/>
      <c r="AD111" s="10"/>
      <c r="AE111" s="10"/>
      <c r="AF111" s="10"/>
      <c r="AG111" s="10"/>
      <c r="AH111" s="441"/>
      <c r="AI111" s="441"/>
      <c r="AJ111" s="441"/>
      <c r="AK111" s="441"/>
      <c r="AL111" s="441"/>
      <c r="AM111" s="441"/>
      <c r="AN111" s="441"/>
      <c r="AO111" s="441"/>
      <c r="AP111" s="441"/>
      <c r="AQ111" s="441"/>
      <c r="AU111" s="9"/>
      <c r="AV111" s="9"/>
      <c r="AW111" s="441"/>
      <c r="AX111" s="237"/>
      <c r="AY111" s="237"/>
      <c r="AZ111" s="237"/>
      <c r="BA111" s="237"/>
      <c r="BB111" s="237"/>
      <c r="BC111" s="237"/>
      <c r="BD111" s="237"/>
      <c r="BE111" s="237"/>
      <c r="BF111" s="10"/>
      <c r="BG111" s="10"/>
      <c r="BH111" s="441"/>
      <c r="BI111" s="237"/>
      <c r="BJ111" s="237"/>
      <c r="BK111" s="237"/>
      <c r="BL111" s="237"/>
    </row>
    <row r="112" spans="24:64" x14ac:dyDescent="0.3">
      <c r="X112"/>
      <c r="Y112"/>
      <c r="Z112" s="9"/>
      <c r="AA112" s="9"/>
      <c r="AB112" s="10"/>
      <c r="AC112" s="10"/>
      <c r="AD112" s="10"/>
      <c r="AE112" s="10"/>
      <c r="AF112" s="10"/>
      <c r="AG112" s="10"/>
      <c r="AH112" s="441"/>
      <c r="AI112" s="441"/>
      <c r="AJ112" s="441"/>
      <c r="AK112" s="441"/>
      <c r="AL112" s="441"/>
      <c r="AM112" s="441"/>
      <c r="AN112" s="441"/>
      <c r="AO112" s="441"/>
      <c r="AP112" s="441"/>
      <c r="AQ112" s="441"/>
      <c r="AU112" s="9"/>
      <c r="AV112" s="9"/>
      <c r="AW112" s="441"/>
      <c r="AX112" s="237"/>
      <c r="AY112" s="237"/>
      <c r="AZ112" s="237"/>
      <c r="BA112" s="237"/>
      <c r="BB112" s="237"/>
      <c r="BC112" s="237"/>
      <c r="BD112" s="237"/>
      <c r="BE112" s="237"/>
      <c r="BF112" s="441"/>
      <c r="BG112" s="441"/>
      <c r="BH112" s="441"/>
      <c r="BI112" s="441"/>
      <c r="BJ112" s="441"/>
      <c r="BK112" s="441"/>
      <c r="BL112" s="441"/>
    </row>
    <row r="113" spans="24:64" x14ac:dyDescent="0.3">
      <c r="X113"/>
      <c r="Y113"/>
      <c r="Z113" s="9"/>
      <c r="AA113" s="9"/>
      <c r="AB113" s="10"/>
      <c r="AC113" s="10"/>
      <c r="AD113" s="10"/>
      <c r="AE113" s="10"/>
      <c r="AF113" s="10"/>
      <c r="AG113" s="10"/>
      <c r="AH113" s="441"/>
      <c r="AI113" s="441"/>
      <c r="AJ113" s="441"/>
      <c r="AK113" s="441"/>
      <c r="AL113" s="441"/>
      <c r="AM113" s="441"/>
      <c r="AN113" s="441"/>
      <c r="AO113" s="441"/>
      <c r="AP113" s="441"/>
      <c r="AQ113" s="441"/>
      <c r="AU113" s="9"/>
      <c r="AV113" s="9"/>
      <c r="AW113" s="10"/>
      <c r="AX113" s="426"/>
      <c r="AY113" s="426"/>
      <c r="AZ113" s="426"/>
      <c r="BA113" s="426"/>
      <c r="BB113" s="426"/>
      <c r="BC113" s="441"/>
      <c r="BD113" s="441"/>
      <c r="BE113" s="441"/>
      <c r="BF113" s="441"/>
      <c r="BG113" s="441"/>
      <c r="BH113" s="441"/>
      <c r="BI113" s="441"/>
      <c r="BJ113" s="441"/>
      <c r="BK113" s="441"/>
      <c r="BL113" s="441"/>
    </row>
    <row r="114" spans="24:64" x14ac:dyDescent="0.3">
      <c r="X114"/>
      <c r="Y114"/>
      <c r="Z114" s="9"/>
      <c r="AA114" s="9"/>
      <c r="AB114" s="10"/>
      <c r="AC114" s="10"/>
      <c r="AD114" s="10"/>
      <c r="AE114" s="10"/>
      <c r="AF114" s="10"/>
      <c r="AG114" s="10"/>
      <c r="AH114" s="441"/>
      <c r="AI114" s="441"/>
      <c r="AJ114" s="441"/>
      <c r="AK114" s="441"/>
      <c r="AL114" s="441"/>
      <c r="AM114" s="441"/>
      <c r="AN114" s="441"/>
      <c r="AO114" s="441"/>
      <c r="AP114" s="441"/>
      <c r="AQ114" s="441"/>
      <c r="AU114" s="9"/>
      <c r="AV114" s="9"/>
      <c r="AW114" s="10"/>
      <c r="AX114" s="426"/>
      <c r="AY114" s="426"/>
      <c r="AZ114" s="426"/>
      <c r="BA114" s="426"/>
      <c r="BB114" s="426"/>
      <c r="BC114" s="441"/>
      <c r="BD114" s="441"/>
      <c r="BE114" s="441"/>
      <c r="BF114" s="441"/>
      <c r="BG114" s="441"/>
      <c r="BH114" s="441"/>
      <c r="BI114" s="441"/>
      <c r="BJ114" s="441"/>
      <c r="BK114" s="441"/>
      <c r="BL114" s="441"/>
    </row>
    <row r="115" spans="24:64" x14ac:dyDescent="0.3">
      <c r="X115"/>
      <c r="Y115"/>
      <c r="Z115" s="9"/>
      <c r="AA115" s="9"/>
      <c r="AB115" s="10"/>
      <c r="AC115" s="10"/>
      <c r="AD115" s="10"/>
      <c r="AE115" s="10"/>
      <c r="AF115" s="10"/>
      <c r="AG115" s="10"/>
      <c r="AH115" s="441"/>
      <c r="AI115" s="441"/>
      <c r="AJ115" s="441"/>
      <c r="AK115" s="441"/>
      <c r="AL115" s="441"/>
      <c r="AM115" s="441"/>
      <c r="AN115" s="441"/>
      <c r="AO115" s="441"/>
      <c r="AP115" s="441"/>
      <c r="AQ115" s="441"/>
      <c r="AU115" s="9"/>
      <c r="AV115" s="9"/>
      <c r="AW115" s="10"/>
      <c r="AX115" s="426"/>
      <c r="AY115" s="426"/>
      <c r="AZ115" s="426"/>
      <c r="BA115" s="426"/>
      <c r="BB115" s="426"/>
      <c r="BC115" s="441"/>
      <c r="BD115" s="441"/>
      <c r="BE115" s="441"/>
      <c r="BF115" s="441"/>
      <c r="BG115" s="441"/>
      <c r="BH115" s="441"/>
      <c r="BI115" s="441"/>
      <c r="BJ115" s="441"/>
      <c r="BK115" s="441"/>
      <c r="BL115" s="441"/>
    </row>
    <row r="116" spans="24:64" x14ac:dyDescent="0.3">
      <c r="X116"/>
      <c r="Y116"/>
      <c r="Z116" s="9"/>
      <c r="AA116" s="9"/>
      <c r="AB116" s="10"/>
      <c r="AC116" s="10"/>
      <c r="AD116" s="10"/>
      <c r="AE116" s="10"/>
      <c r="AF116" s="10"/>
      <c r="AG116" s="10"/>
      <c r="AH116" s="441"/>
      <c r="AI116" s="441"/>
      <c r="AJ116" s="441"/>
      <c r="AK116" s="441"/>
      <c r="AL116" s="441"/>
      <c r="AM116" s="441"/>
      <c r="AN116" s="441"/>
      <c r="AO116" s="441"/>
      <c r="AP116" s="441"/>
      <c r="AQ116" s="441"/>
      <c r="AU116" s="9"/>
      <c r="AV116" s="9"/>
      <c r="AW116" s="10"/>
      <c r="AX116" s="10"/>
      <c r="AY116" s="10"/>
      <c r="AZ116" s="10"/>
      <c r="BA116" s="10"/>
      <c r="BB116" s="10"/>
      <c r="BC116" s="10"/>
      <c r="BD116" s="441"/>
      <c r="BE116" s="441"/>
      <c r="BF116" s="441"/>
      <c r="BG116" s="441"/>
      <c r="BH116" s="441"/>
      <c r="BI116" s="441"/>
      <c r="BJ116" s="441"/>
      <c r="BK116" s="441"/>
      <c r="BL116" s="441"/>
    </row>
    <row r="117" spans="24:64" x14ac:dyDescent="0.3">
      <c r="X117"/>
      <c r="Y117"/>
      <c r="Z117" s="9"/>
      <c r="AA117" s="9"/>
      <c r="AB117" s="10"/>
      <c r="AC117" s="10"/>
      <c r="AD117" s="10"/>
      <c r="AE117" s="10"/>
      <c r="AF117" s="10"/>
      <c r="AG117" s="10"/>
      <c r="AH117" s="10"/>
      <c r="AI117" s="10"/>
      <c r="AJ117" s="10"/>
      <c r="AK117" s="441"/>
      <c r="AL117" s="441"/>
      <c r="AM117" s="441"/>
      <c r="AN117" s="441"/>
      <c r="AO117" s="441"/>
      <c r="AP117" s="441"/>
      <c r="AQ117" s="441"/>
      <c r="AU117" s="9"/>
      <c r="AV117" s="9"/>
      <c r="AW117" s="10"/>
      <c r="AX117" s="10"/>
      <c r="AY117" s="10"/>
      <c r="AZ117" s="10"/>
      <c r="BA117" s="10"/>
      <c r="BB117" s="10"/>
      <c r="BC117" s="441"/>
      <c r="BD117" s="441"/>
      <c r="BE117" s="441"/>
      <c r="BF117" s="441"/>
      <c r="BG117" s="441"/>
      <c r="BH117" s="441"/>
      <c r="BI117" s="441"/>
      <c r="BJ117" s="441"/>
      <c r="BK117" s="441"/>
      <c r="BL117" s="441"/>
    </row>
    <row r="118" spans="24:64" x14ac:dyDescent="0.3">
      <c r="X118"/>
      <c r="Y118"/>
      <c r="Z118" s="9"/>
      <c r="AA118" s="9"/>
      <c r="AB118" s="10"/>
      <c r="AC118" s="10"/>
      <c r="AD118" s="10"/>
      <c r="AE118" s="10"/>
      <c r="AF118" s="10"/>
      <c r="AG118" s="10"/>
      <c r="AH118" s="10"/>
      <c r="AI118" s="10"/>
      <c r="AJ118" s="10"/>
      <c r="AK118" s="441"/>
      <c r="AL118" s="441"/>
      <c r="AM118" s="441"/>
      <c r="AN118" s="441"/>
      <c r="AO118" s="441"/>
      <c r="AP118" s="441"/>
      <c r="AQ118" s="441"/>
      <c r="AU118" s="9"/>
      <c r="AV118" s="9"/>
      <c r="AW118" s="10"/>
      <c r="AX118" s="10"/>
      <c r="AY118" s="10"/>
      <c r="AZ118" s="10"/>
      <c r="BA118" s="10"/>
      <c r="BB118" s="10"/>
      <c r="BC118" s="441"/>
      <c r="BD118" s="441"/>
      <c r="BE118" s="441"/>
      <c r="BF118" s="441"/>
      <c r="BG118" s="441"/>
      <c r="BH118" s="441"/>
      <c r="BI118" s="441"/>
      <c r="BJ118" s="441"/>
      <c r="BK118" s="441"/>
      <c r="BL118" s="441"/>
    </row>
    <row r="119" spans="24:64" x14ac:dyDescent="0.3">
      <c r="X119"/>
      <c r="Y119"/>
      <c r="Z119" s="9"/>
      <c r="AA119" s="9"/>
      <c r="AB119" s="10"/>
      <c r="AC119" s="10"/>
      <c r="AD119" s="10"/>
      <c r="AE119" s="10"/>
      <c r="AF119" s="10"/>
      <c r="AG119" s="10"/>
      <c r="AH119" s="10"/>
      <c r="AI119" s="10"/>
      <c r="AJ119" s="10"/>
      <c r="AK119" s="441"/>
      <c r="AL119" s="441"/>
      <c r="AM119" s="441"/>
      <c r="AN119" s="441"/>
      <c r="AO119" s="441"/>
      <c r="AP119" s="441"/>
      <c r="AQ119" s="441"/>
      <c r="AU119" s="9"/>
      <c r="AV119" s="9"/>
      <c r="AW119" s="10"/>
      <c r="AX119" s="10"/>
      <c r="AY119" s="10"/>
      <c r="AZ119" s="10"/>
      <c r="BA119" s="10"/>
      <c r="BB119" s="10"/>
      <c r="BC119" s="441"/>
      <c r="BD119" s="441"/>
      <c r="BE119" s="441"/>
      <c r="BF119" s="441"/>
      <c r="BG119" s="441"/>
      <c r="BH119" s="441"/>
      <c r="BI119" s="441"/>
      <c r="BJ119" s="441"/>
      <c r="BK119" s="441"/>
      <c r="BL119" s="441"/>
    </row>
    <row r="120" spans="24:64" x14ac:dyDescent="0.3">
      <c r="X120"/>
      <c r="Y120"/>
      <c r="Z120" s="9"/>
      <c r="AA120" s="9"/>
      <c r="AB120" s="10"/>
      <c r="AC120" s="441"/>
      <c r="AD120" s="10"/>
      <c r="AE120" s="10"/>
      <c r="AF120" s="10"/>
      <c r="AG120" s="441"/>
      <c r="AH120" s="441"/>
      <c r="AI120" s="441"/>
      <c r="AJ120" s="441"/>
      <c r="AK120" s="441"/>
      <c r="AL120" s="441"/>
      <c r="AM120" s="441"/>
      <c r="AN120" s="441"/>
      <c r="AO120" s="441"/>
      <c r="AP120" s="441"/>
      <c r="AQ120" s="441"/>
      <c r="AU120" s="9"/>
      <c r="AV120" s="9"/>
      <c r="AW120" s="10"/>
      <c r="AX120" s="10"/>
      <c r="AY120" s="10"/>
      <c r="AZ120" s="10"/>
      <c r="BA120" s="10"/>
      <c r="BB120" s="10"/>
      <c r="BC120" s="441"/>
      <c r="BD120" s="441"/>
      <c r="BE120" s="441"/>
      <c r="BF120" s="441"/>
      <c r="BG120" s="441"/>
      <c r="BH120" s="441"/>
      <c r="BI120" s="441"/>
      <c r="BJ120" s="441"/>
      <c r="BK120" s="441"/>
      <c r="BL120" s="441"/>
    </row>
    <row r="121" spans="24:64" x14ac:dyDescent="0.3">
      <c r="X121"/>
      <c r="Y121"/>
      <c r="Z121" s="9"/>
      <c r="AA121" s="9"/>
      <c r="AB121" s="10"/>
      <c r="AC121" s="441"/>
      <c r="AD121" s="10"/>
      <c r="AE121" s="10"/>
      <c r="AF121" s="10"/>
      <c r="AG121" s="456"/>
      <c r="AH121" s="441"/>
      <c r="AI121" s="441"/>
      <c r="AJ121" s="441"/>
      <c r="AK121" s="441"/>
      <c r="AL121" s="441"/>
      <c r="AM121" s="441"/>
      <c r="AN121" s="441"/>
      <c r="AO121" s="441"/>
      <c r="AP121" s="441"/>
      <c r="AQ121" s="441"/>
      <c r="AU121" s="9"/>
      <c r="AV121" s="9"/>
      <c r="AW121" s="10"/>
      <c r="AX121" s="10"/>
      <c r="AY121" s="10"/>
      <c r="AZ121" s="10"/>
      <c r="BA121" s="10"/>
      <c r="BB121" s="10"/>
      <c r="BC121" s="441"/>
      <c r="BD121" s="441"/>
      <c r="BE121" s="441"/>
      <c r="BF121" s="441"/>
      <c r="BG121" s="441"/>
      <c r="BH121" s="441"/>
      <c r="BI121" s="441"/>
      <c r="BJ121" s="441"/>
      <c r="BK121" s="441"/>
      <c r="BL121" s="441"/>
    </row>
    <row r="122" spans="24:64" x14ac:dyDescent="0.3">
      <c r="X122"/>
      <c r="Y122"/>
      <c r="Z122" s="9"/>
      <c r="AA122" s="9"/>
      <c r="AB122" s="10"/>
      <c r="AC122" s="441"/>
      <c r="AD122" s="10"/>
      <c r="AE122" s="10"/>
      <c r="AF122" s="10"/>
      <c r="AG122" s="456"/>
      <c r="AH122" s="441"/>
      <c r="AI122" s="441"/>
      <c r="AJ122" s="441"/>
      <c r="AK122" s="441"/>
      <c r="AL122" s="441"/>
      <c r="AM122" s="441"/>
      <c r="AN122" s="441"/>
      <c r="AO122" s="441"/>
      <c r="AP122" s="441"/>
      <c r="AQ122" s="441"/>
      <c r="AU122" s="9"/>
      <c r="AV122" s="9"/>
      <c r="AW122" s="10"/>
      <c r="AX122" s="10"/>
      <c r="AY122" s="10"/>
      <c r="AZ122" s="10"/>
      <c r="BA122" s="10"/>
      <c r="BB122" s="10"/>
      <c r="BC122" s="441"/>
      <c r="BD122" s="441"/>
      <c r="BE122" s="441"/>
      <c r="BF122" s="441"/>
      <c r="BG122" s="441"/>
      <c r="BH122" s="441"/>
      <c r="BI122" s="441"/>
      <c r="BJ122" s="441"/>
      <c r="BK122" s="441"/>
      <c r="BL122" s="441"/>
    </row>
  </sheetData>
  <sortState ref="U18:V74">
    <sortCondition ref="U18:U74"/>
  </sortState>
  <dataConsolidate topLabels="1"/>
  <mergeCells count="1">
    <mergeCell ref="F2:J2"/>
  </mergeCells>
  <conditionalFormatting sqref="G4:G59 B3:B68 A60:A68">
    <cfRule type="containsBlanks" dxfId="420" priority="26">
      <formula>LEN(TRIM(A3))=0</formula>
    </cfRule>
  </conditionalFormatting>
  <conditionalFormatting sqref="G4:H59">
    <cfRule type="expression" dxfId="419" priority="14">
      <formula>$H4="X"</formula>
    </cfRule>
  </conditionalFormatting>
  <conditionalFormatting sqref="B3:C68">
    <cfRule type="expression" dxfId="418" priority="27">
      <formula>$C3="X"</formula>
    </cfRule>
  </conditionalFormatting>
  <conditionalFormatting sqref="B71 I71">
    <cfRule type="cellIs" dxfId="417" priority="10" operator="equal">
      <formula>0</formula>
    </cfRule>
    <cfRule type="cellIs" dxfId="416" priority="11" operator="lessThan">
      <formula>0</formula>
    </cfRule>
  </conditionalFormatting>
  <conditionalFormatting sqref="I69">
    <cfRule type="cellIs" dxfId="415" priority="4" operator="greaterThan">
      <formula>$I$70</formula>
    </cfRule>
    <cfRule type="cellIs" dxfId="414" priority="5" operator="lessThan">
      <formula>$I$70</formula>
    </cfRule>
  </conditionalFormatting>
  <conditionalFormatting sqref="B69">
    <cfRule type="cellIs" dxfId="413" priority="2" operator="lessThan">
      <formula>$B$70</formula>
    </cfRule>
    <cfRule type="cellIs" dxfId="412" priority="3" operator="greaterThan">
      <formula>$B$70</formula>
    </cfRule>
  </conditionalFormatting>
  <conditionalFormatting sqref="C60:E68">
    <cfRule type="expression" dxfId="411" priority="1">
      <formula>$A60=0</formula>
    </cfRule>
  </conditionalFormatting>
  <dataValidations count="4">
    <dataValidation type="list" allowBlank="1" showInputMessage="1" showErrorMessage="1" sqref="G4:G59 B3:B68">
      <formula1>$R$39:$R$55</formula1>
    </dataValidation>
    <dataValidation type="list" allowBlank="1" showInputMessage="1" showErrorMessage="1" sqref="F4:F59">
      <formula1>SEZNAM2</formula1>
    </dataValidation>
    <dataValidation type="list" allowBlank="1" showInputMessage="1" showErrorMessage="1" sqref="A3:A68">
      <formula1>SEZNAM1</formula1>
    </dataValidation>
    <dataValidation allowBlank="1" showDropDown="1" showInputMessage="1" showErrorMessage="1" sqref="D3:E68"/>
  </dataValidations>
  <pageMargins left="0.51181102362204722" right="0.51181102362204722" top="0.19685039370078741" bottom="0.39370078740157483" header="0.31496062992125984" footer="0.31496062992125984"/>
  <pageSetup paperSize="9" scale="80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8">
    <tabColor rgb="FF92D050"/>
  </sheetPr>
  <dimension ref="A1:AV109"/>
  <sheetViews>
    <sheetView zoomScaleNormal="100" workbookViewId="0">
      <selection activeCell="G4" sqref="G4"/>
    </sheetView>
  </sheetViews>
  <sheetFormatPr defaultRowHeight="14.4" x14ac:dyDescent="0.3"/>
  <cols>
    <col min="1" max="1" width="21.44140625" customWidth="1"/>
    <col min="2" max="2" width="6.33203125" customWidth="1"/>
    <col min="3" max="3" width="11.109375" customWidth="1"/>
    <col min="4" max="5" width="5.109375" customWidth="1"/>
    <col min="6" max="6" width="3.88671875" style="460" customWidth="1"/>
    <col min="7" max="7" width="19.5546875" customWidth="1"/>
    <col min="8" max="8" width="7" customWidth="1"/>
    <col min="9" max="9" width="12.21875" customWidth="1"/>
    <col min="10" max="11" width="4.6640625" customWidth="1"/>
    <col min="12" max="12" width="4.33203125" customWidth="1"/>
    <col min="13" max="13" width="4.44140625" customWidth="1"/>
    <col min="14" max="14" width="12.33203125" customWidth="1"/>
    <col min="15" max="15" width="10.6640625" customWidth="1"/>
    <col min="16" max="16" width="8.109375" customWidth="1"/>
    <col min="17" max="17" width="7.33203125" customWidth="1"/>
    <col min="18" max="18" width="6.6640625" customWidth="1"/>
    <col min="19" max="19" width="8.109375" customWidth="1"/>
    <col min="20" max="20" width="28" customWidth="1"/>
    <col min="21" max="21" width="22.88671875" customWidth="1"/>
    <col min="22" max="22" width="9.5546875" customWidth="1"/>
    <col min="23" max="23" width="10.6640625" customWidth="1"/>
    <col min="24" max="24" width="11.88671875" hidden="1" customWidth="1"/>
    <col min="25" max="25" width="11.6640625" hidden="1" customWidth="1"/>
    <col min="26" max="26" width="12.88671875" customWidth="1"/>
    <col min="27" max="27" width="5.21875" hidden="1" customWidth="1"/>
    <col min="28" max="30" width="9.6640625" hidden="1" customWidth="1"/>
    <col min="31" max="31" width="6" hidden="1" customWidth="1"/>
    <col min="32" max="34" width="9.6640625" hidden="1" customWidth="1"/>
    <col min="35" max="35" width="5.6640625" customWidth="1"/>
    <col min="36" max="36" width="14.44140625" bestFit="1" customWidth="1"/>
    <col min="37" max="37" width="9.109375" customWidth="1"/>
    <col min="38" max="38" width="19.5546875" style="29" customWidth="1"/>
    <col min="39" max="40" width="6.44140625" style="29" customWidth="1"/>
    <col min="41" max="42" width="5.5546875" style="29" customWidth="1"/>
    <col min="43" max="43" width="5.44140625" style="29" customWidth="1"/>
    <col min="44" max="44" width="5.44140625" customWidth="1"/>
    <col min="45" max="45" width="5" customWidth="1"/>
    <col min="46" max="47" width="6.109375" customWidth="1"/>
    <col min="48" max="50" width="4.33203125" customWidth="1"/>
    <col min="51" max="51" width="9.109375" customWidth="1"/>
  </cols>
  <sheetData>
    <row r="1" spans="1:48" ht="21" customHeight="1" thickBot="1" x14ac:dyDescent="0.55000000000000004">
      <c r="A1" s="771" t="s">
        <v>2488</v>
      </c>
      <c r="B1" s="755"/>
      <c r="C1" s="755"/>
      <c r="D1" s="755"/>
      <c r="E1" s="755"/>
      <c r="F1" s="806"/>
      <c r="G1" s="755"/>
      <c r="H1" s="755"/>
      <c r="I1" s="755" t="s">
        <v>51</v>
      </c>
      <c r="J1" s="755" t="s">
        <v>232</v>
      </c>
      <c r="K1" s="755"/>
      <c r="L1" s="758"/>
      <c r="N1" s="42" t="s">
        <v>161</v>
      </c>
      <c r="U1" s="43" t="s">
        <v>1364</v>
      </c>
      <c r="AL1"/>
      <c r="AN1" s="29" t="s">
        <v>5390</v>
      </c>
    </row>
    <row r="2" spans="1:48" ht="15" customHeight="1" x14ac:dyDescent="0.3">
      <c r="A2" s="807" t="s">
        <v>1201</v>
      </c>
      <c r="B2" s="359" t="s">
        <v>197</v>
      </c>
      <c r="C2" s="359" t="s">
        <v>46</v>
      </c>
      <c r="D2" s="359" t="s">
        <v>1196</v>
      </c>
      <c r="E2" s="359" t="s">
        <v>400</v>
      </c>
      <c r="F2" s="359" t="s">
        <v>708</v>
      </c>
      <c r="G2" s="915" t="s">
        <v>1201</v>
      </c>
      <c r="H2" s="359" t="s">
        <v>197</v>
      </c>
      <c r="I2" s="359" t="s">
        <v>46</v>
      </c>
      <c r="J2" s="359" t="s">
        <v>1196</v>
      </c>
      <c r="K2" s="359" t="s">
        <v>400</v>
      </c>
      <c r="L2" s="808" t="s">
        <v>708</v>
      </c>
      <c r="N2" s="44" t="s">
        <v>1196</v>
      </c>
      <c r="O2" s="485" t="s">
        <v>164</v>
      </c>
      <c r="P2" s="485" t="s">
        <v>165</v>
      </c>
      <c r="Q2" s="45" t="s">
        <v>166</v>
      </c>
      <c r="U2" s="46" t="s">
        <v>45</v>
      </c>
      <c r="V2" s="46" t="s">
        <v>1</v>
      </c>
      <c r="W2" s="46" t="s">
        <v>167</v>
      </c>
      <c r="X2" s="65" t="s">
        <v>1613</v>
      </c>
      <c r="Y2" s="65" t="s">
        <v>1615</v>
      </c>
      <c r="Z2" s="65" t="s">
        <v>554</v>
      </c>
      <c r="AA2" s="1363" t="s">
        <v>1614</v>
      </c>
      <c r="AB2" s="1363"/>
      <c r="AC2" s="1363"/>
      <c r="AD2" s="1363"/>
      <c r="AE2" s="1363"/>
      <c r="AF2" s="1363"/>
      <c r="AG2" s="1363"/>
      <c r="AH2" s="1363"/>
      <c r="AI2" s="445" t="s">
        <v>3</v>
      </c>
      <c r="AJ2" s="1031" t="s">
        <v>4960</v>
      </c>
      <c r="AL2"/>
      <c r="AN2" s="29" t="s">
        <v>5387</v>
      </c>
      <c r="AQ2" s="533" t="str">
        <f>IF(OR(KV_1="75",KV_2="75",KV_3="75",KV_1="69",KV_2="69",KV_3="69"),"A","N")</f>
        <v>N</v>
      </c>
      <c r="AS2" s="29" t="s">
        <v>2907</v>
      </c>
      <c r="AT2" s="29"/>
      <c r="AU2" s="29"/>
      <c r="AV2" s="533" t="str">
        <f>IF(OR(KV_1="131",KV_2="131",KV_3="131"),"A","N")</f>
        <v>N</v>
      </c>
    </row>
    <row r="3" spans="1:48" ht="15" customHeight="1" x14ac:dyDescent="0.3">
      <c r="A3" s="1366" t="s">
        <v>5450</v>
      </c>
      <c r="B3" s="1366"/>
      <c r="C3" s="1366"/>
      <c r="D3" s="1366"/>
      <c r="E3" s="1366"/>
      <c r="F3" s="1367"/>
      <c r="G3" s="1366" t="s">
        <v>5453</v>
      </c>
      <c r="H3" s="1366"/>
      <c r="I3" s="1366"/>
      <c r="J3" s="1366"/>
      <c r="K3" s="1366"/>
      <c r="L3" s="1373"/>
      <c r="N3" s="486" t="str">
        <f>"=SIL"</f>
        <v>=SIL</v>
      </c>
      <c r="O3" s="831">
        <f>ROUND(sSil*Úr*IF($J$32="Ano",1.5,1),0)+K32+H32</f>
        <v>28</v>
      </c>
      <c r="P3" s="425">
        <f>DSUM('4-Dovednosti'!$D$2:$E$42,$E$2,N2:N3)+DSUM('4-Dovednosti'!$J$2:$K$28,$E$2,N2:N3)</f>
        <v>0</v>
      </c>
      <c r="Q3" s="487">
        <f>O3-P3</f>
        <v>28</v>
      </c>
      <c r="U3" s="1106" t="s">
        <v>1460</v>
      </c>
      <c r="V3" s="54" t="str">
        <f>HLOOKUP(Max_DOV!$B$5,Max_DOV!$A$5:$AH$58,MATCH($U3,Max_DOV!$A$5:$A$58,0),FALSE)</f>
        <v>OBR</v>
      </c>
      <c r="W3" s="315" t="str">
        <f>IF(OR('2-Vzhled a charakter'!$B$2="Khajit",'2-Vzhled a charakter'!$B$2="Khajitka",'2-Vzhled a charakter'!$B$2="Tygrodlak",'2-Vzhled a charakter'!$B$2="Tygrodlačice",'2-Vzhled a charakter'!$B$2="Nagga",'2-Vzhled a charakter'!$B$2="Naggin"),"Snížená","Běžná")</f>
        <v>Běžná</v>
      </c>
      <c r="X3" s="437" t="str">
        <f>HLOOKUP('3-Schopnosti'!$X$3,Max_DOV!$A$5:$AH$58,MATCH($U3,Max_DOV!$A$5:$A$58,0),FALSE)</f>
        <v>Mistrně</v>
      </c>
      <c r="Y3" s="437" t="str">
        <f>IFERROR(HLOOKUP('3-Schopnosti'!$AS$3,Max_DOV!$A$5:$AH$58,MATCH($U3,Max_DOV!$A$5:$A$58,0),FALSE),"Vůbec")</f>
        <v>Vůbec</v>
      </c>
      <c r="Z3" s="438" t="str">
        <f t="shared" ref="Z3" si="0">IF(OR(X3="Mistrně",Y3="Mistrně"),"Mistrně",IF(OR(X3="Dokonale",Y3="Dokonale"),"Dokonale",IF(OR(X3="Velmi dobře",Y3="Velmi dobře"),"Velmi dobře",IF(OR(X3="Dobře",Y3="Dobře"),"Dobře","Vůbec"))))</f>
        <v>Mistrně</v>
      </c>
      <c r="AA3" s="133" t="s">
        <v>115</v>
      </c>
      <c r="AB3" s="133" t="s">
        <v>4892</v>
      </c>
      <c r="AC3" s="133" t="s">
        <v>83</v>
      </c>
      <c r="AD3" s="133" t="s">
        <v>84</v>
      </c>
      <c r="AE3" s="133" t="s">
        <v>85</v>
      </c>
      <c r="AF3" s="133" t="str">
        <f t="shared" ref="AF3" si="1">IF(OR($Z3="Dokonale",$Z3="Mistrně",$Z3="Velmi dobře"),"Velmi dobře","Vůbec")</f>
        <v>Velmi dobře</v>
      </c>
      <c r="AG3" s="133" t="str">
        <f t="shared" ref="AG3" si="2">IF(OR($X3="Dokonale",$Y3="Dokonale",$X3="Mistrně",$Y3="Mistrně"),"Dokonale","Vůbec")</f>
        <v>Dokonale</v>
      </c>
      <c r="AH3" s="133" t="str">
        <f t="shared" ref="AH3" si="3">IF(OR($X3="Mistrně",$Y3="Mistrně"),"Mistrně","Vůbec")</f>
        <v>Mistrně</v>
      </c>
      <c r="AI3" s="164">
        <f>IF(OR('3-Schopnosti'!$X$3="Lupič",'3-Schopnosti'!$AS$4="Lupič",'3-Schopnosti'!$X$3="Šermíř",'3-Schopnosti'!$AS$4="Šermíř",'3-Schopnosti'!$X$3="Tulák"),1,0)+AJ3</f>
        <v>1</v>
      </c>
      <c r="AJ3" s="1030"/>
      <c r="AL3"/>
      <c r="AN3" s="29" t="s">
        <v>2902</v>
      </c>
      <c r="AQ3" s="533" t="str">
        <f>IF(OR(KV_1="115",KV_2="115",KV_3="115"),"A","N")</f>
        <v>N</v>
      </c>
      <c r="AS3" s="29" t="s">
        <v>640</v>
      </c>
      <c r="AT3" s="29"/>
      <c r="AU3" s="29"/>
      <c r="AV3" s="533" t="str">
        <f>IF(OR(KV_1="55",KV_2="55",KV_3="55"),"A","N")</f>
        <v>N</v>
      </c>
    </row>
    <row r="4" spans="1:48" ht="15" customHeight="1" x14ac:dyDescent="0.3">
      <c r="A4" s="493" t="s">
        <v>2480</v>
      </c>
      <c r="B4" s="229" t="str">
        <f>IFERROR(HLOOKUP('4-Dovednosti'!$W$2,'4-Dovednosti'!$U$2:$W$57,MATCH($A4,'4-Dovednosti'!$U$2:$U$57,0),FALSE)," ")</f>
        <v>Běžná</v>
      </c>
      <c r="C4" s="230" t="s">
        <v>115</v>
      </c>
      <c r="D4" s="920" t="str">
        <f>IFERROR(HLOOKUP('4-Dovednosti'!$V$2,'4-Dovednosti'!$U$2:$W$57,MATCH(A4,'4-Dovednosti'!$U$2:$U$57,0),FALSE)," ")</f>
        <v>SIL</v>
      </c>
      <c r="E4" s="229">
        <f t="shared" ref="E4:E12" si="4">IFERROR(HLOOKUP($B4,$N$28:$R$36,MATCH($C4,$N$28:$N$36,0),FALSE)," ")</f>
        <v>0</v>
      </c>
      <c r="F4" s="229">
        <f>IFERROR(HLOOKUP($O$28,$N$28:$R$36,MATCH($C4,$N$28:$N$36,0),FALSE)+AI6," ")</f>
        <v>-5</v>
      </c>
      <c r="G4" s="493" t="s">
        <v>5439</v>
      </c>
      <c r="H4" s="229" t="str">
        <f>IFERROR(HLOOKUP('4-Dovednosti'!$W$2,'4-Dovednosti'!$U$2:$W$57,MATCH($G4,'4-Dovednosti'!$U$2:$U$57,0),FALSE)," ")</f>
        <v>Běžná</v>
      </c>
      <c r="I4" s="230" t="s">
        <v>115</v>
      </c>
      <c r="J4" s="814" t="str">
        <f>IFERROR(HLOOKUP('4-Dovednosti'!$V$2,'4-Dovednosti'!$U$2:$W$57,MATCH(G4,'4-Dovednosti'!$U$2:$U$57,0),FALSE)," ")</f>
        <v>ZRČ</v>
      </c>
      <c r="K4" s="229">
        <f>IFERROR(HLOOKUP($H4,$N$28:$R$36,MATCH($I4,$N$28:$N$36,0),FALSE)," ")</f>
        <v>0</v>
      </c>
      <c r="L4" s="1093">
        <f>IFERROR(HLOOKUP($O$28,$N$28:$R$36,MATCH($I4,$N$28:$N$36,0),FALSE)+AI29," ")</f>
        <v>-5</v>
      </c>
      <c r="N4" s="50" t="s">
        <v>1196</v>
      </c>
      <c r="O4" s="488"/>
      <c r="P4" s="190" t="s">
        <v>165</v>
      </c>
      <c r="Q4" s="51"/>
      <c r="U4" s="1106" t="s">
        <v>172</v>
      </c>
      <c r="V4" s="54" t="str">
        <f>HLOOKUP(Max_DOV!$B$5,Max_DOV!$A$5:$AH$58,MATCH($U4,Max_DOV!$A$5:$A$58,0),FALSE)</f>
        <v>SIL</v>
      </c>
      <c r="W4" s="315" t="str">
        <f>IF(OR('2-Vzhled a charakter'!$B$2="Drakonian",'2-Vzhled a charakter'!$B$2="Drakonianka",'2-Vzhled a charakter'!$B$2="Kancodlak",'2-Vzhled a charakter'!$B$2="Kancodlačice",'2-Vzhled a charakter'!$B$2="Kentaur",'2-Vzhled a charakter'!$B$2="Kentaurka",'2-Vzhled a charakter'!$B$2="Lizzard",'2-Vzhled a charakter'!$B$2="Lizzardka",'2-Vzhled a charakter'!$B$2="Tritón",'2-Vzhled a charakter'!$B$2="Tritónka",'2-Vzhled a charakter'!$B$2="Rhox",'2-Vzhled a charakter'!$B$2="Rhoxka",'2-Vzhled a charakter'!$B$2="Aqrabuamelu",'2-Vzhled a charakter'!$B$2="Girtablilu"),"Snížená","Běžná")</f>
        <v>Běžná</v>
      </c>
      <c r="X4" s="437" t="str">
        <f>HLOOKUP('3-Schopnosti'!$X$3,Max_DOV!$A$5:$AH$58,MATCH($U4,Max_DOV!$A$5:$A$58,0),FALSE)</f>
        <v>Mistrně</v>
      </c>
      <c r="Y4" s="437" t="str">
        <f>IFERROR(HLOOKUP('3-Schopnosti'!$AS$3,Max_DOV!$A$5:$AH$58,MATCH($U4,Max_DOV!$A$5:$A$58,0),FALSE),"Vůbec")</f>
        <v>Vůbec</v>
      </c>
      <c r="Z4" s="438" t="str">
        <f t="shared" ref="Z4:Z17" si="5">IF(OR(X4="Mistrně",Y4="Mistrně"),"Mistrně",IF(OR(X4="Dokonale",Y4="Dokonale"),"Dokonale",IF(OR(X4="Velmi dobře",Y4="Velmi dobře"),"Velmi dobře",IF(OR(X4="Dobře",Y4="Dobře"),"Dobře","Vůbec"))))</f>
        <v>Mistrně</v>
      </c>
      <c r="AA4" s="133" t="s">
        <v>115</v>
      </c>
      <c r="AB4" s="133" t="s">
        <v>4892</v>
      </c>
      <c r="AC4" s="133" t="s">
        <v>83</v>
      </c>
      <c r="AD4" s="133" t="s">
        <v>84</v>
      </c>
      <c r="AE4" s="133" t="s">
        <v>85</v>
      </c>
      <c r="AF4" s="133" t="str">
        <f t="shared" ref="AF4:AF40" si="6">IF(OR($Z4="Dokonale",$Z4="Mistrně",$Z4="Velmi dobře"),"Velmi dobře","Vůbec")</f>
        <v>Velmi dobře</v>
      </c>
      <c r="AG4" s="133" t="str">
        <f t="shared" ref="AG4:AG40" si="7">IF(OR($X4="Dokonale",$Y4="Dokonale",$X4="Mistrně",$Y4="Mistrně"),"Dokonale","Vůbec")</f>
        <v>Dokonale</v>
      </c>
      <c r="AH4" s="133" t="str">
        <f t="shared" ref="AH4:AH40" si="8">IF(OR($X4="Mistrně",$Y4="Mistrně"),"Mistrně","Vůbec")</f>
        <v>Mistrně</v>
      </c>
      <c r="AI4" s="164">
        <f t="shared" ref="AI4:AI10" si="9">AJ4</f>
        <v>0</v>
      </c>
      <c r="AJ4" s="1030"/>
      <c r="AL4"/>
      <c r="AN4" s="29" t="s">
        <v>5389</v>
      </c>
      <c r="AQ4" s="533" t="str">
        <f>IF(OR(KV_1="105",KV_2="105",KV_3="105",KV_1="69",KV_2="69",KV_3="69"),"A","N")</f>
        <v>N</v>
      </c>
      <c r="AS4" s="29" t="s">
        <v>644</v>
      </c>
      <c r="AT4" s="29"/>
      <c r="AU4" s="29"/>
      <c r="AV4" s="533" t="str">
        <f>IF(OR(KV_1="95",KV_2="95",KV_3="95"),"A","N")</f>
        <v>N</v>
      </c>
    </row>
    <row r="5" spans="1:48" ht="15" customHeight="1" x14ac:dyDescent="0.3">
      <c r="A5" s="493" t="s">
        <v>5425</v>
      </c>
      <c r="B5" s="229" t="str">
        <f>IFERROR(HLOOKUP('4-Dovednosti'!$W$2,'4-Dovednosti'!$U$2:$W$57,MATCH($A5,'4-Dovednosti'!$U$2:$U$57,0),FALSE)," ")</f>
        <v>Běžná</v>
      </c>
      <c r="C5" s="230" t="s">
        <v>115</v>
      </c>
      <c r="D5" s="920" t="str">
        <f>IFERROR(HLOOKUP('4-Dovednosti'!$V$2,'4-Dovednosti'!$U$2:$W$57,MATCH(A5,'4-Dovednosti'!$U$2:$U$57,0),FALSE)," ")</f>
        <v>OBR</v>
      </c>
      <c r="E5" s="229">
        <f t="shared" si="4"/>
        <v>0</v>
      </c>
      <c r="F5" s="229">
        <f>IFERROR(HLOOKUP($O$28,$N$28:$R$36,MATCH($C5,$N$28:$N$36,0),FALSE)+AI7," ")</f>
        <v>-5</v>
      </c>
      <c r="G5" s="493" t="s">
        <v>5434</v>
      </c>
      <c r="H5" s="229" t="str">
        <f>IFERROR(HLOOKUP('4-Dovednosti'!$W$2,'4-Dovednosti'!$U$2:$W$57,MATCH($G5,'4-Dovednosti'!$U$2:$U$57,0),FALSE)," ")</f>
        <v>Běžná</v>
      </c>
      <c r="I5" s="230" t="s">
        <v>115</v>
      </c>
      <c r="J5" s="814" t="str">
        <f>IFERROR(HLOOKUP('4-Dovednosti'!$V$2,'4-Dovednosti'!$U$2:$W$57,MATCH(G5,'4-Dovednosti'!$U$2:$U$57,0),FALSE)," ")</f>
        <v>OBR</v>
      </c>
      <c r="K5" s="229">
        <f>IFERROR(HLOOKUP($H5,$N$28:$R$36,MATCH($I5,$N$28:$N$36,0),FALSE)," ")</f>
        <v>0</v>
      </c>
      <c r="L5" s="1093">
        <f>IFERROR(HLOOKUP($O$28,$N$28:$R$36,MATCH($I5,$N$28:$N$36,0),FALSE)+AI33," ")</f>
        <v>-5</v>
      </c>
      <c r="N5" s="486" t="str">
        <f>"=OBR"</f>
        <v>=OBR</v>
      </c>
      <c r="O5" s="831">
        <f>ROUND(sObr*Úr*IF($J$33="Ano",1.5,1),0)+K33+H33</f>
        <v>12</v>
      </c>
      <c r="P5" s="425">
        <f>DSUM('4-Dovednosti'!$D$2:$E$42,$E$2,N4:N5)+DSUM('4-Dovednosti'!$J$2:$K$28,$E$2,N4:N5)</f>
        <v>0</v>
      </c>
      <c r="Q5" s="487">
        <f>O5-P5</f>
        <v>12</v>
      </c>
      <c r="U5" s="1105" t="s">
        <v>184</v>
      </c>
      <c r="V5" s="54" t="str">
        <f>HLOOKUP(Max_DOV!$B$5,Max_DOV!$A$5:$AH$58,MATCH($U5,Max_DOV!$A$5:$A$58,0),FALSE)</f>
        <v>INT</v>
      </c>
      <c r="W5" s="315" t="str">
        <f>IF(OR('3-Schopnosti'!$X$3="Zaklínač",'3-Schopnosti'!$AS$3="Zaklínač",'3-Schopnosti'!$X$3="Lovec netvorů"),"Snížená","Běžná")</f>
        <v>Běžná</v>
      </c>
      <c r="X5" s="437" t="str">
        <f>HLOOKUP('3-Schopnosti'!$X$3,Max_DOV!$A$5:$AH$58,MATCH($U5,Max_DOV!$A$5:$A$58,0),FALSE)</f>
        <v>Velmi dobře</v>
      </c>
      <c r="Y5" s="437" t="str">
        <f>IFERROR(HLOOKUP('3-Schopnosti'!$AS$3,Max_DOV!$A$5:$AH$58,MATCH($U5,Max_DOV!$A$5:$A$58,0),FALSE),"Vůbec")</f>
        <v>Vůbec</v>
      </c>
      <c r="Z5" s="438" t="str">
        <f t="shared" si="5"/>
        <v>Velmi dobře</v>
      </c>
      <c r="AA5" s="133" t="s">
        <v>115</v>
      </c>
      <c r="AB5" s="133" t="s">
        <v>4892</v>
      </c>
      <c r="AC5" s="133" t="s">
        <v>83</v>
      </c>
      <c r="AD5" s="133" t="s">
        <v>84</v>
      </c>
      <c r="AE5" s="133" t="s">
        <v>85</v>
      </c>
      <c r="AF5" s="133" t="str">
        <f t="shared" si="6"/>
        <v>Velmi dobře</v>
      </c>
      <c r="AG5" s="133" t="str">
        <f t="shared" si="7"/>
        <v>Vůbec</v>
      </c>
      <c r="AH5" s="133" t="str">
        <f t="shared" si="8"/>
        <v>Vůbec</v>
      </c>
      <c r="AI5" s="164">
        <f t="shared" si="9"/>
        <v>0</v>
      </c>
      <c r="AJ5" s="1030"/>
      <c r="AL5"/>
      <c r="AN5" s="29" t="s">
        <v>636</v>
      </c>
      <c r="AQ5" s="533" t="str">
        <f>IF(OR(KV_1="67",KV_2="67",KV_3="67"),"A","N")</f>
        <v>N</v>
      </c>
      <c r="AS5" s="29" t="s">
        <v>626</v>
      </c>
      <c r="AT5" s="29"/>
      <c r="AU5" s="29"/>
      <c r="AV5" s="533" t="str">
        <f>IF(OR(KV_1="153",KV_2="153",KV_3="153"),"A","N")</f>
        <v>N</v>
      </c>
    </row>
    <row r="6" spans="1:48" ht="15" customHeight="1" x14ac:dyDescent="0.3">
      <c r="A6" s="493" t="s">
        <v>5426</v>
      </c>
      <c r="B6" s="229" t="str">
        <f>IFERROR(HLOOKUP('4-Dovednosti'!$W$2,'4-Dovednosti'!$U$2:$W$57,MATCH($A6,'4-Dovednosti'!$U$2:$U$57,0),FALSE)," ")</f>
        <v>Běžná</v>
      </c>
      <c r="C6" s="230" t="s">
        <v>115</v>
      </c>
      <c r="D6" s="920" t="str">
        <f>IFERROR(HLOOKUP('4-Dovednosti'!$V$2,'4-Dovednosti'!$U$2:$W$57,MATCH(A6,'4-Dovednosti'!$U$2:$U$57,0),FALSE)," ")</f>
        <v>OBR</v>
      </c>
      <c r="E6" s="229">
        <f t="shared" si="4"/>
        <v>0</v>
      </c>
      <c r="F6" s="229">
        <f>IFERROR(HLOOKUP($O$28,$N$28:$R$36,MATCH($C6,$N$28:$N$36,0),FALSE)+AI8," ")</f>
        <v>-5</v>
      </c>
      <c r="G6" s="493" t="s">
        <v>2491</v>
      </c>
      <c r="H6" s="229" t="str">
        <f>IFERROR(HLOOKUP('4-Dovednosti'!$W$2,'4-Dovednosti'!$U$2:$W$57,MATCH($G6,'4-Dovednosti'!$U$2:$U$57,0),FALSE)," ")</f>
        <v>Běžná</v>
      </c>
      <c r="I6" s="230" t="s">
        <v>115</v>
      </c>
      <c r="J6" s="814" t="str">
        <f>IFERROR(HLOOKUP('4-Dovednosti'!$V$2,'4-Dovednosti'!$U$2:$W$57,MATCH(G6,'4-Dovednosti'!$U$2:$U$57,0),FALSE)," ")</f>
        <v>ZRČ</v>
      </c>
      <c r="K6" s="229">
        <f>IFERROR(HLOOKUP($H6,$N$28:$R$36,MATCH($I6,$N$28:$N$36,0),FALSE)," ")</f>
        <v>0</v>
      </c>
      <c r="L6" s="1093">
        <f>IFERROR(HLOOKUP($O$28,$N$28:$R$36,MATCH($I6,$N$28:$N$36,0),FALSE)+AI35," ")</f>
        <v>-5</v>
      </c>
      <c r="N6" s="50" t="s">
        <v>1196</v>
      </c>
      <c r="O6" s="488"/>
      <c r="P6" s="190" t="s">
        <v>165</v>
      </c>
      <c r="Q6" s="51"/>
      <c r="U6" s="1104" t="s">
        <v>2480</v>
      </c>
      <c r="V6" s="54" t="str">
        <f>HLOOKUP(Max_DOV!$B$5,Max_DOV!$A$5:$AH$58,MATCH($U6,Max_DOV!$A$5:$A$58,0),FALSE)</f>
        <v>SIL</v>
      </c>
      <c r="W6" s="315" t="str">
        <f>IF($AV$7="A","Snížená","Běžná")</f>
        <v>Běžná</v>
      </c>
      <c r="X6" s="440" t="str">
        <f>IF(HLOOKUP('3-Schopnosti'!$X$3,Max_DOV!$A$5:$AH$58,MATCH($U6,Max_DOV!$A$5:$A$58,0),FALSE)="Velmi dobře",IF(HLOOKUP(Rasy!$X$3,Rasy!$B$3:$AN$125,MATCH('2-Vzhled a charakter'!$B$2,Rasy!$B$3:$B$125,0),FALSE)=U6,"Dokonale","Velmi dobře"),HLOOKUP('3-Schopnosti'!$X$3,Max_DOV!$A$5:$AH$58,MATCH($U6,Max_DOV!$A$5:$A$58,0),FALSE))</f>
        <v>Mistrně</v>
      </c>
      <c r="Y6" s="437" t="str">
        <f>IFERROR(HLOOKUP('3-Schopnosti'!$AS$3,Max_DOV!$A$5:$AH$58,MATCH($U6,Max_DOV!$A$5:$A$58,0),FALSE),"Vůbec")</f>
        <v>Vůbec</v>
      </c>
      <c r="Z6" s="438" t="str">
        <f t="shared" si="5"/>
        <v>Mistrně</v>
      </c>
      <c r="AA6" s="133" t="s">
        <v>115</v>
      </c>
      <c r="AB6" s="133" t="s">
        <v>4892</v>
      </c>
      <c r="AC6" s="133" t="s">
        <v>83</v>
      </c>
      <c r="AD6" s="133" t="s">
        <v>84</v>
      </c>
      <c r="AE6" s="133" t="s">
        <v>85</v>
      </c>
      <c r="AF6" s="133" t="str">
        <f t="shared" si="6"/>
        <v>Velmi dobře</v>
      </c>
      <c r="AG6" s="133" t="str">
        <f t="shared" si="7"/>
        <v>Dokonale</v>
      </c>
      <c r="AH6" s="133" t="str">
        <f t="shared" si="8"/>
        <v>Mistrně</v>
      </c>
      <c r="AI6" s="164">
        <f t="shared" si="9"/>
        <v>0</v>
      </c>
      <c r="AJ6" s="1030"/>
      <c r="AL6"/>
      <c r="AN6" s="29" t="s">
        <v>637</v>
      </c>
      <c r="AQ6" s="533" t="str">
        <f>IF(OR(KV_1="77",KV_2="77",KV_3="77"),"A","N")</f>
        <v>N</v>
      </c>
      <c r="AS6" s="29" t="s">
        <v>5384</v>
      </c>
      <c r="AT6" s="29"/>
      <c r="AU6" s="29"/>
      <c r="AV6" s="533" t="str">
        <f>IF(OR(KV_1="155",KV_2="155",KV_3="155"),"A","N")</f>
        <v>N</v>
      </c>
    </row>
    <row r="7" spans="1:48" ht="15" customHeight="1" x14ac:dyDescent="0.3">
      <c r="A7" s="493" t="s">
        <v>2954</v>
      </c>
      <c r="B7" s="229" t="str">
        <f>IFERROR(HLOOKUP('4-Dovednosti'!$W$2,'4-Dovednosti'!$U$2:$W$57,MATCH($A7,'4-Dovednosti'!$U$2:$U$57,0),FALSE)," ")</f>
        <v>Běžná</v>
      </c>
      <c r="C7" s="230" t="s">
        <v>115</v>
      </c>
      <c r="D7" s="920" t="str">
        <f>IFERROR(HLOOKUP('4-Dovednosti'!$V$2,'4-Dovednosti'!$U$2:$W$57,MATCH(A7,'4-Dovednosti'!$U$2:$U$57,0),FALSE)," ")</f>
        <v>SIL</v>
      </c>
      <c r="E7" s="229">
        <f t="shared" si="4"/>
        <v>0</v>
      </c>
      <c r="F7" s="229">
        <f>IFERROR(HLOOKUP($O$28,$N$28:$R$36,MATCH($C7,$N$28:$N$36,0),FALSE)+AI9," ")</f>
        <v>-5</v>
      </c>
      <c r="G7" s="493" t="s">
        <v>715</v>
      </c>
      <c r="H7" s="229" t="str">
        <f>IFERROR(HLOOKUP('4-Dovednosti'!$W$2,'4-Dovednosti'!$U$2:$W$57,MATCH($G7,'4-Dovednosti'!$U$2:$U$57,0),FALSE)," ")</f>
        <v>Běžná</v>
      </c>
      <c r="I7" s="230" t="s">
        <v>115</v>
      </c>
      <c r="J7" s="814" t="str">
        <f>IFERROR(HLOOKUP('4-Dovednosti'!$V$2,'4-Dovednosti'!$U$2:$W$57,MATCH(G7,'4-Dovednosti'!$U$2:$U$57,0),FALSE)," ")</f>
        <v>SIL</v>
      </c>
      <c r="K7" s="229">
        <f>IFERROR(HLOOKUP($H7,$N$28:$R$36,MATCH($I7,$N$28:$N$36,0),FALSE)," ")</f>
        <v>0</v>
      </c>
      <c r="L7" s="1093">
        <f>IFERROR(HLOOKUP($O$28,$N$28:$R$36,MATCH($I7,$N$28:$N$36,0),FALSE)+AI36," ")</f>
        <v>-5</v>
      </c>
      <c r="N7" s="486" t="str">
        <f>"=ZRČ"</f>
        <v>=ZRČ</v>
      </c>
      <c r="O7" s="831">
        <f>ROUND(sZrč*Úr*IF($J$34="Ano",1.5,1),0)+K34+H34</f>
        <v>24</v>
      </c>
      <c r="P7" s="425">
        <f>DSUM('4-Dovednosti'!$D$2:$E$42,$E$2,N6:N7)+DSUM('4-Dovednosti'!$J$2:$K$28,$E$2,N6:N7)</f>
        <v>0</v>
      </c>
      <c r="Q7" s="487">
        <f>O7-P7</f>
        <v>24</v>
      </c>
      <c r="U7" s="1104" t="s">
        <v>5425</v>
      </c>
      <c r="V7" s="54" t="str">
        <f>HLOOKUP(Max_DOV!$B$5,Max_DOV!$A$5:$AH$58,MATCH($U7,Max_DOV!$A$5:$A$58,0),FALSE)</f>
        <v>OBR</v>
      </c>
      <c r="W7" s="315" t="str">
        <f>IF(OR('3-Schopnosti'!$X$3="Assassin",'3-Schopnosti'!$AS$3="Assassin",$AV$7="A"),"Snížená","Běžná")</f>
        <v>Běžná</v>
      </c>
      <c r="X7" s="440" t="str">
        <f>IF(HLOOKUP('3-Schopnosti'!$X$3,Max_DOV!$A$5:$AH$58,MATCH($U7,Max_DOV!$A$5:$A$58,0),FALSE)="Velmi dobře",IF(HLOOKUP(Rasy!$X$3,Rasy!$B$3:$AN$125,MATCH('2-Vzhled a charakter'!$B$2,Rasy!$B$3:$B$125,0),FALSE)=U7,"Dokonale","Velmi dobře"),HLOOKUP('3-Schopnosti'!$X$3,Max_DOV!$A$5:$AH$58,MATCH($U7,Max_DOV!$A$5:$A$58,0),FALSE))</f>
        <v>Mistrně</v>
      </c>
      <c r="Y7" s="437" t="str">
        <f>IFERROR(HLOOKUP('3-Schopnosti'!$AS$3,Max_DOV!$A$5:$AH$58,MATCH($U7,Max_DOV!$A$5:$A$58,0),FALSE),"Vůbec")</f>
        <v>Vůbec</v>
      </c>
      <c r="Z7" s="438" t="str">
        <f t="shared" si="5"/>
        <v>Mistrně</v>
      </c>
      <c r="AA7" s="133" t="s">
        <v>115</v>
      </c>
      <c r="AB7" s="133" t="s">
        <v>4892</v>
      </c>
      <c r="AC7" s="133" t="s">
        <v>83</v>
      </c>
      <c r="AD7" s="133" t="s">
        <v>84</v>
      </c>
      <c r="AE7" s="133" t="s">
        <v>85</v>
      </c>
      <c r="AF7" s="133" t="str">
        <f t="shared" si="6"/>
        <v>Velmi dobře</v>
      </c>
      <c r="AG7" s="133" t="str">
        <f t="shared" si="7"/>
        <v>Dokonale</v>
      </c>
      <c r="AH7" s="133" t="str">
        <f t="shared" si="8"/>
        <v>Mistrně</v>
      </c>
      <c r="AI7" s="164">
        <f t="shared" si="9"/>
        <v>0</v>
      </c>
      <c r="AJ7" s="1030"/>
      <c r="AL7"/>
      <c r="AN7"/>
      <c r="AO7"/>
      <c r="AP7"/>
      <c r="AQ7"/>
      <c r="AS7" s="29" t="s">
        <v>5468</v>
      </c>
      <c r="AT7" s="29"/>
      <c r="AU7" s="29"/>
      <c r="AV7" s="533" t="str">
        <f>IF(OR(KV_1="63",KV_2="63",KV_3="63"),"A","N")</f>
        <v>N</v>
      </c>
    </row>
    <row r="8" spans="1:48" ht="15" customHeight="1" x14ac:dyDescent="0.3">
      <c r="A8" s="493" t="s">
        <v>2476</v>
      </c>
      <c r="B8" s="229" t="str">
        <f>IFERROR(HLOOKUP('4-Dovednosti'!$W$2,'4-Dovednosti'!$U$2:$W$57,MATCH($A8,'4-Dovednosti'!$U$2:$U$57,0),FALSE)," ")</f>
        <v>Běžná</v>
      </c>
      <c r="C8" s="230" t="s">
        <v>115</v>
      </c>
      <c r="D8" s="920" t="str">
        <f>IFERROR(HLOOKUP('4-Dovednosti'!$V$2,'4-Dovednosti'!$U$2:$W$57,MATCH(A8,'4-Dovednosti'!$U$2:$U$57,0),FALSE)," ")</f>
        <v>SIL</v>
      </c>
      <c r="E8" s="229">
        <f t="shared" si="4"/>
        <v>0</v>
      </c>
      <c r="F8" s="229">
        <f>IFERROR(HLOOKUP($O$28,$N$28:$R$36,MATCH($C8,$N$28:$N$36,0),FALSE)+AI12," ")</f>
        <v>-5</v>
      </c>
      <c r="G8" s="493" t="s">
        <v>850</v>
      </c>
      <c r="H8" s="229" t="str">
        <f>IFERROR(HLOOKUP('4-Dovednosti'!$W$2,'4-Dovednosti'!$U$2:$W$57,MATCH($G8,'4-Dovednosti'!$U$2:$U$57,0),FALSE)," ")</f>
        <v>Běžná</v>
      </c>
      <c r="I8" s="230" t="s">
        <v>115</v>
      </c>
      <c r="J8" s="814" t="str">
        <f>IFERROR(HLOOKUP('4-Dovednosti'!$V$2,'4-Dovednosti'!$U$2:$W$57,MATCH(G8,'4-Dovednosti'!$U$2:$U$57,0),FALSE)," ")</f>
        <v>VOL</v>
      </c>
      <c r="K8" s="229">
        <f>IFERROR(HLOOKUP($H8,$N$28:$R$36,MATCH($I8,$N$28:$N$36,0),FALSE)," ")</f>
        <v>0</v>
      </c>
      <c r="L8" s="1093">
        <f>IFERROR(HLOOKUP($O$28,$N$28:$R$36,MATCH($I8,$N$28:$N$36,0),FALSE)+AI37," ")</f>
        <v>-5</v>
      </c>
      <c r="N8" s="50" t="s">
        <v>1196</v>
      </c>
      <c r="O8" s="488"/>
      <c r="P8" s="190" t="s">
        <v>165</v>
      </c>
      <c r="Q8" s="51"/>
      <c r="U8" s="1104" t="s">
        <v>5426</v>
      </c>
      <c r="V8" s="54" t="str">
        <f>HLOOKUP(Max_DOV!$B$5,Max_DOV!$A$5:$AH$58,MATCH($U8,Max_DOV!$A$5:$A$58,0),FALSE)</f>
        <v>OBR</v>
      </c>
      <c r="W8" s="315" t="str">
        <f>IF(OR($AV$7="A",'3-Schopnosti'!$X$3="Druid",'3-Schopnosti'!$AS$3="Druid"),"Snížená","Běžná")</f>
        <v>Běžná</v>
      </c>
      <c r="X8" s="440" t="str">
        <f>IF(HLOOKUP('3-Schopnosti'!$X$3,Max_DOV!$A$5:$AH$58,MATCH($U8,Max_DOV!$A$5:$A$58,0),FALSE)="Velmi dobře",IF(HLOOKUP(Rasy!$X$3,Rasy!$B$3:$AN$125,MATCH('2-Vzhled a charakter'!$B$2,Rasy!$B$3:$B$125,0),FALSE)=U8,"Dokonale","Velmi dobře"),HLOOKUP('3-Schopnosti'!$X$3,Max_DOV!$A$5:$AH$58,MATCH($U8,Max_DOV!$A$5:$A$58,0),FALSE))</f>
        <v>Velmi dobře</v>
      </c>
      <c r="Y8" s="437" t="str">
        <f>IFERROR(HLOOKUP('3-Schopnosti'!$AS$3,Max_DOV!$A$5:$AH$58,MATCH($U8,Max_DOV!$A$5:$A$58,0),FALSE),"Vůbec")</f>
        <v>Vůbec</v>
      </c>
      <c r="Z8" s="438" t="str">
        <f t="shared" si="5"/>
        <v>Velmi dobře</v>
      </c>
      <c r="AA8" s="133" t="s">
        <v>115</v>
      </c>
      <c r="AB8" s="133" t="s">
        <v>4892</v>
      </c>
      <c r="AC8" s="133" t="s">
        <v>83</v>
      </c>
      <c r="AD8" s="133" t="s">
        <v>84</v>
      </c>
      <c r="AE8" s="133" t="s">
        <v>85</v>
      </c>
      <c r="AF8" s="133" t="str">
        <f t="shared" si="6"/>
        <v>Velmi dobře</v>
      </c>
      <c r="AG8" s="133" t="str">
        <f t="shared" si="7"/>
        <v>Vůbec</v>
      </c>
      <c r="AH8" s="133" t="str">
        <f t="shared" si="8"/>
        <v>Vůbec</v>
      </c>
      <c r="AI8" s="164">
        <f t="shared" si="9"/>
        <v>0</v>
      </c>
      <c r="AJ8" s="1030"/>
      <c r="AL8"/>
      <c r="AS8" s="29"/>
      <c r="AT8" s="29"/>
      <c r="AU8" s="29"/>
    </row>
    <row r="9" spans="1:48" ht="15" customHeight="1" x14ac:dyDescent="0.3">
      <c r="A9" s="493" t="s">
        <v>2477</v>
      </c>
      <c r="B9" s="229" t="str">
        <f>IFERROR(HLOOKUP('4-Dovednosti'!$W$2,'4-Dovednosti'!$U$2:$W$57,MATCH($A9,'4-Dovednosti'!$U$2:$U$57,0),FALSE)," ")</f>
        <v>Běžná</v>
      </c>
      <c r="C9" s="230" t="s">
        <v>115</v>
      </c>
      <c r="D9" s="920" t="str">
        <f>IFERROR(HLOOKUP('4-Dovednosti'!$V$2,'4-Dovednosti'!$U$2:$W$57,MATCH(A9,'4-Dovednosti'!$U$2:$U$57,0),FALSE)," ")</f>
        <v>ZRČ</v>
      </c>
      <c r="E9" s="229">
        <f t="shared" si="4"/>
        <v>0</v>
      </c>
      <c r="F9" s="229">
        <f>IFERROR(HLOOKUP($O$28,$N$28:$R$36,MATCH($C9,$N$28:$N$36,0),FALSE)+AI45," ")</f>
        <v>-5</v>
      </c>
      <c r="G9" s="1092" t="s">
        <v>5455</v>
      </c>
      <c r="H9" s="1370"/>
      <c r="I9" s="1371"/>
      <c r="J9" s="1371"/>
      <c r="K9" s="1371"/>
      <c r="L9" s="1372"/>
      <c r="N9" s="486" t="str">
        <f>"=VOL"</f>
        <v>=VOL</v>
      </c>
      <c r="O9" s="831">
        <f>ROUND(sVol*Úr*IF($J$35="Ano",1.5,1),0)+K35+H35</f>
        <v>28</v>
      </c>
      <c r="P9" s="425">
        <f>DSUM('4-Dovednosti'!$D$2:$E$42,$E$2,N8:N9)+DSUM('4-Dovednosti'!$J$2:$K$28,$E$2,N8:N9)</f>
        <v>36</v>
      </c>
      <c r="Q9" s="487">
        <f>O9-P9</f>
        <v>-8</v>
      </c>
      <c r="U9" s="1104" t="s">
        <v>2954</v>
      </c>
      <c r="V9" s="54" t="str">
        <f>HLOOKUP(Max_DOV!$B$5,Max_DOV!$A$5:$AH$58,MATCH($U9,Max_DOV!$A$5:$A$58,0),FALSE)</f>
        <v>SIL</v>
      </c>
      <c r="W9" s="315" t="s">
        <v>5442</v>
      </c>
      <c r="X9" s="437" t="str">
        <f>HLOOKUP('3-Schopnosti'!$X$3,Max_DOV!$A$5:$AH$58,MATCH($U9,Max_DOV!$A$5:$A$58,0),FALSE)</f>
        <v>Velmi dobře</v>
      </c>
      <c r="Y9" s="437" t="str">
        <f>IFERROR(HLOOKUP('3-Schopnosti'!$AS$3,Max_DOV!$A$5:$AH$58,MATCH($U9,Max_DOV!$A$5:$A$58,0),FALSE),"Vůbec")</f>
        <v>Vůbec</v>
      </c>
      <c r="Z9" s="438" t="str">
        <f t="shared" si="5"/>
        <v>Velmi dobře</v>
      </c>
      <c r="AA9" s="133" t="s">
        <v>115</v>
      </c>
      <c r="AB9" s="133" t="s">
        <v>4892</v>
      </c>
      <c r="AC9" s="133" t="s">
        <v>83</v>
      </c>
      <c r="AD9" s="133" t="s">
        <v>84</v>
      </c>
      <c r="AE9" s="133" t="s">
        <v>85</v>
      </c>
      <c r="AF9" s="133" t="str">
        <f t="shared" si="6"/>
        <v>Velmi dobře</v>
      </c>
      <c r="AG9" s="133" t="str">
        <f t="shared" si="7"/>
        <v>Vůbec</v>
      </c>
      <c r="AH9" s="133" t="str">
        <f t="shared" si="8"/>
        <v>Vůbec</v>
      </c>
      <c r="AI9" s="164">
        <f t="shared" si="9"/>
        <v>0</v>
      </c>
      <c r="AJ9" s="1030"/>
      <c r="AL9"/>
      <c r="AS9" s="29"/>
      <c r="AT9" s="29"/>
      <c r="AU9" s="29"/>
    </row>
    <row r="10" spans="1:48" ht="15" customHeight="1" x14ac:dyDescent="0.3">
      <c r="A10" s="493" t="s">
        <v>1914</v>
      </c>
      <c r="B10" s="229" t="str">
        <f>IFERROR(HLOOKUP('4-Dovednosti'!$W$2,'4-Dovednosti'!$U$2:$W$57,MATCH($A10,'4-Dovednosti'!$U$2:$U$57,0),FALSE)," ")</f>
        <v>Běžná</v>
      </c>
      <c r="C10" s="230" t="s">
        <v>115</v>
      </c>
      <c r="D10" s="920" t="str">
        <f>IFERROR(HLOOKUP('4-Dovednosti'!$V$2,'4-Dovednosti'!$U$2:$W$57,MATCH(A10,'4-Dovednosti'!$U$2:$U$57,0),FALSE)," ")</f>
        <v>OBR</v>
      </c>
      <c r="E10" s="229">
        <f t="shared" si="4"/>
        <v>0</v>
      </c>
      <c r="F10" s="229">
        <f>IFERROR(HLOOKUP($O$28,$N$28:$R$36,MATCH($C10,$N$28:$N$36,0),FALSE)+AI47," ")</f>
        <v>-5</v>
      </c>
      <c r="G10" s="493" t="s">
        <v>5436</v>
      </c>
      <c r="H10" s="229" t="str">
        <f>IFERROR(HLOOKUP('4-Dovednosti'!$W$2,'4-Dovednosti'!$U$2:$W$57,MATCH($G10,'4-Dovednosti'!$U$2:$U$57,0),FALSE)," ")</f>
        <v>Běžná</v>
      </c>
      <c r="I10" s="230" t="s">
        <v>115</v>
      </c>
      <c r="J10" s="814" t="str">
        <f>IFERROR(HLOOKUP('4-Dovednosti'!$V$2,'4-Dovednosti'!$U$2:$W$57,MATCH(G10,'4-Dovednosti'!$U$2:$U$57,0),FALSE)," ")</f>
        <v>OBR</v>
      </c>
      <c r="K10" s="229">
        <f>IFERROR(HLOOKUP($H10,$N$28:$R$36,MATCH($I10,$N$28:$N$36,0),FALSE)," ")</f>
        <v>0</v>
      </c>
      <c r="L10" s="1093">
        <f>IFERROR(HLOOKUP($O$28,$N$28:$R$36,MATCH($I10,$N$28:$N$36,0),FALSE)+AI39," ")</f>
        <v>-5</v>
      </c>
      <c r="N10" s="50" t="s">
        <v>1196</v>
      </c>
      <c r="O10" s="488"/>
      <c r="P10" s="190" t="s">
        <v>165</v>
      </c>
      <c r="Q10" s="51"/>
      <c r="U10" s="1105" t="s">
        <v>198</v>
      </c>
      <c r="V10" s="54" t="str">
        <f>HLOOKUP(Max_DOV!$B$5,Max_DOV!$A$5:$AH$58,MATCH($U10,Max_DOV!$A$5:$A$58,0),FALSE)</f>
        <v>INT</v>
      </c>
      <c r="W10" s="315" t="str">
        <f>IF(OR(AV4="A",'3-Schopnosti'!$X$3="Šaman",'3-Schopnosti'!$AS$3="Šaman",'3-Schopnosti'!$X$3="Druid",'3-Schopnosti'!$AS$3="Druid",'3-Schopnosti'!$X$3="Vědma",'3-Schopnosti'!$AS$3="Vědma",'2-Vzhled a charakter'!$B$2="Loxodon",'2-Vzhled a charakter'!$B$2="Loxodonka",'2-Vzhled a charakter'!$B$2="Minotaur",'2-Vzhled a charakter'!$B$2="Minotaurka"),"Snížená","Běžná")</f>
        <v>Běžná</v>
      </c>
      <c r="X10" s="437" t="str">
        <f>HLOOKUP('3-Schopnosti'!$X$3,Max_DOV!$A$5:$AH$58,MATCH($U10,Max_DOV!$A$5:$A$58,0),FALSE)</f>
        <v>Velmi dobře</v>
      </c>
      <c r="Y10" s="437" t="str">
        <f>IFERROR(HLOOKUP('3-Schopnosti'!$AS$3,Max_DOV!$A$5:$AH$58,MATCH($U10,Max_DOV!$A$5:$A$58,0),FALSE),"Vůbec")</f>
        <v>Vůbec</v>
      </c>
      <c r="Z10" s="438" t="str">
        <f t="shared" si="5"/>
        <v>Velmi dobře</v>
      </c>
      <c r="AA10" s="133" t="s">
        <v>115</v>
      </c>
      <c r="AB10" s="133" t="s">
        <v>4892</v>
      </c>
      <c r="AC10" s="133" t="s">
        <v>83</v>
      </c>
      <c r="AD10" s="133" t="s">
        <v>84</v>
      </c>
      <c r="AE10" s="133" t="s">
        <v>85</v>
      </c>
      <c r="AF10" s="133" t="str">
        <f t="shared" si="6"/>
        <v>Velmi dobře</v>
      </c>
      <c r="AG10" s="133" t="str">
        <f t="shared" si="7"/>
        <v>Vůbec</v>
      </c>
      <c r="AH10" s="133" t="str">
        <f t="shared" si="8"/>
        <v>Vůbec</v>
      </c>
      <c r="AI10" s="164">
        <f t="shared" si="9"/>
        <v>0</v>
      </c>
      <c r="AJ10" s="1030"/>
      <c r="AL10"/>
    </row>
    <row r="11" spans="1:48" ht="15" customHeight="1" x14ac:dyDescent="0.3">
      <c r="A11" s="493" t="s">
        <v>2478</v>
      </c>
      <c r="B11" s="229" t="str">
        <f>IFERROR(HLOOKUP('4-Dovednosti'!$W$2,'4-Dovednosti'!$U$2:$W$57,MATCH($A11,'4-Dovednosti'!$U$2:$U$57,0),FALSE)," ")</f>
        <v>Běžná</v>
      </c>
      <c r="C11" s="230" t="s">
        <v>115</v>
      </c>
      <c r="D11" s="920" t="str">
        <f>IFERROR(HLOOKUP('4-Dovednosti'!$V$2,'4-Dovednosti'!$U$2:$W$57,MATCH(A11,'4-Dovednosti'!$U$2:$U$57,0),FALSE)," ")</f>
        <v>ZRČ</v>
      </c>
      <c r="E11" s="229">
        <f t="shared" si="4"/>
        <v>0</v>
      </c>
      <c r="F11" s="229">
        <f>IFERROR(HLOOKUP($O$28,$N$28:$R$36,MATCH($C11,$N$28:$N$36,0),FALSE)+AI50," ")</f>
        <v>-5</v>
      </c>
      <c r="G11" s="493" t="s">
        <v>5437</v>
      </c>
      <c r="H11" s="229" t="str">
        <f>IFERROR(HLOOKUP('4-Dovednosti'!$W$2,'4-Dovednosti'!$U$2:$W$57,MATCH($G11,'4-Dovednosti'!$U$2:$U$57,0),FALSE)," ")</f>
        <v>Běžná</v>
      </c>
      <c r="I11" s="230" t="s">
        <v>115</v>
      </c>
      <c r="J11" s="814" t="str">
        <f>IFERROR(HLOOKUP('4-Dovednosti'!$V$2,'4-Dovednosti'!$U$2:$W$57,MATCH(G11,'4-Dovednosti'!$U$2:$U$57,0),FALSE)," ")</f>
        <v>ZRČ</v>
      </c>
      <c r="K11" s="229">
        <f>IFERROR(HLOOKUP($H11,$N$28:$R$36,MATCH($I11,$N$28:$N$36,0),FALSE)," ")</f>
        <v>0</v>
      </c>
      <c r="L11" s="1094">
        <f>IFERROR(HLOOKUP($O$28,$N$28:$R$36,MATCH($I11,$N$28:$N$36,0),FALSE)+AI41," ")+IF(OR('1-Vlastnosti'!$B$26="Tesák",'1-Vlastnosti'!$B$27="Tesák",'1-Vlastnosti'!$B$28="Tesák",'1-Vlastnosti'!$B$29="Tesák",'1-Vlastnosti'!$B$30="Tesák",'1-Vlastnosti'!$B$31="Tesák",'1-Vlastnosti'!$B$32="Tesák"),1,0)</f>
        <v>-5</v>
      </c>
      <c r="N11" s="486" t="str">
        <f>"=INT"</f>
        <v>=INT</v>
      </c>
      <c r="O11" s="831">
        <f>ROUND(sInt*Úr*IF($J$36="Ano",1.5,1),0)+K36+H36</f>
        <v>8</v>
      </c>
      <c r="P11" s="425">
        <f>DSUM('4-Dovednosti'!$D$2:$E$42,$E$2,N10:N11)+DSUM('4-Dovednosti'!$J$2:$K$28,$E$2,N10:N11)</f>
        <v>0</v>
      </c>
      <c r="Q11" s="487">
        <f>O11-P11</f>
        <v>8</v>
      </c>
      <c r="U11" s="1107" t="s">
        <v>1202</v>
      </c>
      <c r="V11" s="54" t="str">
        <f>HLOOKUP(Max_DOV!$B$5,Max_DOV!$A$5:$AH$58,MATCH($U11,Max_DOV!$A$5:$A$58,0),FALSE)</f>
        <v>CHAR</v>
      </c>
      <c r="W11" s="315" t="str">
        <f>IF(AV5="A","Snížená","Běžná")</f>
        <v>Běžná</v>
      </c>
      <c r="X11" s="437" t="str">
        <f>HLOOKUP('3-Schopnosti'!$X$3,Max_DOV!$A$5:$AH$58,MATCH($U11,Max_DOV!$A$5:$A$58,0),FALSE)</f>
        <v>Velmi dobře</v>
      </c>
      <c r="Y11" s="437" t="str">
        <f>IFERROR(HLOOKUP('3-Schopnosti'!$AS$3,Max_DOV!$A$5:$AH$58,MATCH($U11,Max_DOV!$A$5:$A$58,0),FALSE),"Vůbec")</f>
        <v>Vůbec</v>
      </c>
      <c r="Z11" s="438" t="str">
        <f t="shared" si="5"/>
        <v>Velmi dobře</v>
      </c>
      <c r="AA11" s="133" t="s">
        <v>115</v>
      </c>
      <c r="AB11" s="133" t="s">
        <v>4892</v>
      </c>
      <c r="AC11" s="133" t="s">
        <v>83</v>
      </c>
      <c r="AD11" s="133" t="s">
        <v>84</v>
      </c>
      <c r="AE11" s="133" t="s">
        <v>85</v>
      </c>
      <c r="AF11" s="133" t="str">
        <f t="shared" si="6"/>
        <v>Velmi dobře</v>
      </c>
      <c r="AG11" s="133" t="str">
        <f t="shared" si="7"/>
        <v>Vůbec</v>
      </c>
      <c r="AH11" s="133" t="str">
        <f t="shared" si="8"/>
        <v>Vůbec</v>
      </c>
      <c r="AI11" s="164">
        <f>AS13+IF(OR(Rasa="Člověk (M)",Rasa="Člověk (F)"),1,0)+AJ11</f>
        <v>0</v>
      </c>
      <c r="AJ11" s="1030"/>
      <c r="AL11"/>
      <c r="AM11" t="s">
        <v>2892</v>
      </c>
      <c r="AN11" t="s">
        <v>2893</v>
      </c>
      <c r="AO11" t="s">
        <v>2894</v>
      </c>
      <c r="AP11" t="s">
        <v>2895</v>
      </c>
      <c r="AQ11" t="s">
        <v>2896</v>
      </c>
      <c r="AR11" t="s">
        <v>2897</v>
      </c>
      <c r="AS11" t="s">
        <v>2087</v>
      </c>
    </row>
    <row r="12" spans="1:48" ht="15" customHeight="1" x14ac:dyDescent="0.3">
      <c r="A12" s="493" t="s">
        <v>5424</v>
      </c>
      <c r="B12" s="229" t="str">
        <f>IFERROR(HLOOKUP('4-Dovednosti'!$W$2,'4-Dovednosti'!$U$2:$W$57,MATCH($A12,'4-Dovednosti'!$U$2:$U$57,0),FALSE)," ")</f>
        <v>Běžná</v>
      </c>
      <c r="C12" s="230" t="s">
        <v>115</v>
      </c>
      <c r="D12" s="920" t="str">
        <f>IFERROR(HLOOKUP('4-Dovednosti'!$V$2,'4-Dovednosti'!$U$2:$W$57,MATCH(A12,'4-Dovednosti'!$U$2:$U$57,0),FALSE)," ")</f>
        <v>SIL</v>
      </c>
      <c r="E12" s="229">
        <f t="shared" si="4"/>
        <v>0</v>
      </c>
      <c r="F12" s="229">
        <f>IFERROR(HLOOKUP($O$28,$N$28:$R$36,MATCH($C12,$N$28:$N$36,0),FALSE)+AI53," ")</f>
        <v>-5</v>
      </c>
      <c r="G12" s="493" t="s">
        <v>5435</v>
      </c>
      <c r="H12" s="229" t="str">
        <f>IFERROR(HLOOKUP('4-Dovednosti'!$W$2,'4-Dovednosti'!$U$2:$W$57,MATCH($G12,'4-Dovednosti'!$U$2:$U$57,0),FALSE)," ")</f>
        <v>Běžná</v>
      </c>
      <c r="I12" s="230" t="s">
        <v>115</v>
      </c>
      <c r="J12" s="814" t="str">
        <f>IFERROR(HLOOKUP('4-Dovednosti'!$V$2,'4-Dovednosti'!$U$2:$W$57,MATCH(G12,'4-Dovednosti'!$U$2:$U$57,0),FALSE)," ")</f>
        <v>ZRČ</v>
      </c>
      <c r="K12" s="229">
        <f>IFERROR(HLOOKUP($H12,$N$28:$R$36,MATCH($I12,$N$28:$N$36,0),FALSE)," ")</f>
        <v>0</v>
      </c>
      <c r="L12" s="1093">
        <f>IFERROR(HLOOKUP($O$28,$N$28:$R$36,MATCH($I12,$N$28:$N$36,0),FALSE)+AI52," ")</f>
        <v>-5</v>
      </c>
      <c r="N12" s="50" t="s">
        <v>1196</v>
      </c>
      <c r="O12" s="33"/>
      <c r="P12" s="190" t="s">
        <v>165</v>
      </c>
      <c r="Q12" s="489"/>
      <c r="U12" s="1104" t="s">
        <v>2476</v>
      </c>
      <c r="V12" s="54" t="str">
        <f>HLOOKUP(Max_DOV!$B$5,Max_DOV!$A$5:$AH$58,MATCH($U12,Max_DOV!$A$5:$A$58,0),FALSE)</f>
        <v>SIL</v>
      </c>
      <c r="W12" s="315" t="str">
        <f>IF($AV$7="A","Snížená","Běžná")</f>
        <v>Běžná</v>
      </c>
      <c r="X12" s="440" t="str">
        <f>IF(HLOOKUP('3-Schopnosti'!$X$3,Max_DOV!$A$5:$AH$58,MATCH($U12,Max_DOV!$A$5:$A$58,0),FALSE)="Velmi dobře",IF(HLOOKUP(Rasy!$X$3,Rasy!$B$3:$AN$125,MATCH('2-Vzhled a charakter'!$B$2,Rasy!$B$3:$B$125,0),FALSE)=U12,"Dokonale","Velmi dobře"),HLOOKUP('3-Schopnosti'!$X$3,Max_DOV!$A$5:$AH$58,MATCH($U12,Max_DOV!$A$5:$A$58,0),FALSE))</f>
        <v>Velmi dobře</v>
      </c>
      <c r="Y12" s="437" t="str">
        <f>IFERROR(HLOOKUP('3-Schopnosti'!$AS$3,Max_DOV!$A$5:$AH$58,MATCH($U12,Max_DOV!$A$5:$A$58,0),FALSE),"Vůbec")</f>
        <v>Vůbec</v>
      </c>
      <c r="Z12" s="438" t="str">
        <f t="shared" si="5"/>
        <v>Velmi dobře</v>
      </c>
      <c r="AA12" s="133" t="s">
        <v>115</v>
      </c>
      <c r="AB12" s="133" t="s">
        <v>4892</v>
      </c>
      <c r="AC12" s="133" t="s">
        <v>83</v>
      </c>
      <c r="AD12" s="133" t="s">
        <v>84</v>
      </c>
      <c r="AE12" s="133" t="s">
        <v>85</v>
      </c>
      <c r="AF12" s="133" t="str">
        <f t="shared" si="6"/>
        <v>Velmi dobře</v>
      </c>
      <c r="AG12" s="133" t="str">
        <f t="shared" si="7"/>
        <v>Vůbec</v>
      </c>
      <c r="AH12" s="133" t="str">
        <f t="shared" si="8"/>
        <v>Vůbec</v>
      </c>
      <c r="AI12" s="164">
        <f>AJ12</f>
        <v>0</v>
      </c>
      <c r="AJ12" s="1030"/>
      <c r="AL12" t="s">
        <v>2066</v>
      </c>
      <c r="AM12" s="164">
        <f>HLOOKUP($AL12,Veverka!$A$2:$AR$204,MATCH(ZV_1,Veverka!$A$2:$A$204,0),FALSE)</f>
        <v>0</v>
      </c>
      <c r="AN12" s="164">
        <f>IFERROR(HLOOKUP($AL12,Veverka!$A$2:$AR$204,MATCH(ZV_2,Veverka!$A$2:$A$204,0),FALSE),0)</f>
        <v>0</v>
      </c>
      <c r="AO12" s="164">
        <f>IFERROR(HLOOKUP($AL12,Veverka!$A$2:$AR$204,MATCH(ZV_3,Veverka!$A$2:$A$204,0),FALSE),0)</f>
        <v>0</v>
      </c>
      <c r="AP12" s="164">
        <f>HLOOKUP($AL12,Veverka!$A$2:$AR$204,MATCH(KV_1,Veverka!$A$2:$A$204,0),FALSE)</f>
        <v>0</v>
      </c>
      <c r="AQ12" s="164">
        <f>IFERROR(HLOOKUP($AL12,Veverka!$A$2:$AR$204,MATCH(KV_2,Veverka!$A$2:$A$204,0),FALSE),0)</f>
        <v>0</v>
      </c>
      <c r="AR12" s="164">
        <f>IFERROR(HLOOKUP($AL12,Veverka!$A$2:$AR$204,MATCH(KV_3,Veverka!$A$2:$A$204,0),FALSE),0)</f>
        <v>0</v>
      </c>
      <c r="AS12" s="530">
        <f t="shared" ref="AS12:AS19" si="10">SUM(AM12:AR12)</f>
        <v>0</v>
      </c>
    </row>
    <row r="13" spans="1:48" ht="15" customHeight="1" thickBot="1" x14ac:dyDescent="0.35">
      <c r="A13" s="1366" t="s">
        <v>5451</v>
      </c>
      <c r="B13" s="1366"/>
      <c r="C13" s="1366"/>
      <c r="D13" s="1366"/>
      <c r="E13" s="1366"/>
      <c r="F13" s="1367"/>
      <c r="G13" s="1366" t="s">
        <v>5454</v>
      </c>
      <c r="H13" s="1366"/>
      <c r="I13" s="1366"/>
      <c r="J13" s="1366"/>
      <c r="K13" s="1366"/>
      <c r="L13" s="1373"/>
      <c r="N13" s="490" t="str">
        <f>"=CHAR"</f>
        <v>=CHAR</v>
      </c>
      <c r="O13" s="832">
        <f>ROUND(sChr*Úr*IF($J$37="Ano",1.5,1),0)+K37+H37</f>
        <v>4</v>
      </c>
      <c r="P13" s="425">
        <f>DSUM('4-Dovednosti'!$D$2:$E$42,$E$2,N12:N13)+DSUM('4-Dovednosti'!$J$2:$K$28,$E$2,N12:N13)</f>
        <v>0</v>
      </c>
      <c r="Q13" s="491">
        <f>O13-P13</f>
        <v>4</v>
      </c>
      <c r="U13" s="1106" t="s">
        <v>5427</v>
      </c>
      <c r="V13" s="54" t="str">
        <f>HLOOKUP(Max_DOV!$B$5,Max_DOV!$A$5:$AH$58,MATCH($U13,Max_DOV!$A$5:$A$58,0),FALSE)</f>
        <v>INT</v>
      </c>
      <c r="W13" s="315" t="str">
        <f>IF(OR('3-Schopnosti'!$X$3="Runový mág",'3-Schopnosti'!$AS$3="Runový mág",'2-Vzhled a charakter'!$B$2="Půlelf",'2-Vzhled a charakter'!$B$2="Půlelf"),"Snížená","Běžná")</f>
        <v>Běžná</v>
      </c>
      <c r="X13" s="437" t="str">
        <f>HLOOKUP('3-Schopnosti'!$X$3,Max_DOV!$A$5:$AH$58,MATCH($U13,Max_DOV!$A$5:$A$58,0),FALSE)</f>
        <v>Velmi dobře</v>
      </c>
      <c r="Y13" s="437" t="str">
        <f>IFERROR(HLOOKUP('3-Schopnosti'!$AS$3,Max_DOV!$A$5:$AH$58,MATCH($U13,Max_DOV!$A$5:$A$58,0),FALSE),"Vůbec")</f>
        <v>Vůbec</v>
      </c>
      <c r="Z13" s="438" t="str">
        <f t="shared" si="5"/>
        <v>Velmi dobře</v>
      </c>
      <c r="AA13" s="133" t="s">
        <v>115</v>
      </c>
      <c r="AB13" s="133" t="s">
        <v>4892</v>
      </c>
      <c r="AC13" s="133" t="s">
        <v>83</v>
      </c>
      <c r="AD13" s="133" t="s">
        <v>84</v>
      </c>
      <c r="AE13" s="133" t="s">
        <v>85</v>
      </c>
      <c r="AF13" s="133" t="str">
        <f t="shared" si="6"/>
        <v>Velmi dobře</v>
      </c>
      <c r="AG13" s="133" t="str">
        <f t="shared" si="7"/>
        <v>Vůbec</v>
      </c>
      <c r="AH13" s="133" t="str">
        <f t="shared" si="8"/>
        <v>Vůbec</v>
      </c>
      <c r="AI13" s="164">
        <f>AJ13</f>
        <v>0</v>
      </c>
      <c r="AJ13" s="1030"/>
      <c r="AL13" t="s">
        <v>1202</v>
      </c>
      <c r="AM13" s="164">
        <f>HLOOKUP($AL13,Veverka!$A$2:$AR$204,MATCH(ZV_1,Veverka!$A$2:$A$204,0),FALSE)</f>
        <v>0</v>
      </c>
      <c r="AN13" s="164">
        <f>IFERROR(HLOOKUP($AL13,Veverka!$A$2:$AR$204,MATCH(ZV_2,Veverka!$A$2:$A$204,0),FALSE),0)</f>
        <v>0</v>
      </c>
      <c r="AO13" s="164">
        <f>IFERROR(HLOOKUP($AL13,Veverka!$A$2:$AR$204,MATCH(ZV_3,Veverka!$A$2:$A$204,0),FALSE),0)</f>
        <v>0</v>
      </c>
      <c r="AP13" s="164">
        <f>HLOOKUP($AL13,Veverka!$A$2:$AR$204,MATCH(KV_1,Veverka!$A$2:$A$204,0),FALSE)</f>
        <v>0</v>
      </c>
      <c r="AQ13" s="164">
        <f>IFERROR(HLOOKUP($AL13,Veverka!$A$2:$AR$204,MATCH(KV_2,Veverka!$A$2:$A$204,0),FALSE),0)</f>
        <v>0</v>
      </c>
      <c r="AR13" s="164">
        <f>IFERROR(HLOOKUP($AL13,Veverka!$A$2:$AR$204,MATCH(KV_3,Veverka!$A$2:$A$204,0),FALSE),0)</f>
        <v>0</v>
      </c>
      <c r="AS13" s="530">
        <f t="shared" si="10"/>
        <v>0</v>
      </c>
    </row>
    <row r="14" spans="1:48" ht="15" customHeight="1" x14ac:dyDescent="0.3">
      <c r="A14" s="493" t="s">
        <v>184</v>
      </c>
      <c r="B14" s="229" t="str">
        <f>IFERROR(HLOOKUP('4-Dovednosti'!$W$2,'4-Dovednosti'!$U$2:$W$57,MATCH($A14,'4-Dovednosti'!$U$2:$U$57,0),FALSE)," ")</f>
        <v>Běžná</v>
      </c>
      <c r="C14" s="230" t="s">
        <v>115</v>
      </c>
      <c r="D14" s="816" t="str">
        <f>IFERROR(HLOOKUP('4-Dovednosti'!$V$2,'4-Dovednosti'!$U$2:$W$57,MATCH(A14,'4-Dovednosti'!$U$2:$U$57,0),FALSE)," ")</f>
        <v>INT</v>
      </c>
      <c r="E14" s="229">
        <f t="shared" ref="E14:E22" si="11">IFERROR(HLOOKUP($B14,$N$28:$R$36,MATCH($C14,$N$28:$N$36,0),FALSE)," ")</f>
        <v>0</v>
      </c>
      <c r="F14" s="229">
        <f>IFERROR(HLOOKUP($O$28,$N$28:$R$36,MATCH($C14,$N$28:$N$36,0),FALSE)+AI5," ")</f>
        <v>-5</v>
      </c>
      <c r="G14" s="916" t="s">
        <v>1460</v>
      </c>
      <c r="H14" s="229" t="str">
        <f>IFERROR(HLOOKUP('4-Dovednosti'!$W$2,'4-Dovednosti'!$U$2:$W$57,MATCH($G14,'4-Dovednosti'!$U$2:$U$57,0),FALSE)," ")</f>
        <v>Běžná</v>
      </c>
      <c r="I14" s="230" t="s">
        <v>115</v>
      </c>
      <c r="J14" s="229" t="str">
        <f>IFERROR(HLOOKUP('4-Dovednosti'!$V$2,'4-Dovednosti'!$U$2:$W$57,MATCH(G14,'4-Dovednosti'!$U$2:$U$57,0),FALSE)," ")</f>
        <v>OBR</v>
      </c>
      <c r="K14" s="229">
        <f>IFERROR(HLOOKUP($H14,$N$28:$R$36,MATCH($I14,$N$28:$N$36,0),FALSE)," ")</f>
        <v>0</v>
      </c>
      <c r="L14" s="1093">
        <f>IFERROR(HLOOKUP($O$28,$N$28:$R$36,MATCH($I14,$N$28:$N$36,0),FALSE)+AI3," ")</f>
        <v>-4</v>
      </c>
      <c r="N14" t="s">
        <v>232</v>
      </c>
      <c r="U14" s="1107" t="s">
        <v>200</v>
      </c>
      <c r="V14" s="54" t="str">
        <f>HLOOKUP(Max_DOV!$B$5,Max_DOV!$A$5:$AH$58,MATCH($U14,Max_DOV!$A$5:$A$58,0),FALSE)</f>
        <v>VOL</v>
      </c>
      <c r="W14" s="315" t="str">
        <f>IF(OR(AV6="A",'2-Vzhled a charakter'!$B$2="Dabel",'2-Vzhled a charakter'!$B$2="Dabla",'2-Vzhled a charakter'!$B$2="Valrath",'2-Vzhled a charakter'!$B$2="Valratha"),"Snížená","Běžná")</f>
        <v>Běžná</v>
      </c>
      <c r="X14" s="437" t="str">
        <f>HLOOKUP('3-Schopnosti'!$X$3,Max_DOV!$A$5:$AH$58,MATCH($U14,Max_DOV!$A$5:$A$58,0),FALSE)</f>
        <v>Mistrně</v>
      </c>
      <c r="Y14" s="437" t="str">
        <f>IFERROR(HLOOKUP('3-Schopnosti'!$AS$3,Max_DOV!$A$5:$AH$58,MATCH($U14,Max_DOV!$A$5:$A$58,0),FALSE),"Vůbec")</f>
        <v>Vůbec</v>
      </c>
      <c r="Z14" s="438" t="str">
        <f t="shared" si="5"/>
        <v>Mistrně</v>
      </c>
      <c r="AA14" s="133" t="s">
        <v>115</v>
      </c>
      <c r="AB14" s="133" t="s">
        <v>4892</v>
      </c>
      <c r="AC14" s="133" t="s">
        <v>83</v>
      </c>
      <c r="AD14" s="133" t="s">
        <v>84</v>
      </c>
      <c r="AE14" s="133" t="s">
        <v>85</v>
      </c>
      <c r="AF14" s="133" t="str">
        <f t="shared" si="6"/>
        <v>Velmi dobře</v>
      </c>
      <c r="AG14" s="133" t="str">
        <f t="shared" si="7"/>
        <v>Dokonale</v>
      </c>
      <c r="AH14" s="133" t="str">
        <f t="shared" si="8"/>
        <v>Mistrně</v>
      </c>
      <c r="AI14" s="164">
        <f>IF(OR(Rasa="Člověk (M)",Rasa="Člověk (F)"),1,0)+AJ14</f>
        <v>0</v>
      </c>
      <c r="AJ14" s="1030"/>
      <c r="AL14" t="s">
        <v>210</v>
      </c>
      <c r="AM14" s="164">
        <f>HLOOKUP($AL14,Veverka!$A$2:$AR$204,MATCH(ZV_1,Veverka!$A$2:$A$204,0),FALSE)</f>
        <v>0</v>
      </c>
      <c r="AN14" s="164">
        <f>IFERROR(HLOOKUP($AL14,Veverka!$A$2:$AR$204,MATCH(ZV_2,Veverka!$A$2:$A$204,0),FALSE),0)</f>
        <v>0</v>
      </c>
      <c r="AO14" s="164">
        <f>IFERROR(HLOOKUP($AL14,Veverka!$A$2:$AR$204,MATCH(ZV_3,Veverka!$A$2:$A$204,0),FALSE),0)</f>
        <v>0</v>
      </c>
      <c r="AP14" s="164">
        <f>HLOOKUP($AL14,Veverka!$A$2:$AR$204,MATCH(KV_1,Veverka!$A$2:$A$204,0),FALSE)</f>
        <v>0</v>
      </c>
      <c r="AQ14" s="164">
        <f>IFERROR(HLOOKUP($AL14,Veverka!$A$2:$AR$204,MATCH(KV_2,Veverka!$A$2:$A$204,0),FALSE),0)</f>
        <v>0</v>
      </c>
      <c r="AR14" s="164">
        <f>IFERROR(HLOOKUP($AL14,Veverka!$A$2:$AR$204,MATCH(KV_3,Veverka!$A$2:$A$204,0),FALSE),0)</f>
        <v>0</v>
      </c>
      <c r="AS14" s="530">
        <f t="shared" si="10"/>
        <v>0</v>
      </c>
    </row>
    <row r="15" spans="1:48" ht="15" customHeight="1" x14ac:dyDescent="0.3">
      <c r="A15" s="493" t="s">
        <v>198</v>
      </c>
      <c r="B15" s="229" t="str">
        <f>IFERROR(HLOOKUP('4-Dovednosti'!$W$2,'4-Dovednosti'!$U$2:$W$57,MATCH($A15,'4-Dovednosti'!$U$2:$U$57,0),FALSE)," ")</f>
        <v>Běžná</v>
      </c>
      <c r="C15" s="230" t="s">
        <v>115</v>
      </c>
      <c r="D15" s="816" t="str">
        <f>IFERROR(HLOOKUP('4-Dovednosti'!$V$2,'4-Dovednosti'!$U$2:$W$57,MATCH(A15,'4-Dovednosti'!$U$2:$U$57,0),FALSE)," ")</f>
        <v>INT</v>
      </c>
      <c r="E15" s="229">
        <f t="shared" si="11"/>
        <v>0</v>
      </c>
      <c r="F15" s="229">
        <f>IFERROR(HLOOKUP($O$28,$N$28:$R$36,MATCH($C15,$N$28:$N$36,0),FALSE)+AI10," ")</f>
        <v>-5</v>
      </c>
      <c r="G15" s="916" t="s">
        <v>172</v>
      </c>
      <c r="H15" s="229" t="str">
        <f>IFERROR(HLOOKUP('4-Dovednosti'!$W$2,'4-Dovednosti'!$U$2:$W$57,MATCH($G15,'4-Dovednosti'!$U$2:$U$57,0),FALSE)," ")</f>
        <v>Běžná</v>
      </c>
      <c r="I15" s="230" t="s">
        <v>115</v>
      </c>
      <c r="J15" s="229" t="str">
        <f>IFERROR(HLOOKUP('4-Dovednosti'!$V$2,'4-Dovednosti'!$U$2:$W$57,MATCH(G15,'4-Dovednosti'!$U$2:$U$57,0),FALSE)," ")</f>
        <v>SIL</v>
      </c>
      <c r="K15" s="229">
        <f>IFERROR(HLOOKUP($H15,$N$28:$R$36,MATCH($I15,$N$28:$N$36,0),FALSE)," ")</f>
        <v>0</v>
      </c>
      <c r="L15" s="1093">
        <f>IFERROR(HLOOKUP($O$28,$N$28:$R$36,MATCH($I15,$N$28:$N$36,0),FALSE)+AI4," ")</f>
        <v>-5</v>
      </c>
      <c r="N15" s="1364" t="s">
        <v>170</v>
      </c>
      <c r="O15" s="1364"/>
      <c r="P15" s="1364"/>
      <c r="Q15" s="1364"/>
      <c r="R15" s="1364"/>
      <c r="S15" s="474"/>
      <c r="U15" s="1105" t="s">
        <v>5423</v>
      </c>
      <c r="V15" s="54" t="str">
        <f>HLOOKUP(Max_DOV!$B$5,Max_DOV!$A$5:$AH$58,MATCH($U15,Max_DOV!$A$5:$A$58,0),FALSE)</f>
        <v>INT</v>
      </c>
      <c r="W15" s="315" t="str">
        <f>IF(OR('3-Schopnosti'!$X$3="Rytíř",'3-Schopnosti'!$AS$3="Rytíř",$AV$7="A"),"Snížená","Běžná")</f>
        <v>Běžná</v>
      </c>
      <c r="X15" s="437" t="str">
        <f>HLOOKUP('3-Schopnosti'!$X$3,Max_DOV!$A$5:$AH$58,MATCH($U15,Max_DOV!$A$5:$A$58,0),FALSE)</f>
        <v>Mistrně</v>
      </c>
      <c r="Y15" s="437" t="str">
        <f>IFERROR(HLOOKUP('3-Schopnosti'!$AS$3,Max_DOV!$A$5:$AH$58,MATCH($U15,Max_DOV!$A$5:$A$58,0),FALSE),"Vůbec")</f>
        <v>Vůbec</v>
      </c>
      <c r="Z15" s="438" t="str">
        <f t="shared" si="5"/>
        <v>Mistrně</v>
      </c>
      <c r="AA15" s="133" t="s">
        <v>115</v>
      </c>
      <c r="AB15" s="133" t="s">
        <v>4892</v>
      </c>
      <c r="AC15" s="133" t="s">
        <v>83</v>
      </c>
      <c r="AD15" s="133" t="s">
        <v>84</v>
      </c>
      <c r="AE15" s="133" t="s">
        <v>85</v>
      </c>
      <c r="AF15" s="133" t="str">
        <f t="shared" si="6"/>
        <v>Velmi dobře</v>
      </c>
      <c r="AG15" s="133" t="str">
        <f t="shared" si="7"/>
        <v>Dokonale</v>
      </c>
      <c r="AH15" s="133" t="str">
        <f t="shared" si="8"/>
        <v>Mistrně</v>
      </c>
      <c r="AI15" s="164">
        <f>IF(OR('3-Schopnosti'!$X$3="Bard",'3-Schopnosti'!$AS3="Bard"),1,0)+AJ15</f>
        <v>0</v>
      </c>
      <c r="AJ15" s="1030"/>
      <c r="AL15" t="s">
        <v>876</v>
      </c>
      <c r="AM15" s="164">
        <f>HLOOKUP($AL15,Veverka!$A$2:$AR$204,MATCH(ZV_1,Veverka!$A$2:$A$204,0),FALSE)</f>
        <v>0</v>
      </c>
      <c r="AN15" s="164">
        <f>IFERROR(HLOOKUP($AL15,Veverka!$A$2:$AR$204,MATCH(ZV_2,Veverka!$A$2:$A$204,0),FALSE),0)</f>
        <v>0</v>
      </c>
      <c r="AO15" s="164">
        <f>IFERROR(HLOOKUP($AL15,Veverka!$A$2:$AR$204,MATCH(ZV_3,Veverka!$A$2:$A$204,0),FALSE),0)</f>
        <v>0</v>
      </c>
      <c r="AP15" s="164">
        <f>HLOOKUP($AL15,Veverka!$A$2:$AR$204,MATCH(KV_1,Veverka!$A$2:$A$204,0),FALSE)</f>
        <v>0</v>
      </c>
      <c r="AQ15" s="164">
        <f>IFERROR(HLOOKUP($AL15,Veverka!$A$2:$AR$204,MATCH(KV_2,Veverka!$A$2:$A$204,0),FALSE),0)</f>
        <v>0</v>
      </c>
      <c r="AR15" s="164">
        <f>IFERROR(HLOOKUP($AL15,Veverka!$A$2:$AR$204,MATCH(KV_3,Veverka!$A$2:$A$204,0),FALSE),0)</f>
        <v>0</v>
      </c>
      <c r="AS15" s="530">
        <f t="shared" si="10"/>
        <v>0</v>
      </c>
    </row>
    <row r="16" spans="1:48" ht="15" customHeight="1" x14ac:dyDescent="0.3">
      <c r="A16" s="493" t="s">
        <v>5423</v>
      </c>
      <c r="B16" s="229" t="str">
        <f>IFERROR(HLOOKUP('4-Dovednosti'!$W$2,'4-Dovednosti'!$U$2:$W$57,MATCH($A16,'4-Dovednosti'!$U$2:$U$57,0),FALSE)," ")</f>
        <v>Běžná</v>
      </c>
      <c r="C16" s="230" t="s">
        <v>115</v>
      </c>
      <c r="D16" s="816" t="str">
        <f>IFERROR(HLOOKUP('4-Dovednosti'!$V$2,'4-Dovednosti'!$U$2:$W$57,MATCH(A16,'4-Dovednosti'!$U$2:$U$57,0),FALSE)," ")</f>
        <v>INT</v>
      </c>
      <c r="E16" s="229">
        <f t="shared" si="11"/>
        <v>0</v>
      </c>
      <c r="F16" s="229">
        <f>IFERROR(HLOOKUP($O$28,$N$28:$R$36,MATCH($C16,$N$28:$N$36,0),FALSE)+AI15," ")</f>
        <v>-5</v>
      </c>
      <c r="G16" s="916" t="s">
        <v>5427</v>
      </c>
      <c r="H16" s="229" t="str">
        <f>IFERROR(HLOOKUP('4-Dovednosti'!$W$2,'4-Dovednosti'!$U$2:$W$57,MATCH($G16,'4-Dovednosti'!$U$2:$U$57,0),FALSE)," ")</f>
        <v>Běžná</v>
      </c>
      <c r="I16" s="230" t="s">
        <v>115</v>
      </c>
      <c r="J16" s="229" t="str">
        <f>IFERROR(HLOOKUP('4-Dovednosti'!$V$2,'4-Dovednosti'!$U$2:$W$57,MATCH(G16,'4-Dovednosti'!$U$2:$U$57,0),FALSE)," ")</f>
        <v>INT</v>
      </c>
      <c r="K16" s="229">
        <f>IFERROR(HLOOKUP($H16,$N$28:$R$36,MATCH($I16,$N$28:$N$36,0),FALSE)," ")</f>
        <v>0</v>
      </c>
      <c r="L16" s="1093">
        <f>IFERROR(HLOOKUP($O$28,$N$28:$R$36,MATCH($I16,$N$28:$N$36,0),FALSE)+AI13," ")</f>
        <v>-5</v>
      </c>
      <c r="N16" s="47" t="s">
        <v>2</v>
      </c>
      <c r="O16" s="48" t="s">
        <v>5444</v>
      </c>
      <c r="P16" s="49" t="s">
        <v>5441</v>
      </c>
      <c r="Q16" s="49" t="s">
        <v>5442</v>
      </c>
      <c r="S16" s="427"/>
      <c r="U16" s="1106" t="s">
        <v>5428</v>
      </c>
      <c r="V16" s="54" t="str">
        <f>HLOOKUP(Max_DOV!$B$5,Max_DOV!$A$5:$AH$58,MATCH($U16,Max_DOV!$A$5:$A$58,0),FALSE)</f>
        <v>CHAR</v>
      </c>
      <c r="W16" s="315" t="str">
        <f>IF(OR('2-Vzhled a charakter'!$B$2="Elf",'2-Vzhled a charakter'!$B$2="Elf",'2-Vzhled a charakter'!$B$2="Najáda"),"Snížená","Běžná")</f>
        <v>Běžná</v>
      </c>
      <c r="X16" s="437" t="str">
        <f>HLOOKUP('3-Schopnosti'!$X$3,Max_DOV!$A$5:$AH$58,MATCH($U16,Max_DOV!$A$5:$A$58,0),FALSE)</f>
        <v>Velmi dobře</v>
      </c>
      <c r="Y16" s="437" t="str">
        <f>IFERROR(HLOOKUP('3-Schopnosti'!$AS$3,Max_DOV!$A$5:$AH$58,MATCH($U16,Max_DOV!$A$5:$A$58,0),FALSE),"Vůbec")</f>
        <v>Vůbec</v>
      </c>
      <c r="Z16" s="438" t="str">
        <f t="shared" si="5"/>
        <v>Velmi dobře</v>
      </c>
      <c r="AA16" s="133" t="s">
        <v>115</v>
      </c>
      <c r="AB16" s="133" t="s">
        <v>4892</v>
      </c>
      <c r="AC16" s="133" t="s">
        <v>83</v>
      </c>
      <c r="AD16" s="133" t="s">
        <v>84</v>
      </c>
      <c r="AE16" s="133" t="s">
        <v>85</v>
      </c>
      <c r="AF16" s="133" t="str">
        <f t="shared" si="6"/>
        <v>Velmi dobře</v>
      </c>
      <c r="AG16" s="133" t="str">
        <f t="shared" si="7"/>
        <v>Vůbec</v>
      </c>
      <c r="AH16" s="133" t="str">
        <f t="shared" si="8"/>
        <v>Vůbec</v>
      </c>
      <c r="AI16" s="164">
        <f>AS16+AJ16</f>
        <v>0</v>
      </c>
      <c r="AJ16" s="1030"/>
      <c r="AL16" t="s">
        <v>5428</v>
      </c>
      <c r="AM16" s="164">
        <f>HLOOKUP($AL16,Veverka!$A$2:$AR$204,MATCH(ZV_1,Veverka!$A$2:$A$204,0),FALSE)</f>
        <v>0</v>
      </c>
      <c r="AN16" s="164">
        <f>IFERROR(HLOOKUP($AL16,Veverka!$A$2:$AR$204,MATCH(ZV_2,Veverka!$A$2:$A$204,0),FALSE),0)</f>
        <v>0</v>
      </c>
      <c r="AO16" s="164">
        <f>IFERROR(HLOOKUP($AL16,Veverka!$A$2:$AR$204,MATCH(ZV_3,Veverka!$A$2:$A$204,0),FALSE),0)</f>
        <v>0</v>
      </c>
      <c r="AP16" s="164">
        <f>HLOOKUP($AL16,Veverka!$A$2:$AR$204,MATCH(KV_1,Veverka!$A$2:$A$204,0),FALSE)</f>
        <v>0</v>
      </c>
      <c r="AQ16" s="164">
        <f>IFERROR(HLOOKUP($AL16,Veverka!$A$2:$AR$204,MATCH(KV_2,Veverka!$A$2:$A$204,0),FALSE),0)</f>
        <v>0</v>
      </c>
      <c r="AR16" s="164">
        <f>IFERROR(HLOOKUP($AL16,Veverka!$A$2:$AR$204,MATCH(KV_3,Veverka!$A$2:$A$204,0),FALSE),0)</f>
        <v>0</v>
      </c>
      <c r="AS16" s="530">
        <f t="shared" si="10"/>
        <v>0</v>
      </c>
    </row>
    <row r="17" spans="1:45" ht="15" customHeight="1" x14ac:dyDescent="0.3">
      <c r="A17" s="493" t="s">
        <v>203</v>
      </c>
      <c r="B17" s="229" t="str">
        <f>IFERROR(HLOOKUP('4-Dovednosti'!$W$2,'4-Dovednosti'!$U$2:$W$57,MATCH($A17,'4-Dovednosti'!$U$2:$U$57,0),FALSE)," ")</f>
        <v>Běžná</v>
      </c>
      <c r="C17" s="230" t="s">
        <v>115</v>
      </c>
      <c r="D17" s="816" t="str">
        <f>IFERROR(HLOOKUP('4-Dovednosti'!$V$2,'4-Dovednosti'!$U$2:$W$57,MATCH(A17,'4-Dovednosti'!$U$2:$U$57,0),FALSE)," ")</f>
        <v>INT</v>
      </c>
      <c r="E17" s="229">
        <f t="shared" si="11"/>
        <v>0</v>
      </c>
      <c r="F17" s="229">
        <f>IFERROR(HLOOKUP($O$28,$N$28:$R$36,MATCH($C17,$N$28:$N$36,0),FALSE)+AI27," ")</f>
        <v>-5</v>
      </c>
      <c r="G17" s="916" t="s">
        <v>5428</v>
      </c>
      <c r="H17" s="229" t="str">
        <f>IFERROR(HLOOKUP('4-Dovednosti'!$W$2,'4-Dovednosti'!$U$2:$W$57,MATCH($G17,'4-Dovednosti'!$U$2:$U$57,0),FALSE)," ")</f>
        <v>Běžná</v>
      </c>
      <c r="I17" s="230" t="s">
        <v>115</v>
      </c>
      <c r="J17" s="229" t="str">
        <f>IFERROR(HLOOKUP('4-Dovednosti'!$V$2,'4-Dovednosti'!$U$2:$W$57,MATCH(G17,'4-Dovednosti'!$U$2:$U$57,0),FALSE)," ")</f>
        <v>CHAR</v>
      </c>
      <c r="K17" s="229">
        <f>IFERROR(HLOOKUP($H17,$N$28:$R$36,MATCH($I17,$N$28:$N$36,0),FALSE)," ")</f>
        <v>0</v>
      </c>
      <c r="L17" s="1093">
        <f>IFERROR(HLOOKUP($O$28,$N$28:$R$36,MATCH($I17,$N$28:$N$36,0),FALSE)+AI16," ")</f>
        <v>-5</v>
      </c>
      <c r="N17" s="28" t="s">
        <v>115</v>
      </c>
      <c r="O17" s="52" t="s">
        <v>74</v>
      </c>
      <c r="P17" s="53">
        <v>0</v>
      </c>
      <c r="Q17" s="53">
        <v>0</v>
      </c>
      <c r="S17" s="428"/>
      <c r="U17" s="1107" t="s">
        <v>5430</v>
      </c>
      <c r="V17" s="54" t="str">
        <f>HLOOKUP(Max_DOV!$B$5,Max_DOV!$A$5:$AH$58,MATCH($U17,Max_DOV!$A$5:$A$58,0),FALSE)</f>
        <v>VOL</v>
      </c>
      <c r="W17" s="315" t="str">
        <f>IF($AV$3="A","Snížená","Běžná")</f>
        <v>Běžná</v>
      </c>
      <c r="X17" s="437" t="str">
        <f>HLOOKUP('3-Schopnosti'!$X$3,Max_DOV!$A$5:$AH$58,MATCH($U17,Max_DOV!$A$5:$A$58,0),FALSE)</f>
        <v>Velmi dobře</v>
      </c>
      <c r="Y17" s="437" t="str">
        <f>IFERROR(HLOOKUP('3-Schopnosti'!$AS$3,Max_DOV!$A$5:$AH$58,MATCH($U17,Max_DOV!$A$5:$A$58,0),FALSE),"Vůbec")</f>
        <v>Vůbec</v>
      </c>
      <c r="Z17" s="438" t="str">
        <f t="shared" si="5"/>
        <v>Velmi dobře</v>
      </c>
      <c r="AA17" s="133" t="s">
        <v>115</v>
      </c>
      <c r="AB17" s="133" t="s">
        <v>4892</v>
      </c>
      <c r="AC17" s="133" t="s">
        <v>83</v>
      </c>
      <c r="AD17" s="133" t="s">
        <v>84</v>
      </c>
      <c r="AE17" s="133" t="s">
        <v>85</v>
      </c>
      <c r="AF17" s="133" t="str">
        <f t="shared" si="6"/>
        <v>Velmi dobře</v>
      </c>
      <c r="AG17" s="133" t="str">
        <f t="shared" si="7"/>
        <v>Vůbec</v>
      </c>
      <c r="AH17" s="133" t="str">
        <f t="shared" si="8"/>
        <v>Vůbec</v>
      </c>
      <c r="AI17" s="164">
        <f>AJ17</f>
        <v>0</v>
      </c>
      <c r="AJ17" s="1030"/>
      <c r="AL17" t="s">
        <v>5432</v>
      </c>
      <c r="AM17" s="164">
        <f>HLOOKUP($AL17,Veverka!$A$2:$AR$204,MATCH(ZV_1,Veverka!$A$2:$A$204,0),FALSE)</f>
        <v>0</v>
      </c>
      <c r="AN17" s="164">
        <f>IFERROR(HLOOKUP($AL17,Veverka!$A$2:$AR$204,MATCH(ZV_2,Veverka!$A$2:$A$204,0),FALSE),0)</f>
        <v>0</v>
      </c>
      <c r="AO17" s="164">
        <f>IFERROR(HLOOKUP($AL17,Veverka!$A$2:$AR$204,MATCH(ZV_3,Veverka!$A$2:$A$204,0),FALSE),0)</f>
        <v>0</v>
      </c>
      <c r="AP17" s="164">
        <f>HLOOKUP($AL17,Veverka!$A$2:$AR$204,MATCH(KV_1,Veverka!$A$2:$A$204,0),FALSE)</f>
        <v>0</v>
      </c>
      <c r="AQ17" s="164">
        <f>IFERROR(HLOOKUP($AL17,Veverka!$A$2:$AR$204,MATCH(KV_2,Veverka!$A$2:$A$204,0),FALSE),0)</f>
        <v>0</v>
      </c>
      <c r="AR17" s="164">
        <f>IFERROR(HLOOKUP($AL17,Veverka!$A$2:$AR$204,MATCH(KV_3,Veverka!$A$2:$A$204,0),FALSE),0)</f>
        <v>0</v>
      </c>
      <c r="AS17" s="530">
        <f t="shared" si="10"/>
        <v>0</v>
      </c>
    </row>
    <row r="18" spans="1:45" ht="15" customHeight="1" x14ac:dyDescent="0.3">
      <c r="A18" s="493" t="s">
        <v>4238</v>
      </c>
      <c r="B18" s="229" t="str">
        <f>IFERROR(HLOOKUP('4-Dovednosti'!$W$2,'4-Dovednosti'!$U$2:$W$57,MATCH($A18,'4-Dovednosti'!$U$2:$U$57,0),FALSE)," ")</f>
        <v>Snížená</v>
      </c>
      <c r="C18" s="230" t="s">
        <v>115</v>
      </c>
      <c r="D18" s="816" t="str">
        <f>IFERROR(HLOOKUP('4-Dovednosti'!$V$2,'4-Dovednosti'!$U$2:$W$57,MATCH(A18,'4-Dovednosti'!$U$2:$U$57,0),FALSE)," ")</f>
        <v>INT</v>
      </c>
      <c r="E18" s="229">
        <f t="shared" si="11"/>
        <v>0</v>
      </c>
      <c r="F18" s="229">
        <f>IFERROR(HLOOKUP($O$28,$N$28:$R$36,MATCH($C18,$N$28:$N$36,0),FALSE)+AI32," ")</f>
        <v>-5</v>
      </c>
      <c r="G18" s="1092" t="s">
        <v>5456</v>
      </c>
      <c r="H18" s="1370"/>
      <c r="I18" s="1371"/>
      <c r="J18" s="1371"/>
      <c r="K18" s="1371"/>
      <c r="L18" s="1372"/>
      <c r="N18" s="7" t="s">
        <v>4892</v>
      </c>
      <c r="O18" s="52" t="s">
        <v>70</v>
      </c>
      <c r="P18" s="53">
        <v>4</v>
      </c>
      <c r="Q18" s="53">
        <v>6</v>
      </c>
      <c r="S18" s="428"/>
      <c r="U18" s="1107" t="s">
        <v>4889</v>
      </c>
      <c r="V18" s="54" t="str">
        <f>HLOOKUP(Max_DOV!$B$5,Max_DOV!$A$5:$AH$58,MATCH($U18,Max_DOV!$A$5:$A$58,0),FALSE)</f>
        <v>VOL</v>
      </c>
      <c r="W18" s="315" t="str">
        <f>IF($AV$3="A","Snížená","Běžná")</f>
        <v>Běžná</v>
      </c>
      <c r="X18" s="437" t="str">
        <f>HLOOKUP('3-Schopnosti'!$X$3,Max_DOV!$A$5:$AH$58,MATCH($U18,Max_DOV!$A$5:$A$58,0),FALSE)</f>
        <v>Vůbec</v>
      </c>
      <c r="Y18" s="437" t="str">
        <f>IFERROR(HLOOKUP('3-Schopnosti'!$AS$3,Max_DOV!$A$5:$AH$58,MATCH($U18,Max_DOV!$A$5:$A$58,0),FALSE),"Vůbec")</f>
        <v>Vůbec</v>
      </c>
      <c r="Z18" s="438" t="str">
        <f t="shared" ref="Z18" si="12">IF(OR(X18="Mistrně",Y18="Mistrně"),"Mistrně",IF(OR(X18="Dokonale",Y18="Dokonale"),"Dokonale",IF(OR(X18="Velmi dobře",Y18="Velmi dobře"),"Velmi dobře",IF(OR(X18="Dobře",Y18="Dobře"),"Dobře","Vůbec"))))</f>
        <v>Vůbec</v>
      </c>
      <c r="AA18" s="133" t="s">
        <v>115</v>
      </c>
      <c r="AB18" s="133" t="str">
        <f>IF(Y18="Vůbec","Vůbec","Velmi špatně")</f>
        <v>Vůbec</v>
      </c>
      <c r="AC18" s="133" t="str">
        <f>IF(Z18="Vůbec","Vůbec","Špatně")</f>
        <v>Vůbec</v>
      </c>
      <c r="AD18" s="133" t="str">
        <f>IF(Z18="Vůbec","Vůbec","Průměrně")</f>
        <v>Vůbec</v>
      </c>
      <c r="AE18" s="133" t="str">
        <f>IF(Z18="Vůbec","Vůbec","Dobře")</f>
        <v>Vůbec</v>
      </c>
      <c r="AF18" s="133" t="str">
        <f t="shared" si="6"/>
        <v>Vůbec</v>
      </c>
      <c r="AG18" s="133" t="str">
        <f t="shared" si="7"/>
        <v>Vůbec</v>
      </c>
      <c r="AH18" s="133" t="str">
        <f t="shared" si="8"/>
        <v>Vůbec</v>
      </c>
      <c r="AI18" s="164">
        <f>AJ18</f>
        <v>0</v>
      </c>
      <c r="AJ18" s="1030"/>
      <c r="AL18" t="s">
        <v>2491</v>
      </c>
      <c r="AM18" s="164">
        <f>HLOOKUP($AL18,Veverka!$A$2:$AR$204,MATCH(ZV_1,Veverka!$A$2:$A$204,0),FALSE)</f>
        <v>0</v>
      </c>
      <c r="AN18" s="164">
        <f>IFERROR(HLOOKUP($AL18,Veverka!$A$2:$AR$204,MATCH(ZV_2,Veverka!$A$2:$A$204,0),FALSE),0)</f>
        <v>0</v>
      </c>
      <c r="AO18" s="164">
        <f>IFERROR(HLOOKUP($AL18,Veverka!$A$2:$AR$204,MATCH(ZV_3,Veverka!$A$2:$A$204,0),FALSE),0)</f>
        <v>0</v>
      </c>
      <c r="AP18" s="164">
        <f>HLOOKUP($AL18,Veverka!$A$2:$AR$204,MATCH(KV_1,Veverka!$A$2:$A$204,0),FALSE)</f>
        <v>0</v>
      </c>
      <c r="AQ18" s="164">
        <f>IFERROR(HLOOKUP($AL18,Veverka!$A$2:$AR$204,MATCH(KV_2,Veverka!$A$2:$A$204,0),FALSE),0)</f>
        <v>0</v>
      </c>
      <c r="AR18" s="164">
        <f>IFERROR(HLOOKUP($AL18,Veverka!$A$2:$AR$204,MATCH(KV_3,Veverka!$A$2:$A$204,0),FALSE),0)</f>
        <v>0</v>
      </c>
      <c r="AS18" s="530">
        <f t="shared" si="10"/>
        <v>0</v>
      </c>
    </row>
    <row r="19" spans="1:45" ht="15" customHeight="1" x14ac:dyDescent="0.3">
      <c r="A19" s="493" t="s">
        <v>1144</v>
      </c>
      <c r="B19" s="229" t="str">
        <f>IFERROR(HLOOKUP('4-Dovednosti'!$W$2,'4-Dovednosti'!$U$2:$W$57,MATCH($A19,'4-Dovednosti'!$U$2:$U$57,0),FALSE)," ")</f>
        <v>Běžná</v>
      </c>
      <c r="C19" s="230" t="s">
        <v>115</v>
      </c>
      <c r="D19" s="816" t="str">
        <f>IFERROR(HLOOKUP('4-Dovednosti'!$V$2,'4-Dovednosti'!$U$2:$W$57,MATCH(A19,'4-Dovednosti'!$U$2:$U$57,0),FALSE)," ")</f>
        <v>INT</v>
      </c>
      <c r="E19" s="229">
        <f t="shared" si="11"/>
        <v>0</v>
      </c>
      <c r="F19" s="229">
        <f>IFERROR(HLOOKUP($O$28,$N$28:$R$36,MATCH($C19,$N$28:$N$36,0),FALSE)+AI34," ")</f>
        <v>-5</v>
      </c>
      <c r="G19" s="916" t="s">
        <v>5431</v>
      </c>
      <c r="H19" s="229" t="str">
        <f>IFERROR(HLOOKUP('4-Dovednosti'!$W$2,'4-Dovednosti'!$U$2:$W$57,MATCH($G19,'4-Dovednosti'!$U$2:$U$57,0),FALSE)," ")</f>
        <v>Běžná</v>
      </c>
      <c r="I19" s="230" t="s">
        <v>115</v>
      </c>
      <c r="J19" s="229" t="str">
        <f>IFERROR(HLOOKUP('4-Dovednosti'!$V$2,'4-Dovednosti'!$U$2:$W$57,MATCH(G19,'4-Dovednosti'!$U$2:$U$57,0),FALSE)," ")</f>
        <v>OBR</v>
      </c>
      <c r="K19" s="229">
        <f>IFERROR(HLOOKUP($H19,$N$28:$R$36,MATCH($I19,$N$28:$N$36,0),FALSE)," ")</f>
        <v>0</v>
      </c>
      <c r="L19" s="1093">
        <f>IFERROR(HLOOKUP($O$28,$N$28:$R$36,MATCH($I19,$N$28:$N$36,0),FALSE)+AI26," ")</f>
        <v>-5</v>
      </c>
      <c r="N19" s="7" t="s">
        <v>83</v>
      </c>
      <c r="O19" s="52" t="s">
        <v>67</v>
      </c>
      <c r="P19" s="53">
        <v>8</v>
      </c>
      <c r="Q19" s="53">
        <v>12</v>
      </c>
      <c r="S19" s="428"/>
      <c r="U19" s="1107" t="s">
        <v>1203</v>
      </c>
      <c r="V19" s="54" t="str">
        <f>HLOOKUP(Max_DOV!$B$5,Max_DOV!$A$5:$AH$58,MATCH($U19,Max_DOV!$A$5:$A$58,0),FALSE)</f>
        <v>VOL</v>
      </c>
      <c r="W19" s="315" t="str">
        <f>IF($AV$3="A","Snížená","Běžná")</f>
        <v>Běžná</v>
      </c>
      <c r="X19" s="437" t="str">
        <f>HLOOKUP('3-Schopnosti'!$X$3,Max_DOV!$A$5:$AH$58,MATCH($U19,Max_DOV!$A$5:$A$58,0),FALSE)</f>
        <v>Velmi dobře</v>
      </c>
      <c r="Y19" s="437" t="str">
        <f>IFERROR(HLOOKUP('3-Schopnosti'!$AS$3,Max_DOV!$A$5:$AH$58,MATCH($U19,Max_DOV!$A$5:$A$58,0),FALSE),"Vůbec")</f>
        <v>Vůbec</v>
      </c>
      <c r="Z19" s="438" t="str">
        <f>IF(OR(X19="Mistrně",Y19="Mistrně"),"Mistrně",IF(OR(X19="Dokonale",Y19="Dokonale"),"Dokonale",IF(OR(X19="Velmi dobře",Y19="Velmi dobře"),"Velmi dobře",IF(OR(X19="Dobře",Y19="Dobře"),"Dobře","Vůbec"))))</f>
        <v>Velmi dobře</v>
      </c>
      <c r="AA19" s="133" t="s">
        <v>115</v>
      </c>
      <c r="AB19" s="133" t="s">
        <v>4892</v>
      </c>
      <c r="AC19" s="133" t="s">
        <v>83</v>
      </c>
      <c r="AD19" s="133" t="s">
        <v>84</v>
      </c>
      <c r="AE19" s="133" t="s">
        <v>85</v>
      </c>
      <c r="AF19" s="133" t="str">
        <f t="shared" si="6"/>
        <v>Velmi dobře</v>
      </c>
      <c r="AG19" s="133" t="str">
        <f t="shared" si="7"/>
        <v>Vůbec</v>
      </c>
      <c r="AH19" s="133" t="str">
        <f t="shared" si="8"/>
        <v>Vůbec</v>
      </c>
      <c r="AI19" s="164">
        <f>IF(OR('3-Schopnosti'!$X$3="Nekromant",'3-Schopnosti'!$AS$3="Nekromant",'3-Schopnosti'!$X$3="Temný mág",'3-Schopnosti'!$AS$3="Temný mág"),1,0)+AJ19</f>
        <v>0</v>
      </c>
      <c r="AJ19" s="1030"/>
      <c r="AL19" s="29" t="s">
        <v>4240</v>
      </c>
      <c r="AM19" s="164">
        <f>HLOOKUP($AL19,Veverka!$A$2:$AR$204,MATCH(ZV_1,Veverka!$A$2:$A$204,0),FALSE)</f>
        <v>0</v>
      </c>
      <c r="AN19" s="164">
        <f>IFERROR(HLOOKUP($AL19,Veverka!$A$2:$AR$204,MATCH(ZV_2,Veverka!$A$2:$A$204,0),FALSE),0)</f>
        <v>0</v>
      </c>
      <c r="AO19" s="164">
        <f>IFERROR(HLOOKUP($AL19,Veverka!$A$2:$AR$204,MATCH(ZV_3,Veverka!$A$2:$A$204,0),FALSE),0)</f>
        <v>0</v>
      </c>
      <c r="AP19" s="164">
        <f>HLOOKUP($AL19,Veverka!$A$2:$AR$204,MATCH(KV_1,Veverka!$A$2:$A$204,0),FALSE)</f>
        <v>0</v>
      </c>
      <c r="AQ19" s="164">
        <f>IFERROR(HLOOKUP($AL19,Veverka!$A$2:$AR$204,MATCH(KV_2,Veverka!$A$2:$A$204,0),FALSE),0)</f>
        <v>0</v>
      </c>
      <c r="AR19" s="164">
        <f>IFERROR(HLOOKUP($AL19,Veverka!$A$2:$AR$204,MATCH(KV_3,Veverka!$A$2:$A$204,0),FALSE),0)</f>
        <v>0</v>
      </c>
      <c r="AS19" s="530">
        <f t="shared" si="10"/>
        <v>0</v>
      </c>
    </row>
    <row r="20" spans="1:45" ht="15" customHeight="1" x14ac:dyDescent="0.3">
      <c r="A20" s="493" t="s">
        <v>1145</v>
      </c>
      <c r="B20" s="229" t="str">
        <f>IFERROR(HLOOKUP('4-Dovednosti'!$W$2,'4-Dovednosti'!$U$2:$W$57,MATCH($A20,'4-Dovednosti'!$U$2:$U$57,0),FALSE)," ")</f>
        <v>Běžná</v>
      </c>
      <c r="C20" s="230" t="s">
        <v>115</v>
      </c>
      <c r="D20" s="816" t="str">
        <f>IFERROR(HLOOKUP('4-Dovednosti'!$V$2,'4-Dovednosti'!$U$2:$W$57,MATCH(A20,'4-Dovednosti'!$U$2:$U$57,0),FALSE)," ")</f>
        <v>CHAR</v>
      </c>
      <c r="E20" s="229">
        <f t="shared" si="11"/>
        <v>0</v>
      </c>
      <c r="F20" s="229">
        <f>IFERROR(HLOOKUP($O$28,$N$28:$R$36,MATCH($C20,$N$28:$N$36,0),FALSE)+AI44," ")</f>
        <v>-5</v>
      </c>
      <c r="G20" s="916" t="s">
        <v>5422</v>
      </c>
      <c r="H20" s="229" t="str">
        <f>IFERROR(HLOOKUP('4-Dovednosti'!$W$2,'4-Dovednosti'!$U$2:$W$57,MATCH($G20,'4-Dovednosti'!$U$2:$U$57,0),FALSE)," ")</f>
        <v>Běžná</v>
      </c>
      <c r="I20" s="230" t="s">
        <v>115</v>
      </c>
      <c r="J20" s="229" t="str">
        <f>IFERROR(HLOOKUP('4-Dovednosti'!$V$2,'4-Dovednosti'!$U$2:$W$57,MATCH(G20,'4-Dovednosti'!$U$2:$U$57,0),FALSE)," ")</f>
        <v>CHAR</v>
      </c>
      <c r="K20" s="229">
        <f>IFERROR(HLOOKUP($H20,$N$28:$R$36,MATCH($I20,$N$28:$N$36,0),FALSE)," ")</f>
        <v>0</v>
      </c>
      <c r="L20" s="1093">
        <f>IFERROR(HLOOKUP($O$28,$N$28:$R$36,MATCH($I20,$N$28:$N$36,0),FALSE)+AI28," ")</f>
        <v>-5</v>
      </c>
      <c r="N20" s="7" t="s">
        <v>84</v>
      </c>
      <c r="O20" s="52" t="s">
        <v>66</v>
      </c>
      <c r="P20" s="53">
        <v>12</v>
      </c>
      <c r="Q20" s="53">
        <v>18</v>
      </c>
      <c r="S20" s="428"/>
      <c r="U20" s="1107" t="s">
        <v>1204</v>
      </c>
      <c r="V20" s="54" t="str">
        <f>HLOOKUP(Max_DOV!$B$5,Max_DOV!$A$5:$AH$58,MATCH($U20,Max_DOV!$A$5:$A$58,0),FALSE)</f>
        <v>VOL</v>
      </c>
      <c r="W20" s="315" t="str">
        <f>IF($AV$3="A","Snížená","Běžná")</f>
        <v>Běžná</v>
      </c>
      <c r="X20" s="437" t="str">
        <f>HLOOKUP('3-Schopnosti'!$X$3,Max_DOV!$A$5:$AH$58,MATCH($U20,Max_DOV!$A$5:$A$58,0),FALSE)</f>
        <v>Vůbec</v>
      </c>
      <c r="Y20" s="437" t="str">
        <f>IFERROR(HLOOKUP('3-Schopnosti'!$AS$3,Max_DOV!$A$5:$AH$58,MATCH($U20,Max_DOV!$A$5:$A$58,0),FALSE),"Vůbec")</f>
        <v>Vůbec</v>
      </c>
      <c r="Z20" s="438" t="str">
        <f>IF(OR(X20="Mistrně",Y20="Mistrně"),"Mistrně",IF(OR(X20="Dokonale",Y20="Dokonale"),"Dokonale",IF(OR(X20="Velmi dobře",Y20="Velmi dobře"),"Velmi dobře",IF(OR(X20="Dobře",Y20="Dobře"),"Dobře","Vůbec"))))</f>
        <v>Vůbec</v>
      </c>
      <c r="AA20" s="133" t="s">
        <v>115</v>
      </c>
      <c r="AB20" s="133" t="str">
        <f>IF(Y20="Vůbec","Vůbec","Velmi špatně")</f>
        <v>Vůbec</v>
      </c>
      <c r="AC20" s="133" t="str">
        <f>IF(Z20="Vůbec","Vůbec","Špatně")</f>
        <v>Vůbec</v>
      </c>
      <c r="AD20" s="133" t="str">
        <f>IF(Z20="Vůbec","Vůbec","Průměrně")</f>
        <v>Vůbec</v>
      </c>
      <c r="AE20" s="133" t="str">
        <f>IF(Z20="Vůbec","Vůbec","Dobře")</f>
        <v>Vůbec</v>
      </c>
      <c r="AF20" s="133" t="str">
        <f t="shared" si="6"/>
        <v>Vůbec</v>
      </c>
      <c r="AG20" s="133" t="str">
        <f t="shared" si="7"/>
        <v>Vůbec</v>
      </c>
      <c r="AH20" s="133" t="str">
        <f t="shared" si="8"/>
        <v>Vůbec</v>
      </c>
      <c r="AI20" s="164">
        <f>AJ20</f>
        <v>0</v>
      </c>
      <c r="AJ20" s="1030"/>
    </row>
    <row r="21" spans="1:45" ht="15" customHeight="1" x14ac:dyDescent="0.3">
      <c r="A21" s="493" t="s">
        <v>5433</v>
      </c>
      <c r="B21" s="229" t="str">
        <f>IFERROR(HLOOKUP('4-Dovednosti'!$W$2,'4-Dovednosti'!$U$2:$W$57,MATCH($A21,'4-Dovednosti'!$U$2:$U$57,0),FALSE)," ")</f>
        <v>Běžná</v>
      </c>
      <c r="C21" s="230" t="s">
        <v>115</v>
      </c>
      <c r="D21" s="816" t="str">
        <f>IFERROR(HLOOKUP('4-Dovednosti'!$V$2,'4-Dovednosti'!$U$2:$W$57,MATCH(A21,'4-Dovednosti'!$U$2:$U$57,0),FALSE)," ")</f>
        <v>CHAR</v>
      </c>
      <c r="E21" s="229">
        <f t="shared" si="11"/>
        <v>0</v>
      </c>
      <c r="F21" s="229">
        <f>IFERROR(HLOOKUP($O$28,$N$28:$R$36,MATCH($C21,$N$28:$N$36,0),FALSE)+AI48," ")</f>
        <v>-5</v>
      </c>
      <c r="G21" s="916" t="s">
        <v>2452</v>
      </c>
      <c r="H21" s="229" t="str">
        <f>IFERROR(HLOOKUP('4-Dovednosti'!$W$2,'4-Dovednosti'!$U$2:$W$57,MATCH($G21,'4-Dovednosti'!$U$2:$U$57,0),FALSE)," ")</f>
        <v>Běžná</v>
      </c>
      <c r="I21" s="230" t="s">
        <v>115</v>
      </c>
      <c r="J21" s="229" t="str">
        <f>IFERROR(HLOOKUP('4-Dovednosti'!$V$2,'4-Dovednosti'!$U$2:$W$57,MATCH(G21,'4-Dovednosti'!$U$2:$U$57,0),FALSE)," ")</f>
        <v>OBR</v>
      </c>
      <c r="K21" s="229">
        <f>IFERROR(HLOOKUP($H21,$N$28:$R$36,MATCH($I21,$N$28:$N$36,0),FALSE)," ")</f>
        <v>0</v>
      </c>
      <c r="L21" s="1093">
        <f>IFERROR(HLOOKUP($O$28,$N$28:$R$36,MATCH($I21,$N$28:$N$36,0),FALSE)+AI30," ")</f>
        <v>-5</v>
      </c>
      <c r="N21" s="11" t="s">
        <v>85</v>
      </c>
      <c r="O21" s="52" t="s">
        <v>65</v>
      </c>
      <c r="P21" s="53">
        <v>16</v>
      </c>
      <c r="Q21" s="53">
        <v>24</v>
      </c>
      <c r="S21" s="428"/>
      <c r="U21" s="1107" t="s">
        <v>1205</v>
      </c>
      <c r="V21" s="54" t="str">
        <f>HLOOKUP(Max_DOV!$B$5,Max_DOV!$A$5:$AH$58,MATCH($U21,Max_DOV!$A$5:$A$58,0),FALSE)</f>
        <v>VOL</v>
      </c>
      <c r="W21" s="315" t="str">
        <f>IF(OR('Tvorba postavy'!$C$3="Elf",'Tvorba postavy'!$C$3="Elfka",'Tvorba postavy'!$C$3="Půlelf",'Tvorba postavy'!$C$3="Půlelfka",$AV$3="A"),"Snížená","Běžná")</f>
        <v>Běžná</v>
      </c>
      <c r="X21" s="437" t="str">
        <f>HLOOKUP('3-Schopnosti'!$X$3,Max_DOV!$A$5:$AH$58,MATCH($U21,Max_DOV!$A$5:$A$58,0),FALSE)</f>
        <v>Velmi dobře</v>
      </c>
      <c r="Y21" s="437" t="str">
        <f>IFERROR(HLOOKUP('3-Schopnosti'!$AS$3,Max_DOV!$A$5:$AH$58,MATCH($U21,Max_DOV!$A$5:$A$58,0),FALSE),"Vůbec")</f>
        <v>Vůbec</v>
      </c>
      <c r="Z21" s="438" t="str">
        <f>IF(OR(X21="Mistrně",Y21="Mistrně"),"Mistrně",IF(OR(X21="Dokonale",Y21="Dokonale"),"Dokonale",IF(OR(X21="Velmi dobře",Y21="Velmi dobře"),"Velmi dobře",IF(OR(X21="Dobře",Y21="Dobře"),"Dobře","Vůbec"))))</f>
        <v>Velmi dobře</v>
      </c>
      <c r="AA21" s="133" t="s">
        <v>115</v>
      </c>
      <c r="AB21" s="133" t="s">
        <v>4892</v>
      </c>
      <c r="AC21" s="133" t="s">
        <v>83</v>
      </c>
      <c r="AD21" s="133" t="s">
        <v>84</v>
      </c>
      <c r="AE21" s="133" t="s">
        <v>85</v>
      </c>
      <c r="AF21" s="133" t="str">
        <f t="shared" si="6"/>
        <v>Velmi dobře</v>
      </c>
      <c r="AG21" s="133" t="str">
        <f t="shared" si="7"/>
        <v>Vůbec</v>
      </c>
      <c r="AH21" s="133" t="str">
        <f t="shared" si="8"/>
        <v>Vůbec</v>
      </c>
      <c r="AI21" s="164">
        <f>IF(OR('3-Schopnosti'!$X$3="Čaroděj",'3-Schopnosti'!$AS$3="Čaroděj",'3-Schopnosti'!$X$3="Runový mág",'3-Schopnosti'!$AS$3="Runový mág"),1,0)+AJ21</f>
        <v>0</v>
      </c>
      <c r="AJ21" s="1030"/>
    </row>
    <row r="22" spans="1:45" ht="15" customHeight="1" x14ac:dyDescent="0.3">
      <c r="A22" s="493" t="s">
        <v>214</v>
      </c>
      <c r="B22" s="229" t="str">
        <f>IFERROR(HLOOKUP('4-Dovednosti'!$W$2,'4-Dovednosti'!$U$2:$W$57,MATCH($A22,'4-Dovednosti'!$U$2:$U$57,0),FALSE)," ")</f>
        <v>Běžná</v>
      </c>
      <c r="C22" s="230" t="s">
        <v>115</v>
      </c>
      <c r="D22" s="816" t="str">
        <f>IFERROR(HLOOKUP('4-Dovednosti'!$V$2,'4-Dovednosti'!$U$2:$W$57,MATCH(A22,'4-Dovednosti'!$U$2:$U$57,0),FALSE)," ")</f>
        <v>INT</v>
      </c>
      <c r="E22" s="229">
        <f t="shared" si="11"/>
        <v>0</v>
      </c>
      <c r="F22" s="229">
        <f>IFERROR(HLOOKUP($O$28,$N$28:$R$36,MATCH($C22,$N$28:$N$36,0),FALSE)+AI55," ")</f>
        <v>-5</v>
      </c>
      <c r="G22" s="916" t="s">
        <v>1212</v>
      </c>
      <c r="H22" s="229" t="str">
        <f>IFERROR(HLOOKUP('4-Dovednosti'!$W$2,'4-Dovednosti'!$U$2:$W$57,MATCH($G22,'4-Dovednosti'!$U$2:$U$57,0),FALSE)," ")</f>
        <v>Běžná</v>
      </c>
      <c r="I22" s="230" t="s">
        <v>115</v>
      </c>
      <c r="J22" s="229" t="str">
        <f>IFERROR(HLOOKUP('4-Dovednosti'!$V$2,'4-Dovednosti'!$U$2:$W$57,MATCH(G22,'4-Dovednosti'!$U$2:$U$57,0),FALSE)," ")</f>
        <v>SIL</v>
      </c>
      <c r="K22" s="229">
        <f>IFERROR(HLOOKUP($H22,$N$28:$R$36,MATCH($I22,$N$28:$N$36,0),FALSE)," ")</f>
        <v>0</v>
      </c>
      <c r="L22" s="1093">
        <f>IFERROR(HLOOKUP($O$28,$N$28:$R$36,MATCH($I22,$N$28:$N$36,0),FALSE)+AI31," ")</f>
        <v>-5</v>
      </c>
      <c r="N22" s="469" t="s">
        <v>86</v>
      </c>
      <c r="O22" s="470" t="s">
        <v>63</v>
      </c>
      <c r="P22" s="471">
        <v>20</v>
      </c>
      <c r="Q22" s="471">
        <v>30</v>
      </c>
      <c r="S22" s="428"/>
      <c r="U22" s="1107" t="s">
        <v>4887</v>
      </c>
      <c r="V22" s="54" t="str">
        <f>HLOOKUP(Max_DOV!$B$5,Max_DOV!$A$5:$AH$58,MATCH($U22,Max_DOV!$A$5:$A$58,0),FALSE)</f>
        <v>VOL</v>
      </c>
      <c r="W22" s="315" t="str">
        <f>IF($AV$3="A","Snížená","Běžná")</f>
        <v>Běžná</v>
      </c>
      <c r="X22" s="437" t="str">
        <f>HLOOKUP('3-Schopnosti'!$X$3,Max_DOV!$A$5:$AH$58,MATCH($U22,Max_DOV!$A$5:$A$58,0),FALSE)</f>
        <v>Vůbec</v>
      </c>
      <c r="Y22" s="437" t="str">
        <f>IFERROR(HLOOKUP('3-Schopnosti'!$AS$3,Max_DOV!$A$5:$AH$58,MATCH($U22,Max_DOV!$A$5:$A$58,0),FALSE),"Vůbec")</f>
        <v>Vůbec</v>
      </c>
      <c r="Z22" s="438" t="str">
        <f t="shared" ref="Z22" si="13">IF(OR(X22="Mistrně",Y22="Mistrně"),"Mistrně",IF(OR(X22="Dokonale",Y22="Dokonale"),"Dokonale",IF(OR(X22="Velmi dobře",Y22="Velmi dobře"),"Velmi dobře",IF(OR(X22="Dobře",Y22="Dobře"),"Dobře","Vůbec"))))</f>
        <v>Vůbec</v>
      </c>
      <c r="AA22" s="133" t="s">
        <v>115</v>
      </c>
      <c r="AB22" s="133" t="str">
        <f>IF(Y22="Vůbec","Vůbec","'Velmi špatně")</f>
        <v>Vůbec</v>
      </c>
      <c r="AC22" s="133" t="str">
        <f>IF(Z22="Vůbec","Vůbec","Špatně")</f>
        <v>Vůbec</v>
      </c>
      <c r="AD22" s="133" t="str">
        <f>IF(Z22="Vůbec","Vůbec","Průměrně")</f>
        <v>Vůbec</v>
      </c>
      <c r="AE22" s="133" t="str">
        <f>IF(Z22="Vůbec","Vůbec","Dobře")</f>
        <v>Vůbec</v>
      </c>
      <c r="AF22" s="133" t="str">
        <f t="shared" si="6"/>
        <v>Vůbec</v>
      </c>
      <c r="AG22" s="133" t="str">
        <f t="shared" si="7"/>
        <v>Vůbec</v>
      </c>
      <c r="AH22" s="133" t="str">
        <f t="shared" si="8"/>
        <v>Vůbec</v>
      </c>
      <c r="AI22" s="164">
        <f t="shared" ref="AI22:AI27" si="14">AJ22</f>
        <v>0</v>
      </c>
      <c r="AJ22" s="1030"/>
    </row>
    <row r="23" spans="1:45" ht="15" customHeight="1" x14ac:dyDescent="0.3">
      <c r="A23" s="1366" t="s">
        <v>5452</v>
      </c>
      <c r="B23" s="1366"/>
      <c r="C23" s="1366"/>
      <c r="D23" s="1366"/>
      <c r="E23" s="1366"/>
      <c r="F23" s="1367"/>
      <c r="G23" s="916" t="s">
        <v>5438</v>
      </c>
      <c r="H23" s="229" t="str">
        <f>IFERROR(HLOOKUP('4-Dovednosti'!$W$2,'4-Dovednosti'!$U$2:$W$57,MATCH($G23,'4-Dovednosti'!$U$2:$U$57,0),FALSE)," ")</f>
        <v>Běžná</v>
      </c>
      <c r="I23" s="230" t="s">
        <v>115</v>
      </c>
      <c r="J23" s="229" t="str">
        <f>IFERROR(HLOOKUP('4-Dovednosti'!$V$2,'4-Dovednosti'!$U$2:$W$57,MATCH(G23,'4-Dovednosti'!$U$2:$U$57,0),FALSE)," ")</f>
        <v>ZRČ</v>
      </c>
      <c r="K23" s="229">
        <f>IFERROR(HLOOKUP($H23,$N$28:$R$36,MATCH($I23,$N$28:$N$36,0),FALSE)," ")</f>
        <v>0</v>
      </c>
      <c r="L23" s="1093">
        <f>IFERROR(HLOOKUP($O$28,$N$28:$R$36,MATCH($I23,$N$28:$N$36,0),FALSE)+AI32," ")</f>
        <v>-5</v>
      </c>
      <c r="N23" s="636" t="s">
        <v>158</v>
      </c>
      <c r="O23" s="637" t="s">
        <v>61</v>
      </c>
      <c r="P23" s="638">
        <v>24</v>
      </c>
      <c r="Q23" s="638">
        <v>36</v>
      </c>
      <c r="S23" s="428"/>
      <c r="U23" s="1107" t="s">
        <v>1207</v>
      </c>
      <c r="V23" s="54" t="str">
        <f>HLOOKUP(Max_DOV!$B$5,Max_DOV!$A$5:$AH$58,MATCH($U23,Max_DOV!$A$5:$A$58,0),FALSE)</f>
        <v>VOL</v>
      </c>
      <c r="W23" s="315" t="str">
        <f>IF($AV$3="A","Snížená","Běžná")</f>
        <v>Běžná</v>
      </c>
      <c r="X23" s="437" t="str">
        <f>HLOOKUP('3-Schopnosti'!$X$3,Max_DOV!$A$5:$AH$58,MATCH($U23,Max_DOV!$A$5:$A$58,0),FALSE)</f>
        <v>Velmi dobře</v>
      </c>
      <c r="Y23" s="437" t="str">
        <f>IFERROR(HLOOKUP('3-Schopnosti'!$AS$3,Max_DOV!$A$5:$AH$58,MATCH($U23,Max_DOV!$A$5:$A$58,0),FALSE),"Vůbec")</f>
        <v>Vůbec</v>
      </c>
      <c r="Z23" s="438" t="str">
        <f t="shared" ref="Z23:Z39" si="15">IF(OR(X23="Mistrně",Y23="Mistrně"),"Mistrně",IF(OR(X23="Dokonale",Y23="Dokonale"),"Dokonale",IF(OR(X23="Velmi dobře",Y23="Velmi dobře"),"Velmi dobře",IF(OR(X23="Dobře",Y23="Dobře"),"Dobře","Vůbec"))))</f>
        <v>Velmi dobře</v>
      </c>
      <c r="AA23" s="133" t="s">
        <v>115</v>
      </c>
      <c r="AB23" s="133" t="s">
        <v>4892</v>
      </c>
      <c r="AC23" s="133" t="s">
        <v>83</v>
      </c>
      <c r="AD23" s="133" t="s">
        <v>84</v>
      </c>
      <c r="AE23" s="133" t="s">
        <v>85</v>
      </c>
      <c r="AF23" s="133" t="str">
        <f t="shared" si="6"/>
        <v>Velmi dobře</v>
      </c>
      <c r="AG23" s="133" t="str">
        <f t="shared" si="7"/>
        <v>Vůbec</v>
      </c>
      <c r="AH23" s="133" t="str">
        <f t="shared" si="8"/>
        <v>Vůbec</v>
      </c>
      <c r="AI23" s="164">
        <f t="shared" si="14"/>
        <v>0</v>
      </c>
      <c r="AJ23" s="1030"/>
    </row>
    <row r="24" spans="1:45" ht="15" customHeight="1" x14ac:dyDescent="0.3">
      <c r="A24" s="493" t="s">
        <v>1202</v>
      </c>
      <c r="B24" s="229" t="str">
        <f>IFERROR(HLOOKUP('4-Dovednosti'!$W$2,'4-Dovednosti'!$U$2:$W$57,MATCH($A24,'4-Dovednosti'!$U$2:$U$57,0),FALSE)," ")</f>
        <v>Běžná</v>
      </c>
      <c r="C24" s="230" t="s">
        <v>115</v>
      </c>
      <c r="D24" s="919" t="str">
        <f>IFERROR(HLOOKUP('4-Dovednosti'!$V$2,'4-Dovednosti'!$U$2:$W$57,MATCH(A24,'4-Dovednosti'!$U$2:$U$57,0),FALSE)," ")</f>
        <v>CHAR</v>
      </c>
      <c r="E24" s="229">
        <f t="shared" ref="E24:E40" si="16">IFERROR(HLOOKUP($B24,$N$28:$R$36,MATCH($C24,$N$28:$N$36,0),FALSE)," ")</f>
        <v>0</v>
      </c>
      <c r="F24" s="229">
        <f>IFERROR(HLOOKUP($O$28,$N$28:$R$36,MATCH($C24,$N$28:$N$36,0),FALSE)+AI11," ")</f>
        <v>-5</v>
      </c>
      <c r="G24" s="1092" t="s">
        <v>5448</v>
      </c>
      <c r="H24" s="1368"/>
      <c r="I24" s="1368"/>
      <c r="J24" s="1368"/>
      <c r="K24" s="1369"/>
      <c r="L24" s="1093">
        <f>$L$23</f>
        <v>-5</v>
      </c>
      <c r="N24" s="632" t="s">
        <v>194</v>
      </c>
      <c r="O24" s="635" t="s">
        <v>5443</v>
      </c>
      <c r="P24" s="634">
        <v>28</v>
      </c>
      <c r="Q24" s="634">
        <v>42</v>
      </c>
      <c r="U24" s="1107" t="s">
        <v>5429</v>
      </c>
      <c r="V24" s="54" t="str">
        <f>HLOOKUP(Max_DOV!$B$5,Max_DOV!$A$5:$AH$58,MATCH($U24,Max_DOV!$A$5:$A$58,0),FALSE)</f>
        <v>VOL</v>
      </c>
      <c r="W24" s="315" t="str">
        <f>IF($AV$3="A","Snížená","Běžná")</f>
        <v>Běžná</v>
      </c>
      <c r="X24" s="437" t="str">
        <f>HLOOKUP('3-Schopnosti'!$X$3,Max_DOV!$A$5:$AH$58,MATCH($U24,Max_DOV!$A$5:$A$58,0),FALSE)</f>
        <v>Velmi dobře</v>
      </c>
      <c r="Y24" s="437" t="str">
        <f>IFERROR(HLOOKUP('3-Schopnosti'!$AS$3,Max_DOV!$A$5:$AH$58,MATCH($U24,Max_DOV!$A$5:$A$58,0),FALSE),"Vůbec")</f>
        <v>Vůbec</v>
      </c>
      <c r="Z24" s="438" t="str">
        <f t="shared" si="15"/>
        <v>Velmi dobře</v>
      </c>
      <c r="AA24" s="133" t="s">
        <v>115</v>
      </c>
      <c r="AB24" s="133" t="s">
        <v>4892</v>
      </c>
      <c r="AC24" s="133" t="s">
        <v>83</v>
      </c>
      <c r="AD24" s="133" t="s">
        <v>84</v>
      </c>
      <c r="AE24" s="133" t="s">
        <v>85</v>
      </c>
      <c r="AF24" s="133" t="str">
        <f t="shared" si="6"/>
        <v>Velmi dobře</v>
      </c>
      <c r="AG24" s="133" t="str">
        <f t="shared" si="7"/>
        <v>Vůbec</v>
      </c>
      <c r="AH24" s="133" t="str">
        <f t="shared" si="8"/>
        <v>Vůbec</v>
      </c>
      <c r="AI24" s="164">
        <f t="shared" si="14"/>
        <v>0</v>
      </c>
      <c r="AJ24" s="1030"/>
    </row>
    <row r="25" spans="1:45" ht="15" customHeight="1" x14ac:dyDescent="0.3">
      <c r="A25" s="493" t="s">
        <v>200</v>
      </c>
      <c r="B25" s="229" t="str">
        <f>IFERROR(HLOOKUP('4-Dovednosti'!$W$2,'4-Dovednosti'!$U$2:$W$57,MATCH($A25,'4-Dovednosti'!$U$2:$U$57,0),FALSE)," ")</f>
        <v>Běžná</v>
      </c>
      <c r="C25" s="230" t="s">
        <v>84</v>
      </c>
      <c r="D25" s="919" t="str">
        <f>IFERROR(HLOOKUP('4-Dovednosti'!$V$2,'4-Dovednosti'!$U$2:$W$57,MATCH(A25,'4-Dovednosti'!$U$2:$U$57,0),FALSE)," ")</f>
        <v>VOL</v>
      </c>
      <c r="E25" s="229">
        <f t="shared" si="16"/>
        <v>36</v>
      </c>
      <c r="F25" s="229">
        <f>IFERROR(HLOOKUP($O$28,$N$28:$R$36,MATCH($C25,$N$28:$N$36,0),FALSE)+AI14," ")</f>
        <v>0</v>
      </c>
      <c r="G25" s="1092" t="s">
        <v>5445</v>
      </c>
      <c r="H25" s="1368"/>
      <c r="I25" s="1368"/>
      <c r="J25" s="1368"/>
      <c r="K25" s="1369"/>
      <c r="L25" s="1093">
        <f>$L$23</f>
        <v>-5</v>
      </c>
      <c r="U25" s="1107" t="s">
        <v>1209</v>
      </c>
      <c r="V25" s="54" t="str">
        <f>HLOOKUP(Max_DOV!$B$5,Max_DOV!$A$5:$AH$58,MATCH($U25,Max_DOV!$A$5:$A$58,0),FALSE)</f>
        <v>VOL</v>
      </c>
      <c r="W25" s="315" t="str">
        <f>IF(OR('Tvorba postavy'!$C$3="Trpaslík",'Tvorba postavy'!$C$3="Trpaslice",'Tvorba postavy'!$C$3="Stolin",'Tvorba postavy'!$C$3="Stolinka",$AV$3="A"),"Snížená","Běžná")</f>
        <v>Snížená</v>
      </c>
      <c r="X25" s="437" t="str">
        <f>HLOOKUP('3-Schopnosti'!$X$3,Max_DOV!$A$5:$AH$58,MATCH($U25,Max_DOV!$A$5:$A$58,0),FALSE)</f>
        <v>Velmi dobře</v>
      </c>
      <c r="Y25" s="437" t="str">
        <f>IFERROR(HLOOKUP('3-Schopnosti'!$AS$3,Max_DOV!$A$5:$AH$58,MATCH($U25,Max_DOV!$A$5:$A$58,0),FALSE),"Vůbec")</f>
        <v>Vůbec</v>
      </c>
      <c r="Z25" s="438" t="str">
        <f t="shared" si="15"/>
        <v>Velmi dobře</v>
      </c>
      <c r="AA25" s="133" t="s">
        <v>115</v>
      </c>
      <c r="AB25" s="133" t="s">
        <v>4892</v>
      </c>
      <c r="AC25" s="133" t="s">
        <v>83</v>
      </c>
      <c r="AD25" s="133" t="s">
        <v>84</v>
      </c>
      <c r="AE25" s="133" t="s">
        <v>85</v>
      </c>
      <c r="AF25" s="133" t="str">
        <f t="shared" si="6"/>
        <v>Velmi dobře</v>
      </c>
      <c r="AG25" s="133" t="str">
        <f t="shared" si="7"/>
        <v>Vůbec</v>
      </c>
      <c r="AH25" s="133" t="str">
        <f t="shared" si="8"/>
        <v>Vůbec</v>
      </c>
      <c r="AI25" s="164">
        <f t="shared" si="14"/>
        <v>0</v>
      </c>
      <c r="AJ25" s="1030"/>
    </row>
    <row r="26" spans="1:45" ht="15" customHeight="1" x14ac:dyDescent="0.3">
      <c r="A26" s="493" t="s">
        <v>5430</v>
      </c>
      <c r="B26" s="229" t="str">
        <f>IFERROR(HLOOKUP('4-Dovednosti'!$W$2,'4-Dovednosti'!$U$2:$W$57,MATCH($A26,'4-Dovednosti'!$U$2:$U$57,0),FALSE)," ")</f>
        <v>Běžná</v>
      </c>
      <c r="C26" s="230" t="s">
        <v>115</v>
      </c>
      <c r="D26" s="919" t="str">
        <f>IFERROR(HLOOKUP('4-Dovednosti'!$V$2,'4-Dovednosti'!$U$2:$W$57,MATCH(A26,'4-Dovednosti'!$U$2:$U$57,0),FALSE)," ")</f>
        <v>VOL</v>
      </c>
      <c r="E26" s="229">
        <f t="shared" si="16"/>
        <v>0</v>
      </c>
      <c r="F26" s="229">
        <f>IFERROR(HLOOKUP($O$28,$N$28:$R$36,MATCH($C26,$N$28:$N$36,0),FALSE)+AI17," ")</f>
        <v>-5</v>
      </c>
      <c r="G26" s="1092" t="s">
        <v>5446</v>
      </c>
      <c r="H26" s="1368"/>
      <c r="I26" s="1368"/>
      <c r="J26" s="1368"/>
      <c r="K26" s="1369"/>
      <c r="L26" s="1093">
        <f>$L$23</f>
        <v>-5</v>
      </c>
      <c r="U26" s="1106" t="s">
        <v>5431</v>
      </c>
      <c r="V26" s="54" t="str">
        <f>HLOOKUP(Max_DOV!$B$5,Max_DOV!$A$5:$AH$58,MATCH($U26,Max_DOV!$A$5:$A$58,0),FALSE)</f>
        <v>OBR</v>
      </c>
      <c r="W26" s="315" t="s">
        <v>5442</v>
      </c>
      <c r="X26" s="437" t="str">
        <f>HLOOKUP('3-Schopnosti'!$X$3,Max_DOV!$A$5:$AH$58,MATCH($U26,Max_DOV!$A$5:$A$58,0),FALSE)</f>
        <v>Velmi dobře</v>
      </c>
      <c r="Y26" s="437" t="str">
        <f>IFERROR(HLOOKUP('3-Schopnosti'!$AS$3,Max_DOV!$A$5:$AH$58,MATCH($U26,Max_DOV!$A$5:$A$58,0),FALSE),"Vůbec")</f>
        <v>Vůbec</v>
      </c>
      <c r="Z26" s="438" t="str">
        <f t="shared" si="15"/>
        <v>Velmi dobře</v>
      </c>
      <c r="AA26" s="133" t="s">
        <v>115</v>
      </c>
      <c r="AB26" s="133" t="s">
        <v>4892</v>
      </c>
      <c r="AC26" s="133" t="s">
        <v>83</v>
      </c>
      <c r="AD26" s="133" t="s">
        <v>84</v>
      </c>
      <c r="AE26" s="133" t="s">
        <v>85</v>
      </c>
      <c r="AF26" s="133" t="str">
        <f t="shared" si="6"/>
        <v>Velmi dobře</v>
      </c>
      <c r="AG26" s="133" t="str">
        <f t="shared" si="7"/>
        <v>Vůbec</v>
      </c>
      <c r="AH26" s="133" t="str">
        <f t="shared" si="8"/>
        <v>Vůbec</v>
      </c>
      <c r="AI26" s="164">
        <f t="shared" si="14"/>
        <v>0</v>
      </c>
      <c r="AJ26" s="1030"/>
    </row>
    <row r="27" spans="1:45" ht="15" customHeight="1" x14ac:dyDescent="0.3">
      <c r="A27" s="916" t="s">
        <v>4889</v>
      </c>
      <c r="B27" s="229" t="str">
        <f>IFERROR(HLOOKUP($W$2,$U$2:$W$57,MATCH($A27,$U$2:$U$57,0),FALSE)," ")</f>
        <v>Běžná</v>
      </c>
      <c r="C27" s="230" t="s">
        <v>115</v>
      </c>
      <c r="D27" s="919" t="str">
        <f>IFERROR(HLOOKUP($V$2,$U$2:$W$57,MATCH(A27,$U$2:$U$57,0),FALSE)," ")</f>
        <v>VOL</v>
      </c>
      <c r="E27" s="229">
        <f t="shared" si="16"/>
        <v>0</v>
      </c>
      <c r="F27" s="1022">
        <f>IFERROR(HLOOKUP($O$28,$N$28:$R$36,MATCH($C27,$N$28:$N$36,0),FALSE)+AI18," ")</f>
        <v>-5</v>
      </c>
      <c r="G27" s="1092" t="s">
        <v>5447</v>
      </c>
      <c r="H27" s="1368"/>
      <c r="I27" s="1368"/>
      <c r="J27" s="1368"/>
      <c r="K27" s="1369"/>
      <c r="L27" s="1093">
        <f>$L$23</f>
        <v>-5</v>
      </c>
      <c r="N27" s="1365" t="s">
        <v>171</v>
      </c>
      <c r="O27" s="1365"/>
      <c r="P27" s="1365"/>
      <c r="Q27" s="1365"/>
      <c r="R27" s="1365"/>
      <c r="S27" s="429"/>
      <c r="U27" s="1105" t="s">
        <v>203</v>
      </c>
      <c r="V27" s="54" t="str">
        <f>HLOOKUP(Max_DOV!$B$5,Max_DOV!$A$5:$AH$58,MATCH($U27,Max_DOV!$A$5:$A$58,0),FALSE)</f>
        <v>INT</v>
      </c>
      <c r="W27" s="315" t="str">
        <f>IF(OR('3-Schopnosti'!$X$3="Čaroděj",'3-Schopnosti'!$A$3="Čaroděj",'3-Schopnosti'!$X$3="Zaklínač",'3-Schopnosti'!$AS$3="Zaklínač"),"Snížená","Běžná")</f>
        <v>Běžná</v>
      </c>
      <c r="X27" s="437" t="str">
        <f>HLOOKUP('3-Schopnosti'!$X$3,Max_DOV!$A$5:$AH$58,MATCH($U27,Max_DOV!$A$5:$A$58,0),FALSE)</f>
        <v>Velmi dobře</v>
      </c>
      <c r="Y27" s="437" t="str">
        <f>IFERROR(HLOOKUP('3-Schopnosti'!$AS$3,Max_DOV!$A$5:$AH$58,MATCH($U27,Max_DOV!$A$5:$A$58,0),FALSE),"Vůbec")</f>
        <v>Vůbec</v>
      </c>
      <c r="Z27" s="438" t="str">
        <f t="shared" si="15"/>
        <v>Velmi dobře</v>
      </c>
      <c r="AA27" s="133" t="s">
        <v>115</v>
      </c>
      <c r="AB27" s="133" t="s">
        <v>4892</v>
      </c>
      <c r="AC27" s="133" t="s">
        <v>83</v>
      </c>
      <c r="AD27" s="133" t="s">
        <v>84</v>
      </c>
      <c r="AE27" s="133" t="s">
        <v>85</v>
      </c>
      <c r="AF27" s="133" t="str">
        <f t="shared" si="6"/>
        <v>Velmi dobře</v>
      </c>
      <c r="AG27" s="133" t="str">
        <f t="shared" si="7"/>
        <v>Vůbec</v>
      </c>
      <c r="AH27" s="133" t="str">
        <f t="shared" si="8"/>
        <v>Vůbec</v>
      </c>
      <c r="AI27" s="164">
        <f t="shared" si="14"/>
        <v>0</v>
      </c>
      <c r="AJ27" s="1030"/>
    </row>
    <row r="28" spans="1:45" ht="15" customHeight="1" x14ac:dyDescent="0.3">
      <c r="A28" s="493" t="s">
        <v>1203</v>
      </c>
      <c r="B28" s="229" t="str">
        <f>IFERROR(HLOOKUP('4-Dovednosti'!$W$2,'4-Dovednosti'!$U$2:$W$57,MATCH($A28,'4-Dovednosti'!$U$2:$U$57,0),FALSE)," ")</f>
        <v>Běžná</v>
      </c>
      <c r="C28" s="230" t="s">
        <v>115</v>
      </c>
      <c r="D28" s="919" t="str">
        <f>IFERROR(HLOOKUP('4-Dovednosti'!$V$2,'4-Dovednosti'!$U$2:$W$57,MATCH(A28,'4-Dovednosti'!$U$2:$U$57,0),FALSE)," ")</f>
        <v>VOL</v>
      </c>
      <c r="E28" s="229">
        <f t="shared" si="16"/>
        <v>0</v>
      </c>
      <c r="F28" s="229">
        <f>IFERROR(HLOOKUP($O$28,$N$28:$R$36,MATCH($C28,$N$28:$N$36,0),FALSE)+AI19," ")</f>
        <v>-5</v>
      </c>
      <c r="G28" s="916" t="s">
        <v>5432</v>
      </c>
      <c r="H28" s="229" t="str">
        <f>IFERROR(HLOOKUP('4-Dovednosti'!$W$2,'4-Dovednosti'!$U$2:$W$57,MATCH($G28,'4-Dovednosti'!$U$2:$U$57,0),FALSE)," ")</f>
        <v>Běžná</v>
      </c>
      <c r="I28" s="230" t="s">
        <v>115</v>
      </c>
      <c r="J28" s="229" t="str">
        <f>IFERROR(HLOOKUP('4-Dovednosti'!$V$2,'4-Dovednosti'!$U$2:$W$57,MATCH(G28,'4-Dovednosti'!$U$2:$U$57,0),FALSE)," ")</f>
        <v>VOL</v>
      </c>
      <c r="K28" s="229">
        <f>IFERROR(HLOOKUP($H28,$N$28:$R$36,MATCH($I28,$N$28:$N$36,0),FALSE)," ")</f>
        <v>0</v>
      </c>
      <c r="L28" s="1093">
        <f>IFERROR(HLOOKUP($O$28,$N$28:$R$36,MATCH($I28,$N$28:$N$36,0),FALSE)+AI42," ")</f>
        <v>-5</v>
      </c>
      <c r="N28" s="47" t="s">
        <v>2</v>
      </c>
      <c r="O28" s="48" t="s">
        <v>177</v>
      </c>
      <c r="P28" s="49" t="s">
        <v>5441</v>
      </c>
      <c r="Q28" s="49" t="s">
        <v>5442</v>
      </c>
      <c r="R28" s="49" t="s">
        <v>2</v>
      </c>
      <c r="U28" s="1106" t="s">
        <v>5422</v>
      </c>
      <c r="V28" s="54" t="str">
        <f>HLOOKUP(Max_DOV!$B$5,Max_DOV!$A$5:$AH$58,MATCH($U28,Max_DOV!$A$5:$A$58,0),FALSE)</f>
        <v>CHAR</v>
      </c>
      <c r="W28" s="315" t="str">
        <f>IF(OR('2-Vzhled a charakter'!$B$2="Gremlin",'2-Vzhled a charakter'!$B$2="Skřítek",'2-Vzhled a charakter'!$B$2="Savvas"),"Snížená","Běžná")</f>
        <v>Běžná</v>
      </c>
      <c r="X28" s="437" t="str">
        <f>HLOOKUP('3-Schopnosti'!$X$3,Max_DOV!$A$5:$AH$58,MATCH($U28,Max_DOV!$A$5:$A$58,0),FALSE)</f>
        <v>Velmi dobře</v>
      </c>
      <c r="Y28" s="437" t="str">
        <f>IFERROR(HLOOKUP('3-Schopnosti'!$AS$3,Max_DOV!$A$5:$AH$58,MATCH($U28,Max_DOV!$A$5:$A$58,0),FALSE),"Vůbec")</f>
        <v>Vůbec</v>
      </c>
      <c r="Z28" s="438" t="str">
        <f t="shared" si="15"/>
        <v>Velmi dobře</v>
      </c>
      <c r="AA28" s="133" t="s">
        <v>115</v>
      </c>
      <c r="AB28" s="133" t="s">
        <v>4892</v>
      </c>
      <c r="AC28" s="133" t="s">
        <v>83</v>
      </c>
      <c r="AD28" s="133" t="s">
        <v>84</v>
      </c>
      <c r="AE28" s="133" t="s">
        <v>85</v>
      </c>
      <c r="AF28" s="133" t="str">
        <f t="shared" si="6"/>
        <v>Velmi dobře</v>
      </c>
      <c r="AG28" s="133" t="str">
        <f t="shared" si="7"/>
        <v>Vůbec</v>
      </c>
      <c r="AH28" s="133" t="str">
        <f t="shared" si="8"/>
        <v>Vůbec</v>
      </c>
      <c r="AI28" s="164">
        <f>IF(OR('3-Schopnosti'!W$3="Alchymista",'3-Schopnosti'!$AR$4="Alchymista"),1,0)+IF(OR('3-Schopnosti'!$X$3="Theurg",'3-Schopnosti'!$AS$4="Theurg"),1,0)+AJ28</f>
        <v>0</v>
      </c>
      <c r="AJ28" s="1030"/>
      <c r="AM28"/>
      <c r="AN28"/>
    </row>
    <row r="29" spans="1:45" ht="15" customHeight="1" x14ac:dyDescent="0.3">
      <c r="A29" s="493" t="s">
        <v>1204</v>
      </c>
      <c r="B29" s="229" t="str">
        <f>IFERROR(HLOOKUP('4-Dovednosti'!$W$2,'4-Dovednosti'!$U$2:$W$57,MATCH($A29,'4-Dovednosti'!$U$2:$U$57,0),FALSE)," ")</f>
        <v>Běžná</v>
      </c>
      <c r="C29" s="230" t="s">
        <v>115</v>
      </c>
      <c r="D29" s="919" t="str">
        <f>IFERROR(HLOOKUP('4-Dovednosti'!$V$2,'4-Dovednosti'!$U$2:$W$57,MATCH(A29,'4-Dovednosti'!$U$2:$U$57,0),FALSE)," ")</f>
        <v>VOL</v>
      </c>
      <c r="E29" s="229">
        <f t="shared" si="16"/>
        <v>0</v>
      </c>
      <c r="F29" s="229">
        <f>IFERROR(HLOOKUP($O$28,$N$28:$R$36,MATCH($C29,$N$28:$N$36,0),FALSE)+AI20," ")</f>
        <v>-5</v>
      </c>
      <c r="L29" s="761"/>
      <c r="N29" s="28" t="s">
        <v>115</v>
      </c>
      <c r="O29" s="584">
        <v>-5</v>
      </c>
      <c r="P29" s="53">
        <f>SUM(P$17:P17)</f>
        <v>0</v>
      </c>
      <c r="Q29" s="53">
        <f>SUM(Q$17:Q17)</f>
        <v>0</v>
      </c>
      <c r="R29" s="430">
        <v>0</v>
      </c>
      <c r="U29" s="496" t="s">
        <v>5439</v>
      </c>
      <c r="V29" s="54" t="str">
        <f>HLOOKUP(Max_DOV!$B$5,Max_DOV!$A$5:$AH$58,MATCH($U29,Max_DOV!$A$5:$A$58,0),FALSE)</f>
        <v>ZRČ</v>
      </c>
      <c r="W29" s="315" t="str">
        <f>IF(OR('3-Schopnosti'!$X$3="Vědma",'3-Schopnosti'!$AS$3="Vědma",'3-Schopnosti'!$X$3="Apatykář",'3-Schopnosti'!$AS$3="Apatykář"),"Snížená","Běžná")</f>
        <v>Běžná</v>
      </c>
      <c r="X29" s="437" t="str">
        <f>HLOOKUP('3-Schopnosti'!$X$3,Max_DOV!$A$5:$AH$58,MATCH($U29,Max_DOV!$A$5:$A$58,0),FALSE)</f>
        <v>Velmi Dobře</v>
      </c>
      <c r="Y29" s="437" t="str">
        <f>IFERROR(HLOOKUP('3-Schopnosti'!$AS$3,Max_DOV!$A$5:$AH$58,MATCH($U29,Max_DOV!$A$5:$A$58,0),FALSE),"Vůbec")</f>
        <v>Vůbec</v>
      </c>
      <c r="Z29" s="438" t="str">
        <f t="shared" si="15"/>
        <v>Velmi dobře</v>
      </c>
      <c r="AA29" s="133" t="s">
        <v>115</v>
      </c>
      <c r="AB29" s="133" t="s">
        <v>4892</v>
      </c>
      <c r="AC29" s="133" t="s">
        <v>83</v>
      </c>
      <c r="AD29" s="133" t="s">
        <v>84</v>
      </c>
      <c r="AE29" s="133" t="s">
        <v>85</v>
      </c>
      <c r="AF29" s="133" t="str">
        <f t="shared" si="6"/>
        <v>Velmi dobře</v>
      </c>
      <c r="AG29" s="133" t="str">
        <f t="shared" si="7"/>
        <v>Vůbec</v>
      </c>
      <c r="AH29" s="133" t="str">
        <f t="shared" si="8"/>
        <v>Vůbec</v>
      </c>
      <c r="AI29" s="164">
        <f>IF(OR('3-Schopnosti'!X$3="Vědma",'3-Schopnosti'!$AS$3="Vědma",'3-Schopnosti'!X$3="Kněz",'3-Schopnosti'!$AS$3="Kněz",'3-Schopnosti'!X$3="Druid",'3-Schopnosti'!$AS$3="Druid"),1,0)+AJ29</f>
        <v>0</v>
      </c>
      <c r="AJ29" s="1030"/>
      <c r="AM29"/>
      <c r="AN29"/>
    </row>
    <row r="30" spans="1:45" ht="15" customHeight="1" x14ac:dyDescent="0.3">
      <c r="A30" s="493" t="s">
        <v>1205</v>
      </c>
      <c r="B30" s="229" t="str">
        <f>IFERROR(HLOOKUP('4-Dovednosti'!$W$2,'4-Dovednosti'!$U$2:$W$57,MATCH($A30,'4-Dovednosti'!$U$2:$U$57,0),FALSE)," ")</f>
        <v>Běžná</v>
      </c>
      <c r="C30" s="230" t="s">
        <v>115</v>
      </c>
      <c r="D30" s="919" t="str">
        <f>IFERROR(HLOOKUP('4-Dovednosti'!$V$2,'4-Dovednosti'!$U$2:$W$57,MATCH(A30,'4-Dovednosti'!$U$2:$U$57,0),FALSE)," ")</f>
        <v>VOL</v>
      </c>
      <c r="E30" s="229">
        <f t="shared" si="16"/>
        <v>0</v>
      </c>
      <c r="F30" s="229">
        <f>IFERROR(HLOOKUP($O$28,$N$28:$R$36,MATCH($C30,$N$28:$N$36,0),FALSE)+AI21," ")</f>
        <v>-5</v>
      </c>
      <c r="G30" s="765" t="s">
        <v>5408</v>
      </c>
      <c r="H30" s="197"/>
      <c r="I30" s="197"/>
      <c r="J30" s="197"/>
      <c r="K30" s="197"/>
      <c r="L30" s="761"/>
      <c r="N30" s="7" t="s">
        <v>4892</v>
      </c>
      <c r="O30" s="584">
        <v>-3</v>
      </c>
      <c r="P30" s="53">
        <f>SUM(P$17:P18)</f>
        <v>4</v>
      </c>
      <c r="Q30" s="53">
        <f>SUM(Q$17:Q18)</f>
        <v>6</v>
      </c>
      <c r="R30" s="430">
        <v>1</v>
      </c>
      <c r="U30" s="1106" t="s">
        <v>2452</v>
      </c>
      <c r="V30" s="54" t="str">
        <f>HLOOKUP(Max_DOV!$B$5,Max_DOV!$A$5:$AH$58,MATCH($U30,Max_DOV!$A$5:$A$58,0),FALSE)</f>
        <v>OBR</v>
      </c>
      <c r="W30" s="315" t="str">
        <f>IF(OR('2-Vzhled a charakter'!$B$2="Aven",'2-Vzhled a charakter'!$B$2="Avenika",'3-Schopnosti'!$X$3="Démonik",'3-Schopnosti'!$AS$3="Démonik",'3-Schopnosti'!$X$3="Temný mág",'3-Schopnosti'!$AS$3="Temný mág"),"Snížená","Běžná")</f>
        <v>Běžná</v>
      </c>
      <c r="X30" s="437" t="str">
        <f>HLOOKUP('3-Schopnosti'!$X$3,Max_DOV!$A$5:$AH$58,MATCH($U30,Max_DOV!$A$5:$A$58,0),FALSE)</f>
        <v>Velmi dobře</v>
      </c>
      <c r="Y30" s="437" t="str">
        <f>IFERROR(HLOOKUP('3-Schopnosti'!$AS$3,Max_DOV!$A$5:$AH$58,MATCH($U30,Max_DOV!$A$5:$A$58,0),FALSE),"Vůbec")</f>
        <v>Vůbec</v>
      </c>
      <c r="Z30" s="438" t="str">
        <f t="shared" si="15"/>
        <v>Velmi dobře</v>
      </c>
      <c r="AA30" s="133" t="s">
        <v>115</v>
      </c>
      <c r="AB30" s="133" t="s">
        <v>4892</v>
      </c>
      <c r="AC30" s="133" t="s">
        <v>83</v>
      </c>
      <c r="AD30" s="133" t="s">
        <v>84</v>
      </c>
      <c r="AE30" s="133" t="s">
        <v>85</v>
      </c>
      <c r="AF30" s="133" t="str">
        <f t="shared" si="6"/>
        <v>Velmi dobře</v>
      </c>
      <c r="AG30" s="133" t="str">
        <f t="shared" si="7"/>
        <v>Vůbec</v>
      </c>
      <c r="AH30" s="133" t="str">
        <f t="shared" si="8"/>
        <v>Vůbec</v>
      </c>
      <c r="AI30" s="164">
        <f>AJ30</f>
        <v>0</v>
      </c>
      <c r="AJ30" s="1030"/>
      <c r="AM30"/>
      <c r="AN30"/>
    </row>
    <row r="31" spans="1:45" ht="15" customHeight="1" x14ac:dyDescent="0.3">
      <c r="A31" s="916" t="s">
        <v>4887</v>
      </c>
      <c r="B31" s="229" t="str">
        <f>IFERROR(HLOOKUP($W$2,$U$2:$W$57,MATCH($A31,$U$2:$U$57,0),FALSE)," ")</f>
        <v>Běžná</v>
      </c>
      <c r="C31" s="230" t="s">
        <v>115</v>
      </c>
      <c r="D31" s="919" t="str">
        <f>IFERROR(HLOOKUP($V$2,$U$2:$W$57,MATCH(A31,$U$2:$U$57,0),FALSE)," ")</f>
        <v>VOL</v>
      </c>
      <c r="E31" s="229">
        <f t="shared" si="16"/>
        <v>0</v>
      </c>
      <c r="F31" s="229">
        <f>IFERROR(HLOOKUP($O$28,$N$28:$R$36,MATCH($C31,$N$28:$N$36,0),FALSE)+AI21," ")</f>
        <v>-5</v>
      </c>
      <c r="G31" s="197"/>
      <c r="H31" s="827" t="s">
        <v>542</v>
      </c>
      <c r="I31" s="159" t="s">
        <v>5410</v>
      </c>
      <c r="J31" s="197"/>
      <c r="K31" s="827" t="s">
        <v>5409</v>
      </c>
      <c r="L31" s="761"/>
      <c r="N31" s="7" t="s">
        <v>83</v>
      </c>
      <c r="O31" s="584">
        <v>-1</v>
      </c>
      <c r="P31" s="53">
        <f>SUM(P$17:P19)</f>
        <v>12</v>
      </c>
      <c r="Q31" s="53">
        <f>SUM(Q$17:Q19)</f>
        <v>18</v>
      </c>
      <c r="R31" s="430">
        <v>2</v>
      </c>
      <c r="U31" s="1106" t="s">
        <v>1212</v>
      </c>
      <c r="V31" s="54" t="str">
        <f>HLOOKUP(Max_DOV!$B$5,Max_DOV!$A$5:$AH$58,MATCH($U31,Max_DOV!$A$5:$A$58,0),FALSE)</f>
        <v>SIL</v>
      </c>
      <c r="W31" s="315" t="str">
        <f>IF(OR('2-Vzhled a charakter'!$B$2="Vodník",'2-Vzhled a charakter'!$B$2="Vodnice"),"Snížená","Běžná")</f>
        <v>Běžná</v>
      </c>
      <c r="X31" s="437" t="str">
        <f>HLOOKUP('3-Schopnosti'!$X$3,Max_DOV!$A$5:$AH$58,MATCH($U31,Max_DOV!$A$5:$A$58,0),FALSE)</f>
        <v>Mistrně</v>
      </c>
      <c r="Y31" s="437" t="str">
        <f>IFERROR(HLOOKUP('3-Schopnosti'!$AS$3,Max_DOV!$A$5:$AH$58,MATCH($U31,Max_DOV!$A$5:$A$58,0),FALSE),"Vůbec")</f>
        <v>Vůbec</v>
      </c>
      <c r="Z31" s="438" t="str">
        <f t="shared" si="15"/>
        <v>Mistrně</v>
      </c>
      <c r="AA31" s="133" t="s">
        <v>115</v>
      </c>
      <c r="AB31" s="133" t="s">
        <v>4892</v>
      </c>
      <c r="AC31" s="133" t="s">
        <v>83</v>
      </c>
      <c r="AD31" s="133" t="s">
        <v>84</v>
      </c>
      <c r="AE31" s="133" t="s">
        <v>85</v>
      </c>
      <c r="AF31" s="133" t="str">
        <f t="shared" si="6"/>
        <v>Velmi dobře</v>
      </c>
      <c r="AG31" s="133" t="str">
        <f t="shared" si="7"/>
        <v>Dokonale</v>
      </c>
      <c r="AH31" s="133" t="str">
        <f t="shared" si="8"/>
        <v>Mistrně</v>
      </c>
      <c r="AI31" s="164">
        <f>AJ31</f>
        <v>0</v>
      </c>
      <c r="AJ31" s="1030"/>
      <c r="AM31"/>
      <c r="AN31"/>
    </row>
    <row r="32" spans="1:45" ht="15" customHeight="1" x14ac:dyDescent="0.3">
      <c r="A32" s="493" t="s">
        <v>1207</v>
      </c>
      <c r="B32" s="229" t="str">
        <f>IFERROR(HLOOKUP('4-Dovednosti'!$W$2,'4-Dovednosti'!$U$2:$W$57,MATCH($A32,'4-Dovednosti'!$U$2:$U$57,0),FALSE)," ")</f>
        <v>Běžná</v>
      </c>
      <c r="C32" s="230" t="s">
        <v>115</v>
      </c>
      <c r="D32" s="919" t="str">
        <f>IFERROR(HLOOKUP('4-Dovednosti'!$V$2,'4-Dovednosti'!$U$2:$W$57,MATCH(A32,'4-Dovednosti'!$U$2:$U$57,0),FALSE)," ")</f>
        <v>VOL</v>
      </c>
      <c r="E32" s="229">
        <f t="shared" si="16"/>
        <v>0</v>
      </c>
      <c r="F32" s="229">
        <f>IFERROR(HLOOKUP($O$28,$N$28:$R$36,MATCH($C32,$N$28:$N$36,0),FALSE)+AI23," ")</f>
        <v>-5</v>
      </c>
      <c r="G32" s="828" t="s">
        <v>3985</v>
      </c>
      <c r="H32" s="927">
        <f>'Tvorba postavy'!$J$67/6</f>
        <v>0</v>
      </c>
      <c r="I32" s="1095" t="s">
        <v>652</v>
      </c>
      <c r="J32" s="143" t="str">
        <f>IF(OR(KV_1="81",KV_2="81",KV_3="81",KV_1="81",KV_2="81",KV_3="81"),"Ano","Ne")</f>
        <v>Ne</v>
      </c>
      <c r="K32" s="830"/>
      <c r="L32" s="761"/>
      <c r="N32" s="7" t="s">
        <v>84</v>
      </c>
      <c r="O32" s="584">
        <v>0</v>
      </c>
      <c r="P32" s="53">
        <f>SUM(P$17:P20)</f>
        <v>24</v>
      </c>
      <c r="Q32" s="53">
        <f>SUM(Q$17:Q20)</f>
        <v>36</v>
      </c>
      <c r="R32" s="430">
        <v>3</v>
      </c>
      <c r="U32" s="1105" t="s">
        <v>4238</v>
      </c>
      <c r="V32" s="54" t="str">
        <f>HLOOKUP(Max_DOV!$B$5,Max_DOV!$A$5:$AH$58,MATCH($U32,Max_DOV!$A$5:$A$58,0),FALSE)</f>
        <v>INT</v>
      </c>
      <c r="W32" s="315" t="str">
        <f>IF(OR('2-Vzhled a charakter'!$B$2="Trpaslík",'2-Vzhled a charakter'!$B$2="Trpaslice",,AV2="A",'3-Schopnosti'!$X$3="Lovec pokladů"),"Snížená","Běžná")</f>
        <v>Snížená</v>
      </c>
      <c r="X32" s="437" t="str">
        <f>HLOOKUP('3-Schopnosti'!$X$3,Max_DOV!$A$5:$AH$58,MATCH($U32,Max_DOV!$A$5:$A$58,0),FALSE)</f>
        <v>Velmi dobře</v>
      </c>
      <c r="Y32" s="437" t="str">
        <f>IFERROR(HLOOKUP('3-Schopnosti'!$AS$3,Max_DOV!$A$5:$AH$58,MATCH($U32,Max_DOV!$A$5:$A$58,0),FALSE),"Vůbec")</f>
        <v>Vůbec</v>
      </c>
      <c r="Z32" s="438" t="str">
        <f t="shared" si="15"/>
        <v>Velmi dobře</v>
      </c>
      <c r="AA32" s="133" t="s">
        <v>115</v>
      </c>
      <c r="AB32" s="133" t="s">
        <v>4892</v>
      </c>
      <c r="AC32" s="133" t="s">
        <v>83</v>
      </c>
      <c r="AD32" s="133" t="s">
        <v>84</v>
      </c>
      <c r="AE32" s="133" t="s">
        <v>85</v>
      </c>
      <c r="AF32" s="133" t="str">
        <f t="shared" si="6"/>
        <v>Velmi dobře</v>
      </c>
      <c r="AG32" s="133" t="str">
        <f t="shared" si="7"/>
        <v>Vůbec</v>
      </c>
      <c r="AH32" s="133" t="str">
        <f t="shared" si="8"/>
        <v>Vůbec</v>
      </c>
      <c r="AI32" s="164">
        <f>AJ32</f>
        <v>0</v>
      </c>
      <c r="AJ32" s="1030"/>
      <c r="AM32"/>
      <c r="AN32"/>
    </row>
    <row r="33" spans="1:40" ht="15" customHeight="1" x14ac:dyDescent="0.3">
      <c r="A33" s="493" t="s">
        <v>1209</v>
      </c>
      <c r="B33" s="229" t="str">
        <f>IFERROR(HLOOKUP('4-Dovednosti'!$W$2,'4-Dovednosti'!$U$2:$W$57,MATCH($A33,'4-Dovednosti'!$U$2:$U$57,0),FALSE)," ")</f>
        <v>Snížená</v>
      </c>
      <c r="C33" s="230" t="s">
        <v>115</v>
      </c>
      <c r="D33" s="919" t="str">
        <f>IFERROR(HLOOKUP('4-Dovednosti'!$V$2,'4-Dovednosti'!$U$2:$W$57,MATCH(A33,'4-Dovednosti'!$U$2:$U$57,0),FALSE)," ")</f>
        <v>VOL</v>
      </c>
      <c r="E33" s="229">
        <f t="shared" si="16"/>
        <v>0</v>
      </c>
      <c r="F33" s="229">
        <f>IFERROR(HLOOKUP($O$28,$N$28:$R$36,MATCH($C33,$N$28:$N$36,0),FALSE)+AI25," ")</f>
        <v>-5</v>
      </c>
      <c r="G33" s="828" t="s">
        <v>3986</v>
      </c>
      <c r="H33" s="927">
        <f>'Tvorba postavy'!$J$67/6</f>
        <v>0</v>
      </c>
      <c r="I33" s="135" t="s">
        <v>654</v>
      </c>
      <c r="J33" s="9" t="str">
        <f>IF(OR(KV_1="87",KV_2="87",KV_3="87"),"Ano","Ne")</f>
        <v>Ne</v>
      </c>
      <c r="K33" s="830"/>
      <c r="L33" s="761"/>
      <c r="N33" s="11" t="s">
        <v>85</v>
      </c>
      <c r="O33" s="584">
        <v>1</v>
      </c>
      <c r="P33" s="53">
        <f>SUM(P$17:P21)</f>
        <v>40</v>
      </c>
      <c r="Q33" s="53">
        <f>SUM(Q$17:Q21)</f>
        <v>60</v>
      </c>
      <c r="R33" s="430">
        <v>4</v>
      </c>
      <c r="U33" s="496" t="s">
        <v>5434</v>
      </c>
      <c r="V33" s="54" t="str">
        <f>HLOOKUP(Max_DOV!$B$5,Max_DOV!$A$5:$AH$58,MATCH($U33,Max_DOV!$A$5:$A$58,0),FALSE)</f>
        <v>OBR</v>
      </c>
      <c r="W33" s="315" t="str">
        <f>IF(OR('2-Vzhled a charakter'!$B$2="Hobit",'2-Vzhled a charakter'!$B$2="Hobitka",'2-Vzhled a charakter'!$B$2="Hobgoblin",'2-Vzhled a charakter'!$B$2="Hobgoblinka",,'2-Vzhled a charakter'!$B$2="Šotek",'2-Vzhled a charakter'!$B$2="Šotčice"),"Snížená","Běžná")</f>
        <v>Běžná</v>
      </c>
      <c r="X33" s="437" t="str">
        <f>HLOOKUP('3-Schopnosti'!$X$3,Max_DOV!$A$5:$AH$58,MATCH($U33,Max_DOV!$A$5:$A$58,0),FALSE)</f>
        <v>Mistrně</v>
      </c>
      <c r="Y33" s="437" t="str">
        <f>IFERROR(HLOOKUP('3-Schopnosti'!$AS$3,Max_DOV!$A$5:$AH$58,MATCH($U33,Max_DOV!$A$5:$A$58,0),FALSE),"Vůbec")</f>
        <v>Vůbec</v>
      </c>
      <c r="Z33" s="438" t="str">
        <f t="shared" si="15"/>
        <v>Mistrně</v>
      </c>
      <c r="AA33" s="133" t="s">
        <v>115</v>
      </c>
      <c r="AB33" s="133" t="s">
        <v>4892</v>
      </c>
      <c r="AC33" s="133" t="s">
        <v>83</v>
      </c>
      <c r="AD33" s="133" t="s">
        <v>84</v>
      </c>
      <c r="AE33" s="133" t="s">
        <v>85</v>
      </c>
      <c r="AF33" s="133" t="str">
        <f t="shared" si="6"/>
        <v>Velmi dobře</v>
      </c>
      <c r="AG33" s="133" t="str">
        <f t="shared" si="7"/>
        <v>Dokonale</v>
      </c>
      <c r="AH33" s="133" t="str">
        <f t="shared" si="8"/>
        <v>Mistrně</v>
      </c>
      <c r="AI33" s="164">
        <f>IF(OR('3-Schopnosti'!X$3="Lupič",'3-Schopnosti'!$AS$3="Lupič",'3-Schopnosti'!X$3="Šinobi",'3-Schopnosti'!$AS$3="Šinobi"),1,0)+AJ33</f>
        <v>0</v>
      </c>
      <c r="AJ33" s="1030"/>
      <c r="AM33"/>
      <c r="AN33"/>
    </row>
    <row r="34" spans="1:40" ht="15" customHeight="1" x14ac:dyDescent="0.3">
      <c r="A34" s="493" t="s">
        <v>5429</v>
      </c>
      <c r="B34" s="229" t="str">
        <f>IFERROR(HLOOKUP('4-Dovednosti'!$W$2,'4-Dovednosti'!$U$2:$W$57,MATCH($A34,'4-Dovednosti'!$U$2:$U$57,0),FALSE)," ")</f>
        <v>Běžná</v>
      </c>
      <c r="C34" s="230" t="s">
        <v>115</v>
      </c>
      <c r="D34" s="919" t="str">
        <f>IFERROR(HLOOKUP('4-Dovednosti'!$V$2,'4-Dovednosti'!$U$2:$W$57,MATCH(A34,'4-Dovednosti'!$U$2:$U$57,0),FALSE)," ")</f>
        <v>VOL</v>
      </c>
      <c r="E34" s="229">
        <f t="shared" si="16"/>
        <v>0</v>
      </c>
      <c r="F34" s="229">
        <f>IFERROR(HLOOKUP($O$28,$N$28:$R$36,MATCH($C34,$N$28:$N$36,0),FALSE)+AI24," ")</f>
        <v>-5</v>
      </c>
      <c r="G34" s="828" t="s">
        <v>3987</v>
      </c>
      <c r="H34" s="927">
        <f>'Tvorba postavy'!$J$67/6</f>
        <v>0</v>
      </c>
      <c r="I34" s="135" t="s">
        <v>5252</v>
      </c>
      <c r="J34" s="9" t="str">
        <f>IF(OR(KV_1="85",KV_2="85",KV_3="85"),"Ano","Ne")</f>
        <v>Ne</v>
      </c>
      <c r="K34" s="830"/>
      <c r="L34" s="761"/>
      <c r="N34" s="469" t="s">
        <v>86</v>
      </c>
      <c r="O34" s="630">
        <v>3</v>
      </c>
      <c r="P34" s="471">
        <f>SUM(P$17:P22)</f>
        <v>60</v>
      </c>
      <c r="Q34" s="471">
        <f>SUM(Q$17:Q22)</f>
        <v>90</v>
      </c>
      <c r="R34" s="631">
        <v>5</v>
      </c>
      <c r="U34" s="1105" t="s">
        <v>1144</v>
      </c>
      <c r="V34" s="54" t="str">
        <f>HLOOKUP(Max_DOV!$B$5,Max_DOV!$A$5:$AH$58,MATCH($U34,Max_DOV!$A$5:$A$58,0),FALSE)</f>
        <v>INT</v>
      </c>
      <c r="W34" s="315" t="str">
        <f>IF(OR('3-Schopnosti'!$X$3="Kněz",'3-Schopnosti'!$AS$3="Kněz",'3-Schopnosti'!$X$3="Okultista",'3-Schopnosti'!$AS$3="Okultista",'3-Schopnosti'!$X$3="Paladin",'3-Schopnosti'!$AS$3="Paladin"),"Snížená","Běžná")</f>
        <v>Běžná</v>
      </c>
      <c r="X34" s="437" t="str">
        <f>HLOOKUP('3-Schopnosti'!$X$3,Max_DOV!$A$5:$AH$58,MATCH($U34,Max_DOV!$A$5:$A$58,0),FALSE)</f>
        <v>Velmi dobře</v>
      </c>
      <c r="Y34" s="437" t="str">
        <f>IFERROR(HLOOKUP('3-Schopnosti'!$AS$3,Max_DOV!$A$5:$AH$58,MATCH($U34,Max_DOV!$A$5:$A$58,0),FALSE),"Vůbec")</f>
        <v>Vůbec</v>
      </c>
      <c r="Z34" s="438" t="str">
        <f t="shared" si="15"/>
        <v>Velmi dobře</v>
      </c>
      <c r="AA34" s="133" t="s">
        <v>115</v>
      </c>
      <c r="AB34" s="133" t="s">
        <v>4892</v>
      </c>
      <c r="AC34" s="133" t="s">
        <v>83</v>
      </c>
      <c r="AD34" s="133" t="s">
        <v>84</v>
      </c>
      <c r="AE34" s="133" t="s">
        <v>85</v>
      </c>
      <c r="AF34" s="133" t="str">
        <f t="shared" si="6"/>
        <v>Velmi dobře</v>
      </c>
      <c r="AG34" s="133" t="str">
        <f t="shared" si="7"/>
        <v>Vůbec</v>
      </c>
      <c r="AH34" s="133" t="str">
        <f t="shared" si="8"/>
        <v>Vůbec</v>
      </c>
      <c r="AI34" s="164">
        <f>AJ34</f>
        <v>0</v>
      </c>
      <c r="AJ34" s="1030"/>
      <c r="AM34"/>
      <c r="AN34"/>
    </row>
    <row r="35" spans="1:40" ht="15" customHeight="1" x14ac:dyDescent="0.3">
      <c r="A35" s="493" t="s">
        <v>4240</v>
      </c>
      <c r="B35" s="229" t="str">
        <f>IFERROR(HLOOKUP('4-Dovednosti'!$W$2,'4-Dovednosti'!$U$2:$W$57,MATCH($A35,'4-Dovednosti'!$U$2:$U$57,0),FALSE)," ")</f>
        <v>Běžná</v>
      </c>
      <c r="C35" s="230" t="s">
        <v>115</v>
      </c>
      <c r="D35" s="919" t="str">
        <f>IFERROR(HLOOKUP('4-Dovednosti'!$V$2,'4-Dovednosti'!$U$2:$W$57,MATCH(A35,'4-Dovednosti'!$U$2:$U$57,0),FALSE)," ")</f>
        <v>CHAR</v>
      </c>
      <c r="E35" s="229">
        <f t="shared" si="16"/>
        <v>0</v>
      </c>
      <c r="F35" s="229">
        <f>IFERROR(HLOOKUP($O$28,$N$28:$R$36,MATCH($C35,$N$28:$N$36,0),FALSE)+AI38," ")</f>
        <v>-5</v>
      </c>
      <c r="G35" s="829" t="s">
        <v>3988</v>
      </c>
      <c r="H35" s="927">
        <f>'Tvorba postavy'!$J$67/6</f>
        <v>0</v>
      </c>
      <c r="I35" s="135" t="s">
        <v>655</v>
      </c>
      <c r="J35" s="9" t="str">
        <f>IF(OR(KV_1="89",KV_2="89",KV_3="89"),"Ano","Ne")</f>
        <v>Ne</v>
      </c>
      <c r="K35" s="830"/>
      <c r="L35" s="761"/>
      <c r="N35" s="11" t="s">
        <v>158</v>
      </c>
      <c r="O35" s="584">
        <v>5</v>
      </c>
      <c r="P35" s="53">
        <f>SUM(P$17:P23)</f>
        <v>84</v>
      </c>
      <c r="Q35" s="53">
        <f>SUM(Q$17:Q23)</f>
        <v>126</v>
      </c>
      <c r="R35" s="430">
        <v>6</v>
      </c>
      <c r="U35" s="496" t="s">
        <v>2491</v>
      </c>
      <c r="V35" s="54" t="str">
        <f>HLOOKUP(Max_DOV!$B$5,Max_DOV!$A$5:$AH$58,MATCH($U35,Max_DOV!$A$5:$A$58,0),FALSE)</f>
        <v>ZRČ</v>
      </c>
      <c r="W35" s="315" t="str">
        <f>IF(OR($AQ$5="A"),"Snížená","Běžná")</f>
        <v>Běžná</v>
      </c>
      <c r="X35" s="437" t="str">
        <f>HLOOKUP('3-Schopnosti'!$X$3,Max_DOV!$A$5:$AH$58,MATCH($U35,Max_DOV!$A$5:$A$58,0),FALSE)</f>
        <v>Mistrně</v>
      </c>
      <c r="Y35" s="437" t="str">
        <f>IFERROR(HLOOKUP('3-Schopnosti'!$AS$3,Max_DOV!$A$5:$AH$58,MATCH($U35,Max_DOV!$A$5:$A$58,0),FALSE),"Vůbec")</f>
        <v>Vůbec</v>
      </c>
      <c r="Z35" s="438" t="str">
        <f t="shared" si="15"/>
        <v>Mistrně</v>
      </c>
      <c r="AA35" s="133" t="s">
        <v>115</v>
      </c>
      <c r="AB35" s="133" t="s">
        <v>4892</v>
      </c>
      <c r="AC35" s="133" t="s">
        <v>83</v>
      </c>
      <c r="AD35" s="133" t="s">
        <v>84</v>
      </c>
      <c r="AE35" s="133" t="s">
        <v>85</v>
      </c>
      <c r="AF35" s="133" t="str">
        <f t="shared" si="6"/>
        <v>Velmi dobře</v>
      </c>
      <c r="AG35" s="133" t="str">
        <f t="shared" si="7"/>
        <v>Dokonale</v>
      </c>
      <c r="AH35" s="133" t="str">
        <f t="shared" si="8"/>
        <v>Mistrně</v>
      </c>
      <c r="AI35" s="164">
        <f>IF(OR('3-Schopnosti'!$X$3="Stopař",'3-Schopnosti'!$AS$3="Stopař",'3-Schopnosti'!$X$3="Zaklínač",'3-Schopnosti'!$AS$3="Zaklínač"),1,0)+AS18+AJ35</f>
        <v>0</v>
      </c>
      <c r="AJ35" s="1030"/>
      <c r="AM35"/>
      <c r="AN35"/>
    </row>
    <row r="36" spans="1:40" ht="15" customHeight="1" x14ac:dyDescent="0.3">
      <c r="A36" s="493" t="s">
        <v>208</v>
      </c>
      <c r="B36" s="229" t="str">
        <f>IFERROR(HLOOKUP('4-Dovednosti'!$W$2,'4-Dovednosti'!$U$2:$W$57,MATCH($A36,'4-Dovednosti'!$U$2:$U$57,0),FALSE)," ")</f>
        <v>Běžná</v>
      </c>
      <c r="C36" s="230" t="s">
        <v>115</v>
      </c>
      <c r="D36" s="919" t="str">
        <f>IFERROR(HLOOKUP('4-Dovednosti'!$V$2,'4-Dovednosti'!$U$2:$W$57,MATCH(A36,'4-Dovednosti'!$U$2:$U$57,0),FALSE)," ")</f>
        <v>ZRČ</v>
      </c>
      <c r="E36" s="229">
        <f t="shared" si="16"/>
        <v>0</v>
      </c>
      <c r="F36" s="229">
        <f>IFERROR(HLOOKUP($O$28,$N$28:$R$36,MATCH($C36,$N$28:$N$36,0),FALSE)+AI43," ")</f>
        <v>-5</v>
      </c>
      <c r="G36" s="829" t="s">
        <v>3989</v>
      </c>
      <c r="H36" s="927">
        <f>'Tvorba postavy'!$J$67/6</f>
        <v>0</v>
      </c>
      <c r="I36" s="135" t="s">
        <v>653</v>
      </c>
      <c r="J36" s="9" t="str">
        <f>IF(OR(KV_1="83",KV_2="83",KV_3="83"),"Ano","Ne")</f>
        <v>Ne</v>
      </c>
      <c r="K36" s="830"/>
      <c r="L36" s="761"/>
      <c r="N36" s="632" t="s">
        <v>194</v>
      </c>
      <c r="O36" s="633">
        <v>7</v>
      </c>
      <c r="P36" s="634">
        <f>SUM(P$17:P24)</f>
        <v>112</v>
      </c>
      <c r="Q36" s="634">
        <f>SUM(Q$17:Q24)</f>
        <v>168</v>
      </c>
      <c r="R36" s="431">
        <v>7</v>
      </c>
      <c r="U36" s="496" t="s">
        <v>715</v>
      </c>
      <c r="V36" s="54" t="str">
        <f>HLOOKUP(Max_DOV!$B$5,Max_DOV!$A$5:$AH$58,MATCH($U36,Max_DOV!$A$5:$A$58,0),FALSE)</f>
        <v>SIL</v>
      </c>
      <c r="W36" s="315" t="str">
        <f>IF(OR('2-Vzhled a charakter'!$B$2="Barbar",'2-Vzhled a charakter'!$B$2="Amazonka",'2-Vzhled a charakter'!$B$2="Gnol",'2-Vzhled a charakter'!$B$2="Gnolka",'2-Vzhled a charakter'!$B$2="Medvědodlak",'2-Vzhled a charakter'!$B$2="Medvědodlačice",'2-Vzhled a charakter'!$B$2="Stolin",'2-Vzhled a charakter'!$B$2="Stolinka"),"Snížená","Běžná")</f>
        <v>Běžná</v>
      </c>
      <c r="X36" s="437" t="str">
        <f>HLOOKUP('3-Schopnosti'!$X$3,Max_DOV!$A$5:$AH$58,MATCH($U36,Max_DOV!$A$5:$A$58,0),FALSE)</f>
        <v>Velmi dobře</v>
      </c>
      <c r="Y36" s="437" t="str">
        <f>IFERROR(HLOOKUP('3-Schopnosti'!$AS$3,Max_DOV!$A$5:$AH$58,MATCH($U36,Max_DOV!$A$5:$A$58,0),FALSE),"Vůbec")</f>
        <v>Vůbec</v>
      </c>
      <c r="Z36" s="438" t="str">
        <f t="shared" si="15"/>
        <v>Velmi dobře</v>
      </c>
      <c r="AA36" s="133" t="s">
        <v>115</v>
      </c>
      <c r="AB36" s="133" t="s">
        <v>4892</v>
      </c>
      <c r="AC36" s="133" t="s">
        <v>83</v>
      </c>
      <c r="AD36" s="133" t="s">
        <v>84</v>
      </c>
      <c r="AE36" s="133" t="s">
        <v>85</v>
      </c>
      <c r="AF36" s="133" t="str">
        <f t="shared" si="6"/>
        <v>Velmi dobře</v>
      </c>
      <c r="AG36" s="133" t="str">
        <f t="shared" si="7"/>
        <v>Vůbec</v>
      </c>
      <c r="AH36" s="133" t="str">
        <f t="shared" si="8"/>
        <v>Vůbec</v>
      </c>
      <c r="AI36" s="164">
        <f>IF(OR('3-Schopnosti'!$X$3="Bojovník",'3-Schopnosti'!$AS$3="Bojovník"),1,0)+AJ36</f>
        <v>0</v>
      </c>
      <c r="AJ36" s="1030"/>
      <c r="AM36"/>
      <c r="AN36"/>
    </row>
    <row r="37" spans="1:40" ht="15" customHeight="1" x14ac:dyDescent="0.3">
      <c r="A37" s="493" t="s">
        <v>210</v>
      </c>
      <c r="B37" s="229" t="str">
        <f>IFERROR(HLOOKUP('4-Dovednosti'!$W$2,'4-Dovednosti'!$U$2:$W$57,MATCH($A37,'4-Dovednosti'!$U$2:$U$57,0),FALSE)," ")</f>
        <v>Běžná</v>
      </c>
      <c r="C37" s="230" t="s">
        <v>115</v>
      </c>
      <c r="D37" s="919" t="str">
        <f>IFERROR(HLOOKUP('4-Dovednosti'!$V$2,'4-Dovednosti'!$U$2:$W$57,MATCH(A37,'4-Dovednosti'!$U$2:$U$57,0),FALSE)," ")</f>
        <v>CHAR</v>
      </c>
      <c r="E37" s="229">
        <f t="shared" si="16"/>
        <v>0</v>
      </c>
      <c r="F37" s="229">
        <f>IFERROR(HLOOKUP($O$28,$N$28:$R$36,MATCH($C37,$N$28:$N$36,0),FALSE)+AI46," ")</f>
        <v>-5</v>
      </c>
      <c r="G37" s="829" t="s">
        <v>3990</v>
      </c>
      <c r="H37" s="927">
        <f>'Tvorba postavy'!$J$67/6</f>
        <v>0</v>
      </c>
      <c r="I37" s="135" t="s">
        <v>658</v>
      </c>
      <c r="J37" s="9" t="str">
        <f>IF(OR(KV_1="91",KV_2="91",KV_3="91"),"Ano","Ne")</f>
        <v>Ne</v>
      </c>
      <c r="K37" s="830"/>
      <c r="L37" s="761"/>
      <c r="U37" s="496" t="s">
        <v>850</v>
      </c>
      <c r="V37" s="54" t="str">
        <f>HLOOKUP(Max_DOV!$B$5,Max_DOV!$A$5:$AH$58,MATCH($U37,Max_DOV!$A$5:$A$58,0),FALSE)</f>
        <v>VOL</v>
      </c>
      <c r="W37" s="315" t="str">
        <f>IF(OR('3-Schopnosti'!$X$3="Vědma",'3-Schopnosti'!$AS$3="Vědma",'3-Schopnosti'!$X$3="Pán zvířat"),"Snížená","Běžná")</f>
        <v>Běžná</v>
      </c>
      <c r="X37" s="437" t="str">
        <f>HLOOKUP('3-Schopnosti'!$X$3,Max_DOV!$A$5:$AH$58,MATCH($U37,Max_DOV!$A$5:$A$58,0),FALSE)</f>
        <v>Velmi dobře</v>
      </c>
      <c r="Y37" s="437" t="str">
        <f>IFERROR(HLOOKUP('3-Schopnosti'!$AS$3,Max_DOV!$A$5:$AH$58,MATCH($U37,Max_DOV!$A$5:$A$58,0),FALSE),"Vůbec")</f>
        <v>Vůbec</v>
      </c>
      <c r="Z37" s="438" t="str">
        <f t="shared" si="15"/>
        <v>Velmi dobře</v>
      </c>
      <c r="AA37" s="133" t="s">
        <v>115</v>
      </c>
      <c r="AB37" s="133" t="s">
        <v>4892</v>
      </c>
      <c r="AC37" s="133" t="s">
        <v>83</v>
      </c>
      <c r="AD37" s="133" t="s">
        <v>84</v>
      </c>
      <c r="AE37" s="133" t="s">
        <v>85</v>
      </c>
      <c r="AF37" s="133" t="str">
        <f t="shared" si="6"/>
        <v>Velmi dobře</v>
      </c>
      <c r="AG37" s="133" t="str">
        <f t="shared" si="7"/>
        <v>Vůbec</v>
      </c>
      <c r="AH37" s="133" t="str">
        <f t="shared" si="8"/>
        <v>Vůbec</v>
      </c>
      <c r="AI37" s="164">
        <f>AJ37</f>
        <v>0</v>
      </c>
      <c r="AJ37" s="1030"/>
      <c r="AM37"/>
      <c r="AN37"/>
    </row>
    <row r="38" spans="1:40" ht="15" customHeight="1" x14ac:dyDescent="0.3">
      <c r="A38" s="493" t="s">
        <v>213</v>
      </c>
      <c r="B38" s="229" t="str">
        <f>IFERROR(HLOOKUP('4-Dovednosti'!$W$2,'4-Dovednosti'!$U$2:$W$57,MATCH($A38,'4-Dovednosti'!$U$2:$U$57,0),FALSE)," ")</f>
        <v>Běžná</v>
      </c>
      <c r="C38" s="230" t="s">
        <v>115</v>
      </c>
      <c r="D38" s="919" t="str">
        <f>IFERROR(HLOOKUP('4-Dovednosti'!$V$2,'4-Dovednosti'!$U$2:$W$57,MATCH(A38,'4-Dovednosti'!$U$2:$U$57,0),FALSE)," ")</f>
        <v>CHAR</v>
      </c>
      <c r="E38" s="229">
        <f t="shared" si="16"/>
        <v>0</v>
      </c>
      <c r="F38" s="229">
        <f>IFERROR(HLOOKUP($O$28,$N$28:$R$36,MATCH($C38,$N$28:$N$36,0),FALSE)+AI49," ")</f>
        <v>-5</v>
      </c>
      <c r="G38" s="800" t="s">
        <v>1199</v>
      </c>
      <c r="H38" s="454"/>
      <c r="I38" s="454"/>
      <c r="J38" s="800"/>
      <c r="K38" s="800"/>
      <c r="L38" s="810" t="s">
        <v>166</v>
      </c>
      <c r="N38" s="58" t="s">
        <v>162</v>
      </c>
      <c r="O38" s="115"/>
      <c r="U38" s="1107" t="s">
        <v>4240</v>
      </c>
      <c r="V38" s="54" t="str">
        <f>HLOOKUP(Max_DOV!$B$5,Max_DOV!$A$5:$AH$58,MATCH($U38,Max_DOV!$A$5:$A$58,0),FALSE)</f>
        <v>CHAR</v>
      </c>
      <c r="W38" s="315" t="str">
        <f>IF(OR('2-Vzhled a charakter'!$B$2="Krysodlak",'2-Vzhled a charakter'!$B$2="Krysodlačice"),"Snížená","Běžná")</f>
        <v>Běžná</v>
      </c>
      <c r="X38" s="437" t="str">
        <f>HLOOKUP('3-Schopnosti'!$X$3,Max_DOV!$A$5:$AH$58,MATCH($U38,Max_DOV!$A$5:$A$58,0),FALSE)</f>
        <v>Mistrně</v>
      </c>
      <c r="Y38" s="437" t="str">
        <f>IFERROR(HLOOKUP('3-Schopnosti'!$AS$3,Max_DOV!$A$5:$AH$58,MATCH($U38,Max_DOV!$A$5:$A$58,0),FALSE),"Vůbec")</f>
        <v>Vůbec</v>
      </c>
      <c r="Z38" s="438" t="str">
        <f t="shared" si="15"/>
        <v>Mistrně</v>
      </c>
      <c r="AA38" s="133" t="s">
        <v>115</v>
      </c>
      <c r="AB38" s="133" t="s">
        <v>4892</v>
      </c>
      <c r="AC38" s="133" t="s">
        <v>83</v>
      </c>
      <c r="AD38" s="133" t="s">
        <v>84</v>
      </c>
      <c r="AE38" s="133" t="s">
        <v>85</v>
      </c>
      <c r="AF38" s="133" t="str">
        <f t="shared" si="6"/>
        <v>Velmi dobře</v>
      </c>
      <c r="AG38" s="133" t="str">
        <f t="shared" si="7"/>
        <v>Dokonale</v>
      </c>
      <c r="AH38" s="133" t="str">
        <f t="shared" si="8"/>
        <v>Mistrně</v>
      </c>
      <c r="AI38" s="164">
        <f>IF(OR('3-Schopnosti'!X$3="Okultista",'3-Schopnosti'!$AS$3="Okultista",'3-Schopnosti'!X$3="Temný mág",'3-Schopnosti'!$AS$3="Temný mág",'3-Schopnosti'!X$3="Démonik",'3-Schopnosti'!$AS$3="Démonik"),1,0)+IF(OR(Rasa="Člověk (M)",Rasa="Člověk (F)"),1,0)+AS19+AJ38</f>
        <v>0</v>
      </c>
      <c r="AJ38" s="1030"/>
      <c r="AM38"/>
      <c r="AN38"/>
    </row>
    <row r="39" spans="1:40" ht="15" customHeight="1" x14ac:dyDescent="0.3">
      <c r="A39" s="493" t="s">
        <v>876</v>
      </c>
      <c r="B39" s="229" t="str">
        <f>IFERROR(HLOOKUP('4-Dovednosti'!$W$2,'4-Dovednosti'!$U$2:$W$57,MATCH($A39,'4-Dovednosti'!$U$2:$U$57,0),FALSE)," ")</f>
        <v>Běžná</v>
      </c>
      <c r="C39" s="230" t="s">
        <v>115</v>
      </c>
      <c r="D39" s="919" t="str">
        <f>IFERROR(HLOOKUP('4-Dovednosti'!$V$2,'4-Dovednosti'!$U$2:$W$57,MATCH(A39,'4-Dovednosti'!$U$2:$U$57,0),FALSE)," ")</f>
        <v>SIL</v>
      </c>
      <c r="E39" s="229">
        <f t="shared" si="16"/>
        <v>0</v>
      </c>
      <c r="F39" s="229">
        <f>IFERROR(HLOOKUP($O$28,$N$28:$R$36,MATCH($C39,$N$28:$N$36,0),FALSE)+AI51," ")</f>
        <v>-5</v>
      </c>
      <c r="G39" s="372"/>
      <c r="H39" s="372"/>
      <c r="I39" s="372"/>
      <c r="J39" s="373"/>
      <c r="K39" s="366" t="s">
        <v>173</v>
      </c>
      <c r="L39" s="811">
        <f>Q3</f>
        <v>28</v>
      </c>
      <c r="N39" s="130" t="s">
        <v>168</v>
      </c>
      <c r="O39" s="131" t="s">
        <v>8</v>
      </c>
      <c r="U39" s="496" t="s">
        <v>5436</v>
      </c>
      <c r="V39" s="54" t="str">
        <f>HLOOKUP(Max_DOV!$B$5,Max_DOV!$A$5:$AH$58,MATCH($U39,Max_DOV!$A$5:$A$58,0),FALSE)</f>
        <v>OBR</v>
      </c>
      <c r="W39" s="315" t="s">
        <v>5442</v>
      </c>
      <c r="X39" s="437" t="str">
        <f>HLOOKUP('3-Schopnosti'!$X$3,Max_DOV!$A$5:$AH$58,MATCH($U39,Max_DOV!$A$5:$A$58,0),FALSE)</f>
        <v>Velmi dobře</v>
      </c>
      <c r="Y39" s="437" t="str">
        <f>IFERROR(HLOOKUP('3-Schopnosti'!$AS$3,Max_DOV!$A$5:$AH$58,MATCH($U39,Max_DOV!$A$5:$A$58,0),FALSE),"Vůbec")</f>
        <v>Vůbec</v>
      </c>
      <c r="Z39" s="438" t="str">
        <f t="shared" si="15"/>
        <v>Velmi dobře</v>
      </c>
      <c r="AA39" s="133" t="s">
        <v>115</v>
      </c>
      <c r="AB39" s="133" t="s">
        <v>4892</v>
      </c>
      <c r="AC39" s="133" t="s">
        <v>83</v>
      </c>
      <c r="AD39" s="133" t="s">
        <v>84</v>
      </c>
      <c r="AE39" s="133" t="s">
        <v>85</v>
      </c>
      <c r="AF39" s="133" t="str">
        <f t="shared" si="6"/>
        <v>Velmi dobře</v>
      </c>
      <c r="AG39" s="133" t="str">
        <f t="shared" si="7"/>
        <v>Vůbec</v>
      </c>
      <c r="AH39" s="133" t="str">
        <f t="shared" si="8"/>
        <v>Vůbec</v>
      </c>
      <c r="AI39" s="164">
        <f>AJ39</f>
        <v>0</v>
      </c>
      <c r="AJ39" s="1030"/>
      <c r="AM39"/>
      <c r="AN39"/>
    </row>
    <row r="40" spans="1:40" ht="15" customHeight="1" x14ac:dyDescent="0.3">
      <c r="A40" s="916" t="s">
        <v>4890</v>
      </c>
      <c r="B40" s="229" t="str">
        <f>IFERROR(HLOOKUP($W$2,$U$2:$W$57,MATCH($A40,$U$2:$U$57,0),FALSE)," ")</f>
        <v>Běžná</v>
      </c>
      <c r="C40" s="230" t="s">
        <v>115</v>
      </c>
      <c r="D40" s="919" t="str">
        <f>IFERROR(HLOOKUP($V$2,$U$2:$W$57,MATCH(A40,$U$2:$U$57,0),FALSE)," ")</f>
        <v>VOL</v>
      </c>
      <c r="E40" s="229">
        <f t="shared" si="16"/>
        <v>0</v>
      </c>
      <c r="F40" s="1023">
        <f>IFERROR(HLOOKUP($O$28,$N$28:$R$36,MATCH($C40,$N$28:$N$36,0),FALSE)+AI54," ")</f>
        <v>-5</v>
      </c>
      <c r="G40" s="372"/>
      <c r="H40" s="372"/>
      <c r="I40" s="372"/>
      <c r="J40" s="373"/>
      <c r="K40" s="366" t="s">
        <v>178</v>
      </c>
      <c r="L40" s="811">
        <f>Q5</f>
        <v>12</v>
      </c>
      <c r="N40" s="130" t="s">
        <v>175</v>
      </c>
      <c r="O40" s="131" t="s">
        <v>7</v>
      </c>
      <c r="U40" s="1106" t="s">
        <v>5438</v>
      </c>
      <c r="V40" s="54" t="str">
        <f>HLOOKUP(Max_DOV!$B$5,Max_DOV!$A$5:$AH$58,MATCH($U40,Max_DOV!$A$5:$A$58,0),FALSE)</f>
        <v>ZRČ</v>
      </c>
      <c r="W40" s="315" t="str">
        <f>IF(OR('2-Vzhled a charakter'!$B$2="Kudúk",'2-Vzhled a charakter'!$B$2="Kudůčice"),"Snížená","Běžná")</f>
        <v>Běžná</v>
      </c>
      <c r="X40" s="437" t="str">
        <f>HLOOKUP('3-Schopnosti'!$X$3,Max_DOV!$A$5:$AH$58,MATCH($U40,Max_DOV!$A$5:$A$58,0),FALSE)</f>
        <v>Velmi dobře</v>
      </c>
      <c r="Y40" s="437" t="str">
        <f>IFERROR(HLOOKUP('3-Schopnosti'!$AS$3,Max_DOV!$A$5:$AH$58,MATCH($U40,Max_DOV!$A$5:$A$58,0),FALSE),"Vůbec")</f>
        <v>Vůbec</v>
      </c>
      <c r="Z40" s="438" t="str">
        <f t="shared" ref="Z40" si="17">IF(OR(X40="Mistrně",Y40="Mistrně"),"Mistrně",IF(OR(X40="Dokonale",Y40="Dokonale"),"Dokonale",IF(OR(X40="Velmi dobře",Y40="Velmi dobře"),"Velmi dobře",IF(OR(X40="Dobře",Y40="Dobře"),"Dobře","Vůbec"))))</f>
        <v>Velmi dobře</v>
      </c>
      <c r="AA40" s="133" t="s">
        <v>115</v>
      </c>
      <c r="AB40" s="133" t="s">
        <v>4892</v>
      </c>
      <c r="AC40" s="133" t="s">
        <v>83</v>
      </c>
      <c r="AD40" s="133" t="s">
        <v>84</v>
      </c>
      <c r="AE40" s="133" t="s">
        <v>85</v>
      </c>
      <c r="AF40" s="133" t="str">
        <f t="shared" si="6"/>
        <v>Velmi dobře</v>
      </c>
      <c r="AG40" s="133" t="str">
        <f t="shared" si="7"/>
        <v>Vůbec</v>
      </c>
      <c r="AH40" s="133" t="str">
        <f t="shared" si="8"/>
        <v>Vůbec</v>
      </c>
      <c r="AI40" s="164">
        <f>AJ40</f>
        <v>0</v>
      </c>
      <c r="AJ40" s="1030"/>
      <c r="AM40"/>
      <c r="AN40"/>
    </row>
    <row r="41" spans="1:40" ht="15" customHeight="1" x14ac:dyDescent="0.3">
      <c r="A41" s="1361" t="s">
        <v>1197</v>
      </c>
      <c r="B41" s="1361"/>
      <c r="C41" s="1361"/>
      <c r="D41" s="1361"/>
      <c r="E41" s="1361"/>
      <c r="F41" s="1362"/>
      <c r="G41" s="372"/>
      <c r="H41" s="372"/>
      <c r="I41" s="372"/>
      <c r="J41" s="373"/>
      <c r="K41" s="366" t="s">
        <v>188</v>
      </c>
      <c r="L41" s="811">
        <f>Q7</f>
        <v>24</v>
      </c>
      <c r="N41" s="130" t="s">
        <v>178</v>
      </c>
      <c r="O41" s="131" t="s">
        <v>4</v>
      </c>
      <c r="U41" s="501" t="s">
        <v>5437</v>
      </c>
      <c r="V41" s="54" t="str">
        <f>HLOOKUP(Max_DOV!$B$5,Max_DOV!$A$5:$AH$58,MATCH($U41,Max_DOV!$A$5:$A$58,0),FALSE)</f>
        <v>ZRČ</v>
      </c>
      <c r="W41" s="492" t="str">
        <f>IF(OR('3-Schopnosti'!X$3="Stopař",'3-Schopnosti'!$AS$3="Stopař",'3-Schopnosti'!X$3="Nekromant",'3-Schopnosti'!$AS$3="Nekromant"),"Snížená","Běžná")</f>
        <v>Běžná</v>
      </c>
      <c r="X41" s="437" t="str">
        <f>HLOOKUP('3-Schopnosti'!$X$3,Max_DOV!$A$5:$AH$58,MATCH($U41,Max_DOV!$A$5:$A$58,0),FALSE)</f>
        <v>Velmi dobře</v>
      </c>
      <c r="Y41" s="437" t="str">
        <f>IFERROR(HLOOKUP('3-Schopnosti'!$AS$3,Max_DOV!$A$5:$AH$58,MATCH($U41,Max_DOV!$A$5:$A$58,0),FALSE),"Vůbec")</f>
        <v>Vůbec</v>
      </c>
      <c r="Z41" s="438" t="str">
        <f t="shared" ref="Z41:Z51" si="18">IF(OR(X41="Mistrně",Y41="Mistrně"),"Mistrně",IF(OR(X41="Dokonale",Y41="Dokonale"),"Dokonale",IF(OR(X41="Velmi dobře",Y41="Velmi dobře"),"Velmi dobře",IF(OR(X41="Dobře",Y41="Dobře"),"Dobře","Vůbec"))))</f>
        <v>Velmi dobře</v>
      </c>
      <c r="AA41" s="133" t="s">
        <v>115</v>
      </c>
      <c r="AB41" s="133" t="s">
        <v>4892</v>
      </c>
      <c r="AC41" s="133" t="s">
        <v>83</v>
      </c>
      <c r="AD41" s="133" t="s">
        <v>84</v>
      </c>
      <c r="AE41" s="133" t="s">
        <v>85</v>
      </c>
      <c r="AF41" s="133" t="str">
        <f t="shared" ref="AF41:AF51" si="19">IF(OR($Z41="Dokonale",$Z41="Mistrně",$Z41="Velmi dobře"),"Velmi dobře","Vůbec")</f>
        <v>Velmi dobře</v>
      </c>
      <c r="AG41" s="133" t="str">
        <f t="shared" ref="AG41:AG51" si="20">IF(OR($X41="Dokonale",$Y41="Dokonale",$X41="Mistrně",$Y41="Mistrně"),"Dokonale","Vůbec")</f>
        <v>Vůbec</v>
      </c>
      <c r="AH41" s="133" t="str">
        <f t="shared" ref="AH41:AH51" si="21">IF(OR($X41="Mistrně",$Y41="Mistrně"),"Mistrně","Vůbec")</f>
        <v>Vůbec</v>
      </c>
      <c r="AI41" s="164">
        <f>IF(OR('3-Schopnosti'!X$3="Apatykář",'3-Schopnosti'!$AS$3="Apatykář",'3-Schopnosti'!W$3="Alchymista",'3-Schopnosti'!$AR$3="Alchymista"),1,0)+AJ41</f>
        <v>0</v>
      </c>
      <c r="AJ41" s="1030"/>
      <c r="AM41"/>
      <c r="AN41"/>
    </row>
    <row r="42" spans="1:40" ht="15" customHeight="1" x14ac:dyDescent="0.3">
      <c r="A42" s="917" t="s">
        <v>1207</v>
      </c>
      <c r="B42" s="364" t="s">
        <v>179</v>
      </c>
      <c r="C42" s="230" t="str">
        <f>IF('1-Vlastnosti'!C8&lt;=6,"Průměrně",IF('1-Vlastnosti'!C8&lt;=9,"Dobře",IF('1-Vlastnosti'!C8&gt;=21,"Dokonale","Velmi dobře")))</f>
        <v>Průměrně</v>
      </c>
      <c r="D42" s="364" t="s">
        <v>175</v>
      </c>
      <c r="E42" s="229">
        <v>0</v>
      </c>
      <c r="F42" s="229">
        <f>IFERROR(HLOOKUP($O$28,$N$28:$R$36,MATCH($C42,$N$28:$N$36,0),FALSE)," ")</f>
        <v>0</v>
      </c>
      <c r="G42" s="372"/>
      <c r="H42" s="372"/>
      <c r="I42" s="372"/>
      <c r="J42" s="373"/>
      <c r="K42" s="366" t="s">
        <v>185</v>
      </c>
      <c r="L42" s="811">
        <f>Q9</f>
        <v>-8</v>
      </c>
      <c r="N42" s="130" t="s">
        <v>173</v>
      </c>
      <c r="O42" s="131" t="s">
        <v>0</v>
      </c>
      <c r="U42" s="1106" t="s">
        <v>5432</v>
      </c>
      <c r="V42" s="54" t="str">
        <f>HLOOKUP(Max_DOV!$B$5,Max_DOV!$A$5:$AH$58,MATCH($U42,Max_DOV!$A$5:$A$58,0),FALSE)</f>
        <v>VOL</v>
      </c>
      <c r="W42" s="315" t="str">
        <f>IF(OR(AQ2="A",'2-Vzhled a charakter'!$B$2="Illithid",'2-Vzhled a charakter'!$B$2="Mong",'2-Vzhled a charakter'!$B$2="Mongyně",'2-Vzhled a charakter'!$B$2="Obr 2hlavý"),"Snížená","Běžná")</f>
        <v>Běžná</v>
      </c>
      <c r="X42" s="437" t="str">
        <f>HLOOKUP('3-Schopnosti'!$X$3,Max_DOV!$A$5:$AH$58,MATCH($U42,Max_DOV!$A$5:$A$58,0),FALSE)</f>
        <v>Mistrně</v>
      </c>
      <c r="Y42" s="437" t="str">
        <f>IFERROR(HLOOKUP('3-Schopnosti'!$AS$3,Max_DOV!$A$5:$AH$58,MATCH($U42,Max_DOV!$A$5:$A$58,0),FALSE),"Vůbec")</f>
        <v>Vůbec</v>
      </c>
      <c r="Z42" s="438" t="str">
        <f t="shared" si="18"/>
        <v>Mistrně</v>
      </c>
      <c r="AA42" s="133" t="s">
        <v>115</v>
      </c>
      <c r="AB42" s="133" t="s">
        <v>4892</v>
      </c>
      <c r="AC42" s="133" t="s">
        <v>83</v>
      </c>
      <c r="AD42" s="133" t="s">
        <v>84</v>
      </c>
      <c r="AE42" s="133" t="s">
        <v>85</v>
      </c>
      <c r="AF42" s="133" t="str">
        <f t="shared" si="19"/>
        <v>Velmi dobře</v>
      </c>
      <c r="AG42" s="133" t="str">
        <f t="shared" si="20"/>
        <v>Dokonale</v>
      </c>
      <c r="AH42" s="133" t="str">
        <f t="shared" si="21"/>
        <v>Mistrně</v>
      </c>
      <c r="AI42" s="164">
        <f>IF(OR('3-Schopnosti'!$X$3="Šermíř",'3-Schopnosti'!$AS$3="Šermíř"),1,0)+AS17+AJ42</f>
        <v>0</v>
      </c>
      <c r="AJ42" s="1030"/>
      <c r="AM42"/>
      <c r="AN42"/>
    </row>
    <row r="43" spans="1:40" ht="15" customHeight="1" x14ac:dyDescent="0.3">
      <c r="A43" s="1096" t="s">
        <v>5449</v>
      </c>
      <c r="F43" s="761"/>
      <c r="G43" s="372"/>
      <c r="H43" s="372"/>
      <c r="I43" s="372"/>
      <c r="J43" s="373"/>
      <c r="K43" s="366" t="s">
        <v>175</v>
      </c>
      <c r="L43" s="811">
        <f>Q11</f>
        <v>8</v>
      </c>
      <c r="N43" s="130" t="s">
        <v>185</v>
      </c>
      <c r="O43" s="131" t="s">
        <v>6</v>
      </c>
      <c r="U43" s="1107" t="s">
        <v>208</v>
      </c>
      <c r="V43" s="54" t="str">
        <f>HLOOKUP(Max_DOV!$B$5,Max_DOV!$A$5:$AH$58,MATCH($U43,Max_DOV!$A$5:$A$58,0),FALSE)</f>
        <v>ZRČ</v>
      </c>
      <c r="W43" s="315" t="str">
        <f>IF(OR('2-Vzhled a charakter'!$B$2="Kobold",'2-Vzhled a charakter'!$B$2="Koboldka"),"Snížená","Běžná")</f>
        <v>Běžná</v>
      </c>
      <c r="X43" s="437" t="str">
        <f>HLOOKUP('3-Schopnosti'!$X$3,Max_DOV!$A$5:$AH$58,MATCH($U43,Max_DOV!$A$5:$A$58,0),FALSE)</f>
        <v>Velmi dobře</v>
      </c>
      <c r="Y43" s="437" t="str">
        <f>IFERROR(HLOOKUP('3-Schopnosti'!$AS$3,Max_DOV!$A$5:$AH$58,MATCH($U43,Max_DOV!$A$5:$A$58,0),FALSE),"Vůbec")</f>
        <v>Vůbec</v>
      </c>
      <c r="Z43" s="438" t="str">
        <f t="shared" si="18"/>
        <v>Velmi dobře</v>
      </c>
      <c r="AA43" s="133" t="s">
        <v>115</v>
      </c>
      <c r="AB43" s="133" t="s">
        <v>4892</v>
      </c>
      <c r="AC43" s="133" t="s">
        <v>83</v>
      </c>
      <c r="AD43" s="133" t="s">
        <v>84</v>
      </c>
      <c r="AE43" s="133" t="s">
        <v>85</v>
      </c>
      <c r="AF43" s="133" t="str">
        <f t="shared" si="19"/>
        <v>Velmi dobře</v>
      </c>
      <c r="AG43" s="133" t="str">
        <f t="shared" si="20"/>
        <v>Vůbec</v>
      </c>
      <c r="AH43" s="133" t="str">
        <f t="shared" si="21"/>
        <v>Vůbec</v>
      </c>
      <c r="AI43" s="164">
        <f t="shared" ref="AI43:AI45" si="22">AJ43</f>
        <v>0</v>
      </c>
      <c r="AJ43" s="1030"/>
      <c r="AM43"/>
      <c r="AN43"/>
    </row>
    <row r="44" spans="1:40" ht="15" customHeight="1" x14ac:dyDescent="0.3">
      <c r="A44" s="1097" t="s">
        <v>4886</v>
      </c>
      <c r="B44" s="197"/>
      <c r="F44" s="761"/>
      <c r="G44" s="458"/>
      <c r="H44" s="458"/>
      <c r="I44" s="458"/>
      <c r="J44" s="459"/>
      <c r="K44" s="990" t="s">
        <v>4239</v>
      </c>
      <c r="L44" s="811">
        <f>Q13</f>
        <v>4</v>
      </c>
      <c r="N44" s="130" t="s">
        <v>188</v>
      </c>
      <c r="O44" s="131" t="s">
        <v>5</v>
      </c>
      <c r="U44" s="1105" t="s">
        <v>1145</v>
      </c>
      <c r="V44" s="54" t="str">
        <f>HLOOKUP(Max_DOV!$B$5,Max_DOV!$A$5:$AH$58,MATCH($U44,Max_DOV!$A$5:$A$58,0),FALSE)</f>
        <v>CHAR</v>
      </c>
      <c r="W44" s="315" t="str">
        <f>IF(OR('2-Vzhled a charakter'!$B$2="Člověk (M)",'2-Vzhled a charakter'!$B$2="Člověk (F)"),"Snížená","Běžná")</f>
        <v>Běžná</v>
      </c>
      <c r="X44" s="437" t="str">
        <f>HLOOKUP('3-Schopnosti'!$X$3,Max_DOV!$A$5:$AH$58,MATCH($U44,Max_DOV!$A$5:$A$58,0),FALSE)</f>
        <v>Mistrně</v>
      </c>
      <c r="Y44" s="437" t="str">
        <f>IFERROR(HLOOKUP('3-Schopnosti'!$AS$3,Max_DOV!$A$5:$AH$58,MATCH($U44,Max_DOV!$A$5:$A$58,0),FALSE),"Vůbec")</f>
        <v>Vůbec</v>
      </c>
      <c r="Z44" s="438" t="str">
        <f t="shared" si="18"/>
        <v>Mistrně</v>
      </c>
      <c r="AA44" s="133" t="s">
        <v>115</v>
      </c>
      <c r="AB44" s="133" t="s">
        <v>4892</v>
      </c>
      <c r="AC44" s="133" t="s">
        <v>83</v>
      </c>
      <c r="AD44" s="133" t="s">
        <v>84</v>
      </c>
      <c r="AE44" s="133" t="s">
        <v>85</v>
      </c>
      <c r="AF44" s="133" t="str">
        <f t="shared" si="19"/>
        <v>Velmi dobře</v>
      </c>
      <c r="AG44" s="133" t="str">
        <f t="shared" si="20"/>
        <v>Dokonale</v>
      </c>
      <c r="AH44" s="133" t="str">
        <f t="shared" si="21"/>
        <v>Mistrně</v>
      </c>
      <c r="AI44" s="164">
        <f t="shared" si="22"/>
        <v>0</v>
      </c>
      <c r="AJ44" s="1030"/>
      <c r="AM44"/>
      <c r="AN44"/>
    </row>
    <row r="45" spans="1:40" ht="15" customHeight="1" x14ac:dyDescent="0.3">
      <c r="A45" s="1098" t="s">
        <v>5457</v>
      </c>
      <c r="B45" s="197"/>
      <c r="C45" s="197"/>
      <c r="D45" s="197"/>
      <c r="E45" s="197"/>
      <c r="F45" s="918"/>
      <c r="G45" s="197"/>
      <c r="H45" s="197"/>
      <c r="I45" s="197"/>
      <c r="J45" s="197"/>
      <c r="K45" s="197"/>
      <c r="L45" s="761"/>
      <c r="N45" s="130" t="s">
        <v>298</v>
      </c>
      <c r="O45" s="131" t="s">
        <v>9</v>
      </c>
      <c r="U45" s="1104" t="s">
        <v>2477</v>
      </c>
      <c r="V45" s="54" t="str">
        <f>HLOOKUP(Max_DOV!$B$5,Max_DOV!$A$5:$AH$58,MATCH($U45,Max_DOV!$A$5:$A$58,0),FALSE)</f>
        <v>ZRČ</v>
      </c>
      <c r="W45" s="315" t="str">
        <f>IF(OR('3-Schopnosti'!X$3="Stopař",'3-Schopnosti'!$AS$3="Stopař",'2-Vzhled a charakter'!$B$2="Dryáda"),"Snížená","Běžná")</f>
        <v>Běžná</v>
      </c>
      <c r="X45" s="440" t="str">
        <f>IF(HLOOKUP('3-Schopnosti'!$X$3,Max_DOV!$A$5:$AH$58,MATCH($U45,Max_DOV!$A$5:$A$58,0),FALSE)="Velmi dobře",IF(HLOOKUP(Rasy!$X$3,Rasy!$B$3:$AN$125,MATCH('2-Vzhled a charakter'!$B$2,Rasy!$B$3:$B$125,0),FALSE)=U45,"Dokonale","Velmi dobře"),HLOOKUP('3-Schopnosti'!$X$3,Max_DOV!$A$5:$AH$58,MATCH($U45,Max_DOV!$A$5:$A$58,0),FALSE))</f>
        <v>Mistrně</v>
      </c>
      <c r="Y45" s="437" t="str">
        <f>IFERROR(HLOOKUP('3-Schopnosti'!$AS$3,Max_DOV!$A$5:$AH$58,MATCH($U45,Max_DOV!$A$5:$A$58,0),FALSE),"Vůbec")</f>
        <v>Vůbec</v>
      </c>
      <c r="Z45" s="438" t="str">
        <f t="shared" si="18"/>
        <v>Mistrně</v>
      </c>
      <c r="AA45" s="133" t="s">
        <v>115</v>
      </c>
      <c r="AB45" s="133" t="s">
        <v>4892</v>
      </c>
      <c r="AC45" s="133" t="s">
        <v>83</v>
      </c>
      <c r="AD45" s="133" t="s">
        <v>84</v>
      </c>
      <c r="AE45" s="133" t="s">
        <v>85</v>
      </c>
      <c r="AF45" s="133" t="str">
        <f t="shared" si="19"/>
        <v>Velmi dobře</v>
      </c>
      <c r="AG45" s="133" t="str">
        <f t="shared" si="20"/>
        <v>Dokonale</v>
      </c>
      <c r="AH45" s="133" t="str">
        <f t="shared" si="21"/>
        <v>Mistrně</v>
      </c>
      <c r="AI45" s="164">
        <f t="shared" si="22"/>
        <v>0</v>
      </c>
      <c r="AJ45" s="1030"/>
      <c r="AM45"/>
      <c r="AN45"/>
    </row>
    <row r="46" spans="1:40" ht="15" customHeight="1" x14ac:dyDescent="0.3">
      <c r="A46" s="486" t="s">
        <v>4256</v>
      </c>
      <c r="B46" s="1090"/>
      <c r="C46" s="1090"/>
      <c r="D46" s="1090"/>
      <c r="E46" s="1090"/>
      <c r="F46" s="1099"/>
      <c r="G46" s="1090"/>
      <c r="H46" s="1090"/>
      <c r="I46" s="1090"/>
      <c r="J46" s="1090"/>
      <c r="K46" s="1090"/>
      <c r="L46" s="1100"/>
      <c r="U46" s="1107" t="s">
        <v>210</v>
      </c>
      <c r="V46" s="54" t="str">
        <f>HLOOKUP(Max_DOV!$B$5,Max_DOV!$A$5:$AH$58,MATCH($U46,Max_DOV!$A$5:$A$58,0),FALSE)</f>
        <v>CHAR</v>
      </c>
      <c r="W46" s="315" t="s">
        <v>5442</v>
      </c>
      <c r="X46" s="437" t="str">
        <f>HLOOKUP('3-Schopnosti'!$X$3,Max_DOV!$A$5:$AH$58,MATCH($U46,Max_DOV!$A$5:$A$58,0),FALSE)</f>
        <v>Velmi dobře</v>
      </c>
      <c r="Y46" s="437" t="str">
        <f>IFERROR(HLOOKUP('3-Schopnosti'!$AS$3,Max_DOV!$A$5:$AH$58,MATCH($U46,Max_DOV!$A$5:$A$58,0),FALSE),"Vůbec")</f>
        <v>Vůbec</v>
      </c>
      <c r="Z46" s="438" t="str">
        <f t="shared" si="18"/>
        <v>Velmi dobře</v>
      </c>
      <c r="AA46" s="133" t="s">
        <v>115</v>
      </c>
      <c r="AB46" s="133" t="s">
        <v>4892</v>
      </c>
      <c r="AC46" s="133" t="s">
        <v>83</v>
      </c>
      <c r="AD46" s="133" t="s">
        <v>84</v>
      </c>
      <c r="AE46" s="133" t="s">
        <v>85</v>
      </c>
      <c r="AF46" s="133" t="str">
        <f t="shared" si="19"/>
        <v>Velmi dobře</v>
      </c>
      <c r="AG46" s="133" t="str">
        <f t="shared" si="20"/>
        <v>Vůbec</v>
      </c>
      <c r="AH46" s="133" t="str">
        <f t="shared" si="21"/>
        <v>Vůbec</v>
      </c>
      <c r="AI46" s="164">
        <f>IF(OR('3-Schopnosti'!$X$3="Kněz",'3-Schopnosti'!$AS$3="Kněz"),-2,IF(OR('3-Schopnosti'!$X$3="Bard",'3-Schopnosti'!$AS$3="Bard"),1,0))+AS14+IF(OR(Rasa="Člověk (M)",Rasa="Člověk (F)"),1,0)+AJ46</f>
        <v>0</v>
      </c>
      <c r="AJ46" s="1030"/>
      <c r="AM46"/>
      <c r="AN46"/>
    </row>
    <row r="47" spans="1:40" ht="15" customHeight="1" x14ac:dyDescent="0.3">
      <c r="A47" s="486" t="s">
        <v>5458</v>
      </c>
      <c r="B47" s="1090"/>
      <c r="C47" s="1090"/>
      <c r="D47" s="1090"/>
      <c r="E47" s="1090"/>
      <c r="F47" s="1099"/>
      <c r="G47" s="1090"/>
      <c r="H47" s="1090"/>
      <c r="I47" s="1090"/>
      <c r="J47" s="1090"/>
      <c r="K47" s="1090"/>
      <c r="L47" s="1100"/>
      <c r="U47" s="1104" t="s">
        <v>1914</v>
      </c>
      <c r="V47" s="54" t="str">
        <f>HLOOKUP(Max_DOV!$B$5,Max_DOV!$A$5:$AH$58,MATCH($U47,Max_DOV!$A$5:$A$58,0),FALSE)</f>
        <v>OBR</v>
      </c>
      <c r="W47" s="315" t="str">
        <f>IF(OR($AV$7="A"),"Lehká",IF(OR('2-Vzhled a charakter'!$B$2="Fúrie",'2-Vzhled a charakter'!$B$2="Valkýra",'2-Vzhled a charakter'!$B$2="Skřet",'2-Vzhled a charakter'!$B$2="Skřetice",'2-Vzhled a charakter'!$B$2="Skurut-hai"),"Snížená","Běžná"))</f>
        <v>Běžná</v>
      </c>
      <c r="X47" s="440" t="str">
        <f>IF(HLOOKUP('3-Schopnosti'!$X$3,Max_DOV!$A$5:$AH$58,MATCH($U47,Max_DOV!$A$5:$A$58,0),FALSE)="Velmi dobře",IF(HLOOKUP(Rasy!$X$3,Rasy!$B$3:$AN$125,MATCH('2-Vzhled a charakter'!$B$2,Rasy!$B$3:$B$125,0),FALSE)=U47,"Dokonale","Velmi dobře"),HLOOKUP('3-Schopnosti'!$X$3,Max_DOV!$A$5:$AH$58,MATCH($U47,Max_DOV!$A$5:$A$58,0),FALSE))</f>
        <v>Mistrně</v>
      </c>
      <c r="Y47" s="437" t="str">
        <f>IFERROR(HLOOKUP('3-Schopnosti'!$AS$3,Max_DOV!$A$5:$AH$58,MATCH($U47,Max_DOV!$A$5:$A$58,0),FALSE),"Vůbec")</f>
        <v>Vůbec</v>
      </c>
      <c r="Z47" s="438" t="str">
        <f t="shared" si="18"/>
        <v>Mistrně</v>
      </c>
      <c r="AA47" s="133" t="s">
        <v>115</v>
      </c>
      <c r="AB47" s="133" t="s">
        <v>4892</v>
      </c>
      <c r="AC47" s="133" t="s">
        <v>83</v>
      </c>
      <c r="AD47" s="133" t="s">
        <v>84</v>
      </c>
      <c r="AE47" s="133" t="s">
        <v>85</v>
      </c>
      <c r="AF47" s="133" t="str">
        <f t="shared" si="19"/>
        <v>Velmi dobře</v>
      </c>
      <c r="AG47" s="133" t="str">
        <f t="shared" si="20"/>
        <v>Dokonale</v>
      </c>
      <c r="AH47" s="133" t="str">
        <f t="shared" si="21"/>
        <v>Mistrně</v>
      </c>
      <c r="AI47" s="164">
        <f>AJ47</f>
        <v>0</v>
      </c>
      <c r="AJ47" s="1030"/>
      <c r="AM47"/>
      <c r="AN47"/>
    </row>
    <row r="48" spans="1:40" ht="15" customHeight="1" x14ac:dyDescent="0.3">
      <c r="A48" s="486" t="s">
        <v>5459</v>
      </c>
      <c r="B48" s="1090"/>
      <c r="C48" s="1090"/>
      <c r="D48" s="1090"/>
      <c r="E48" s="1090"/>
      <c r="F48" s="1099"/>
      <c r="G48" s="1090"/>
      <c r="H48" s="1090"/>
      <c r="I48" s="1090"/>
      <c r="J48" s="1090"/>
      <c r="K48" s="1090"/>
      <c r="L48" s="1100"/>
      <c r="U48" s="1105" t="s">
        <v>5433</v>
      </c>
      <c r="V48" s="54" t="str">
        <f>HLOOKUP(Max_DOV!$B$5,Max_DOV!$A$5:$AH$58,MATCH($U48,Max_DOV!$A$5:$A$58,0),FALSE)</f>
        <v>CHAR</v>
      </c>
      <c r="W48" s="315" t="str">
        <f>IF(OR('3-Schopnosti'!$X$3="Kněz",'3-Schopnosti'!$AS$3="Kněz",'3-Schopnosti'!$X$3="Okultista",'3-Schopnosti'!$AS$3="Okultista",'3-Schopnosti'!$X$3="Paladin",'3-Schopnosti'!$AS$3="Paladin"),"Snížená","Běžná")</f>
        <v>Běžná</v>
      </c>
      <c r="X48" s="437" t="str">
        <f>HLOOKUP('3-Schopnosti'!$X$3,Max_DOV!$A$5:$AH$58,MATCH($U48,Max_DOV!$A$5:$A$58,0),FALSE)</f>
        <v>Velmi dobře</v>
      </c>
      <c r="Y48" s="437" t="str">
        <f>IFERROR(HLOOKUP('3-Schopnosti'!$AS$3,Max_DOV!$A$5:$AH$58,MATCH($U48,Max_DOV!$A$5:$A$58,0),FALSE),"Vůbec")</f>
        <v>Vůbec</v>
      </c>
      <c r="Z48" s="438" t="str">
        <f t="shared" si="18"/>
        <v>Velmi dobře</v>
      </c>
      <c r="AA48" s="133" t="s">
        <v>115</v>
      </c>
      <c r="AB48" s="133" t="s">
        <v>4892</v>
      </c>
      <c r="AC48" s="133" t="s">
        <v>83</v>
      </c>
      <c r="AD48" s="133" t="s">
        <v>84</v>
      </c>
      <c r="AE48" s="133" t="s">
        <v>85</v>
      </c>
      <c r="AF48" s="133" t="str">
        <f t="shared" si="19"/>
        <v>Velmi dobře</v>
      </c>
      <c r="AG48" s="133" t="str">
        <f t="shared" si="20"/>
        <v>Vůbec</v>
      </c>
      <c r="AH48" s="133" t="str">
        <f t="shared" si="21"/>
        <v>Vůbec</v>
      </c>
      <c r="AI48" s="164">
        <f>AJ48</f>
        <v>0</v>
      </c>
      <c r="AJ48" s="1030"/>
      <c r="AM48"/>
      <c r="AN48"/>
    </row>
    <row r="49" spans="1:40" ht="15" customHeight="1" x14ac:dyDescent="0.3">
      <c r="A49" s="486" t="s">
        <v>5460</v>
      </c>
      <c r="B49" s="1090"/>
      <c r="C49" s="1090"/>
      <c r="D49" s="1090"/>
      <c r="E49" s="1090"/>
      <c r="F49" s="1099"/>
      <c r="G49" s="1090"/>
      <c r="H49" s="1090"/>
      <c r="I49" s="1090"/>
      <c r="J49" s="1090"/>
      <c r="K49" s="1090"/>
      <c r="L49" s="1100"/>
      <c r="U49" s="1107" t="s">
        <v>213</v>
      </c>
      <c r="V49" s="54" t="str">
        <f>HLOOKUP(Max_DOV!$B$5,Max_DOV!$A$5:$AH$58,MATCH($U49,Max_DOV!$A$5:$A$58,0),FALSE)</f>
        <v>CHAR</v>
      </c>
      <c r="W49" s="315" t="s">
        <v>5442</v>
      </c>
      <c r="X49" s="437" t="str">
        <f>HLOOKUP('3-Schopnosti'!$X$3,Max_DOV!$A$5:$AH$58,MATCH($U49,Max_DOV!$A$5:$A$58,0),FALSE)</f>
        <v>Velmi dobře</v>
      </c>
      <c r="Y49" s="437" t="str">
        <f>IFERROR(HLOOKUP('3-Schopnosti'!$AS$3,Max_DOV!$A$5:$AH$58,MATCH($U49,Max_DOV!$A$5:$A$58,0),FALSE),"Vůbec")</f>
        <v>Vůbec</v>
      </c>
      <c r="Z49" s="438" t="str">
        <f t="shared" si="18"/>
        <v>Velmi dobře</v>
      </c>
      <c r="AA49" s="133" t="s">
        <v>115</v>
      </c>
      <c r="AB49" s="133" t="s">
        <v>4892</v>
      </c>
      <c r="AC49" s="133" t="s">
        <v>83</v>
      </c>
      <c r="AD49" s="133" t="s">
        <v>84</v>
      </c>
      <c r="AE49" s="133" t="s">
        <v>85</v>
      </c>
      <c r="AF49" s="133" t="str">
        <f t="shared" si="19"/>
        <v>Velmi dobře</v>
      </c>
      <c r="AG49" s="133" t="str">
        <f t="shared" si="20"/>
        <v>Vůbec</v>
      </c>
      <c r="AH49" s="133" t="str">
        <f t="shared" si="21"/>
        <v>Vůbec</v>
      </c>
      <c r="AI49" s="164">
        <f>IF(OR('3-Schopnosti'!$X$3="Runový mág",'3-Schopnosti'!$AS$3="Runový mág"),1,0)+AJ49</f>
        <v>0</v>
      </c>
      <c r="AJ49" s="1030"/>
      <c r="AM49"/>
      <c r="AN49"/>
    </row>
    <row r="50" spans="1:40" ht="15" customHeight="1" x14ac:dyDescent="0.3">
      <c r="A50" s="486" t="s">
        <v>5461</v>
      </c>
      <c r="B50" s="1090"/>
      <c r="C50" s="1090"/>
      <c r="D50" s="1090"/>
      <c r="E50" s="1090"/>
      <c r="F50" s="1099"/>
      <c r="G50" s="1090"/>
      <c r="H50" s="1090"/>
      <c r="I50" s="1090"/>
      <c r="J50" s="1090"/>
      <c r="K50" s="1090"/>
      <c r="L50" s="1100"/>
      <c r="U50" s="1104" t="s">
        <v>2478</v>
      </c>
      <c r="V50" s="54" t="str">
        <f>HLOOKUP(Max_DOV!$B$5,Max_DOV!$A$5:$AH$58,MATCH($U50,Max_DOV!$A$5:$A$58,0),FALSE)</f>
        <v>ZRČ</v>
      </c>
      <c r="W50" s="315" t="str">
        <f>IF(OR('2-Vzhled a charakter'!$B$2="Kyklop",'2-Vzhled a charakter'!$B$2="Kyklopka"),"Snížená","Běžná")</f>
        <v>Běžná</v>
      </c>
      <c r="X50" s="440" t="str">
        <f>IF(HLOOKUP('3-Schopnosti'!$X$3,Max_DOV!$A$5:$AH$58,MATCH($U50,Max_DOV!$A$5:$A$58,0),FALSE)="Velmi dobře",IF(HLOOKUP(Rasy!$X$3,Rasy!$B$3:$AN$125,MATCH('2-Vzhled a charakter'!$B$2,Rasy!$B$3:$B$125,0),FALSE)=U50,"Dokonale","Velmi dobře"),HLOOKUP('3-Schopnosti'!$X$3,Max_DOV!$A$5:$AH$58,MATCH($U50,Max_DOV!$A$5:$A$58,0),FALSE))</f>
        <v>Velmi dobře</v>
      </c>
      <c r="Y50" s="437" t="str">
        <f>IFERROR(HLOOKUP('3-Schopnosti'!$AS$3,Max_DOV!$A$5:$AH$58,MATCH($U50,Max_DOV!$A$5:$A$58,0),FALSE),"Vůbec")</f>
        <v>Vůbec</v>
      </c>
      <c r="Z50" s="438" t="str">
        <f t="shared" si="18"/>
        <v>Velmi dobře</v>
      </c>
      <c r="AA50" s="133" t="s">
        <v>115</v>
      </c>
      <c r="AB50" s="133" t="s">
        <v>4892</v>
      </c>
      <c r="AC50" s="133" t="s">
        <v>83</v>
      </c>
      <c r="AD50" s="133" t="s">
        <v>84</v>
      </c>
      <c r="AE50" s="133" t="s">
        <v>85</v>
      </c>
      <c r="AF50" s="133" t="str">
        <f t="shared" si="19"/>
        <v>Velmi dobře</v>
      </c>
      <c r="AG50" s="133" t="str">
        <f t="shared" si="20"/>
        <v>Vůbec</v>
      </c>
      <c r="AH50" s="133" t="str">
        <f t="shared" si="21"/>
        <v>Vůbec</v>
      </c>
      <c r="AI50" s="164">
        <f>AJ50</f>
        <v>0</v>
      </c>
      <c r="AJ50" s="1030"/>
      <c r="AM50"/>
      <c r="AN50"/>
    </row>
    <row r="51" spans="1:40" ht="15" customHeight="1" x14ac:dyDescent="0.3">
      <c r="A51" s="486" t="s">
        <v>5462</v>
      </c>
      <c r="B51" s="1090"/>
      <c r="C51" s="1090"/>
      <c r="D51" s="1090"/>
      <c r="E51" s="1090"/>
      <c r="F51" s="1099"/>
      <c r="G51" s="1090"/>
      <c r="H51" s="1090"/>
      <c r="I51" s="1090"/>
      <c r="J51" s="1090"/>
      <c r="K51" s="1090"/>
      <c r="L51" s="1100"/>
      <c r="U51" s="1107" t="s">
        <v>876</v>
      </c>
      <c r="V51" s="54" t="str">
        <f>HLOOKUP(Max_DOV!$B$5,Max_DOV!$A$5:$AH$58,MATCH($U51,Max_DOV!$A$5:$A$58,0),FALSE)</f>
        <v>SIL</v>
      </c>
      <c r="W51" s="315" t="str">
        <f>IF(OR('2-Vzhled a charakter'!$B$2="Kroll",'2-Vzhled a charakter'!$B$2="Krollka",'2-Vzhled a charakter'!$B$2="Poloobr",'2-Vzhled a charakter'!$B$2="Poloobryně",'2-Vzhled a charakter'!$B$2="Obr",'2-Vzhled a charakter'!$B$2="Obryně",'2-Vzhled a charakter'!$B$2="Obr ledový",'2-Vzhled a charakter'!$B$2="Obryně ledová",'2-Vzhled a charakter'!$B$2="Sarkon",'2-Vzhled a charakter'!$B$2="Troll",'2-Vzhled a charakter'!$B$2="Trollka",'2-Vzhled a charakter'!$B$2="Inox",'2-Vzhled a charakter'!$B$2="Inoxa"),"Snížená","Běžná")</f>
        <v>Běžná</v>
      </c>
      <c r="X51" s="437" t="str">
        <f>HLOOKUP('3-Schopnosti'!$X$3,Max_DOV!$A$5:$AH$58,MATCH($U51,Max_DOV!$A$5:$A$58,0),FALSE)</f>
        <v>Mistrně</v>
      </c>
      <c r="Y51" s="437" t="str">
        <f>IFERROR(HLOOKUP('3-Schopnosti'!$AS$3,Max_DOV!$A$5:$AH$58,MATCH($U51,Max_DOV!$A$5:$A$58,0),FALSE),"Vůbec")</f>
        <v>Vůbec</v>
      </c>
      <c r="Z51" s="438" t="str">
        <f t="shared" si="18"/>
        <v>Mistrně</v>
      </c>
      <c r="AA51" s="133" t="s">
        <v>115</v>
      </c>
      <c r="AB51" s="133" t="s">
        <v>4892</v>
      </c>
      <c r="AC51" s="133" t="s">
        <v>83</v>
      </c>
      <c r="AD51" s="133" t="s">
        <v>84</v>
      </c>
      <c r="AE51" s="133" t="s">
        <v>85</v>
      </c>
      <c r="AF51" s="133" t="str">
        <f t="shared" si="19"/>
        <v>Velmi dobře</v>
      </c>
      <c r="AG51" s="133" t="str">
        <f t="shared" si="20"/>
        <v>Dokonale</v>
      </c>
      <c r="AH51" s="133" t="str">
        <f t="shared" si="21"/>
        <v>Mistrně</v>
      </c>
      <c r="AI51" s="164">
        <f>AS15+IF(OR(Rasa="Člověk (M)",Rasa="Člověk (F)"),1,0)+AJ51</f>
        <v>0</v>
      </c>
      <c r="AJ51" s="1030"/>
      <c r="AM51"/>
      <c r="AN51"/>
    </row>
    <row r="52" spans="1:40" ht="15" customHeight="1" x14ac:dyDescent="0.3">
      <c r="A52" s="486"/>
      <c r="B52" s="1090"/>
      <c r="C52" s="1090"/>
      <c r="D52" s="1090"/>
      <c r="E52" s="1090"/>
      <c r="F52" s="1099"/>
      <c r="G52" s="1090"/>
      <c r="H52" s="1090"/>
      <c r="I52" s="1090"/>
      <c r="J52" s="1090"/>
      <c r="K52" s="1090"/>
      <c r="L52" s="1100"/>
      <c r="U52" s="496" t="s">
        <v>5435</v>
      </c>
      <c r="V52" s="54" t="str">
        <f>HLOOKUP(Max_DOV!$B$5,Max_DOV!$A$5:$AH$58,MATCH($U52,Max_DOV!$A$5:$A$58,0),FALSE)</f>
        <v>ZRČ</v>
      </c>
      <c r="W52" s="315" t="str">
        <f>IF(OR('3-Schopnosti'!$X$3="Stopař",'3-Schopnosti'!$AS$3="Stopař"),"Snížená","Běžná")</f>
        <v>Běžná</v>
      </c>
      <c r="X52" s="437" t="str">
        <f>HLOOKUP('3-Schopnosti'!$X$3,Max_DOV!$A$5:$AH$58,MATCH($U52,Max_DOV!$A$5:$A$58,0),FALSE)</f>
        <v>Velmi dobře</v>
      </c>
      <c r="Y52" s="437" t="str">
        <f>IFERROR(HLOOKUP('3-Schopnosti'!$AS$3,Max_DOV!$A$5:$AH$58,MATCH($U52,Max_DOV!$A$5:$A$58,0),FALSE),"Vůbec")</f>
        <v>Vůbec</v>
      </c>
      <c r="Z52" s="438" t="str">
        <f t="shared" ref="Z52" si="23">IF(OR(X52="Mistrně",Y52="Mistrně"),"Mistrně",IF(OR(X52="Dokonale",Y52="Dokonale"),"Dokonale",IF(OR(X52="Velmi dobře",Y52="Velmi dobře"),"Velmi dobře",IF(OR(X52="Dobře",Y52="Dobře"),"Dobře","Vůbec"))))</f>
        <v>Velmi dobře</v>
      </c>
      <c r="AA52" s="133" t="s">
        <v>115</v>
      </c>
      <c r="AB52" s="133" t="s">
        <v>4892</v>
      </c>
      <c r="AC52" s="133" t="s">
        <v>83</v>
      </c>
      <c r="AD52" s="133" t="s">
        <v>84</v>
      </c>
      <c r="AE52" s="133" t="s">
        <v>85</v>
      </c>
      <c r="AF52" s="133" t="str">
        <f t="shared" ref="AF52" si="24">IF(OR($Z52="Dokonale",$Z52="Mistrně",$Z52="Velmi dobře"),"Velmi dobře","Vůbec")</f>
        <v>Velmi dobře</v>
      </c>
      <c r="AG52" s="133" t="str">
        <f t="shared" ref="AG52" si="25">IF(OR($X52="Dokonale",$Y52="Dokonale",$X52="Mistrně",$Y52="Mistrně"),"Dokonale","Vůbec")</f>
        <v>Vůbec</v>
      </c>
      <c r="AH52" s="133" t="str">
        <f t="shared" ref="AH52" si="26">IF(OR($X52="Mistrně",$Y52="Mistrně"),"Mistrně","Vůbec")</f>
        <v>Vůbec</v>
      </c>
      <c r="AI52" s="164">
        <f>AJ52</f>
        <v>0</v>
      </c>
      <c r="AJ52" s="1030"/>
      <c r="AM52"/>
      <c r="AN52"/>
    </row>
    <row r="53" spans="1:40" ht="15" customHeight="1" x14ac:dyDescent="0.3">
      <c r="A53" s="486"/>
      <c r="B53" s="1090"/>
      <c r="C53" s="1090"/>
      <c r="D53" s="1090"/>
      <c r="E53" s="1090"/>
      <c r="F53" s="1099"/>
      <c r="G53" s="1090"/>
      <c r="H53" s="1090"/>
      <c r="I53" s="1090"/>
      <c r="J53" s="1090"/>
      <c r="K53" s="1090"/>
      <c r="L53" s="1100"/>
      <c r="U53" s="1104" t="s">
        <v>5424</v>
      </c>
      <c r="V53" s="54" t="str">
        <f>HLOOKUP(Max_DOV!$B$5,Max_DOV!$A$5:$AH$58,MATCH($U53,Max_DOV!$A$5:$A$58,0),FALSE)</f>
        <v>SIL</v>
      </c>
      <c r="W53" s="315" t="s">
        <v>5442</v>
      </c>
      <c r="X53" s="440" t="str">
        <f>IF(HLOOKUP('3-Schopnosti'!$X$3,Max_DOV!$A$5:$AH$58,MATCH($U53,Max_DOV!$A$5:$A$58,0),FALSE)="Velmi dobře",IF(HLOOKUP(Rasy!$X$3,Rasy!$B$3:$AN$125,MATCH('2-Vzhled a charakter'!$B$2,Rasy!$B$3:$B$125,0),FALSE)=U53,"Dokonale","Velmi dobře"),HLOOKUP('3-Schopnosti'!$X$3,Max_DOV!$A$5:$AH$58,MATCH($U53,Max_DOV!$A$5:$A$58,0),FALSE))</f>
        <v>Velmi dobře</v>
      </c>
      <c r="Y53" s="437" t="str">
        <f>IFERROR(HLOOKUP('3-Schopnosti'!$AS$3,Max_DOV!$A$5:$AH$58,MATCH($U53,Max_DOV!$A$5:$A$58,0),FALSE),"Vůbec")</f>
        <v>Vůbec</v>
      </c>
      <c r="Z53" s="438" t="str">
        <f>IF(OR(X53="Mistrně",Y53="Mistrně"),"Mistrně",IF(OR(X53="Dokonale",Y53="Dokonale"),"Dokonale",IF(OR(X53="Velmi dobře",Y53="Velmi dobře"),"Velmi dobře",IF(OR(X53="Dobře",Y53="Dobře"),"Dobře","Vůbec"))))</f>
        <v>Velmi dobře</v>
      </c>
      <c r="AA53" s="133" t="s">
        <v>115</v>
      </c>
      <c r="AB53" s="133" t="s">
        <v>4892</v>
      </c>
      <c r="AC53" s="133" t="s">
        <v>83</v>
      </c>
      <c r="AD53" s="133" t="s">
        <v>84</v>
      </c>
      <c r="AE53" s="133" t="s">
        <v>85</v>
      </c>
      <c r="AF53" s="133" t="str">
        <f>IF(OR($Z53="Dokonale",$Z53="Mistrně",$Z53="Velmi dobře"),"Velmi dobře","Vůbec")</f>
        <v>Velmi dobře</v>
      </c>
      <c r="AG53" s="133" t="str">
        <f>IF(OR($X53="Dokonale",$Y53="Dokonale",$X53="Mistrně",$Y53="Mistrně"),"Dokonale","Vůbec")</f>
        <v>Vůbec</v>
      </c>
      <c r="AH53" s="133" t="str">
        <f>IF(OR($X53="Mistrně",$Y53="Mistrně"),"Mistrně","Vůbec")</f>
        <v>Vůbec</v>
      </c>
      <c r="AI53" s="164">
        <f>AJ53</f>
        <v>0</v>
      </c>
      <c r="AJ53" s="1030"/>
      <c r="AM53"/>
      <c r="AN53"/>
    </row>
    <row r="54" spans="1:40" ht="15" customHeight="1" x14ac:dyDescent="0.3">
      <c r="A54" s="486"/>
      <c r="B54" s="1090"/>
      <c r="C54" s="1090"/>
      <c r="D54" s="1090"/>
      <c r="E54" s="1090"/>
      <c r="F54" s="1099"/>
      <c r="G54" s="1090"/>
      <c r="H54" s="1090"/>
      <c r="I54" s="1090"/>
      <c r="J54" s="1090"/>
      <c r="K54" s="1090"/>
      <c r="L54" s="1100"/>
      <c r="U54" s="1107" t="s">
        <v>4890</v>
      </c>
      <c r="V54" s="54" t="str">
        <f>HLOOKUP(Max_DOV!$B$5,Max_DOV!$A$5:$AH$58,MATCH($U54,Max_DOV!$A$5:$A$58,0),FALSE)</f>
        <v>VOL</v>
      </c>
      <c r="W54" s="315" t="s">
        <v>5442</v>
      </c>
      <c r="X54" s="437" t="str">
        <f>HLOOKUP('3-Schopnosti'!$X$3,Max_DOV!$A$5:$AH$58,MATCH($U54,Max_DOV!$A$5:$A$58,0),FALSE)</f>
        <v>Vůbec</v>
      </c>
      <c r="Y54" s="437" t="str">
        <f>IFERROR(HLOOKUP('3-Schopnosti'!$AS$3,Max_DOV!$A$5:$AH$58,MATCH($U54,Max_DOV!$A$5:$A$58,0),FALSE),"Vůbec")</f>
        <v>Vůbec</v>
      </c>
      <c r="Z54" s="438" t="str">
        <f t="shared" ref="Z54" si="27">IF(OR(X54="Mistrně",Y54="Mistrně"),"Mistrně",IF(OR(X54="Dokonale",Y54="Dokonale"),"Dokonale",IF(OR(X54="Velmi dobře",Y54="Velmi dobře"),"Velmi dobře",IF(OR(X54="Dobře",Y54="Dobře"),"Dobře","Vůbec"))))</f>
        <v>Vůbec</v>
      </c>
      <c r="AA54" s="133" t="s">
        <v>115</v>
      </c>
      <c r="AB54" s="133" t="str">
        <f>IF($Z54="Vůbec","Vůbec","Velmi špatně")</f>
        <v>Vůbec</v>
      </c>
      <c r="AC54" s="133" t="str">
        <f>IF($Z54="Vůbec","Vůbec","Špatně")</f>
        <v>Vůbec</v>
      </c>
      <c r="AD54" s="133" t="str">
        <f>IF(Z54="Vůbec","Vůbec","Průměrně")</f>
        <v>Vůbec</v>
      </c>
      <c r="AE54" s="133" t="str">
        <f>IF(Z54="Vůbec","Vůbec","Dobře")</f>
        <v>Vůbec</v>
      </c>
      <c r="AF54" s="133" t="str">
        <f>IF(OR($Z54="Dokonale",$Z54="Mistrně",$Z54="Velmi dobře"),"Velmi dobře","Vůbec")</f>
        <v>Vůbec</v>
      </c>
      <c r="AG54" s="133" t="str">
        <f>IF(OR($X54="Dokonale",$Y54="Dokonale",$X54="Mistrně",$Y54="Mistrně"),"Dokonale","Vůbec")</f>
        <v>Vůbec</v>
      </c>
      <c r="AH54" s="133" t="str">
        <f>IF(OR($X54="Mistrně",$Y54="Mistrně"),"Mistrně","Vůbec")</f>
        <v>Vůbec</v>
      </c>
      <c r="AI54" s="164">
        <f>AJ54</f>
        <v>0</v>
      </c>
      <c r="AJ54" s="1030"/>
      <c r="AM54"/>
      <c r="AN54"/>
    </row>
    <row r="55" spans="1:40" ht="15" customHeight="1" x14ac:dyDescent="0.3">
      <c r="A55" s="486"/>
      <c r="B55" s="1090"/>
      <c r="C55" s="1090"/>
      <c r="D55" s="1090"/>
      <c r="E55" s="1090"/>
      <c r="F55" s="1099"/>
      <c r="G55" s="1090"/>
      <c r="H55" s="1090"/>
      <c r="I55" s="1090"/>
      <c r="J55" s="1090"/>
      <c r="K55" s="1090"/>
      <c r="L55" s="1100"/>
      <c r="U55" s="1105" t="s">
        <v>214</v>
      </c>
      <c r="V55" s="54" t="str">
        <f>HLOOKUP(Max_DOV!$B$5,Max_DOV!$A$5:$AH$58,MATCH($U55,Max_DOV!$A$5:$A$58,0),FALSE)</f>
        <v>INT</v>
      </c>
      <c r="W55" s="315" t="str">
        <f>IF(OR('3-Schopnosti'!$X$3="Vědma",'3-Schopnosti'!$AS$3="Vědma",$AQ$6="A",'2-Vzhled a charakter'!$B$2="Ork",'2-Vzhled a charakter'!$B$2="Orčice",'3-Schopnosti'!$X$3="Pán zvířat"),"Snížená","Běžná")</f>
        <v>Běžná</v>
      </c>
      <c r="X55" s="437" t="str">
        <f>HLOOKUP('3-Schopnosti'!$X$3,Max_DOV!$A$5:$AH$58,MATCH($U55,Max_DOV!$A$5:$A$58,0),FALSE)</f>
        <v>Velmi dobře</v>
      </c>
      <c r="Y55" s="437" t="str">
        <f>IFERROR(HLOOKUP('3-Schopnosti'!$AS$3,Max_DOV!$A$5:$AH$58,MATCH($U55,Max_DOV!$A$5:$A$58,0),FALSE),"Vůbec")</f>
        <v>Vůbec</v>
      </c>
      <c r="Z55" s="438" t="str">
        <f>IF(OR(X55="Mistrně",Y55="Mistrně"),"Mistrně",IF(OR(X55="Dokonale",Y55="Dokonale"),"Dokonale",IF(OR(X55="Velmi dobře",Y55="Velmi dobře"),"Velmi dobře",IF(OR(X55="Dobře",Y55="Dobře"),"Dobře","Vůbec"))))</f>
        <v>Velmi dobře</v>
      </c>
      <c r="AA55" s="133" t="s">
        <v>115</v>
      </c>
      <c r="AB55" s="133" t="s">
        <v>4892</v>
      </c>
      <c r="AC55" s="133" t="s">
        <v>83</v>
      </c>
      <c r="AD55" s="133" t="s">
        <v>84</v>
      </c>
      <c r="AE55" s="133" t="s">
        <v>85</v>
      </c>
      <c r="AF55" s="133" t="str">
        <f>IF(OR($Z55="Dokonale",$Z55="Mistrně",$Z55="Velmi dobře"),"Velmi dobře","Vůbec")</f>
        <v>Velmi dobře</v>
      </c>
      <c r="AG55" s="133" t="str">
        <f>IF(OR($X55="Dokonale",$Y55="Dokonale",$X55="Mistrně",$Y55="Mistrně"),"Dokonale","Vůbec")</f>
        <v>Vůbec</v>
      </c>
      <c r="AH55" s="133" t="str">
        <f>IF(OR($X55="Mistrně",$Y55="Mistrně"),"Mistrně","Vůbec")</f>
        <v>Vůbec</v>
      </c>
      <c r="AI55" s="164">
        <f>AJ55</f>
        <v>0</v>
      </c>
      <c r="AJ55" s="1030"/>
      <c r="AM55"/>
      <c r="AN55"/>
    </row>
    <row r="56" spans="1:40" ht="15" customHeight="1" thickBot="1" x14ac:dyDescent="0.35">
      <c r="A56" s="490"/>
      <c r="B56" s="1101"/>
      <c r="C56" s="1101"/>
      <c r="D56" s="1101"/>
      <c r="E56" s="1101"/>
      <c r="F56" s="1102"/>
      <c r="G56" s="1101"/>
      <c r="H56" s="1101"/>
      <c r="I56" s="1101"/>
      <c r="J56" s="1101"/>
      <c r="K56" s="1101"/>
      <c r="L56" s="1103"/>
      <c r="U56" s="56"/>
      <c r="V56" s="56"/>
      <c r="W56" s="316"/>
      <c r="X56" s="435"/>
      <c r="Y56" s="436"/>
      <c r="Z56" s="439"/>
      <c r="AA56" s="134"/>
      <c r="AB56" s="134"/>
      <c r="AC56" s="134"/>
      <c r="AD56" s="134"/>
      <c r="AE56" s="134"/>
      <c r="AF56" s="133" t="str">
        <f>IF(OR($Z56="Dokonale",$Z56="Mistrně",$Z56="Velmi dobře"),"Velmi dobře","Vůbec")</f>
        <v>Vůbec</v>
      </c>
      <c r="AG56" s="133" t="str">
        <f>IF(OR($X56="Dokonale",$Y56="Dokonale",$X56="Mistrně",$Y56="Mistrně"),"Dokonale","Vůbec")</f>
        <v>Vůbec</v>
      </c>
      <c r="AH56" s="133" t="str">
        <f>IF(OR($X56="Mistrně",$Y56="Mistrně"),"Mistrně","Vůbec")</f>
        <v>Vůbec</v>
      </c>
      <c r="AI56" s="164"/>
      <c r="AJ56" s="1030"/>
      <c r="AM56"/>
      <c r="AN56"/>
    </row>
    <row r="57" spans="1:40" ht="15" customHeight="1" x14ac:dyDescent="0.3">
      <c r="AM57"/>
      <c r="AN57"/>
    </row>
    <row r="58" spans="1:40" ht="15" customHeight="1" x14ac:dyDescent="0.3">
      <c r="AM58"/>
      <c r="AN58"/>
    </row>
    <row r="59" spans="1:40" ht="15" customHeight="1" x14ac:dyDescent="0.3">
      <c r="AM59"/>
      <c r="AN59"/>
    </row>
    <row r="60" spans="1:40" ht="15" customHeight="1" x14ac:dyDescent="0.3">
      <c r="J60" s="197"/>
      <c r="K60" s="197"/>
      <c r="AM60"/>
      <c r="AN60"/>
    </row>
    <row r="61" spans="1:40" ht="15" customHeight="1" x14ac:dyDescent="0.3">
      <c r="AM61"/>
      <c r="AN61"/>
    </row>
    <row r="62" spans="1:40" ht="15" customHeight="1" x14ac:dyDescent="0.3">
      <c r="AM62"/>
      <c r="AN62"/>
    </row>
    <row r="63" spans="1:40" ht="15" customHeight="1" x14ac:dyDescent="0.3"/>
    <row r="64" spans="1:40" ht="15" customHeight="1" x14ac:dyDescent="0.3"/>
    <row r="65" spans="6:6" ht="15" customHeight="1" x14ac:dyDescent="0.3">
      <c r="F65"/>
    </row>
    <row r="66" spans="6:6" ht="15" customHeight="1" x14ac:dyDescent="0.3">
      <c r="F66"/>
    </row>
    <row r="67" spans="6:6" x14ac:dyDescent="0.3">
      <c r="F67"/>
    </row>
    <row r="68" spans="6:6" ht="15" customHeight="1" x14ac:dyDescent="0.3">
      <c r="F68"/>
    </row>
    <row r="69" spans="6:6" ht="15" customHeight="1" x14ac:dyDescent="0.3">
      <c r="F69"/>
    </row>
    <row r="70" spans="6:6" ht="15" customHeight="1" x14ac:dyDescent="0.3">
      <c r="F70"/>
    </row>
    <row r="71" spans="6:6" ht="15" customHeight="1" x14ac:dyDescent="0.3">
      <c r="F71"/>
    </row>
    <row r="72" spans="6:6" ht="15" customHeight="1" x14ac:dyDescent="0.3">
      <c r="F72"/>
    </row>
    <row r="73" spans="6:6" ht="15" customHeight="1" x14ac:dyDescent="0.3">
      <c r="F73"/>
    </row>
    <row r="74" spans="6:6" ht="15" customHeight="1" x14ac:dyDescent="0.3">
      <c r="F74"/>
    </row>
    <row r="75" spans="6:6" ht="15" customHeight="1" x14ac:dyDescent="0.3">
      <c r="F75"/>
    </row>
    <row r="76" spans="6:6" ht="15" customHeight="1" x14ac:dyDescent="0.3"/>
    <row r="77" spans="6:6" ht="15" customHeight="1" x14ac:dyDescent="0.3"/>
    <row r="78" spans="6:6" ht="15" customHeight="1" x14ac:dyDescent="0.3"/>
    <row r="79" spans="6:6" ht="15" customHeight="1" x14ac:dyDescent="0.3"/>
    <row r="80" spans="6:6" ht="15" customHeight="1" x14ac:dyDescent="0.3"/>
    <row r="81" spans="6:6" ht="15" customHeight="1" x14ac:dyDescent="0.3">
      <c r="F81"/>
    </row>
    <row r="82" spans="6:6" ht="15" customHeight="1" x14ac:dyDescent="0.3"/>
    <row r="83" spans="6:6" ht="15" customHeight="1" x14ac:dyDescent="0.3"/>
    <row r="84" spans="6:6" ht="15" customHeight="1" x14ac:dyDescent="0.3"/>
    <row r="85" spans="6:6" ht="15" customHeight="1" x14ac:dyDescent="0.3"/>
    <row r="86" spans="6:6" ht="15" customHeight="1" x14ac:dyDescent="0.3"/>
    <row r="87" spans="6:6" ht="15" customHeight="1" x14ac:dyDescent="0.3"/>
    <row r="88" spans="6:6" ht="15" customHeight="1" x14ac:dyDescent="0.3"/>
    <row r="89" spans="6:6" ht="15" customHeight="1" x14ac:dyDescent="0.3"/>
    <row r="90" spans="6:6" ht="15" customHeight="1" x14ac:dyDescent="0.3"/>
    <row r="91" spans="6:6" ht="15" customHeight="1" x14ac:dyDescent="0.3"/>
    <row r="92" spans="6:6" ht="15" customHeight="1" x14ac:dyDescent="0.3"/>
    <row r="93" spans="6:6" ht="15" customHeight="1" x14ac:dyDescent="0.3"/>
    <row r="94" spans="6:6" ht="15" customHeight="1" x14ac:dyDescent="0.3"/>
    <row r="95" spans="6:6" ht="15" customHeight="1" x14ac:dyDescent="0.3"/>
    <row r="96" spans="6: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</sheetData>
  <sortState ref="U3:AH64">
    <sortCondition ref="U3:U64"/>
  </sortState>
  <dataConsolidate topLabels="1"/>
  <mergeCells count="15">
    <mergeCell ref="A41:F41"/>
    <mergeCell ref="AA2:AH2"/>
    <mergeCell ref="N15:R15"/>
    <mergeCell ref="N27:R27"/>
    <mergeCell ref="A3:F3"/>
    <mergeCell ref="A13:F13"/>
    <mergeCell ref="A23:F23"/>
    <mergeCell ref="H24:K24"/>
    <mergeCell ref="H25:K25"/>
    <mergeCell ref="H26:K26"/>
    <mergeCell ref="H27:K27"/>
    <mergeCell ref="H9:L9"/>
    <mergeCell ref="H18:L18"/>
    <mergeCell ref="G3:L3"/>
    <mergeCell ref="G13:L13"/>
  </mergeCells>
  <conditionalFormatting sqref="B42 B4:B12 B14:B22 B28:B40 B24:B26 H14:H17 H28 H19:H22 D42:F42 D24:F26 D14:F22 D4:F12 J14:L17 J28:L28 L24:L27 J19:L23 H4:H8 H10:H12 J4:L8 J10:L12 D28:F40">
    <cfRule type="containsBlanks" dxfId="410" priority="799">
      <formula>LEN(TRIM(B4))=0</formula>
    </cfRule>
  </conditionalFormatting>
  <conditionalFormatting sqref="F42 A14:F22 A4:F12 A24:F40">
    <cfRule type="expression" dxfId="409" priority="119">
      <formula>$C4="Vůbec"</formula>
    </cfRule>
  </conditionalFormatting>
  <conditionalFormatting sqref="G28:L28 G24:G27 G19:L23 G14:L17 G4:L8 G10:L12">
    <cfRule type="expression" dxfId="408" priority="712">
      <formula>$I4="Vůbec"</formula>
    </cfRule>
  </conditionalFormatting>
  <conditionalFormatting sqref="Q13 Q3:Q11">
    <cfRule type="cellIs" dxfId="407" priority="69" stopIfTrue="1" operator="lessThan">
      <formula>0</formula>
    </cfRule>
  </conditionalFormatting>
  <conditionalFormatting sqref="B27">
    <cfRule type="containsBlanks" dxfId="406" priority="20">
      <formula>LEN(TRIM(B27))=0</formula>
    </cfRule>
  </conditionalFormatting>
  <conditionalFormatting sqref="F27">
    <cfRule type="containsBlanks" dxfId="405" priority="19">
      <formula>LEN(TRIM(F27))=0</formula>
    </cfRule>
  </conditionalFormatting>
  <conditionalFormatting sqref="D27">
    <cfRule type="containsBlanks" dxfId="404" priority="18">
      <formula>LEN(TRIM(D27))=0</formula>
    </cfRule>
  </conditionalFormatting>
  <conditionalFormatting sqref="E27">
    <cfRule type="containsBlanks" dxfId="403" priority="17">
      <formula>LEN(TRIM(E27))=0</formula>
    </cfRule>
  </conditionalFormatting>
  <conditionalFormatting sqref="A29:B29 D29:F29">
    <cfRule type="expression" dxfId="402" priority="2954">
      <formula>$Z$21="Vůbec"</formula>
    </cfRule>
  </conditionalFormatting>
  <conditionalFormatting sqref="A28:B28 A30:B30 A26:B26 A32:B34 D28:F28 D30:F30 D26:F26 D32:F34">
    <cfRule type="expression" dxfId="401" priority="2956" stopIfTrue="1">
      <formula>$A26=$A$42</formula>
    </cfRule>
  </conditionalFormatting>
  <conditionalFormatting sqref="H23">
    <cfRule type="containsBlanks" dxfId="400" priority="14">
      <formula>LEN(TRIM(H23))=0</formula>
    </cfRule>
  </conditionalFormatting>
  <conditionalFormatting sqref="L24:L27">
    <cfRule type="expression" dxfId="399" priority="2961">
      <formula>#REF!="Vůbec"</formula>
    </cfRule>
  </conditionalFormatting>
  <conditionalFormatting sqref="G9">
    <cfRule type="expression" dxfId="398" priority="10">
      <formula>$I9="Vůbec"</formula>
    </cfRule>
  </conditionalFormatting>
  <conditionalFormatting sqref="G18">
    <cfRule type="expression" dxfId="397" priority="9">
      <formula>$I18="Vůbec"</formula>
    </cfRule>
  </conditionalFormatting>
  <conditionalFormatting sqref="D27">
    <cfRule type="containsBlanks" dxfId="396" priority="7">
      <formula>LEN(TRIM(D27))=0</formula>
    </cfRule>
  </conditionalFormatting>
  <conditionalFormatting sqref="D27">
    <cfRule type="expression" dxfId="395" priority="8" stopIfTrue="1">
      <formula>$A27=$A$42</formula>
    </cfRule>
  </conditionalFormatting>
  <conditionalFormatting sqref="D31">
    <cfRule type="containsBlanks" dxfId="394" priority="6">
      <formula>LEN(TRIM(D31))=0</formula>
    </cfRule>
  </conditionalFormatting>
  <conditionalFormatting sqref="D31">
    <cfRule type="containsBlanks" dxfId="393" priority="4">
      <formula>LEN(TRIM(D31))=0</formula>
    </cfRule>
  </conditionalFormatting>
  <conditionalFormatting sqref="D31">
    <cfRule type="expression" dxfId="392" priority="5" stopIfTrue="1">
      <formula>$A31=$A$42</formula>
    </cfRule>
  </conditionalFormatting>
  <conditionalFormatting sqref="D40">
    <cfRule type="containsBlanks" dxfId="391" priority="3">
      <formula>LEN(TRIM(D40))=0</formula>
    </cfRule>
  </conditionalFormatting>
  <conditionalFormatting sqref="D40">
    <cfRule type="containsBlanks" dxfId="390" priority="1">
      <formula>LEN(TRIM(D40))=0</formula>
    </cfRule>
  </conditionalFormatting>
  <conditionalFormatting sqref="D40">
    <cfRule type="expression" dxfId="389" priority="2" stopIfTrue="1">
      <formula>$A40=$A$42</formula>
    </cfRule>
  </conditionalFormatting>
  <dataValidations count="87">
    <dataValidation type="list" allowBlank="1" showInputMessage="1" showErrorMessage="1" sqref="A14 A29:A30 A32 A26">
      <formula1>$U5</formula1>
    </dataValidation>
    <dataValidation type="list" allowBlank="1" showInputMessage="1" showErrorMessage="1" sqref="A4:A7">
      <formula1>$U6</formula1>
    </dataValidation>
    <dataValidation type="list" allowBlank="1" showInputMessage="1" showErrorMessage="1" sqref="C4:C7">
      <formula1>$AA6:$AH6</formula1>
    </dataValidation>
    <dataValidation type="list" allowBlank="1" showInputMessage="1" showErrorMessage="1" sqref="A10">
      <formula1>$U47</formula1>
    </dataValidation>
    <dataValidation type="list" allowBlank="1" showInputMessage="1" showErrorMessage="1" sqref="C10">
      <formula1>$AA47:$AH47</formula1>
    </dataValidation>
    <dataValidation type="list" allowBlank="1" showInputMessage="1" showErrorMessage="1" sqref="A38">
      <formula1>$U49</formula1>
    </dataValidation>
    <dataValidation type="list" allowBlank="1" showInputMessage="1" showErrorMessage="1" sqref="A21">
      <formula1>$U48</formula1>
    </dataValidation>
    <dataValidation type="list" allowBlank="1" showInputMessage="1" showErrorMessage="1" sqref="G12">
      <formula1>$U$52</formula1>
    </dataValidation>
    <dataValidation type="list" allowBlank="1" showInputMessage="1" showErrorMessage="1" sqref="I12">
      <formula1>$AA$52:$AH$52</formula1>
    </dataValidation>
    <dataValidation type="list" allowBlank="1" showInputMessage="1" showErrorMessage="1" sqref="C41">
      <formula1>$N$29:$N$35</formula1>
    </dataValidation>
    <dataValidation type="list" allowBlank="1" showInputMessage="1" showErrorMessage="1" sqref="C40">
      <formula1>#REF!</formula1>
    </dataValidation>
    <dataValidation type="list" allowBlank="1" showInputMessage="1" showErrorMessage="1" sqref="G8">
      <formula1>$U$37</formula1>
    </dataValidation>
    <dataValidation type="list" allowBlank="1" showInputMessage="1" showErrorMessage="1" sqref="I8">
      <formula1>$AA$37:$AH$37</formula1>
    </dataValidation>
    <dataValidation type="list" allowBlank="1" showInputMessage="1" showErrorMessage="1" sqref="A39">
      <formula1>$U51</formula1>
    </dataValidation>
    <dataValidation type="list" allowBlank="1" showInputMessage="1" showErrorMessage="1" sqref="C39">
      <formula1>$AA51:$AH51</formula1>
    </dataValidation>
    <dataValidation type="list" allowBlank="1" showInputMessage="1" showErrorMessage="1" sqref="C21">
      <formula1>$AA48:$AH48</formula1>
    </dataValidation>
    <dataValidation type="list" allowBlank="1" showInputMessage="1" showErrorMessage="1" sqref="G10">
      <formula1>$U$39</formula1>
    </dataValidation>
    <dataValidation type="list" allowBlank="1" showInputMessage="1" showErrorMessage="1" sqref="I10">
      <formula1>$AA$39:$AH$39</formula1>
    </dataValidation>
    <dataValidation type="list" allowBlank="1" showInputMessage="1" showErrorMessage="1" sqref="A25 G14:G15">
      <formula1>$U3</formula1>
    </dataValidation>
    <dataValidation type="list" allowBlank="1" showInputMessage="1" showErrorMessage="1" sqref="C25 I14:I15">
      <formula1>$AA3:$AH3</formula1>
    </dataValidation>
    <dataValidation type="list" allowBlank="1" showInputMessage="1" showErrorMessage="1" sqref="A28">
      <formula1>$U$19</formula1>
    </dataValidation>
    <dataValidation type="list" allowBlank="1" showInputMessage="1" showErrorMessage="1" sqref="C28">
      <formula1>$AA$19:$AH$19</formula1>
    </dataValidation>
    <dataValidation type="list" allowBlank="1" showInputMessage="1" showErrorMessage="1" sqref="C29">
      <formula1>$AA$20:$AH$20</formula1>
    </dataValidation>
    <dataValidation type="list" allowBlank="1" showInputMessage="1" showErrorMessage="1" sqref="C32">
      <formula1>$AA$23:$AH$23</formula1>
    </dataValidation>
    <dataValidation type="list" allowBlank="1" showInputMessage="1" showErrorMessage="1" sqref="A34">
      <formula1>$U$24</formula1>
    </dataValidation>
    <dataValidation type="list" allowBlank="1" showInputMessage="1" showErrorMessage="1" sqref="C34">
      <formula1>$AA$24:$AH$24</formula1>
    </dataValidation>
    <dataValidation type="list" allowBlank="1" showInputMessage="1" showErrorMessage="1" sqref="A17">
      <formula1>$U$27</formula1>
    </dataValidation>
    <dataValidation type="list" allowBlank="1" showInputMessage="1" showErrorMessage="1" sqref="C17">
      <formula1>$AA$27:$AH$27</formula1>
    </dataValidation>
    <dataValidation type="list" allowBlank="1" showInputMessage="1" showErrorMessage="1" sqref="I4">
      <formula1>$AA29:$AH29</formula1>
    </dataValidation>
    <dataValidation type="list" allowBlank="1" showInputMessage="1" showErrorMessage="1" sqref="A18">
      <formula1>$U$32</formula1>
    </dataValidation>
    <dataValidation type="list" allowBlank="1" showInputMessage="1" showErrorMessage="1" sqref="C18">
      <formula1>$AA$32:$AH$32</formula1>
    </dataValidation>
    <dataValidation type="list" allowBlank="1" showInputMessage="1" showErrorMessage="1" sqref="A35">
      <formula1>$U$38</formula1>
    </dataValidation>
    <dataValidation type="list" allowBlank="1" showInputMessage="1" showErrorMessage="1" sqref="C35">
      <formula1>$AA$38:$AH$38</formula1>
    </dataValidation>
    <dataValidation type="list" allowBlank="1" showInputMessage="1" showErrorMessage="1" sqref="A12">
      <formula1>$U53</formula1>
    </dataValidation>
    <dataValidation type="list" allowBlank="1" showInputMessage="1" showErrorMessage="1" sqref="C12">
      <formula1>$AA53:$AH53</formula1>
    </dataValidation>
    <dataValidation type="list" allowBlank="1" showInputMessage="1" showErrorMessage="1" sqref="A16">
      <formula1>$U15</formula1>
    </dataValidation>
    <dataValidation type="list" allowBlank="1" showInputMessage="1" showErrorMessage="1" sqref="C16">
      <formula1>$AA15:$AH15</formula1>
    </dataValidation>
    <dataValidation type="list" allowBlank="1" showInputMessage="1" showErrorMessage="1" sqref="A19">
      <formula1>$U34</formula1>
    </dataValidation>
    <dataValidation type="list" allowBlank="1" showInputMessage="1" showErrorMessage="1" sqref="C19">
      <formula1>$AA34:$AH34</formula1>
    </dataValidation>
    <dataValidation type="list" allowBlank="1" showInputMessage="1" showErrorMessage="1" sqref="C15">
      <formula1>$AA10:$AH10</formula1>
    </dataValidation>
    <dataValidation type="list" allowBlank="1" showInputMessage="1" showErrorMessage="1" sqref="A24">
      <formula1>$U11</formula1>
    </dataValidation>
    <dataValidation type="list" allowBlank="1" showInputMessage="1" showErrorMessage="1" sqref="C24">
      <formula1>$AA11:$AH11</formula1>
    </dataValidation>
    <dataValidation type="list" allowBlank="1" showInputMessage="1" showErrorMessage="1" sqref="I16">
      <formula1>$AA13:$AH13</formula1>
    </dataValidation>
    <dataValidation type="list" allowBlank="1" showInputMessage="1" showErrorMessage="1" sqref="C26">
      <formula1>$AA$17:$AH$17</formula1>
    </dataValidation>
    <dataValidation type="list" allowBlank="1" showInputMessage="1" showErrorMessage="1" sqref="C27">
      <formula1>$AA$18:$AH$18</formula1>
    </dataValidation>
    <dataValidation type="list" allowBlank="1" showInputMessage="1" showErrorMessage="1" sqref="C31">
      <formula1>$AA$22:$AH$22</formula1>
    </dataValidation>
    <dataValidation type="list" allowBlank="1" showInputMessage="1" showErrorMessage="1" sqref="C38">
      <formula1>$AA49:$AH49</formula1>
    </dataValidation>
    <dataValidation type="list" allowBlank="1" showInputMessage="1" showErrorMessage="1" sqref="G17">
      <formula1>$U$16</formula1>
    </dataValidation>
    <dataValidation type="list" allowBlank="1" showInputMessage="1" showErrorMessage="1" sqref="I17">
      <formula1>$AA$16:$AH$16</formula1>
    </dataValidation>
    <dataValidation type="list" allowBlank="1" showInputMessage="1" showErrorMessage="1" sqref="C30">
      <formula1>$AA$21:$AH$21</formula1>
    </dataValidation>
    <dataValidation type="list" allowBlank="1" showInputMessage="1" showErrorMessage="1" sqref="C33">
      <formula1>$AA$25:$AH$25</formula1>
    </dataValidation>
    <dataValidation type="list" allowBlank="1" showInputMessage="1" showErrorMessage="1" sqref="G19">
      <formula1>$U$26</formula1>
    </dataValidation>
    <dataValidation type="list" allowBlank="1" showInputMessage="1" showErrorMessage="1" sqref="I19">
      <formula1>$AA$26:$AH$26</formula1>
    </dataValidation>
    <dataValidation type="list" allowBlank="1" showInputMessage="1" showErrorMessage="1" sqref="G21:G22">
      <formula1>$U30</formula1>
    </dataValidation>
    <dataValidation type="list" allowBlank="1" showInputMessage="1" showErrorMessage="1" sqref="A42">
      <formula1>$U$19:$U$29</formula1>
    </dataValidation>
    <dataValidation type="list" allowBlank="1" showInputMessage="1" showErrorMessage="1" sqref="G5">
      <formula1>$U$33</formula1>
    </dataValidation>
    <dataValidation type="list" allowBlank="1" showInputMessage="1" showErrorMessage="1" sqref="I5">
      <formula1>$AA$33:$AH$33</formula1>
    </dataValidation>
    <dataValidation type="list" allowBlank="1" showInputMessage="1" showErrorMessage="1" sqref="A9">
      <formula1>$U$45</formula1>
    </dataValidation>
    <dataValidation type="list" allowBlank="1" showInputMessage="1" showErrorMessage="1" sqref="C9">
      <formula1>$AA$45:$AH$45</formula1>
    </dataValidation>
    <dataValidation type="list" allowBlank="1" showInputMessage="1" showErrorMessage="1" sqref="A20">
      <formula1>$U$44</formula1>
    </dataValidation>
    <dataValidation type="list" allowBlank="1" showInputMessage="1" showErrorMessage="1" sqref="C20">
      <formula1>$AA$44:$AH$44</formula1>
    </dataValidation>
    <dataValidation type="list" allowBlank="1" showInputMessage="1" showErrorMessage="1" sqref="A36">
      <formula1>$U$43</formula1>
    </dataValidation>
    <dataValidation type="list" allowBlank="1" showInputMessage="1" showErrorMessage="1" sqref="C36">
      <formula1>$AA$43:$AH$43</formula1>
    </dataValidation>
    <dataValidation type="list" allowBlank="1" showInputMessage="1" showErrorMessage="1" sqref="A37">
      <formula1>$U$46</formula1>
    </dataValidation>
    <dataValidation type="list" allowBlank="1" showInputMessage="1" showErrorMessage="1" sqref="C37">
      <formula1>$AA$46:$AH$46</formula1>
    </dataValidation>
    <dataValidation type="list" allowBlank="1" showInputMessage="1" showErrorMessage="1" sqref="A11">
      <formula1>$U50</formula1>
    </dataValidation>
    <dataValidation type="list" allowBlank="1" showInputMessage="1" showErrorMessage="1" sqref="C11">
      <formula1>$AA50:$AH50</formula1>
    </dataValidation>
    <dataValidation type="list" allowBlank="1" showInputMessage="1" showErrorMessage="1" sqref="A8">
      <formula1>$U12</formula1>
    </dataValidation>
    <dataValidation type="list" allowBlank="1" showInputMessage="1" showErrorMessage="1" sqref="C8">
      <formula1>$AA12:$AH12</formula1>
    </dataValidation>
    <dataValidation type="list" allowBlank="1" showInputMessage="1" showErrorMessage="1" sqref="C14">
      <formula1>$AA5:$AH5</formula1>
    </dataValidation>
    <dataValidation type="list" allowBlank="1" showInputMessage="1" showErrorMessage="1" sqref="A15">
      <formula1>$U10</formula1>
    </dataValidation>
    <dataValidation type="list" allowBlank="1" showInputMessage="1" showErrorMessage="1" sqref="A22">
      <formula1>$U55</formula1>
    </dataValidation>
    <dataValidation type="list" allowBlank="1" showInputMessage="1" showErrorMessage="1" sqref="C22">
      <formula1>$AA55:$AH55</formula1>
    </dataValidation>
    <dataValidation type="list" allowBlank="1" showInputMessage="1" showErrorMessage="1" sqref="G4">
      <formula1>$U29</formula1>
    </dataValidation>
    <dataValidation type="list" allowBlank="1" showInputMessage="1" showErrorMessage="1" sqref="A33">
      <formula1>$U25</formula1>
    </dataValidation>
    <dataValidation type="list" allowBlank="1" showInputMessage="1" showErrorMessage="1" sqref="G16">
      <formula1>$U13</formula1>
    </dataValidation>
    <dataValidation type="list" allowBlank="1" showInputMessage="1" showErrorMessage="1" sqref="G11">
      <formula1>$U41</formula1>
    </dataValidation>
    <dataValidation type="list" allowBlank="1" showInputMessage="1" showErrorMessage="1" sqref="I11">
      <formula1>$AA41:$AH41</formula1>
    </dataValidation>
    <dataValidation type="list" allowBlank="1" showInputMessage="1" showErrorMessage="1" sqref="G6:G7">
      <formula1>$U35</formula1>
    </dataValidation>
    <dataValidation type="list" allowBlank="1" showInputMessage="1" showErrorMessage="1" sqref="I6:I7">
      <formula1>$AA35:$AH35</formula1>
    </dataValidation>
    <dataValidation type="list" allowBlank="1" showInputMessage="1" showErrorMessage="1" sqref="G20">
      <formula1>$U28</formula1>
    </dataValidation>
    <dataValidation type="list" allowBlank="1" showInputMessage="1" showErrorMessage="1" sqref="I21:I23">
      <formula1>$AA30:$AH30</formula1>
    </dataValidation>
    <dataValidation type="list" allowBlank="1" showInputMessage="1" showErrorMessage="1" sqref="G23">
      <formula1>$U$40</formula1>
    </dataValidation>
    <dataValidation type="list" allowBlank="1" showInputMessage="1" showErrorMessage="1" sqref="G28">
      <formula1>$U42</formula1>
    </dataValidation>
    <dataValidation type="list" allowBlank="1" showInputMessage="1" showErrorMessage="1" sqref="I28">
      <formula1>$AA42:$AH42</formula1>
    </dataValidation>
    <dataValidation type="list" allowBlank="1" showInputMessage="1" showErrorMessage="1" sqref="G21">
      <formula1>$U31</formula1>
    </dataValidation>
    <dataValidation type="list" allowBlank="1" showInputMessage="1" showErrorMessage="1" sqref="I20">
      <formula1>$AA28:$AH28</formula1>
    </dataValidation>
  </dataValidations>
  <pageMargins left="0.39370078740157483" right="0.39370078740157483" top="0.39370078740157483" bottom="0.59055118110236215" header="0.31496062992125984" footer="0.31496062992125984"/>
  <pageSetup paperSize="9" scale="90"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1"/>
  <dimension ref="A1:AH63"/>
  <sheetViews>
    <sheetView workbookViewId="0">
      <pane ySplit="5" topLeftCell="A48" activePane="bottomLeft" state="frozen"/>
      <selection pane="bottomLeft" activeCell="AG61" sqref="AG61"/>
    </sheetView>
  </sheetViews>
  <sheetFormatPr defaultRowHeight="14.4" outlineLevelCol="1" x14ac:dyDescent="0.3"/>
  <cols>
    <col min="1" max="1" width="23.5546875" bestFit="1" customWidth="1"/>
    <col min="2" max="2" width="7.44140625" customWidth="1"/>
    <col min="3" max="26" width="9.109375" hidden="1" customWidth="1" outlineLevel="1"/>
    <col min="27" max="27" width="9.109375" customWidth="1" collapsed="1"/>
    <col min="28" max="30" width="9.109375" customWidth="1"/>
    <col min="31" max="33" width="11.21875" customWidth="1"/>
    <col min="34" max="34" width="11.88671875" customWidth="1"/>
  </cols>
  <sheetData>
    <row r="1" spans="1:34" ht="21" x14ac:dyDescent="0.4">
      <c r="A1" s="42" t="s">
        <v>1612</v>
      </c>
      <c r="B1" s="42"/>
    </row>
    <row r="4" spans="1:34" x14ac:dyDescent="0.3">
      <c r="AA4" t="s">
        <v>5440</v>
      </c>
    </row>
    <row r="5" spans="1:34" x14ac:dyDescent="0.3">
      <c r="A5" s="432" t="s">
        <v>45</v>
      </c>
      <c r="B5" s="432" t="s">
        <v>163</v>
      </c>
      <c r="C5" s="639" t="s">
        <v>1127</v>
      </c>
      <c r="D5" s="432" t="s">
        <v>3115</v>
      </c>
      <c r="E5" s="432" t="s">
        <v>180</v>
      </c>
      <c r="F5" s="432" t="s">
        <v>257</v>
      </c>
      <c r="G5" s="432" t="s">
        <v>261</v>
      </c>
      <c r="H5" s="432" t="s">
        <v>270</v>
      </c>
      <c r="I5" s="432" t="s">
        <v>275</v>
      </c>
      <c r="J5" s="432" t="s">
        <v>272</v>
      </c>
      <c r="K5" s="432" t="s">
        <v>265</v>
      </c>
      <c r="L5" s="432" t="s">
        <v>262</v>
      </c>
      <c r="M5" s="432" t="s">
        <v>4754</v>
      </c>
      <c r="N5" s="432" t="s">
        <v>274</v>
      </c>
      <c r="O5" s="432" t="s">
        <v>268</v>
      </c>
      <c r="P5" s="432" t="s">
        <v>263</v>
      </c>
      <c r="Q5" s="432" t="s">
        <v>256</v>
      </c>
      <c r="R5" s="432" t="s">
        <v>269</v>
      </c>
      <c r="S5" s="432" t="s">
        <v>267</v>
      </c>
      <c r="T5" s="432" t="s">
        <v>258</v>
      </c>
      <c r="U5" s="432" t="s">
        <v>1058</v>
      </c>
      <c r="V5" s="432" t="s">
        <v>264</v>
      </c>
      <c r="W5" s="432" t="s">
        <v>209</v>
      </c>
      <c r="X5" s="432" t="s">
        <v>271</v>
      </c>
      <c r="Y5" s="432" t="s">
        <v>207</v>
      </c>
      <c r="Z5" s="432" t="s">
        <v>259</v>
      </c>
      <c r="AA5" s="1091" t="s">
        <v>5585</v>
      </c>
      <c r="AB5" s="1091" t="s">
        <v>5587</v>
      </c>
      <c r="AC5" s="1091" t="s">
        <v>5589</v>
      </c>
      <c r="AD5" s="1091" t="s">
        <v>5584</v>
      </c>
      <c r="AE5" s="1091" t="s">
        <v>5603</v>
      </c>
      <c r="AF5" s="1091" t="s">
        <v>5644</v>
      </c>
      <c r="AG5" s="1091" t="s">
        <v>5667</v>
      </c>
      <c r="AH5" s="1091"/>
    </row>
    <row r="6" spans="1:34" x14ac:dyDescent="0.3">
      <c r="A6" s="38" t="s">
        <v>1460</v>
      </c>
      <c r="B6" s="33" t="s">
        <v>178</v>
      </c>
      <c r="C6" s="629" t="s">
        <v>194</v>
      </c>
      <c r="D6" s="33" t="s">
        <v>3759</v>
      </c>
      <c r="E6" s="33" t="s">
        <v>194</v>
      </c>
      <c r="F6" s="33" t="s">
        <v>86</v>
      </c>
      <c r="G6" s="33" t="s">
        <v>3759</v>
      </c>
      <c r="H6" s="33" t="s">
        <v>3759</v>
      </c>
      <c r="I6" s="33" t="s">
        <v>3759</v>
      </c>
      <c r="J6" s="33" t="s">
        <v>194</v>
      </c>
      <c r="K6" s="33" t="s">
        <v>194</v>
      </c>
      <c r="L6" s="33" t="s">
        <v>3759</v>
      </c>
      <c r="M6" s="33" t="s">
        <v>3759</v>
      </c>
      <c r="N6" s="33" t="s">
        <v>3759</v>
      </c>
      <c r="O6" s="33" t="s">
        <v>3759</v>
      </c>
      <c r="P6" s="33" t="s">
        <v>3759</v>
      </c>
      <c r="Q6" s="33" t="s">
        <v>86</v>
      </c>
      <c r="R6" s="33" t="s">
        <v>3759</v>
      </c>
      <c r="S6" s="33" t="s">
        <v>3759</v>
      </c>
      <c r="T6" s="33" t="s">
        <v>194</v>
      </c>
      <c r="U6" s="33" t="s">
        <v>194</v>
      </c>
      <c r="V6" s="33" t="s">
        <v>3759</v>
      </c>
      <c r="W6" s="33" t="s">
        <v>3759</v>
      </c>
      <c r="X6" s="33" t="s">
        <v>86</v>
      </c>
      <c r="Y6" s="33" t="s">
        <v>3759</v>
      </c>
      <c r="Z6" s="1088" t="s">
        <v>86</v>
      </c>
      <c r="AA6" s="1088" t="s">
        <v>194</v>
      </c>
      <c r="AB6" s="1088" t="s">
        <v>194</v>
      </c>
      <c r="AC6" s="1088" t="s">
        <v>86</v>
      </c>
      <c r="AD6" s="1109" t="s">
        <v>194</v>
      </c>
      <c r="AE6" s="1112" t="s">
        <v>86</v>
      </c>
      <c r="AF6" s="1118" t="s">
        <v>86</v>
      </c>
      <c r="AG6" s="1124" t="s">
        <v>3759</v>
      </c>
      <c r="AH6" s="1088" t="s">
        <v>86</v>
      </c>
    </row>
    <row r="7" spans="1:34" x14ac:dyDescent="0.3">
      <c r="A7" s="38" t="s">
        <v>172</v>
      </c>
      <c r="B7" s="33" t="s">
        <v>173</v>
      </c>
      <c r="C7" s="912" t="s">
        <v>194</v>
      </c>
      <c r="D7" s="33" t="s">
        <v>86</v>
      </c>
      <c r="E7" s="33" t="s">
        <v>3759</v>
      </c>
      <c r="F7" s="33" t="s">
        <v>194</v>
      </c>
      <c r="G7" s="33" t="s">
        <v>86</v>
      </c>
      <c r="H7" s="33" t="s">
        <v>86</v>
      </c>
      <c r="I7" s="33" t="s">
        <v>194</v>
      </c>
      <c r="J7" s="33" t="s">
        <v>86</v>
      </c>
      <c r="K7" s="33" t="s">
        <v>194</v>
      </c>
      <c r="L7" s="33" t="s">
        <v>86</v>
      </c>
      <c r="M7" s="33" t="s">
        <v>86</v>
      </c>
      <c r="N7" s="33" t="s">
        <v>194</v>
      </c>
      <c r="O7" s="33" t="s">
        <v>86</v>
      </c>
      <c r="P7" s="33" t="s">
        <v>86</v>
      </c>
      <c r="Q7" s="33" t="s">
        <v>194</v>
      </c>
      <c r="R7" s="33" t="s">
        <v>194</v>
      </c>
      <c r="S7" s="33" t="s">
        <v>86</v>
      </c>
      <c r="T7" s="33" t="s">
        <v>194</v>
      </c>
      <c r="U7" s="33" t="s">
        <v>194</v>
      </c>
      <c r="V7" s="33" t="s">
        <v>86</v>
      </c>
      <c r="W7" s="33" t="s">
        <v>86</v>
      </c>
      <c r="X7" s="33" t="s">
        <v>86</v>
      </c>
      <c r="Y7" s="33" t="s">
        <v>194</v>
      </c>
      <c r="Z7" s="1088" t="s">
        <v>194</v>
      </c>
      <c r="AA7" s="1088" t="s">
        <v>194</v>
      </c>
      <c r="AB7" s="1088" t="s">
        <v>194</v>
      </c>
      <c r="AC7" s="1088" t="s">
        <v>194</v>
      </c>
      <c r="AD7" s="1109" t="s">
        <v>194</v>
      </c>
      <c r="AE7" s="1112" t="s">
        <v>86</v>
      </c>
      <c r="AF7" s="1118" t="s">
        <v>194</v>
      </c>
      <c r="AG7" s="1124" t="s">
        <v>3759</v>
      </c>
      <c r="AH7" s="1088" t="s">
        <v>86</v>
      </c>
    </row>
    <row r="8" spans="1:34" x14ac:dyDescent="0.3">
      <c r="A8" s="38" t="s">
        <v>184</v>
      </c>
      <c r="B8" s="33" t="s">
        <v>175</v>
      </c>
      <c r="C8" s="629" t="s">
        <v>86</v>
      </c>
      <c r="D8" s="33" t="s">
        <v>86</v>
      </c>
      <c r="E8" s="33" t="s">
        <v>86</v>
      </c>
      <c r="F8" s="33" t="s">
        <v>86</v>
      </c>
      <c r="G8" s="33" t="s">
        <v>194</v>
      </c>
      <c r="H8" s="33" t="s">
        <v>86</v>
      </c>
      <c r="I8" s="33" t="s">
        <v>86</v>
      </c>
      <c r="J8" s="33" t="s">
        <v>86</v>
      </c>
      <c r="K8" s="33" t="s">
        <v>86</v>
      </c>
      <c r="L8" s="33" t="s">
        <v>86</v>
      </c>
      <c r="M8" s="33" t="s">
        <v>86</v>
      </c>
      <c r="N8" s="33" t="s">
        <v>86</v>
      </c>
      <c r="O8" s="33" t="s">
        <v>194</v>
      </c>
      <c r="P8" s="33" t="s">
        <v>86</v>
      </c>
      <c r="Q8" s="33" t="s">
        <v>194</v>
      </c>
      <c r="R8" s="33" t="s">
        <v>86</v>
      </c>
      <c r="S8" s="33" t="s">
        <v>86</v>
      </c>
      <c r="T8" s="33" t="s">
        <v>86</v>
      </c>
      <c r="U8" s="33" t="s">
        <v>86</v>
      </c>
      <c r="V8" s="33" t="s">
        <v>86</v>
      </c>
      <c r="W8" s="33" t="s">
        <v>86</v>
      </c>
      <c r="X8" s="33" t="s">
        <v>86</v>
      </c>
      <c r="Y8" s="33" t="s">
        <v>194</v>
      </c>
      <c r="Z8" s="1088" t="s">
        <v>86</v>
      </c>
      <c r="AA8" s="1088" t="s">
        <v>194</v>
      </c>
      <c r="AB8" s="1088" t="s">
        <v>86</v>
      </c>
      <c r="AC8" s="1088" t="s">
        <v>194</v>
      </c>
      <c r="AD8" s="1109" t="s">
        <v>86</v>
      </c>
      <c r="AE8" s="1112" t="s">
        <v>194</v>
      </c>
      <c r="AF8" s="1118" t="s">
        <v>86</v>
      </c>
      <c r="AG8" s="1124" t="s">
        <v>3759</v>
      </c>
      <c r="AH8" s="1088" t="s">
        <v>86</v>
      </c>
    </row>
    <row r="9" spans="1:34" x14ac:dyDescent="0.3">
      <c r="A9" s="38" t="s">
        <v>2480</v>
      </c>
      <c r="B9" s="33" t="s">
        <v>173</v>
      </c>
      <c r="C9" s="629" t="s">
        <v>194</v>
      </c>
      <c r="D9" s="33" t="s">
        <v>86</v>
      </c>
      <c r="E9" s="33" t="s">
        <v>86</v>
      </c>
      <c r="F9" s="33" t="s">
        <v>194</v>
      </c>
      <c r="G9" s="33" t="s">
        <v>194</v>
      </c>
      <c r="H9" s="33" t="s">
        <v>86</v>
      </c>
      <c r="I9" s="33" t="s">
        <v>194</v>
      </c>
      <c r="J9" s="33" t="s">
        <v>194</v>
      </c>
      <c r="K9" s="33" t="s">
        <v>86</v>
      </c>
      <c r="L9" s="33" t="s">
        <v>194</v>
      </c>
      <c r="M9" s="33" t="s">
        <v>86</v>
      </c>
      <c r="N9" s="33" t="s">
        <v>194</v>
      </c>
      <c r="O9" s="33" t="s">
        <v>86</v>
      </c>
      <c r="P9" s="33" t="s">
        <v>194</v>
      </c>
      <c r="Q9" s="33" t="s">
        <v>194</v>
      </c>
      <c r="R9" s="33" t="s">
        <v>86</v>
      </c>
      <c r="S9" s="33" t="s">
        <v>86</v>
      </c>
      <c r="T9" s="33" t="s">
        <v>194</v>
      </c>
      <c r="U9" s="33" t="s">
        <v>86</v>
      </c>
      <c r="V9" s="33" t="s">
        <v>194</v>
      </c>
      <c r="W9" s="33" t="s">
        <v>3759</v>
      </c>
      <c r="X9" s="33" t="s">
        <v>86</v>
      </c>
      <c r="Y9" s="33" t="s">
        <v>194</v>
      </c>
      <c r="Z9" s="1088" t="s">
        <v>194</v>
      </c>
      <c r="AA9" s="1088" t="s">
        <v>194</v>
      </c>
      <c r="AB9" s="1088" t="s">
        <v>86</v>
      </c>
      <c r="AC9" s="1088" t="s">
        <v>86</v>
      </c>
      <c r="AD9" s="1109" t="s">
        <v>194</v>
      </c>
      <c r="AE9" s="1112" t="s">
        <v>194</v>
      </c>
      <c r="AF9" s="1118" t="s">
        <v>194</v>
      </c>
      <c r="AG9" s="1124" t="s">
        <v>3759</v>
      </c>
      <c r="AH9" s="1088" t="s">
        <v>86</v>
      </c>
    </row>
    <row r="10" spans="1:34" x14ac:dyDescent="0.3">
      <c r="A10" s="38" t="s">
        <v>5425</v>
      </c>
      <c r="B10" s="33" t="s">
        <v>178</v>
      </c>
      <c r="C10" s="629" t="s">
        <v>194</v>
      </c>
      <c r="D10" s="33" t="s">
        <v>86</v>
      </c>
      <c r="E10" s="33" t="s">
        <v>86</v>
      </c>
      <c r="F10" s="33" t="s">
        <v>86</v>
      </c>
      <c r="G10" s="33" t="s">
        <v>86</v>
      </c>
      <c r="H10" s="33" t="s">
        <v>194</v>
      </c>
      <c r="I10" s="33" t="s">
        <v>86</v>
      </c>
      <c r="J10" s="33" t="s">
        <v>86</v>
      </c>
      <c r="K10" s="33" t="s">
        <v>194</v>
      </c>
      <c r="L10" s="33" t="s">
        <v>86</v>
      </c>
      <c r="M10" s="33" t="s">
        <v>86</v>
      </c>
      <c r="N10" s="33" t="s">
        <v>86</v>
      </c>
      <c r="O10" s="33" t="s">
        <v>86</v>
      </c>
      <c r="P10" s="33" t="s">
        <v>86</v>
      </c>
      <c r="Q10" s="33" t="s">
        <v>86</v>
      </c>
      <c r="R10" s="33" t="s">
        <v>86</v>
      </c>
      <c r="S10" s="33" t="s">
        <v>194</v>
      </c>
      <c r="T10" s="33" t="s">
        <v>194</v>
      </c>
      <c r="U10" s="33" t="s">
        <v>194</v>
      </c>
      <c r="V10" s="33" t="s">
        <v>86</v>
      </c>
      <c r="W10" s="33" t="s">
        <v>86</v>
      </c>
      <c r="X10" s="33" t="s">
        <v>194</v>
      </c>
      <c r="Y10" s="33" t="s">
        <v>86</v>
      </c>
      <c r="Z10" s="1088" t="s">
        <v>86</v>
      </c>
      <c r="AA10" s="1088" t="s">
        <v>86</v>
      </c>
      <c r="AB10" s="1088" t="s">
        <v>194</v>
      </c>
      <c r="AC10" s="1088" t="s">
        <v>86</v>
      </c>
      <c r="AD10" s="1109" t="s">
        <v>194</v>
      </c>
      <c r="AE10" s="1112" t="s">
        <v>86</v>
      </c>
      <c r="AF10" s="1118" t="s">
        <v>86</v>
      </c>
      <c r="AG10" s="1124" t="s">
        <v>3759</v>
      </c>
      <c r="AH10" s="1088" t="s">
        <v>86</v>
      </c>
    </row>
    <row r="11" spans="1:34" x14ac:dyDescent="0.3">
      <c r="A11" s="38" t="s">
        <v>5426</v>
      </c>
      <c r="B11" s="33" t="s">
        <v>178</v>
      </c>
      <c r="C11" s="629" t="s">
        <v>86</v>
      </c>
      <c r="D11" s="33" t="s">
        <v>86</v>
      </c>
      <c r="E11" s="33" t="s">
        <v>86</v>
      </c>
      <c r="F11" s="33" t="s">
        <v>86</v>
      </c>
      <c r="G11" s="33" t="s">
        <v>194</v>
      </c>
      <c r="H11" s="33" t="s">
        <v>194</v>
      </c>
      <c r="I11" s="33" t="s">
        <v>194</v>
      </c>
      <c r="J11" s="33" t="s">
        <v>86</v>
      </c>
      <c r="K11" s="33" t="s">
        <v>86</v>
      </c>
      <c r="L11" s="33" t="s">
        <v>194</v>
      </c>
      <c r="M11" s="33" t="s">
        <v>86</v>
      </c>
      <c r="N11" s="33" t="s">
        <v>86</v>
      </c>
      <c r="O11" s="33" t="s">
        <v>86</v>
      </c>
      <c r="P11" s="33" t="s">
        <v>194</v>
      </c>
      <c r="Q11" s="33" t="s">
        <v>194</v>
      </c>
      <c r="R11" s="33" t="s">
        <v>86</v>
      </c>
      <c r="S11" s="33" t="s">
        <v>86</v>
      </c>
      <c r="T11" s="33" t="s">
        <v>86</v>
      </c>
      <c r="U11" s="33" t="s">
        <v>86</v>
      </c>
      <c r="V11" s="33" t="s">
        <v>194</v>
      </c>
      <c r="W11" s="33" t="s">
        <v>194</v>
      </c>
      <c r="X11" s="33" t="s">
        <v>194</v>
      </c>
      <c r="Y11" s="33" t="s">
        <v>86</v>
      </c>
      <c r="Z11" s="1088" t="s">
        <v>194</v>
      </c>
      <c r="AA11" s="1088" t="s">
        <v>86</v>
      </c>
      <c r="AB11" s="1088" t="s">
        <v>86</v>
      </c>
      <c r="AC11" s="1088" t="s">
        <v>86</v>
      </c>
      <c r="AD11" s="1109" t="s">
        <v>86</v>
      </c>
      <c r="AE11" s="1112" t="s">
        <v>194</v>
      </c>
      <c r="AF11" s="1118" t="s">
        <v>194</v>
      </c>
      <c r="AG11" s="1124" t="s">
        <v>194</v>
      </c>
      <c r="AH11" s="1088" t="s">
        <v>86</v>
      </c>
    </row>
    <row r="12" spans="1:34" x14ac:dyDescent="0.3">
      <c r="A12" s="38" t="s">
        <v>2954</v>
      </c>
      <c r="B12" s="33" t="s">
        <v>173</v>
      </c>
      <c r="C12" s="629" t="s">
        <v>86</v>
      </c>
      <c r="D12" s="33" t="s">
        <v>86</v>
      </c>
      <c r="E12" s="33" t="s">
        <v>86</v>
      </c>
      <c r="F12" s="33" t="s">
        <v>86</v>
      </c>
      <c r="G12" s="33" t="s">
        <v>86</v>
      </c>
      <c r="H12" s="33" t="s">
        <v>86</v>
      </c>
      <c r="I12" s="33" t="s">
        <v>86</v>
      </c>
      <c r="J12" s="33" t="s">
        <v>86</v>
      </c>
      <c r="K12" s="33" t="s">
        <v>86</v>
      </c>
      <c r="L12" s="33" t="s">
        <v>86</v>
      </c>
      <c r="M12" s="33" t="s">
        <v>86</v>
      </c>
      <c r="N12" s="33" t="s">
        <v>194</v>
      </c>
      <c r="O12" s="33" t="s">
        <v>86</v>
      </c>
      <c r="P12" s="33" t="s">
        <v>86</v>
      </c>
      <c r="Q12" s="33" t="s">
        <v>194</v>
      </c>
      <c r="R12" s="33" t="s">
        <v>86</v>
      </c>
      <c r="S12" s="33" t="s">
        <v>86</v>
      </c>
      <c r="T12" s="33" t="s">
        <v>194</v>
      </c>
      <c r="U12" s="33" t="s">
        <v>86</v>
      </c>
      <c r="V12" s="33" t="s">
        <v>86</v>
      </c>
      <c r="W12" s="33" t="s">
        <v>86</v>
      </c>
      <c r="X12" s="33" t="s">
        <v>86</v>
      </c>
      <c r="Y12" s="33" t="s">
        <v>86</v>
      </c>
      <c r="Z12" s="1088" t="s">
        <v>194</v>
      </c>
      <c r="AA12" s="1088" t="s">
        <v>86</v>
      </c>
      <c r="AB12" s="1088" t="s">
        <v>86</v>
      </c>
      <c r="AC12" s="1088" t="s">
        <v>86</v>
      </c>
      <c r="AD12" s="1109" t="s">
        <v>86</v>
      </c>
      <c r="AE12" s="1112" t="s">
        <v>86</v>
      </c>
      <c r="AF12" s="1118" t="s">
        <v>194</v>
      </c>
      <c r="AG12" s="1124" t="s">
        <v>3759</v>
      </c>
      <c r="AH12" s="1088" t="s">
        <v>86</v>
      </c>
    </row>
    <row r="13" spans="1:34" x14ac:dyDescent="0.3">
      <c r="A13" s="38" t="s">
        <v>198</v>
      </c>
      <c r="B13" s="33" t="s">
        <v>175</v>
      </c>
      <c r="C13" s="629" t="s">
        <v>86</v>
      </c>
      <c r="D13" s="33" t="s">
        <v>194</v>
      </c>
      <c r="E13" s="33" t="s">
        <v>86</v>
      </c>
      <c r="F13" s="33" t="s">
        <v>86</v>
      </c>
      <c r="G13" s="33" t="s">
        <v>86</v>
      </c>
      <c r="H13" s="33" t="s">
        <v>194</v>
      </c>
      <c r="I13" s="33" t="s">
        <v>194</v>
      </c>
      <c r="J13" s="33" t="s">
        <v>194</v>
      </c>
      <c r="K13" s="33" t="s">
        <v>86</v>
      </c>
      <c r="L13" s="33" t="s">
        <v>86</v>
      </c>
      <c r="M13" s="33" t="s">
        <v>194</v>
      </c>
      <c r="N13" s="33" t="s">
        <v>194</v>
      </c>
      <c r="O13" s="33" t="s">
        <v>194</v>
      </c>
      <c r="P13" s="33" t="s">
        <v>86</v>
      </c>
      <c r="Q13" s="33" t="s">
        <v>86</v>
      </c>
      <c r="R13" s="33" t="s">
        <v>194</v>
      </c>
      <c r="S13" s="33" t="s">
        <v>194</v>
      </c>
      <c r="T13" s="33" t="s">
        <v>86</v>
      </c>
      <c r="U13" s="33" t="s">
        <v>86</v>
      </c>
      <c r="V13" s="33" t="s">
        <v>86</v>
      </c>
      <c r="W13" s="33" t="s">
        <v>194</v>
      </c>
      <c r="X13" s="33" t="s">
        <v>194</v>
      </c>
      <c r="Y13" s="33" t="s">
        <v>194</v>
      </c>
      <c r="Z13" s="1088" t="s">
        <v>86</v>
      </c>
      <c r="AA13" s="1088" t="s">
        <v>194</v>
      </c>
      <c r="AB13" s="1088" t="s">
        <v>86</v>
      </c>
      <c r="AC13" s="1088" t="s">
        <v>86</v>
      </c>
      <c r="AD13" s="1109" t="s">
        <v>86</v>
      </c>
      <c r="AE13" s="1112" t="s">
        <v>194</v>
      </c>
      <c r="AF13" s="1118" t="s">
        <v>86</v>
      </c>
      <c r="AG13" s="1124" t="s">
        <v>194</v>
      </c>
      <c r="AH13" s="1088" t="s">
        <v>86</v>
      </c>
    </row>
    <row r="14" spans="1:34" x14ac:dyDescent="0.3">
      <c r="A14" s="38" t="s">
        <v>1202</v>
      </c>
      <c r="B14" s="33" t="s">
        <v>4239</v>
      </c>
      <c r="C14" s="629" t="s">
        <v>194</v>
      </c>
      <c r="D14" s="33" t="s">
        <v>86</v>
      </c>
      <c r="E14" s="33" t="s">
        <v>86</v>
      </c>
      <c r="F14" s="33" t="s">
        <v>86</v>
      </c>
      <c r="G14" s="33" t="s">
        <v>194</v>
      </c>
      <c r="H14" s="33" t="s">
        <v>86</v>
      </c>
      <c r="I14" s="33" t="s">
        <v>194</v>
      </c>
      <c r="J14" s="33" t="s">
        <v>194</v>
      </c>
      <c r="K14" s="33" t="s">
        <v>86</v>
      </c>
      <c r="L14" s="33" t="s">
        <v>86</v>
      </c>
      <c r="M14" s="33" t="s">
        <v>194</v>
      </c>
      <c r="N14" s="33" t="s">
        <v>194</v>
      </c>
      <c r="O14" s="33" t="s">
        <v>86</v>
      </c>
      <c r="P14" s="33" t="s">
        <v>194</v>
      </c>
      <c r="Q14" s="33" t="s">
        <v>194</v>
      </c>
      <c r="R14" s="33" t="s">
        <v>86</v>
      </c>
      <c r="S14" s="33" t="s">
        <v>86</v>
      </c>
      <c r="T14" s="33" t="s">
        <v>86</v>
      </c>
      <c r="U14" s="33" t="s">
        <v>86</v>
      </c>
      <c r="V14" s="33" t="s">
        <v>194</v>
      </c>
      <c r="W14" s="33" t="s">
        <v>194</v>
      </c>
      <c r="X14" s="33" t="s">
        <v>194</v>
      </c>
      <c r="Y14" s="33" t="s">
        <v>86</v>
      </c>
      <c r="Z14" s="1088" t="s">
        <v>86</v>
      </c>
      <c r="AA14" s="1088" t="s">
        <v>86</v>
      </c>
      <c r="AB14" s="1088" t="s">
        <v>194</v>
      </c>
      <c r="AC14" s="1088" t="s">
        <v>86</v>
      </c>
      <c r="AD14" s="1109" t="s">
        <v>86</v>
      </c>
      <c r="AE14" s="1112" t="s">
        <v>86</v>
      </c>
      <c r="AF14" s="1118" t="s">
        <v>194</v>
      </c>
      <c r="AG14" s="1124" t="s">
        <v>194</v>
      </c>
      <c r="AH14" s="1088" t="s">
        <v>86</v>
      </c>
    </row>
    <row r="15" spans="1:34" x14ac:dyDescent="0.3">
      <c r="A15" s="38" t="s">
        <v>2476</v>
      </c>
      <c r="B15" s="33" t="s">
        <v>173</v>
      </c>
      <c r="C15" s="629" t="s">
        <v>86</v>
      </c>
      <c r="D15" s="33" t="s">
        <v>86</v>
      </c>
      <c r="E15" s="33" t="s">
        <v>86</v>
      </c>
      <c r="F15" s="33" t="s">
        <v>194</v>
      </c>
      <c r="G15" s="33" t="s">
        <v>86</v>
      </c>
      <c r="H15" s="33" t="s">
        <v>86</v>
      </c>
      <c r="I15" s="33" t="s">
        <v>86</v>
      </c>
      <c r="J15" s="33" t="s">
        <v>86</v>
      </c>
      <c r="K15" s="33" t="s">
        <v>86</v>
      </c>
      <c r="L15" s="33" t="s">
        <v>86</v>
      </c>
      <c r="M15" s="33" t="s">
        <v>86</v>
      </c>
      <c r="N15" s="33" t="s">
        <v>194</v>
      </c>
      <c r="O15" s="33" t="s">
        <v>86</v>
      </c>
      <c r="P15" s="33" t="s">
        <v>86</v>
      </c>
      <c r="Q15" s="33" t="s">
        <v>194</v>
      </c>
      <c r="R15" s="33" t="s">
        <v>194</v>
      </c>
      <c r="S15" s="33" t="s">
        <v>86</v>
      </c>
      <c r="T15" s="33" t="s">
        <v>194</v>
      </c>
      <c r="U15" s="33" t="s">
        <v>86</v>
      </c>
      <c r="V15" s="33" t="s">
        <v>86</v>
      </c>
      <c r="W15" s="33" t="s">
        <v>86</v>
      </c>
      <c r="X15" s="33" t="s">
        <v>86</v>
      </c>
      <c r="Y15" s="33" t="s">
        <v>86</v>
      </c>
      <c r="Z15" s="1088" t="s">
        <v>194</v>
      </c>
      <c r="AA15" s="1088" t="s">
        <v>194</v>
      </c>
      <c r="AB15" s="1088" t="s">
        <v>86</v>
      </c>
      <c r="AC15" s="1088" t="s">
        <v>194</v>
      </c>
      <c r="AD15" s="1109" t="s">
        <v>86</v>
      </c>
      <c r="AE15" s="1112" t="s">
        <v>86</v>
      </c>
      <c r="AF15" s="1118" t="s">
        <v>194</v>
      </c>
      <c r="AG15" s="1124" t="s">
        <v>3759</v>
      </c>
      <c r="AH15" s="1088" t="s">
        <v>86</v>
      </c>
    </row>
    <row r="16" spans="1:34" x14ac:dyDescent="0.3">
      <c r="A16" s="38" t="s">
        <v>5427</v>
      </c>
      <c r="B16" s="33" t="s">
        <v>175</v>
      </c>
      <c r="C16" s="629" t="s">
        <v>86</v>
      </c>
      <c r="D16" s="33" t="s">
        <v>194</v>
      </c>
      <c r="E16" s="33" t="s">
        <v>86</v>
      </c>
      <c r="F16" s="33" t="s">
        <v>86</v>
      </c>
      <c r="G16" s="33" t="s">
        <v>194</v>
      </c>
      <c r="H16" s="33" t="s">
        <v>86</v>
      </c>
      <c r="I16" s="33" t="s">
        <v>86</v>
      </c>
      <c r="J16" s="33" t="s">
        <v>194</v>
      </c>
      <c r="K16" s="33" t="s">
        <v>86</v>
      </c>
      <c r="L16" s="33" t="s">
        <v>194</v>
      </c>
      <c r="M16" s="33" t="s">
        <v>194</v>
      </c>
      <c r="N16" s="33" t="s">
        <v>194</v>
      </c>
      <c r="O16" s="33" t="s">
        <v>194</v>
      </c>
      <c r="P16" s="33" t="s">
        <v>194</v>
      </c>
      <c r="Q16" s="33" t="s">
        <v>86</v>
      </c>
      <c r="R16" s="33" t="s">
        <v>86</v>
      </c>
      <c r="S16" s="33" t="s">
        <v>86</v>
      </c>
      <c r="T16" s="33" t="s">
        <v>86</v>
      </c>
      <c r="U16" s="33" t="s">
        <v>86</v>
      </c>
      <c r="V16" s="33" t="s">
        <v>194</v>
      </c>
      <c r="W16" s="33" t="s">
        <v>194</v>
      </c>
      <c r="X16" s="33" t="s">
        <v>86</v>
      </c>
      <c r="Y16" s="33" t="s">
        <v>86</v>
      </c>
      <c r="Z16" s="1088" t="s">
        <v>86</v>
      </c>
      <c r="AA16" s="1088" t="s">
        <v>86</v>
      </c>
      <c r="AB16" s="1088" t="s">
        <v>194</v>
      </c>
      <c r="AC16" s="1088" t="s">
        <v>86</v>
      </c>
      <c r="AD16" s="1109" t="s">
        <v>86</v>
      </c>
      <c r="AE16" s="1112" t="s">
        <v>194</v>
      </c>
      <c r="AF16" s="1118" t="s">
        <v>194</v>
      </c>
      <c r="AG16" s="1124" t="s">
        <v>194</v>
      </c>
      <c r="AH16" s="1088" t="s">
        <v>86</v>
      </c>
    </row>
    <row r="17" spans="1:34" x14ac:dyDescent="0.3">
      <c r="A17" s="38" t="s">
        <v>200</v>
      </c>
      <c r="B17" s="33" t="s">
        <v>185</v>
      </c>
      <c r="C17" s="629" t="s">
        <v>194</v>
      </c>
      <c r="D17" s="33" t="s">
        <v>194</v>
      </c>
      <c r="E17" s="33" t="s">
        <v>194</v>
      </c>
      <c r="F17" s="33" t="s">
        <v>86</v>
      </c>
      <c r="G17" s="33" t="s">
        <v>3759</v>
      </c>
      <c r="H17" s="33" t="s">
        <v>86</v>
      </c>
      <c r="I17" s="33" t="s">
        <v>86</v>
      </c>
      <c r="J17" s="33" t="s">
        <v>86</v>
      </c>
      <c r="K17" s="33" t="s">
        <v>194</v>
      </c>
      <c r="L17" s="33" t="s">
        <v>86</v>
      </c>
      <c r="M17" s="33" t="s">
        <v>86</v>
      </c>
      <c r="N17" s="33" t="s">
        <v>86</v>
      </c>
      <c r="O17" s="33" t="s">
        <v>194</v>
      </c>
      <c r="P17" s="33" t="s">
        <v>86</v>
      </c>
      <c r="Q17" s="33" t="s">
        <v>86</v>
      </c>
      <c r="R17" s="33" t="s">
        <v>3759</v>
      </c>
      <c r="S17" s="33" t="s">
        <v>86</v>
      </c>
      <c r="T17" s="33" t="s">
        <v>86</v>
      </c>
      <c r="U17" s="33" t="s">
        <v>3759</v>
      </c>
      <c r="V17" s="33" t="s">
        <v>3759</v>
      </c>
      <c r="W17" s="33" t="s">
        <v>194</v>
      </c>
      <c r="X17" s="33" t="s">
        <v>86</v>
      </c>
      <c r="Y17" s="33" t="s">
        <v>86</v>
      </c>
      <c r="Z17" s="1088" t="s">
        <v>86</v>
      </c>
      <c r="AA17" s="1088" t="s">
        <v>86</v>
      </c>
      <c r="AB17" s="1088" t="s">
        <v>194</v>
      </c>
      <c r="AC17" s="1088" t="s">
        <v>86</v>
      </c>
      <c r="AD17" s="1109" t="s">
        <v>194</v>
      </c>
      <c r="AE17" s="1112" t="s">
        <v>86</v>
      </c>
      <c r="AF17" s="1118" t="s">
        <v>86</v>
      </c>
      <c r="AG17" s="1124" t="s">
        <v>194</v>
      </c>
      <c r="AH17" s="1088" t="s">
        <v>86</v>
      </c>
    </row>
    <row r="18" spans="1:34" x14ac:dyDescent="0.3">
      <c r="A18" s="38" t="s">
        <v>5423</v>
      </c>
      <c r="B18" s="33" t="s">
        <v>175</v>
      </c>
      <c r="C18" s="629" t="s">
        <v>86</v>
      </c>
      <c r="D18" s="33" t="s">
        <v>3759</v>
      </c>
      <c r="E18" s="33" t="s">
        <v>194</v>
      </c>
      <c r="F18" s="33" t="s">
        <v>194</v>
      </c>
      <c r="G18" s="33" t="s">
        <v>194</v>
      </c>
      <c r="H18" s="33" t="s">
        <v>86</v>
      </c>
      <c r="I18" s="33" t="s">
        <v>194</v>
      </c>
      <c r="J18" s="33" t="s">
        <v>194</v>
      </c>
      <c r="K18" s="33" t="s">
        <v>86</v>
      </c>
      <c r="L18" s="33" t="s">
        <v>194</v>
      </c>
      <c r="M18" s="33" t="s">
        <v>194</v>
      </c>
      <c r="N18" s="33" t="s">
        <v>194</v>
      </c>
      <c r="O18" s="33" t="s">
        <v>194</v>
      </c>
      <c r="P18" s="33" t="s">
        <v>194</v>
      </c>
      <c r="Q18" s="33" t="s">
        <v>194</v>
      </c>
      <c r="R18" s="33" t="s">
        <v>86</v>
      </c>
      <c r="S18" s="33" t="s">
        <v>194</v>
      </c>
      <c r="T18" s="33" t="s">
        <v>194</v>
      </c>
      <c r="U18" s="33" t="s">
        <v>86</v>
      </c>
      <c r="V18" s="33" t="s">
        <v>194</v>
      </c>
      <c r="W18" s="33" t="s">
        <v>194</v>
      </c>
      <c r="X18" s="33" t="s">
        <v>86</v>
      </c>
      <c r="Y18" s="33" t="s">
        <v>86</v>
      </c>
      <c r="Z18" s="1088" t="s">
        <v>194</v>
      </c>
      <c r="AA18" s="1088" t="s">
        <v>86</v>
      </c>
      <c r="AB18" s="1088" t="s">
        <v>194</v>
      </c>
      <c r="AC18" s="1088" t="s">
        <v>86</v>
      </c>
      <c r="AD18" s="1109" t="s">
        <v>194</v>
      </c>
      <c r="AE18" s="1112" t="s">
        <v>86</v>
      </c>
      <c r="AF18" s="1118" t="s">
        <v>194</v>
      </c>
      <c r="AG18" s="1124" t="s">
        <v>3759</v>
      </c>
      <c r="AH18" s="1088" t="s">
        <v>86</v>
      </c>
    </row>
    <row r="19" spans="1:34" x14ac:dyDescent="0.3">
      <c r="A19" s="38" t="s">
        <v>5428</v>
      </c>
      <c r="B19" s="33" t="s">
        <v>4239</v>
      </c>
      <c r="C19" s="629" t="s">
        <v>86</v>
      </c>
      <c r="D19" s="33" t="s">
        <v>86</v>
      </c>
      <c r="E19" s="33" t="s">
        <v>194</v>
      </c>
      <c r="F19" s="33" t="s">
        <v>86</v>
      </c>
      <c r="G19" s="33" t="s">
        <v>86</v>
      </c>
      <c r="H19" s="33" t="s">
        <v>86</v>
      </c>
      <c r="I19" s="33" t="s">
        <v>86</v>
      </c>
      <c r="J19" s="33" t="s">
        <v>86</v>
      </c>
      <c r="K19" s="33" t="s">
        <v>86</v>
      </c>
      <c r="L19" s="33" t="s">
        <v>86</v>
      </c>
      <c r="M19" s="33" t="s">
        <v>86</v>
      </c>
      <c r="N19" s="33" t="s">
        <v>86</v>
      </c>
      <c r="O19" s="33" t="s">
        <v>86</v>
      </c>
      <c r="P19" s="33" t="s">
        <v>86</v>
      </c>
      <c r="Q19" s="33" t="s">
        <v>86</v>
      </c>
      <c r="R19" s="33" t="s">
        <v>86</v>
      </c>
      <c r="S19" s="33" t="s">
        <v>194</v>
      </c>
      <c r="T19" s="33" t="s">
        <v>86</v>
      </c>
      <c r="U19" s="33" t="s">
        <v>86</v>
      </c>
      <c r="V19" s="33" t="s">
        <v>86</v>
      </c>
      <c r="W19" s="33" t="s">
        <v>86</v>
      </c>
      <c r="X19" s="33" t="s">
        <v>86</v>
      </c>
      <c r="Y19" s="33" t="s">
        <v>86</v>
      </c>
      <c r="Z19" s="1088" t="s">
        <v>86</v>
      </c>
      <c r="AA19" s="1088" t="s">
        <v>86</v>
      </c>
      <c r="AB19" s="1088" t="s">
        <v>86</v>
      </c>
      <c r="AC19" s="1088" t="s">
        <v>86</v>
      </c>
      <c r="AD19" s="1109" t="s">
        <v>86</v>
      </c>
      <c r="AE19" s="1112" t="s">
        <v>86</v>
      </c>
      <c r="AF19" s="1118" t="s">
        <v>86</v>
      </c>
      <c r="AG19" s="1124" t="s">
        <v>3759</v>
      </c>
      <c r="AH19" s="1088" t="s">
        <v>86</v>
      </c>
    </row>
    <row r="20" spans="1:34" x14ac:dyDescent="0.3">
      <c r="A20" s="38" t="s">
        <v>5430</v>
      </c>
      <c r="B20" s="33" t="s">
        <v>185</v>
      </c>
      <c r="C20" s="629" t="s">
        <v>86</v>
      </c>
      <c r="D20" s="33" t="s">
        <v>86</v>
      </c>
      <c r="E20" s="33" t="s">
        <v>86</v>
      </c>
      <c r="F20" s="33" t="s">
        <v>86</v>
      </c>
      <c r="G20" s="33" t="s">
        <v>194</v>
      </c>
      <c r="H20" s="33" t="s">
        <v>86</v>
      </c>
      <c r="I20" s="33" t="s">
        <v>86</v>
      </c>
      <c r="J20" s="33" t="s">
        <v>194</v>
      </c>
      <c r="K20" s="33" t="s">
        <v>86</v>
      </c>
      <c r="L20" s="33" t="s">
        <v>3759</v>
      </c>
      <c r="M20" s="33" t="s">
        <v>194</v>
      </c>
      <c r="N20" s="33" t="s">
        <v>86</v>
      </c>
      <c r="O20" s="33" t="s">
        <v>86</v>
      </c>
      <c r="P20" s="434" t="s">
        <v>194</v>
      </c>
      <c r="Q20" s="33" t="s">
        <v>86</v>
      </c>
      <c r="R20" s="33" t="s">
        <v>86</v>
      </c>
      <c r="S20" s="33" t="s">
        <v>86</v>
      </c>
      <c r="T20" s="33" t="s">
        <v>86</v>
      </c>
      <c r="U20" s="33" t="s">
        <v>86</v>
      </c>
      <c r="V20" s="434" t="s">
        <v>194</v>
      </c>
      <c r="W20" s="33" t="s">
        <v>3759</v>
      </c>
      <c r="X20" s="33" t="s">
        <v>86</v>
      </c>
      <c r="Y20" s="33" t="s">
        <v>86</v>
      </c>
      <c r="Z20" s="1088" t="s">
        <v>86</v>
      </c>
      <c r="AA20" s="1088" t="s">
        <v>86</v>
      </c>
      <c r="AB20" s="1088" t="s">
        <v>86</v>
      </c>
      <c r="AC20" s="1088" t="s">
        <v>86</v>
      </c>
      <c r="AD20" s="1109" t="s">
        <v>86</v>
      </c>
      <c r="AE20" s="1112" t="s">
        <v>86</v>
      </c>
      <c r="AF20" s="1118" t="s">
        <v>86</v>
      </c>
      <c r="AG20" s="1124" t="s">
        <v>115</v>
      </c>
      <c r="AH20" s="1088" t="s">
        <v>86</v>
      </c>
    </row>
    <row r="21" spans="1:34" x14ac:dyDescent="0.3">
      <c r="A21" s="38" t="s">
        <v>4889</v>
      </c>
      <c r="B21" s="33" t="s">
        <v>185</v>
      </c>
      <c r="C21" s="640" t="s">
        <v>115</v>
      </c>
      <c r="D21" s="433" t="s">
        <v>115</v>
      </c>
      <c r="E21" s="433" t="s">
        <v>115</v>
      </c>
      <c r="F21" s="433" t="s">
        <v>115</v>
      </c>
      <c r="G21" s="433" t="s">
        <v>115</v>
      </c>
      <c r="H21" s="433" t="s">
        <v>115</v>
      </c>
      <c r="I21" s="433" t="s">
        <v>115</v>
      </c>
      <c r="J21" s="33" t="s">
        <v>194</v>
      </c>
      <c r="K21" s="433" t="s">
        <v>115</v>
      </c>
      <c r="L21" s="433" t="s">
        <v>115</v>
      </c>
      <c r="M21" s="433" t="s">
        <v>115</v>
      </c>
      <c r="N21" s="33" t="s">
        <v>194</v>
      </c>
      <c r="O21" s="433" t="s">
        <v>115</v>
      </c>
      <c r="P21" s="433" t="s">
        <v>115</v>
      </c>
      <c r="Q21" s="433" t="s">
        <v>115</v>
      </c>
      <c r="R21" s="433" t="s">
        <v>115</v>
      </c>
      <c r="S21" s="433" t="s">
        <v>115</v>
      </c>
      <c r="T21" s="433" t="s">
        <v>115</v>
      </c>
      <c r="U21" s="433" t="s">
        <v>115</v>
      </c>
      <c r="V21" s="433" t="s">
        <v>115</v>
      </c>
      <c r="W21" s="433" t="s">
        <v>115</v>
      </c>
      <c r="X21" s="433" t="s">
        <v>115</v>
      </c>
      <c r="Y21" s="433" t="s">
        <v>115</v>
      </c>
      <c r="Z21" s="433" t="s">
        <v>115</v>
      </c>
      <c r="AA21" s="433" t="s">
        <v>115</v>
      </c>
      <c r="AB21" s="433" t="s">
        <v>115</v>
      </c>
      <c r="AC21" s="433" t="s">
        <v>115</v>
      </c>
      <c r="AD21" s="433" t="s">
        <v>115</v>
      </c>
      <c r="AE21" s="433" t="s">
        <v>115</v>
      </c>
      <c r="AF21" s="433" t="s">
        <v>115</v>
      </c>
      <c r="AG21" s="433" t="s">
        <v>115</v>
      </c>
      <c r="AH21" s="433" t="s">
        <v>115</v>
      </c>
    </row>
    <row r="22" spans="1:34" x14ac:dyDescent="0.3">
      <c r="A22" s="38" t="s">
        <v>1203</v>
      </c>
      <c r="B22" s="33" t="s">
        <v>185</v>
      </c>
      <c r="C22" s="629" t="s">
        <v>86</v>
      </c>
      <c r="D22" s="33" t="s">
        <v>86</v>
      </c>
      <c r="E22" s="33" t="s">
        <v>86</v>
      </c>
      <c r="F22" s="33" t="s">
        <v>86</v>
      </c>
      <c r="G22" s="33" t="s">
        <v>194</v>
      </c>
      <c r="H22" s="33" t="s">
        <v>86</v>
      </c>
      <c r="I22" s="33" t="s">
        <v>86</v>
      </c>
      <c r="J22" s="33" t="s">
        <v>194</v>
      </c>
      <c r="K22" s="33" t="s">
        <v>86</v>
      </c>
      <c r="L22" s="33" t="s">
        <v>3759</v>
      </c>
      <c r="M22" s="33" t="s">
        <v>194</v>
      </c>
      <c r="N22" s="33" t="s">
        <v>86</v>
      </c>
      <c r="O22" s="33" t="s">
        <v>86</v>
      </c>
      <c r="P22" s="33" t="s">
        <v>194</v>
      </c>
      <c r="Q22" s="33" t="s">
        <v>86</v>
      </c>
      <c r="R22" s="33" t="s">
        <v>86</v>
      </c>
      <c r="S22" s="33" t="s">
        <v>86</v>
      </c>
      <c r="T22" s="33" t="s">
        <v>86</v>
      </c>
      <c r="U22" s="33" t="s">
        <v>86</v>
      </c>
      <c r="V22" s="33" t="s">
        <v>194</v>
      </c>
      <c r="W22" s="33" t="s">
        <v>3759</v>
      </c>
      <c r="X22" s="33" t="s">
        <v>86</v>
      </c>
      <c r="Y22" s="33" t="s">
        <v>86</v>
      </c>
      <c r="Z22" s="1088" t="s">
        <v>86</v>
      </c>
      <c r="AA22" s="1088" t="s">
        <v>86</v>
      </c>
      <c r="AB22" s="1088" t="s">
        <v>86</v>
      </c>
      <c r="AC22" s="1088" t="s">
        <v>86</v>
      </c>
      <c r="AD22" s="1109" t="s">
        <v>86</v>
      </c>
      <c r="AE22" s="1112" t="s">
        <v>86</v>
      </c>
      <c r="AF22" s="1118" t="s">
        <v>86</v>
      </c>
      <c r="AG22" s="1124" t="s">
        <v>3759</v>
      </c>
      <c r="AH22" s="1088" t="s">
        <v>86</v>
      </c>
    </row>
    <row r="23" spans="1:34" x14ac:dyDescent="0.3">
      <c r="A23" s="38" t="s">
        <v>1204</v>
      </c>
      <c r="B23" s="1020" t="s">
        <v>185</v>
      </c>
      <c r="C23" s="640" t="s">
        <v>115</v>
      </c>
      <c r="D23" s="433" t="s">
        <v>115</v>
      </c>
      <c r="E23" s="433" t="s">
        <v>115</v>
      </c>
      <c r="F23" s="433" t="s">
        <v>115</v>
      </c>
      <c r="G23" s="433" t="s">
        <v>115</v>
      </c>
      <c r="H23" s="433" t="s">
        <v>115</v>
      </c>
      <c r="I23" s="434" t="s">
        <v>194</v>
      </c>
      <c r="J23" s="433" t="s">
        <v>115</v>
      </c>
      <c r="K23" s="433" t="s">
        <v>115</v>
      </c>
      <c r="L23" s="433" t="s">
        <v>115</v>
      </c>
      <c r="M23" s="433" t="s">
        <v>115</v>
      </c>
      <c r="N23" s="433" t="s">
        <v>115</v>
      </c>
      <c r="O23" s="433" t="s">
        <v>115</v>
      </c>
      <c r="P23" s="434" t="s">
        <v>194</v>
      </c>
      <c r="Q23" s="433" t="s">
        <v>115</v>
      </c>
      <c r="R23" s="433" t="s">
        <v>115</v>
      </c>
      <c r="S23" s="433" t="s">
        <v>115</v>
      </c>
      <c r="T23" s="433" t="s">
        <v>115</v>
      </c>
      <c r="U23" s="433" t="s">
        <v>115</v>
      </c>
      <c r="V23" s="434" t="s">
        <v>194</v>
      </c>
      <c r="W23" s="433" t="s">
        <v>115</v>
      </c>
      <c r="X23" s="433" t="s">
        <v>115</v>
      </c>
      <c r="Y23" s="433" t="s">
        <v>115</v>
      </c>
      <c r="Z23" s="433" t="s">
        <v>115</v>
      </c>
      <c r="AA23" s="433" t="s">
        <v>115</v>
      </c>
      <c r="AB23" s="433" t="s">
        <v>115</v>
      </c>
      <c r="AC23" s="433" t="s">
        <v>115</v>
      </c>
      <c r="AD23" s="433" t="s">
        <v>115</v>
      </c>
      <c r="AE23" s="433" t="s">
        <v>115</v>
      </c>
      <c r="AF23" s="433" t="s">
        <v>115</v>
      </c>
      <c r="AG23" s="433" t="s">
        <v>115</v>
      </c>
      <c r="AH23" s="433" t="s">
        <v>115</v>
      </c>
    </row>
    <row r="24" spans="1:34" x14ac:dyDescent="0.3">
      <c r="A24" s="38" t="s">
        <v>1205</v>
      </c>
      <c r="B24" s="33" t="s">
        <v>185</v>
      </c>
      <c r="C24" s="629" t="s">
        <v>86</v>
      </c>
      <c r="D24" s="33" t="s">
        <v>86</v>
      </c>
      <c r="E24" s="33" t="s">
        <v>86</v>
      </c>
      <c r="F24" s="33" t="s">
        <v>86</v>
      </c>
      <c r="G24" s="33" t="s">
        <v>194</v>
      </c>
      <c r="H24" s="33" t="s">
        <v>86</v>
      </c>
      <c r="I24" s="33" t="s">
        <v>86</v>
      </c>
      <c r="J24" s="33" t="s">
        <v>194</v>
      </c>
      <c r="K24" s="33" t="s">
        <v>86</v>
      </c>
      <c r="L24" s="33" t="s">
        <v>3759</v>
      </c>
      <c r="M24" s="33" t="s">
        <v>194</v>
      </c>
      <c r="N24" s="33" t="s">
        <v>86</v>
      </c>
      <c r="O24" s="33" t="s">
        <v>86</v>
      </c>
      <c r="P24" s="434" t="s">
        <v>194</v>
      </c>
      <c r="Q24" s="33" t="s">
        <v>86</v>
      </c>
      <c r="R24" s="33" t="s">
        <v>86</v>
      </c>
      <c r="S24" s="33" t="s">
        <v>86</v>
      </c>
      <c r="T24" s="33" t="s">
        <v>86</v>
      </c>
      <c r="U24" s="33" t="s">
        <v>86</v>
      </c>
      <c r="V24" s="434" t="s">
        <v>194</v>
      </c>
      <c r="W24" s="33" t="s">
        <v>3759</v>
      </c>
      <c r="X24" s="33" t="s">
        <v>86</v>
      </c>
      <c r="Y24" s="33" t="s">
        <v>86</v>
      </c>
      <c r="Z24" s="1088" t="s">
        <v>86</v>
      </c>
      <c r="AA24" s="1088" t="s">
        <v>86</v>
      </c>
      <c r="AB24" s="1088" t="s">
        <v>86</v>
      </c>
      <c r="AC24" s="1088" t="s">
        <v>86</v>
      </c>
      <c r="AD24" s="1109" t="s">
        <v>86</v>
      </c>
      <c r="AE24" s="1112" t="s">
        <v>86</v>
      </c>
      <c r="AF24" s="1118" t="s">
        <v>86</v>
      </c>
      <c r="AG24" s="1124" t="s">
        <v>3759</v>
      </c>
      <c r="AH24" s="1088" t="s">
        <v>86</v>
      </c>
    </row>
    <row r="25" spans="1:34" ht="12.75" customHeight="1" x14ac:dyDescent="0.3">
      <c r="A25" s="38" t="s">
        <v>4887</v>
      </c>
      <c r="B25" s="33" t="s">
        <v>185</v>
      </c>
      <c r="C25" s="640" t="s">
        <v>115</v>
      </c>
      <c r="D25" s="433" t="s">
        <v>115</v>
      </c>
      <c r="E25" s="433" t="s">
        <v>115</v>
      </c>
      <c r="F25" s="433" t="s">
        <v>115</v>
      </c>
      <c r="G25" s="433" t="s">
        <v>115</v>
      </c>
      <c r="H25" s="1088" t="s">
        <v>194</v>
      </c>
      <c r="I25" s="433" t="s">
        <v>115</v>
      </c>
      <c r="J25" s="433" t="s">
        <v>115</v>
      </c>
      <c r="K25" s="433" t="s">
        <v>115</v>
      </c>
      <c r="L25" s="433" t="s">
        <v>115</v>
      </c>
      <c r="M25" s="1088" t="s">
        <v>194</v>
      </c>
      <c r="N25" s="433" t="s">
        <v>115</v>
      </c>
      <c r="O25" s="433" t="s">
        <v>115</v>
      </c>
      <c r="P25" s="433" t="s">
        <v>115</v>
      </c>
      <c r="Q25" s="433" t="s">
        <v>115</v>
      </c>
      <c r="R25" s="433" t="s">
        <v>115</v>
      </c>
      <c r="S25" s="433" t="s">
        <v>115</v>
      </c>
      <c r="T25" s="433" t="s">
        <v>115</v>
      </c>
      <c r="U25" s="433" t="s">
        <v>115</v>
      </c>
      <c r="V25" s="433" t="s">
        <v>115</v>
      </c>
      <c r="W25" s="1088" t="s">
        <v>194</v>
      </c>
      <c r="X25" s="433" t="s">
        <v>115</v>
      </c>
      <c r="Y25" s="433" t="s">
        <v>115</v>
      </c>
      <c r="Z25" s="433" t="s">
        <v>115</v>
      </c>
      <c r="AA25" s="433" t="s">
        <v>115</v>
      </c>
      <c r="AB25" s="433" t="s">
        <v>115</v>
      </c>
      <c r="AC25" s="433" t="s">
        <v>115</v>
      </c>
      <c r="AD25" s="433" t="s">
        <v>115</v>
      </c>
      <c r="AE25" s="433" t="s">
        <v>115</v>
      </c>
      <c r="AF25" s="433" t="s">
        <v>115</v>
      </c>
      <c r="AG25" s="433" t="s">
        <v>115</v>
      </c>
      <c r="AH25" s="433" t="s">
        <v>115</v>
      </c>
    </row>
    <row r="26" spans="1:34" x14ac:dyDescent="0.3">
      <c r="A26" s="38" t="s">
        <v>1207</v>
      </c>
      <c r="B26" s="33" t="s">
        <v>185</v>
      </c>
      <c r="C26" s="913" t="s">
        <v>86</v>
      </c>
      <c r="D26" s="33" t="s">
        <v>86</v>
      </c>
      <c r="E26" s="33" t="s">
        <v>86</v>
      </c>
      <c r="F26" s="33" t="s">
        <v>86</v>
      </c>
      <c r="G26" s="33" t="s">
        <v>194</v>
      </c>
      <c r="H26" s="33" t="s">
        <v>86</v>
      </c>
      <c r="I26" s="33" t="s">
        <v>86</v>
      </c>
      <c r="J26" s="33" t="s">
        <v>194</v>
      </c>
      <c r="K26" s="33" t="s">
        <v>86</v>
      </c>
      <c r="L26" s="33" t="s">
        <v>3759</v>
      </c>
      <c r="M26" s="33" t="s">
        <v>194</v>
      </c>
      <c r="N26" s="33" t="s">
        <v>86</v>
      </c>
      <c r="O26" s="33" t="s">
        <v>86</v>
      </c>
      <c r="P26" s="434" t="s">
        <v>194</v>
      </c>
      <c r="Q26" s="33" t="s">
        <v>86</v>
      </c>
      <c r="R26" s="33" t="s">
        <v>86</v>
      </c>
      <c r="S26" s="33" t="s">
        <v>86</v>
      </c>
      <c r="T26" s="33" t="s">
        <v>86</v>
      </c>
      <c r="U26" s="33" t="s">
        <v>86</v>
      </c>
      <c r="V26" s="434" t="s">
        <v>194</v>
      </c>
      <c r="W26" s="33" t="s">
        <v>3759</v>
      </c>
      <c r="X26" s="33" t="s">
        <v>86</v>
      </c>
      <c r="Y26" s="33" t="s">
        <v>86</v>
      </c>
      <c r="Z26" s="1088" t="s">
        <v>86</v>
      </c>
      <c r="AA26" s="1088" t="s">
        <v>86</v>
      </c>
      <c r="AB26" s="1088" t="s">
        <v>86</v>
      </c>
      <c r="AC26" s="1088" t="s">
        <v>86</v>
      </c>
      <c r="AD26" s="1109" t="s">
        <v>86</v>
      </c>
      <c r="AE26" s="1112" t="s">
        <v>86</v>
      </c>
      <c r="AF26" s="1118" t="s">
        <v>86</v>
      </c>
      <c r="AG26" s="1124" t="s">
        <v>3759</v>
      </c>
      <c r="AH26" s="1088" t="s">
        <v>86</v>
      </c>
    </row>
    <row r="27" spans="1:34" x14ac:dyDescent="0.3">
      <c r="A27" s="38" t="s">
        <v>5429</v>
      </c>
      <c r="B27" s="1020" t="s">
        <v>185</v>
      </c>
      <c r="C27" s="1089" t="s">
        <v>86</v>
      </c>
      <c r="D27" s="1088" t="s">
        <v>86</v>
      </c>
      <c r="E27" s="1088" t="s">
        <v>86</v>
      </c>
      <c r="F27" s="1088" t="s">
        <v>86</v>
      </c>
      <c r="G27" s="1088" t="s">
        <v>194</v>
      </c>
      <c r="H27" s="1020" t="s">
        <v>86</v>
      </c>
      <c r="I27" s="1088" t="s">
        <v>86</v>
      </c>
      <c r="J27" s="1088" t="s">
        <v>194</v>
      </c>
      <c r="K27" s="1088" t="s">
        <v>86</v>
      </c>
      <c r="L27" s="1088" t="s">
        <v>3759</v>
      </c>
      <c r="M27" s="1020" t="s">
        <v>194</v>
      </c>
      <c r="N27" s="1088" t="s">
        <v>86</v>
      </c>
      <c r="O27" s="1088" t="s">
        <v>86</v>
      </c>
      <c r="P27" s="434" t="s">
        <v>194</v>
      </c>
      <c r="Q27" s="1088" t="s">
        <v>86</v>
      </c>
      <c r="R27" s="1088" t="s">
        <v>86</v>
      </c>
      <c r="S27" s="1088" t="s">
        <v>86</v>
      </c>
      <c r="T27" s="1088" t="s">
        <v>86</v>
      </c>
      <c r="U27" s="1088" t="s">
        <v>86</v>
      </c>
      <c r="V27" s="434" t="s">
        <v>194</v>
      </c>
      <c r="W27" s="1020" t="s">
        <v>3759</v>
      </c>
      <c r="X27" s="1088" t="s">
        <v>86</v>
      </c>
      <c r="Y27" s="1088" t="s">
        <v>86</v>
      </c>
      <c r="Z27" s="1088" t="s">
        <v>86</v>
      </c>
      <c r="AA27" s="1088" t="s">
        <v>86</v>
      </c>
      <c r="AB27" s="1088" t="s">
        <v>86</v>
      </c>
      <c r="AC27" s="1088" t="s">
        <v>86</v>
      </c>
      <c r="AD27" s="1109" t="s">
        <v>86</v>
      </c>
      <c r="AE27" s="1112" t="s">
        <v>86</v>
      </c>
      <c r="AF27" s="1118" t="s">
        <v>86</v>
      </c>
      <c r="AG27" s="1124" t="s">
        <v>3759</v>
      </c>
      <c r="AH27" s="1088" t="s">
        <v>86</v>
      </c>
    </row>
    <row r="28" spans="1:34" x14ac:dyDescent="0.3">
      <c r="A28" s="38" t="s">
        <v>1209</v>
      </c>
      <c r="B28" s="33" t="s">
        <v>185</v>
      </c>
      <c r="C28" s="629" t="s">
        <v>86</v>
      </c>
      <c r="D28" s="33" t="s">
        <v>86</v>
      </c>
      <c r="E28" s="33" t="s">
        <v>86</v>
      </c>
      <c r="F28" s="33" t="s">
        <v>86</v>
      </c>
      <c r="G28" s="33" t="s">
        <v>194</v>
      </c>
      <c r="H28" s="33" t="s">
        <v>86</v>
      </c>
      <c r="I28" s="33" t="s">
        <v>86</v>
      </c>
      <c r="J28" s="33" t="s">
        <v>194</v>
      </c>
      <c r="K28" s="33" t="s">
        <v>86</v>
      </c>
      <c r="L28" s="33" t="s">
        <v>3759</v>
      </c>
      <c r="M28" s="33" t="s">
        <v>194</v>
      </c>
      <c r="N28" s="33" t="s">
        <v>86</v>
      </c>
      <c r="O28" s="33" t="s">
        <v>86</v>
      </c>
      <c r="P28" s="434" t="s">
        <v>194</v>
      </c>
      <c r="Q28" s="33" t="s">
        <v>86</v>
      </c>
      <c r="R28" s="33" t="s">
        <v>86</v>
      </c>
      <c r="S28" s="33" t="s">
        <v>86</v>
      </c>
      <c r="T28" s="33" t="s">
        <v>86</v>
      </c>
      <c r="U28" s="33" t="s">
        <v>86</v>
      </c>
      <c r="V28" s="434" t="s">
        <v>194</v>
      </c>
      <c r="W28" s="33" t="s">
        <v>3759</v>
      </c>
      <c r="X28" s="33" t="s">
        <v>86</v>
      </c>
      <c r="Y28" s="33" t="s">
        <v>86</v>
      </c>
      <c r="Z28" s="1088" t="s">
        <v>86</v>
      </c>
      <c r="AA28" s="1088" t="s">
        <v>86</v>
      </c>
      <c r="AB28" s="1088" t="s">
        <v>86</v>
      </c>
      <c r="AC28" s="1088" t="s">
        <v>86</v>
      </c>
      <c r="AD28" s="1109" t="s">
        <v>86</v>
      </c>
      <c r="AE28" s="1112" t="s">
        <v>86</v>
      </c>
      <c r="AF28" s="1118" t="s">
        <v>86</v>
      </c>
      <c r="AG28" s="1124" t="s">
        <v>3759</v>
      </c>
      <c r="AH28" s="1088" t="s">
        <v>86</v>
      </c>
    </row>
    <row r="29" spans="1:34" x14ac:dyDescent="0.3">
      <c r="A29" s="38" t="s">
        <v>5431</v>
      </c>
      <c r="B29" s="33" t="s">
        <v>178</v>
      </c>
      <c r="C29" s="629" t="s">
        <v>86</v>
      </c>
      <c r="D29" s="33" t="s">
        <v>86</v>
      </c>
      <c r="E29" s="33" t="s">
        <v>86</v>
      </c>
      <c r="F29" s="33" t="s">
        <v>194</v>
      </c>
      <c r="G29" s="33" t="s">
        <v>86</v>
      </c>
      <c r="H29" s="33" t="s">
        <v>194</v>
      </c>
      <c r="I29" s="33" t="s">
        <v>86</v>
      </c>
      <c r="J29" s="33" t="s">
        <v>86</v>
      </c>
      <c r="K29" s="33" t="s">
        <v>86</v>
      </c>
      <c r="L29" s="33" t="s">
        <v>3759</v>
      </c>
      <c r="M29" s="33" t="s">
        <v>86</v>
      </c>
      <c r="N29" s="33" t="s">
        <v>86</v>
      </c>
      <c r="O29" s="33" t="s">
        <v>86</v>
      </c>
      <c r="P29" s="1088" t="s">
        <v>194</v>
      </c>
      <c r="Q29" s="33" t="s">
        <v>194</v>
      </c>
      <c r="R29" s="33" t="s">
        <v>194</v>
      </c>
      <c r="S29" s="33" t="s">
        <v>86</v>
      </c>
      <c r="T29" s="33" t="s">
        <v>194</v>
      </c>
      <c r="U29" s="33" t="s">
        <v>86</v>
      </c>
      <c r="V29" s="1088" t="s">
        <v>86</v>
      </c>
      <c r="W29" s="33" t="s">
        <v>86</v>
      </c>
      <c r="X29" s="33" t="s">
        <v>3759</v>
      </c>
      <c r="Y29" s="33" t="s">
        <v>194</v>
      </c>
      <c r="Z29" s="1088" t="s">
        <v>194</v>
      </c>
      <c r="AA29" s="1088" t="s">
        <v>86</v>
      </c>
      <c r="AB29" s="1088" t="s">
        <v>86</v>
      </c>
      <c r="AC29" s="1088" t="s">
        <v>194</v>
      </c>
      <c r="AD29" s="1109" t="s">
        <v>86</v>
      </c>
      <c r="AE29" s="1112" t="s">
        <v>86</v>
      </c>
      <c r="AF29" s="1118" t="s">
        <v>194</v>
      </c>
      <c r="AG29" s="1124" t="s">
        <v>3759</v>
      </c>
      <c r="AH29" s="1088" t="s">
        <v>86</v>
      </c>
    </row>
    <row r="30" spans="1:34" x14ac:dyDescent="0.3">
      <c r="A30" s="38" t="s">
        <v>203</v>
      </c>
      <c r="B30" s="33" t="s">
        <v>175</v>
      </c>
      <c r="C30" s="629" t="s">
        <v>86</v>
      </c>
      <c r="D30" s="33" t="s">
        <v>194</v>
      </c>
      <c r="E30" s="33" t="s">
        <v>194</v>
      </c>
      <c r="F30" s="33" t="s">
        <v>86</v>
      </c>
      <c r="G30" s="33" t="s">
        <v>194</v>
      </c>
      <c r="H30" s="33" t="s">
        <v>86</v>
      </c>
      <c r="I30" s="33" t="s">
        <v>86</v>
      </c>
      <c r="J30" s="33" t="s">
        <v>3759</v>
      </c>
      <c r="K30" s="33" t="s">
        <v>86</v>
      </c>
      <c r="L30" s="33" t="s">
        <v>194</v>
      </c>
      <c r="M30" s="33" t="s">
        <v>86</v>
      </c>
      <c r="N30" s="33" t="s">
        <v>86</v>
      </c>
      <c r="O30" s="33" t="s">
        <v>194</v>
      </c>
      <c r="P30" s="1088" t="s">
        <v>194</v>
      </c>
      <c r="Q30" s="33" t="s">
        <v>86</v>
      </c>
      <c r="R30" s="33" t="s">
        <v>194</v>
      </c>
      <c r="S30" s="33" t="s">
        <v>86</v>
      </c>
      <c r="T30" s="33" t="s">
        <v>86</v>
      </c>
      <c r="U30" s="33" t="s">
        <v>86</v>
      </c>
      <c r="V30" s="1088" t="s">
        <v>86</v>
      </c>
      <c r="W30" s="33" t="s">
        <v>86</v>
      </c>
      <c r="X30" s="33" t="s">
        <v>86</v>
      </c>
      <c r="Y30" s="33" t="s">
        <v>194</v>
      </c>
      <c r="Z30" s="1088" t="s">
        <v>86</v>
      </c>
      <c r="AA30" s="1088" t="s">
        <v>86</v>
      </c>
      <c r="AB30" s="1088" t="s">
        <v>194</v>
      </c>
      <c r="AC30" s="1088" t="s">
        <v>194</v>
      </c>
      <c r="AD30" s="1109" t="s">
        <v>86</v>
      </c>
      <c r="AE30" s="1112" t="s">
        <v>194</v>
      </c>
      <c r="AF30" s="1118" t="s">
        <v>86</v>
      </c>
      <c r="AG30" s="1124" t="s">
        <v>3759</v>
      </c>
      <c r="AH30" s="1088" t="s">
        <v>86</v>
      </c>
    </row>
    <row r="31" spans="1:34" x14ac:dyDescent="0.3">
      <c r="A31" s="38" t="s">
        <v>5422</v>
      </c>
      <c r="B31" s="33" t="s">
        <v>4239</v>
      </c>
      <c r="C31" s="629" t="s">
        <v>86</v>
      </c>
      <c r="D31" s="33" t="s">
        <v>194</v>
      </c>
      <c r="E31" s="33" t="s">
        <v>86</v>
      </c>
      <c r="F31" s="33" t="s">
        <v>86</v>
      </c>
      <c r="G31" s="33" t="s">
        <v>194</v>
      </c>
      <c r="H31" s="33" t="s">
        <v>194</v>
      </c>
      <c r="I31" s="33" t="s">
        <v>194</v>
      </c>
      <c r="J31" s="33" t="s">
        <v>194</v>
      </c>
      <c r="K31" s="33" t="s">
        <v>86</v>
      </c>
      <c r="L31" s="33" t="s">
        <v>194</v>
      </c>
      <c r="M31" s="33" t="s">
        <v>194</v>
      </c>
      <c r="N31" s="33" t="s">
        <v>194</v>
      </c>
      <c r="O31" s="33" t="s">
        <v>194</v>
      </c>
      <c r="P31" s="1088" t="s">
        <v>194</v>
      </c>
      <c r="Q31" s="33" t="s">
        <v>86</v>
      </c>
      <c r="R31" s="33" t="s">
        <v>86</v>
      </c>
      <c r="S31" s="33" t="s">
        <v>194</v>
      </c>
      <c r="T31" s="33" t="s">
        <v>86</v>
      </c>
      <c r="U31" s="33" t="s">
        <v>3759</v>
      </c>
      <c r="V31" s="1088" t="s">
        <v>194</v>
      </c>
      <c r="W31" s="33" t="s">
        <v>194</v>
      </c>
      <c r="X31" s="33" t="s">
        <v>194</v>
      </c>
      <c r="Y31" s="33" t="s">
        <v>194</v>
      </c>
      <c r="Z31" s="1088" t="s">
        <v>86</v>
      </c>
      <c r="AA31" s="1088" t="s">
        <v>86</v>
      </c>
      <c r="AB31" s="1088" t="s">
        <v>194</v>
      </c>
      <c r="AC31" s="1088" t="s">
        <v>86</v>
      </c>
      <c r="AD31" s="1109" t="s">
        <v>86</v>
      </c>
      <c r="AE31" s="1112" t="s">
        <v>194</v>
      </c>
      <c r="AF31" s="1118" t="s">
        <v>86</v>
      </c>
      <c r="AG31" s="1124" t="s">
        <v>194</v>
      </c>
      <c r="AH31" s="1088" t="s">
        <v>86</v>
      </c>
    </row>
    <row r="32" spans="1:34" x14ac:dyDescent="0.3">
      <c r="A32" s="38" t="s">
        <v>5439</v>
      </c>
      <c r="B32" s="33" t="s">
        <v>188</v>
      </c>
      <c r="C32" s="629" t="s">
        <v>86</v>
      </c>
      <c r="D32" s="33" t="s">
        <v>86</v>
      </c>
      <c r="E32" s="33" t="s">
        <v>86</v>
      </c>
      <c r="F32" s="33" t="s">
        <v>194</v>
      </c>
      <c r="G32" s="33" t="s">
        <v>86</v>
      </c>
      <c r="H32" s="33" t="s">
        <v>3759</v>
      </c>
      <c r="I32" s="33" t="s">
        <v>194</v>
      </c>
      <c r="J32" s="33" t="s">
        <v>194</v>
      </c>
      <c r="K32" s="33" t="s">
        <v>86</v>
      </c>
      <c r="L32" s="33" t="s">
        <v>194</v>
      </c>
      <c r="M32" s="33" t="s">
        <v>194</v>
      </c>
      <c r="N32" s="33" t="s">
        <v>194</v>
      </c>
      <c r="O32" s="33" t="s">
        <v>86</v>
      </c>
      <c r="P32" s="33" t="s">
        <v>86</v>
      </c>
      <c r="Q32" s="33" t="s">
        <v>194</v>
      </c>
      <c r="R32" s="33" t="s">
        <v>194</v>
      </c>
      <c r="S32" s="33" t="s">
        <v>194</v>
      </c>
      <c r="T32" s="33" t="s">
        <v>194</v>
      </c>
      <c r="U32" s="33" t="s">
        <v>194</v>
      </c>
      <c r="V32" s="33" t="s">
        <v>86</v>
      </c>
      <c r="W32" s="33" t="s">
        <v>86</v>
      </c>
      <c r="X32" s="33" t="s">
        <v>194</v>
      </c>
      <c r="Y32" s="33" t="s">
        <v>194</v>
      </c>
      <c r="Z32" s="1088" t="s">
        <v>194</v>
      </c>
      <c r="AA32" s="1088" t="s">
        <v>194</v>
      </c>
      <c r="AB32" s="1088" t="s">
        <v>86</v>
      </c>
      <c r="AC32" s="1088" t="s">
        <v>194</v>
      </c>
      <c r="AD32" s="1109" t="s">
        <v>3759</v>
      </c>
      <c r="AE32" s="1112" t="s">
        <v>86</v>
      </c>
      <c r="AF32" s="1118" t="s">
        <v>194</v>
      </c>
      <c r="AG32" s="1124" t="s">
        <v>194</v>
      </c>
      <c r="AH32" s="1088" t="s">
        <v>86</v>
      </c>
    </row>
    <row r="33" spans="1:34" x14ac:dyDescent="0.3">
      <c r="A33" s="38" t="s">
        <v>2452</v>
      </c>
      <c r="B33" s="1088" t="s">
        <v>178</v>
      </c>
      <c r="C33" s="629" t="s">
        <v>86</v>
      </c>
      <c r="D33" s="33" t="s">
        <v>86</v>
      </c>
      <c r="E33" s="33" t="s">
        <v>86</v>
      </c>
      <c r="F33" s="33" t="s">
        <v>86</v>
      </c>
      <c r="G33" s="33" t="s">
        <v>194</v>
      </c>
      <c r="H33" s="33" t="s">
        <v>194</v>
      </c>
      <c r="I33" s="33" t="s">
        <v>86</v>
      </c>
      <c r="J33" s="33" t="s">
        <v>86</v>
      </c>
      <c r="K33" s="33" t="s">
        <v>86</v>
      </c>
      <c r="L33" s="33" t="s">
        <v>194</v>
      </c>
      <c r="M33" s="33" t="s">
        <v>86</v>
      </c>
      <c r="N33" s="33" t="s">
        <v>86</v>
      </c>
      <c r="O33" s="33" t="s">
        <v>194</v>
      </c>
      <c r="P33" s="33" t="s">
        <v>3759</v>
      </c>
      <c r="Q33" s="33" t="s">
        <v>86</v>
      </c>
      <c r="R33" s="33" t="s">
        <v>86</v>
      </c>
      <c r="S33" s="33" t="s">
        <v>86</v>
      </c>
      <c r="T33" s="33" t="s">
        <v>86</v>
      </c>
      <c r="U33" s="33" t="s">
        <v>86</v>
      </c>
      <c r="V33" s="33" t="s">
        <v>194</v>
      </c>
      <c r="W33" s="33" t="s">
        <v>194</v>
      </c>
      <c r="X33" s="33" t="s">
        <v>86</v>
      </c>
      <c r="Y33" s="33" t="s">
        <v>86</v>
      </c>
      <c r="Z33" s="1088" t="s">
        <v>86</v>
      </c>
      <c r="AA33" s="1088" t="s">
        <v>86</v>
      </c>
      <c r="AB33" s="1088" t="s">
        <v>86</v>
      </c>
      <c r="AC33" s="1088" t="s">
        <v>194</v>
      </c>
      <c r="AD33" s="1109" t="s">
        <v>86</v>
      </c>
      <c r="AE33" s="1112" t="s">
        <v>86</v>
      </c>
      <c r="AF33" s="1118" t="s">
        <v>86</v>
      </c>
      <c r="AG33" s="1124" t="s">
        <v>3759</v>
      </c>
      <c r="AH33" s="1088" t="s">
        <v>86</v>
      </c>
    </row>
    <row r="34" spans="1:34" ht="14.25" customHeight="1" x14ac:dyDescent="0.3">
      <c r="A34" s="38" t="s">
        <v>1212</v>
      </c>
      <c r="B34" s="38" t="s">
        <v>173</v>
      </c>
      <c r="C34" s="629" t="s">
        <v>86</v>
      </c>
      <c r="D34" s="33" t="s">
        <v>194</v>
      </c>
      <c r="E34" s="33" t="s">
        <v>86</v>
      </c>
      <c r="F34" s="33" t="s">
        <v>86</v>
      </c>
      <c r="G34" s="33" t="s">
        <v>86</v>
      </c>
      <c r="H34" s="33" t="s">
        <v>86</v>
      </c>
      <c r="I34" s="33" t="s">
        <v>86</v>
      </c>
      <c r="J34" s="33" t="s">
        <v>86</v>
      </c>
      <c r="K34" s="33" t="s">
        <v>194</v>
      </c>
      <c r="L34" s="33" t="s">
        <v>86</v>
      </c>
      <c r="M34" s="33" t="s">
        <v>86</v>
      </c>
      <c r="N34" s="33" t="s">
        <v>86</v>
      </c>
      <c r="O34" s="33" t="s">
        <v>86</v>
      </c>
      <c r="P34" s="33" t="s">
        <v>86</v>
      </c>
      <c r="Q34" s="33" t="s">
        <v>86</v>
      </c>
      <c r="R34" s="33" t="s">
        <v>86</v>
      </c>
      <c r="S34" s="33" t="s">
        <v>86</v>
      </c>
      <c r="T34" s="33" t="s">
        <v>86</v>
      </c>
      <c r="U34" s="33" t="s">
        <v>86</v>
      </c>
      <c r="V34" s="33" t="s">
        <v>86</v>
      </c>
      <c r="W34" s="33" t="s">
        <v>86</v>
      </c>
      <c r="X34" s="33" t="s">
        <v>86</v>
      </c>
      <c r="Y34" s="33" t="s">
        <v>86</v>
      </c>
      <c r="Z34" s="1088" t="s">
        <v>86</v>
      </c>
      <c r="AA34" s="1088" t="s">
        <v>86</v>
      </c>
      <c r="AB34" s="1088" t="s">
        <v>86</v>
      </c>
      <c r="AC34" s="1088" t="s">
        <v>86</v>
      </c>
      <c r="AD34" s="1109" t="s">
        <v>194</v>
      </c>
      <c r="AE34" s="1112" t="s">
        <v>86</v>
      </c>
      <c r="AF34" s="1118" t="s">
        <v>86</v>
      </c>
      <c r="AG34" s="1124" t="s">
        <v>3759</v>
      </c>
      <c r="AH34" s="1088" t="s">
        <v>86</v>
      </c>
    </row>
    <row r="35" spans="1:34" x14ac:dyDescent="0.3">
      <c r="A35" s="38" t="s">
        <v>4238</v>
      </c>
      <c r="B35" s="33" t="s">
        <v>175</v>
      </c>
      <c r="C35" s="629" t="s">
        <v>86</v>
      </c>
      <c r="D35" s="33" t="s">
        <v>194</v>
      </c>
      <c r="E35" s="33" t="s">
        <v>86</v>
      </c>
      <c r="F35" s="33" t="s">
        <v>86</v>
      </c>
      <c r="G35" s="33" t="s">
        <v>3759</v>
      </c>
      <c r="H35" s="33" t="s">
        <v>86</v>
      </c>
      <c r="I35" s="33" t="s">
        <v>86</v>
      </c>
      <c r="J35" s="33" t="s">
        <v>86</v>
      </c>
      <c r="K35" s="33" t="s">
        <v>194</v>
      </c>
      <c r="L35" s="33" t="s">
        <v>194</v>
      </c>
      <c r="M35" s="33" t="s">
        <v>86</v>
      </c>
      <c r="N35" s="33" t="s">
        <v>86</v>
      </c>
      <c r="O35" s="33" t="s">
        <v>194</v>
      </c>
      <c r="P35" s="33" t="s">
        <v>194</v>
      </c>
      <c r="Q35" s="33" t="s">
        <v>86</v>
      </c>
      <c r="R35" s="33" t="s">
        <v>86</v>
      </c>
      <c r="S35" s="33" t="s">
        <v>86</v>
      </c>
      <c r="T35" s="33" t="s">
        <v>86</v>
      </c>
      <c r="U35" s="33" t="s">
        <v>86</v>
      </c>
      <c r="V35" s="33" t="s">
        <v>3759</v>
      </c>
      <c r="W35" s="33" t="s">
        <v>194</v>
      </c>
      <c r="X35" s="33" t="s">
        <v>86</v>
      </c>
      <c r="Y35" s="33" t="s">
        <v>86</v>
      </c>
      <c r="Z35" s="1088" t="s">
        <v>86</v>
      </c>
      <c r="AA35" s="1088" t="s">
        <v>86</v>
      </c>
      <c r="AB35" s="1088" t="s">
        <v>194</v>
      </c>
      <c r="AC35" s="1088" t="s">
        <v>86</v>
      </c>
      <c r="AD35" s="1109" t="s">
        <v>86</v>
      </c>
      <c r="AE35" s="1112" t="s">
        <v>194</v>
      </c>
      <c r="AF35" s="1118" t="s">
        <v>86</v>
      </c>
      <c r="AG35" s="1124" t="s">
        <v>3759</v>
      </c>
      <c r="AH35" s="1088" t="s">
        <v>86</v>
      </c>
    </row>
    <row r="36" spans="1:34" x14ac:dyDescent="0.3">
      <c r="A36" s="38" t="s">
        <v>5434</v>
      </c>
      <c r="B36" s="1088" t="s">
        <v>178</v>
      </c>
      <c r="C36" s="629" t="s">
        <v>194</v>
      </c>
      <c r="D36" s="33" t="s">
        <v>86</v>
      </c>
      <c r="E36" s="33" t="s">
        <v>86</v>
      </c>
      <c r="F36" s="33" t="s">
        <v>86</v>
      </c>
      <c r="G36" s="33" t="s">
        <v>86</v>
      </c>
      <c r="H36" s="33" t="s">
        <v>86</v>
      </c>
      <c r="I36" s="33" t="s">
        <v>86</v>
      </c>
      <c r="J36" s="33" t="s">
        <v>86</v>
      </c>
      <c r="K36" s="33" t="s">
        <v>194</v>
      </c>
      <c r="L36" s="33" t="s">
        <v>86</v>
      </c>
      <c r="M36" s="33" t="s">
        <v>86</v>
      </c>
      <c r="N36" s="33" t="s">
        <v>86</v>
      </c>
      <c r="O36" s="33" t="s">
        <v>86</v>
      </c>
      <c r="P36" s="33" t="s">
        <v>86</v>
      </c>
      <c r="Q36" s="33" t="s">
        <v>86</v>
      </c>
      <c r="R36" s="33" t="s">
        <v>194</v>
      </c>
      <c r="S36" s="33" t="s">
        <v>86</v>
      </c>
      <c r="T36" s="33" t="s">
        <v>86</v>
      </c>
      <c r="U36" s="33" t="s">
        <v>194</v>
      </c>
      <c r="V36" s="33" t="s">
        <v>86</v>
      </c>
      <c r="W36" s="33" t="s">
        <v>86</v>
      </c>
      <c r="X36" s="33" t="s">
        <v>86</v>
      </c>
      <c r="Y36" s="33" t="s">
        <v>86</v>
      </c>
      <c r="Z36" s="1088" t="s">
        <v>86</v>
      </c>
      <c r="AA36" s="1088" t="s">
        <v>86</v>
      </c>
      <c r="AB36" s="1088" t="s">
        <v>86</v>
      </c>
      <c r="AC36" s="1088" t="s">
        <v>194</v>
      </c>
      <c r="AD36" s="1109" t="s">
        <v>194</v>
      </c>
      <c r="AE36" s="1112" t="s">
        <v>86</v>
      </c>
      <c r="AF36" s="1118" t="s">
        <v>86</v>
      </c>
      <c r="AG36" s="1124" t="s">
        <v>3759</v>
      </c>
      <c r="AH36" s="1088" t="s">
        <v>86</v>
      </c>
    </row>
    <row r="37" spans="1:34" x14ac:dyDescent="0.3">
      <c r="A37" s="38" t="s">
        <v>1144</v>
      </c>
      <c r="B37" s="33" t="s">
        <v>175</v>
      </c>
      <c r="C37" s="629" t="s">
        <v>86</v>
      </c>
      <c r="D37" s="33" t="s">
        <v>86</v>
      </c>
      <c r="E37" s="33" t="s">
        <v>86</v>
      </c>
      <c r="F37" s="33" t="s">
        <v>86</v>
      </c>
      <c r="G37" s="33" t="s">
        <v>86</v>
      </c>
      <c r="H37" s="33" t="s">
        <v>194</v>
      </c>
      <c r="I37" s="33" t="s">
        <v>86</v>
      </c>
      <c r="J37" s="33" t="s">
        <v>194</v>
      </c>
      <c r="K37" s="33" t="s">
        <v>86</v>
      </c>
      <c r="L37" s="33" t="s">
        <v>194</v>
      </c>
      <c r="M37" s="33" t="s">
        <v>194</v>
      </c>
      <c r="N37" s="33" t="s">
        <v>194</v>
      </c>
      <c r="O37" s="33" t="s">
        <v>86</v>
      </c>
      <c r="P37" s="33" t="s">
        <v>86</v>
      </c>
      <c r="Q37" s="33" t="s">
        <v>86</v>
      </c>
      <c r="R37" s="33" t="s">
        <v>86</v>
      </c>
      <c r="S37" s="33" t="s">
        <v>86</v>
      </c>
      <c r="T37" s="33" t="s">
        <v>86</v>
      </c>
      <c r="U37" s="33" t="s">
        <v>86</v>
      </c>
      <c r="V37" s="33" t="s">
        <v>194</v>
      </c>
      <c r="W37" s="33" t="s">
        <v>194</v>
      </c>
      <c r="X37" s="33" t="s">
        <v>86</v>
      </c>
      <c r="Y37" s="33" t="s">
        <v>86</v>
      </c>
      <c r="Z37" s="1088" t="s">
        <v>86</v>
      </c>
      <c r="AA37" s="1088" t="s">
        <v>86</v>
      </c>
      <c r="AB37" s="1088" t="s">
        <v>86</v>
      </c>
      <c r="AC37" s="1088" t="s">
        <v>86</v>
      </c>
      <c r="AD37" s="1109" t="s">
        <v>86</v>
      </c>
      <c r="AE37" s="1112" t="s">
        <v>86</v>
      </c>
      <c r="AF37" s="1118" t="s">
        <v>86</v>
      </c>
      <c r="AG37" s="1124" t="s">
        <v>3759</v>
      </c>
      <c r="AH37" s="1088" t="s">
        <v>86</v>
      </c>
    </row>
    <row r="38" spans="1:34" x14ac:dyDescent="0.3">
      <c r="A38" s="38" t="s">
        <v>2491</v>
      </c>
      <c r="B38" s="1088" t="s">
        <v>188</v>
      </c>
      <c r="C38" s="629" t="s">
        <v>86</v>
      </c>
      <c r="D38" s="33" t="s">
        <v>194</v>
      </c>
      <c r="E38" s="33" t="s">
        <v>194</v>
      </c>
      <c r="F38" s="33" t="s">
        <v>194</v>
      </c>
      <c r="G38" s="33" t="s">
        <v>194</v>
      </c>
      <c r="H38" s="33" t="s">
        <v>194</v>
      </c>
      <c r="I38" s="33" t="s">
        <v>194</v>
      </c>
      <c r="J38" s="33" t="s">
        <v>86</v>
      </c>
      <c r="K38" s="33" t="s">
        <v>194</v>
      </c>
      <c r="L38" s="33" t="s">
        <v>194</v>
      </c>
      <c r="M38" s="33" t="s">
        <v>86</v>
      </c>
      <c r="N38" s="33" t="s">
        <v>86</v>
      </c>
      <c r="O38" s="33" t="s">
        <v>86</v>
      </c>
      <c r="P38" s="33" t="s">
        <v>194</v>
      </c>
      <c r="Q38" s="33" t="s">
        <v>86</v>
      </c>
      <c r="R38" s="33" t="s">
        <v>194</v>
      </c>
      <c r="S38" s="33" t="s">
        <v>194</v>
      </c>
      <c r="T38" s="33" t="s">
        <v>86</v>
      </c>
      <c r="U38" s="33" t="s">
        <v>86</v>
      </c>
      <c r="V38" s="33" t="s">
        <v>86</v>
      </c>
      <c r="W38" s="33" t="s">
        <v>86</v>
      </c>
      <c r="X38" s="33" t="s">
        <v>86</v>
      </c>
      <c r="Y38" s="33" t="s">
        <v>194</v>
      </c>
      <c r="Z38" s="1088" t="s">
        <v>86</v>
      </c>
      <c r="AA38" s="1088" t="s">
        <v>194</v>
      </c>
      <c r="AB38" s="1088" t="s">
        <v>194</v>
      </c>
      <c r="AC38" s="1088" t="s">
        <v>86</v>
      </c>
      <c r="AD38" s="1109" t="s">
        <v>194</v>
      </c>
      <c r="AE38" s="1112" t="s">
        <v>194</v>
      </c>
      <c r="AF38" s="1118" t="s">
        <v>86</v>
      </c>
      <c r="AG38" s="1124" t="s">
        <v>3759</v>
      </c>
      <c r="AH38" s="1088" t="s">
        <v>86</v>
      </c>
    </row>
    <row r="39" spans="1:34" x14ac:dyDescent="0.3">
      <c r="A39" s="38" t="s">
        <v>715</v>
      </c>
      <c r="B39" s="38" t="s">
        <v>173</v>
      </c>
      <c r="C39" s="629" t="s">
        <v>86</v>
      </c>
      <c r="D39" s="33" t="s">
        <v>86</v>
      </c>
      <c r="E39" s="33" t="s">
        <v>86</v>
      </c>
      <c r="F39" s="33" t="s">
        <v>194</v>
      </c>
      <c r="G39" s="33" t="s">
        <v>86</v>
      </c>
      <c r="H39" s="33" t="s">
        <v>86</v>
      </c>
      <c r="I39" s="33" t="s">
        <v>194</v>
      </c>
      <c r="J39" s="33" t="s">
        <v>86</v>
      </c>
      <c r="K39" s="33" t="s">
        <v>86</v>
      </c>
      <c r="L39" s="33" t="s">
        <v>194</v>
      </c>
      <c r="M39" s="33" t="s">
        <v>86</v>
      </c>
      <c r="N39" s="33" t="s">
        <v>194</v>
      </c>
      <c r="O39" s="33" t="s">
        <v>86</v>
      </c>
      <c r="P39" s="33" t="s">
        <v>86</v>
      </c>
      <c r="Q39" s="33" t="s">
        <v>86</v>
      </c>
      <c r="R39" s="33" t="s">
        <v>194</v>
      </c>
      <c r="S39" s="33" t="s">
        <v>86</v>
      </c>
      <c r="T39" s="33" t="s">
        <v>194</v>
      </c>
      <c r="U39" s="33" t="s">
        <v>194</v>
      </c>
      <c r="V39" s="33" t="s">
        <v>86</v>
      </c>
      <c r="W39" s="33" t="s">
        <v>86</v>
      </c>
      <c r="X39" s="33" t="s">
        <v>194</v>
      </c>
      <c r="Y39" s="33" t="s">
        <v>86</v>
      </c>
      <c r="Z39" s="1088" t="s">
        <v>194</v>
      </c>
      <c r="AA39" s="1088" t="s">
        <v>194</v>
      </c>
      <c r="AB39" s="1088" t="s">
        <v>86</v>
      </c>
      <c r="AC39" s="1088" t="s">
        <v>194</v>
      </c>
      <c r="AD39" s="1109" t="s">
        <v>86</v>
      </c>
      <c r="AE39" s="1112" t="s">
        <v>86</v>
      </c>
      <c r="AF39" s="1118" t="s">
        <v>194</v>
      </c>
      <c r="AG39" s="1124" t="s">
        <v>194</v>
      </c>
      <c r="AH39" s="1088" t="s">
        <v>86</v>
      </c>
    </row>
    <row r="40" spans="1:34" x14ac:dyDescent="0.3">
      <c r="A40" s="38" t="s">
        <v>850</v>
      </c>
      <c r="B40" s="38" t="s">
        <v>185</v>
      </c>
      <c r="C40" s="629" t="s">
        <v>86</v>
      </c>
      <c r="D40" s="33" t="s">
        <v>86</v>
      </c>
      <c r="E40" s="33" t="s">
        <v>86</v>
      </c>
      <c r="F40" s="33" t="s">
        <v>86</v>
      </c>
      <c r="G40" s="33" t="s">
        <v>86</v>
      </c>
      <c r="H40" s="33" t="s">
        <v>86</v>
      </c>
      <c r="I40" s="33" t="s">
        <v>86</v>
      </c>
      <c r="J40" s="33" t="s">
        <v>86</v>
      </c>
      <c r="K40" s="33" t="s">
        <v>86</v>
      </c>
      <c r="L40" s="33" t="s">
        <v>86</v>
      </c>
      <c r="M40" s="33" t="s">
        <v>86</v>
      </c>
      <c r="N40" s="33" t="s">
        <v>86</v>
      </c>
      <c r="O40" s="33" t="s">
        <v>86</v>
      </c>
      <c r="P40" s="33" t="s">
        <v>86</v>
      </c>
      <c r="Q40" s="33" t="s">
        <v>86</v>
      </c>
      <c r="R40" s="33" t="s">
        <v>194</v>
      </c>
      <c r="S40" s="33" t="s">
        <v>3759</v>
      </c>
      <c r="T40" s="33" t="s">
        <v>86</v>
      </c>
      <c r="U40" s="33" t="s">
        <v>86</v>
      </c>
      <c r="V40" s="33" t="s">
        <v>86</v>
      </c>
      <c r="W40" s="33" t="s">
        <v>86</v>
      </c>
      <c r="X40" s="33" t="s">
        <v>194</v>
      </c>
      <c r="Y40" s="33" t="s">
        <v>86</v>
      </c>
      <c r="Z40" s="1088" t="s">
        <v>86</v>
      </c>
      <c r="AA40" s="1088" t="s">
        <v>86</v>
      </c>
      <c r="AB40" s="1088" t="s">
        <v>86</v>
      </c>
      <c r="AC40" s="1088" t="s">
        <v>194</v>
      </c>
      <c r="AD40" s="1109" t="s">
        <v>86</v>
      </c>
      <c r="AE40" s="1112" t="s">
        <v>86</v>
      </c>
      <c r="AF40" s="1118" t="s">
        <v>86</v>
      </c>
      <c r="AG40" s="1124" t="s">
        <v>3759</v>
      </c>
      <c r="AH40" s="1088" t="s">
        <v>86</v>
      </c>
    </row>
    <row r="41" spans="1:34" x14ac:dyDescent="0.3">
      <c r="A41" s="38" t="s">
        <v>4240</v>
      </c>
      <c r="B41" s="38" t="s">
        <v>4239</v>
      </c>
      <c r="C41" s="629" t="s">
        <v>194</v>
      </c>
      <c r="D41" s="33" t="s">
        <v>86</v>
      </c>
      <c r="E41" s="33" t="s">
        <v>194</v>
      </c>
      <c r="F41" s="33" t="s">
        <v>86</v>
      </c>
      <c r="G41" s="33" t="s">
        <v>86</v>
      </c>
      <c r="H41" s="33" t="s">
        <v>194</v>
      </c>
      <c r="I41" s="33" t="s">
        <v>86</v>
      </c>
      <c r="J41" s="33" t="s">
        <v>86</v>
      </c>
      <c r="K41" s="33" t="s">
        <v>194</v>
      </c>
      <c r="L41" s="33" t="s">
        <v>86</v>
      </c>
      <c r="M41" s="33" t="s">
        <v>194</v>
      </c>
      <c r="N41" s="33" t="s">
        <v>86</v>
      </c>
      <c r="O41" s="33" t="s">
        <v>86</v>
      </c>
      <c r="P41" s="33" t="s">
        <v>86</v>
      </c>
      <c r="Q41" s="33" t="s">
        <v>86</v>
      </c>
      <c r="R41" s="33" t="s">
        <v>86</v>
      </c>
      <c r="S41" s="33" t="s">
        <v>194</v>
      </c>
      <c r="T41" s="33" t="s">
        <v>194</v>
      </c>
      <c r="U41" s="33" t="s">
        <v>194</v>
      </c>
      <c r="V41" s="33" t="s">
        <v>194</v>
      </c>
      <c r="W41" s="33" t="s">
        <v>86</v>
      </c>
      <c r="X41" s="33" t="s">
        <v>86</v>
      </c>
      <c r="Y41" s="33" t="s">
        <v>86</v>
      </c>
      <c r="Z41" s="1088" t="s">
        <v>86</v>
      </c>
      <c r="AA41" s="1088" t="s">
        <v>86</v>
      </c>
      <c r="AB41" s="1088" t="s">
        <v>86</v>
      </c>
      <c r="AC41" s="1088" t="s">
        <v>86</v>
      </c>
      <c r="AD41" s="1109" t="s">
        <v>194</v>
      </c>
      <c r="AE41" s="1112" t="s">
        <v>86</v>
      </c>
      <c r="AF41" s="1118" t="s">
        <v>86</v>
      </c>
      <c r="AG41" s="1124" t="s">
        <v>3759</v>
      </c>
      <c r="AH41" s="1088" t="s">
        <v>86</v>
      </c>
    </row>
    <row r="42" spans="1:34" ht="14.25" customHeight="1" x14ac:dyDescent="0.3">
      <c r="A42" s="38" t="s">
        <v>5436</v>
      </c>
      <c r="B42" s="1088" t="s">
        <v>178</v>
      </c>
      <c r="C42" s="629" t="s">
        <v>86</v>
      </c>
      <c r="D42" s="33" t="s">
        <v>86</v>
      </c>
      <c r="E42" s="33" t="s">
        <v>194</v>
      </c>
      <c r="F42" s="33" t="s">
        <v>86</v>
      </c>
      <c r="G42" s="33" t="s">
        <v>86</v>
      </c>
      <c r="H42" s="33" t="s">
        <v>3759</v>
      </c>
      <c r="I42" s="33" t="s">
        <v>3759</v>
      </c>
      <c r="J42" s="33" t="s">
        <v>86</v>
      </c>
      <c r="K42" s="33" t="s">
        <v>86</v>
      </c>
      <c r="L42" s="33" t="s">
        <v>86</v>
      </c>
      <c r="M42" s="33" t="s">
        <v>86</v>
      </c>
      <c r="N42" s="33" t="s">
        <v>86</v>
      </c>
      <c r="O42" s="33" t="s">
        <v>86</v>
      </c>
      <c r="P42" s="33" t="s">
        <v>86</v>
      </c>
      <c r="Q42" s="33" t="s">
        <v>86</v>
      </c>
      <c r="R42" s="33" t="s">
        <v>86</v>
      </c>
      <c r="S42" s="33" t="s">
        <v>86</v>
      </c>
      <c r="T42" s="33" t="s">
        <v>86</v>
      </c>
      <c r="U42" s="33" t="s">
        <v>86</v>
      </c>
      <c r="V42" s="33" t="s">
        <v>86</v>
      </c>
      <c r="W42" s="33" t="s">
        <v>86</v>
      </c>
      <c r="X42" s="33" t="s">
        <v>3759</v>
      </c>
      <c r="Y42" s="33" t="s">
        <v>194</v>
      </c>
      <c r="Z42" s="1088" t="s">
        <v>86</v>
      </c>
      <c r="AA42" s="1088" t="s">
        <v>194</v>
      </c>
      <c r="AB42" s="1088" t="s">
        <v>86</v>
      </c>
      <c r="AC42" s="1088" t="s">
        <v>86</v>
      </c>
      <c r="AD42" s="1109" t="s">
        <v>86</v>
      </c>
      <c r="AE42" s="1112" t="s">
        <v>86</v>
      </c>
      <c r="AF42" s="1118" t="s">
        <v>86</v>
      </c>
      <c r="AG42" s="1124" t="s">
        <v>3759</v>
      </c>
      <c r="AH42" s="1088" t="s">
        <v>86</v>
      </c>
    </row>
    <row r="43" spans="1:34" ht="14.25" customHeight="1" x14ac:dyDescent="0.3">
      <c r="A43" s="38" t="s">
        <v>5438</v>
      </c>
      <c r="B43" s="1088" t="s">
        <v>188</v>
      </c>
      <c r="C43" s="1089" t="s">
        <v>3759</v>
      </c>
      <c r="D43" s="1089" t="s">
        <v>194</v>
      </c>
      <c r="E43" s="1089" t="s">
        <v>194</v>
      </c>
      <c r="F43" s="1089" t="s">
        <v>3759</v>
      </c>
      <c r="G43" s="1089" t="s">
        <v>3759</v>
      </c>
      <c r="H43" s="1089" t="s">
        <v>3759</v>
      </c>
      <c r="I43" s="1089" t="s">
        <v>3759</v>
      </c>
      <c r="J43" s="1089" t="s">
        <v>3759</v>
      </c>
      <c r="K43" s="1089" t="s">
        <v>3759</v>
      </c>
      <c r="L43" s="1089" t="s">
        <v>3759</v>
      </c>
      <c r="M43" s="1089" t="s">
        <v>3759</v>
      </c>
      <c r="N43" s="1089" t="s">
        <v>3759</v>
      </c>
      <c r="O43" s="1089" t="s">
        <v>194</v>
      </c>
      <c r="P43" s="1089" t="s">
        <v>3759</v>
      </c>
      <c r="Q43" s="1089" t="s">
        <v>3759</v>
      </c>
      <c r="R43" s="1089" t="s">
        <v>3759</v>
      </c>
      <c r="S43" s="1089" t="s">
        <v>194</v>
      </c>
      <c r="T43" s="1089" t="s">
        <v>3759</v>
      </c>
      <c r="U43" s="1089" t="s">
        <v>3759</v>
      </c>
      <c r="V43" s="1089" t="s">
        <v>3759</v>
      </c>
      <c r="W43" s="1089" t="s">
        <v>194</v>
      </c>
      <c r="X43" s="1089" t="s">
        <v>194</v>
      </c>
      <c r="Y43" s="1089" t="s">
        <v>3759</v>
      </c>
      <c r="Z43" s="1089" t="s">
        <v>3759</v>
      </c>
      <c r="AA43" s="1088" t="s">
        <v>86</v>
      </c>
      <c r="AB43" s="1088" t="s">
        <v>194</v>
      </c>
      <c r="AC43" s="1088" t="s">
        <v>86</v>
      </c>
      <c r="AD43" s="1109" t="s">
        <v>86</v>
      </c>
      <c r="AE43" s="1112" t="s">
        <v>194</v>
      </c>
      <c r="AF43" s="1118" t="s">
        <v>86</v>
      </c>
      <c r="AG43" s="1124" t="s">
        <v>194</v>
      </c>
      <c r="AH43" s="1088" t="s">
        <v>86</v>
      </c>
    </row>
    <row r="44" spans="1:34" x14ac:dyDescent="0.3">
      <c r="A44" s="38" t="s">
        <v>5437</v>
      </c>
      <c r="B44" s="33" t="s">
        <v>188</v>
      </c>
      <c r="C44" s="629" t="s">
        <v>194</v>
      </c>
      <c r="D44" s="33" t="s">
        <v>194</v>
      </c>
      <c r="E44" s="33" t="s">
        <v>86</v>
      </c>
      <c r="F44" s="33" t="s">
        <v>194</v>
      </c>
      <c r="G44" s="33" t="s">
        <v>86</v>
      </c>
      <c r="H44" s="33" t="s">
        <v>194</v>
      </c>
      <c r="I44" s="33" t="s">
        <v>3759</v>
      </c>
      <c r="J44" s="33" t="s">
        <v>86</v>
      </c>
      <c r="K44" s="33" t="s">
        <v>86</v>
      </c>
      <c r="L44" s="33" t="s">
        <v>194</v>
      </c>
      <c r="M44" s="33" t="s">
        <v>194</v>
      </c>
      <c r="N44" s="33" t="s">
        <v>86</v>
      </c>
      <c r="O44" s="33" t="s">
        <v>194</v>
      </c>
      <c r="P44" s="33" t="s">
        <v>86</v>
      </c>
      <c r="Q44" s="33" t="s">
        <v>86</v>
      </c>
      <c r="R44" s="33" t="s">
        <v>194</v>
      </c>
      <c r="S44" s="33" t="s">
        <v>194</v>
      </c>
      <c r="T44" s="33" t="s">
        <v>86</v>
      </c>
      <c r="U44" s="33" t="s">
        <v>86</v>
      </c>
      <c r="V44" s="33" t="s">
        <v>86</v>
      </c>
      <c r="W44" s="33" t="s">
        <v>194</v>
      </c>
      <c r="X44" s="33" t="s">
        <v>3759</v>
      </c>
      <c r="Y44" s="33" t="s">
        <v>194</v>
      </c>
      <c r="Z44" s="1088" t="s">
        <v>86</v>
      </c>
      <c r="AA44" s="1088" t="s">
        <v>194</v>
      </c>
      <c r="AB44" s="1088" t="s">
        <v>86</v>
      </c>
      <c r="AC44" s="1088" t="s">
        <v>194</v>
      </c>
      <c r="AD44" s="1109" t="s">
        <v>86</v>
      </c>
      <c r="AE44" s="1112" t="s">
        <v>86</v>
      </c>
      <c r="AF44" s="1118" t="s">
        <v>86</v>
      </c>
      <c r="AG44" s="1124" t="s">
        <v>194</v>
      </c>
      <c r="AH44" s="1088" t="s">
        <v>86</v>
      </c>
    </row>
    <row r="45" spans="1:34" x14ac:dyDescent="0.3">
      <c r="A45" s="38" t="s">
        <v>5432</v>
      </c>
      <c r="B45" s="33" t="s">
        <v>185</v>
      </c>
      <c r="C45" s="629" t="s">
        <v>194</v>
      </c>
      <c r="D45" s="33" t="s">
        <v>86</v>
      </c>
      <c r="E45" s="33" t="s">
        <v>194</v>
      </c>
      <c r="F45" s="33" t="s">
        <v>194</v>
      </c>
      <c r="G45" s="33" t="s">
        <v>194</v>
      </c>
      <c r="H45" s="33" t="s">
        <v>194</v>
      </c>
      <c r="I45" s="33" t="s">
        <v>194</v>
      </c>
      <c r="J45" s="33" t="s">
        <v>194</v>
      </c>
      <c r="K45" s="33" t="s">
        <v>194</v>
      </c>
      <c r="L45" s="33" t="s">
        <v>194</v>
      </c>
      <c r="M45" s="33" t="s">
        <v>194</v>
      </c>
      <c r="N45" s="33" t="s">
        <v>194</v>
      </c>
      <c r="O45" s="33" t="s">
        <v>86</v>
      </c>
      <c r="P45" s="33" t="s">
        <v>194</v>
      </c>
      <c r="Q45" s="33" t="s">
        <v>194</v>
      </c>
      <c r="R45" s="33" t="s">
        <v>86</v>
      </c>
      <c r="S45" s="33" t="s">
        <v>194</v>
      </c>
      <c r="T45" s="33" t="s">
        <v>194</v>
      </c>
      <c r="U45" s="33" t="s">
        <v>194</v>
      </c>
      <c r="V45" s="33" t="s">
        <v>194</v>
      </c>
      <c r="W45" s="33" t="s">
        <v>86</v>
      </c>
      <c r="X45" s="33" t="s">
        <v>194</v>
      </c>
      <c r="Y45" s="33" t="s">
        <v>86</v>
      </c>
      <c r="Z45" s="1088" t="s">
        <v>194</v>
      </c>
      <c r="AA45" s="1088" t="s">
        <v>86</v>
      </c>
      <c r="AB45" s="1088" t="s">
        <v>86</v>
      </c>
      <c r="AC45" s="1088" t="s">
        <v>86</v>
      </c>
      <c r="AD45" s="1109" t="s">
        <v>194</v>
      </c>
      <c r="AE45" s="1112" t="s">
        <v>194</v>
      </c>
      <c r="AF45" s="1118" t="s">
        <v>194</v>
      </c>
      <c r="AG45" s="1124" t="s">
        <v>194</v>
      </c>
      <c r="AH45" s="1088" t="s">
        <v>86</v>
      </c>
    </row>
    <row r="46" spans="1:34" x14ac:dyDescent="0.3">
      <c r="A46" s="38" t="s">
        <v>208</v>
      </c>
      <c r="B46" s="1088" t="s">
        <v>188</v>
      </c>
      <c r="C46" s="629" t="s">
        <v>86</v>
      </c>
      <c r="D46" s="33" t="s">
        <v>194</v>
      </c>
      <c r="E46" s="33" t="s">
        <v>86</v>
      </c>
      <c r="F46" s="33" t="s">
        <v>86</v>
      </c>
      <c r="G46" s="33" t="s">
        <v>194</v>
      </c>
      <c r="H46" s="33" t="s">
        <v>86</v>
      </c>
      <c r="I46" s="33" t="s">
        <v>86</v>
      </c>
      <c r="J46" s="33" t="s">
        <v>86</v>
      </c>
      <c r="K46" s="33" t="s">
        <v>86</v>
      </c>
      <c r="L46" s="33" t="s">
        <v>86</v>
      </c>
      <c r="M46" s="33" t="s">
        <v>86</v>
      </c>
      <c r="N46" s="33" t="s">
        <v>86</v>
      </c>
      <c r="O46" s="33" t="s">
        <v>86</v>
      </c>
      <c r="P46" s="33" t="s">
        <v>194</v>
      </c>
      <c r="Q46" s="33" t="s">
        <v>86</v>
      </c>
      <c r="R46" s="33" t="s">
        <v>86</v>
      </c>
      <c r="S46" s="33" t="s">
        <v>86</v>
      </c>
      <c r="T46" s="33" t="s">
        <v>86</v>
      </c>
      <c r="U46" s="33" t="s">
        <v>194</v>
      </c>
      <c r="V46" s="33" t="s">
        <v>86</v>
      </c>
      <c r="W46" s="33" t="s">
        <v>86</v>
      </c>
      <c r="X46" s="33" t="s">
        <v>86</v>
      </c>
      <c r="Y46" s="33" t="s">
        <v>86</v>
      </c>
      <c r="Z46" s="1088" t="s">
        <v>86</v>
      </c>
      <c r="AA46" s="1088" t="s">
        <v>86</v>
      </c>
      <c r="AB46" s="1088" t="s">
        <v>86</v>
      </c>
      <c r="AC46" s="1088" t="s">
        <v>86</v>
      </c>
      <c r="AD46" s="1109" t="s">
        <v>86</v>
      </c>
      <c r="AE46" s="1112" t="s">
        <v>86</v>
      </c>
      <c r="AF46" s="1118" t="s">
        <v>86</v>
      </c>
      <c r="AG46" s="1124" t="s">
        <v>3759</v>
      </c>
      <c r="AH46" s="1088" t="s">
        <v>86</v>
      </c>
    </row>
    <row r="47" spans="1:34" x14ac:dyDescent="0.3">
      <c r="A47" s="38" t="s">
        <v>1145</v>
      </c>
      <c r="B47" s="33" t="s">
        <v>4239</v>
      </c>
      <c r="C47" s="629" t="s">
        <v>194</v>
      </c>
      <c r="D47" s="33" t="s">
        <v>86</v>
      </c>
      <c r="E47" s="33" t="s">
        <v>194</v>
      </c>
      <c r="F47" s="33" t="s">
        <v>86</v>
      </c>
      <c r="G47" s="33" t="s">
        <v>194</v>
      </c>
      <c r="H47" s="33" t="s">
        <v>86</v>
      </c>
      <c r="I47" s="33" t="s">
        <v>86</v>
      </c>
      <c r="J47" s="33" t="s">
        <v>194</v>
      </c>
      <c r="K47" s="33" t="s">
        <v>194</v>
      </c>
      <c r="L47" s="33" t="s">
        <v>3759</v>
      </c>
      <c r="M47" s="33" t="s">
        <v>86</v>
      </c>
      <c r="N47" s="33" t="s">
        <v>86</v>
      </c>
      <c r="O47" s="33" t="s">
        <v>86</v>
      </c>
      <c r="P47" s="33" t="s">
        <v>194</v>
      </c>
      <c r="Q47" s="33" t="s">
        <v>194</v>
      </c>
      <c r="R47" s="33" t="s">
        <v>86</v>
      </c>
      <c r="S47" s="33" t="s">
        <v>86</v>
      </c>
      <c r="T47" s="33" t="s">
        <v>86</v>
      </c>
      <c r="U47" s="33" t="s">
        <v>194</v>
      </c>
      <c r="V47" s="33" t="s">
        <v>194</v>
      </c>
      <c r="W47" s="33" t="s">
        <v>86</v>
      </c>
      <c r="X47" s="33" t="s">
        <v>86</v>
      </c>
      <c r="Y47" s="33" t="s">
        <v>86</v>
      </c>
      <c r="Z47" s="1088" t="s">
        <v>86</v>
      </c>
      <c r="AA47" s="1088" t="s">
        <v>86</v>
      </c>
      <c r="AB47" s="1088" t="s">
        <v>86</v>
      </c>
      <c r="AC47" s="1088" t="s">
        <v>86</v>
      </c>
      <c r="AD47" s="1109" t="s">
        <v>194</v>
      </c>
      <c r="AE47" s="1112" t="s">
        <v>86</v>
      </c>
      <c r="AF47" s="1118" t="s">
        <v>86</v>
      </c>
      <c r="AG47" s="1124" t="s">
        <v>3759</v>
      </c>
      <c r="AH47" s="1088" t="s">
        <v>86</v>
      </c>
    </row>
    <row r="48" spans="1:34" x14ac:dyDescent="0.3">
      <c r="A48" s="38" t="s">
        <v>2477</v>
      </c>
      <c r="B48" s="33" t="s">
        <v>188</v>
      </c>
      <c r="C48" s="629" t="s">
        <v>194</v>
      </c>
      <c r="D48" s="33" t="s">
        <v>194</v>
      </c>
      <c r="E48" s="33" t="s">
        <v>194</v>
      </c>
      <c r="F48" s="33" t="s">
        <v>86</v>
      </c>
      <c r="G48" s="33" t="s">
        <v>86</v>
      </c>
      <c r="H48" s="33" t="s">
        <v>194</v>
      </c>
      <c r="I48" s="33" t="s">
        <v>86</v>
      </c>
      <c r="J48" s="33" t="s">
        <v>86</v>
      </c>
      <c r="K48" s="33" t="s">
        <v>86</v>
      </c>
      <c r="L48" s="33" t="s">
        <v>86</v>
      </c>
      <c r="M48" s="33" t="s">
        <v>86</v>
      </c>
      <c r="N48" s="33" t="s">
        <v>86</v>
      </c>
      <c r="O48" s="33" t="s">
        <v>194</v>
      </c>
      <c r="P48" s="33" t="s">
        <v>86</v>
      </c>
      <c r="Q48" s="33" t="s">
        <v>86</v>
      </c>
      <c r="R48" s="33" t="s">
        <v>194</v>
      </c>
      <c r="S48" s="33" t="s">
        <v>86</v>
      </c>
      <c r="T48" s="33" t="s">
        <v>86</v>
      </c>
      <c r="U48" s="33" t="s">
        <v>86</v>
      </c>
      <c r="V48" s="33" t="s">
        <v>86</v>
      </c>
      <c r="W48" s="33" t="s">
        <v>86</v>
      </c>
      <c r="X48" s="33" t="s">
        <v>86</v>
      </c>
      <c r="Y48" s="33" t="s">
        <v>194</v>
      </c>
      <c r="Z48" s="1088" t="s">
        <v>194</v>
      </c>
      <c r="AA48" s="1088" t="s">
        <v>86</v>
      </c>
      <c r="AB48" s="1088" t="s">
        <v>86</v>
      </c>
      <c r="AC48" s="1088" t="s">
        <v>86</v>
      </c>
      <c r="AD48" s="1109" t="s">
        <v>194</v>
      </c>
      <c r="AE48" s="1112" t="s">
        <v>86</v>
      </c>
      <c r="AF48" s="1118" t="s">
        <v>86</v>
      </c>
      <c r="AG48" s="1124" t="s">
        <v>194</v>
      </c>
      <c r="AH48" s="1088" t="s">
        <v>86</v>
      </c>
    </row>
    <row r="49" spans="1:34" x14ac:dyDescent="0.3">
      <c r="A49" s="38" t="s">
        <v>210</v>
      </c>
      <c r="B49" s="33" t="s">
        <v>4239</v>
      </c>
      <c r="C49" s="629" t="s">
        <v>194</v>
      </c>
      <c r="D49" s="33" t="s">
        <v>86</v>
      </c>
      <c r="E49" s="33" t="s">
        <v>194</v>
      </c>
      <c r="F49" s="33" t="s">
        <v>86</v>
      </c>
      <c r="G49" s="33" t="s">
        <v>86</v>
      </c>
      <c r="H49" s="33" t="s">
        <v>86</v>
      </c>
      <c r="I49" s="33" t="s">
        <v>86</v>
      </c>
      <c r="J49" s="33" t="s">
        <v>86</v>
      </c>
      <c r="K49" s="33" t="s">
        <v>194</v>
      </c>
      <c r="L49" s="33" t="s">
        <v>86</v>
      </c>
      <c r="M49" s="33" t="s">
        <v>86</v>
      </c>
      <c r="N49" s="33" t="s">
        <v>86</v>
      </c>
      <c r="O49" s="33" t="s">
        <v>86</v>
      </c>
      <c r="P49" s="33" t="s">
        <v>86</v>
      </c>
      <c r="Q49" s="33" t="s">
        <v>194</v>
      </c>
      <c r="R49" s="33" t="s">
        <v>86</v>
      </c>
      <c r="S49" s="33" t="s">
        <v>86</v>
      </c>
      <c r="T49" s="33" t="s">
        <v>86</v>
      </c>
      <c r="U49" s="33" t="s">
        <v>86</v>
      </c>
      <c r="V49" s="33" t="s">
        <v>194</v>
      </c>
      <c r="W49" s="33" t="s">
        <v>86</v>
      </c>
      <c r="X49" s="33" t="s">
        <v>3759</v>
      </c>
      <c r="Y49" s="33" t="s">
        <v>86</v>
      </c>
      <c r="Z49" s="1088" t="s">
        <v>86</v>
      </c>
      <c r="AA49" s="1088" t="s">
        <v>86</v>
      </c>
      <c r="AB49" s="1088" t="s">
        <v>86</v>
      </c>
      <c r="AC49" s="1088" t="s">
        <v>86</v>
      </c>
      <c r="AD49" s="1109" t="s">
        <v>86</v>
      </c>
      <c r="AE49" s="1112" t="s">
        <v>86</v>
      </c>
      <c r="AF49" s="1118" t="s">
        <v>86</v>
      </c>
      <c r="AG49" s="1124" t="s">
        <v>3759</v>
      </c>
      <c r="AH49" s="1088" t="s">
        <v>86</v>
      </c>
    </row>
    <row r="50" spans="1:34" x14ac:dyDescent="0.3">
      <c r="A50" s="38" t="s">
        <v>1914</v>
      </c>
      <c r="B50" s="33" t="s">
        <v>178</v>
      </c>
      <c r="C50" s="629" t="s">
        <v>86</v>
      </c>
      <c r="D50" s="33" t="s">
        <v>86</v>
      </c>
      <c r="E50" s="33" t="s">
        <v>194</v>
      </c>
      <c r="F50" s="33" t="s">
        <v>194</v>
      </c>
      <c r="G50" s="33" t="s">
        <v>86</v>
      </c>
      <c r="H50" s="33" t="s">
        <v>86</v>
      </c>
      <c r="I50" s="33" t="s">
        <v>86</v>
      </c>
      <c r="J50" s="33" t="s">
        <v>86</v>
      </c>
      <c r="K50" s="33" t="s">
        <v>86</v>
      </c>
      <c r="L50" s="33" t="s">
        <v>86</v>
      </c>
      <c r="M50" s="33" t="s">
        <v>86</v>
      </c>
      <c r="N50" s="33" t="s">
        <v>86</v>
      </c>
      <c r="O50" s="33" t="s">
        <v>86</v>
      </c>
      <c r="P50" s="33" t="s">
        <v>86</v>
      </c>
      <c r="Q50" s="33" t="s">
        <v>194</v>
      </c>
      <c r="R50" s="33" t="s">
        <v>86</v>
      </c>
      <c r="S50" s="33" t="s">
        <v>86</v>
      </c>
      <c r="T50" s="33" t="s">
        <v>194</v>
      </c>
      <c r="U50" s="33" t="s">
        <v>194</v>
      </c>
      <c r="V50" s="33" t="s">
        <v>86</v>
      </c>
      <c r="W50" s="33" t="s">
        <v>86</v>
      </c>
      <c r="X50" s="33" t="s">
        <v>86</v>
      </c>
      <c r="Y50" s="33" t="s">
        <v>194</v>
      </c>
      <c r="Z50" s="1088" t="s">
        <v>194</v>
      </c>
      <c r="AA50" s="1088" t="s">
        <v>194</v>
      </c>
      <c r="AB50" s="1088" t="s">
        <v>86</v>
      </c>
      <c r="AC50" s="1088" t="s">
        <v>194</v>
      </c>
      <c r="AD50" s="1109" t="s">
        <v>194</v>
      </c>
      <c r="AE50" s="1112" t="s">
        <v>86</v>
      </c>
      <c r="AF50" s="1118" t="s">
        <v>194</v>
      </c>
      <c r="AG50" s="1124" t="s">
        <v>3759</v>
      </c>
      <c r="AH50" s="1088" t="s">
        <v>86</v>
      </c>
    </row>
    <row r="51" spans="1:34" x14ac:dyDescent="0.3">
      <c r="A51" s="38" t="s">
        <v>5433</v>
      </c>
      <c r="B51" s="33" t="s">
        <v>4239</v>
      </c>
      <c r="C51" s="629" t="s">
        <v>86</v>
      </c>
      <c r="D51" s="33" t="s">
        <v>86</v>
      </c>
      <c r="E51" s="33" t="s">
        <v>3759</v>
      </c>
      <c r="F51" s="33" t="s">
        <v>86</v>
      </c>
      <c r="G51" s="33" t="s">
        <v>86</v>
      </c>
      <c r="H51" s="33" t="s">
        <v>86</v>
      </c>
      <c r="I51" s="33" t="s">
        <v>194</v>
      </c>
      <c r="J51" s="33" t="s">
        <v>194</v>
      </c>
      <c r="K51" s="33" t="s">
        <v>86</v>
      </c>
      <c r="L51" s="33" t="s">
        <v>86</v>
      </c>
      <c r="M51" s="33" t="s">
        <v>194</v>
      </c>
      <c r="N51" s="33" t="s">
        <v>194</v>
      </c>
      <c r="O51" s="33" t="s">
        <v>86</v>
      </c>
      <c r="P51" s="33" t="s">
        <v>86</v>
      </c>
      <c r="Q51" s="33" t="s">
        <v>86</v>
      </c>
      <c r="R51" s="33" t="s">
        <v>86</v>
      </c>
      <c r="S51" s="33" t="s">
        <v>86</v>
      </c>
      <c r="T51" s="33" t="s">
        <v>86</v>
      </c>
      <c r="U51" s="33" t="s">
        <v>86</v>
      </c>
      <c r="V51" s="33" t="s">
        <v>86</v>
      </c>
      <c r="W51" s="33" t="s">
        <v>86</v>
      </c>
      <c r="X51" s="33" t="s">
        <v>86</v>
      </c>
      <c r="Y51" s="33" t="s">
        <v>86</v>
      </c>
      <c r="Z51" s="1088" t="s">
        <v>86</v>
      </c>
      <c r="AA51" s="1088" t="s">
        <v>86</v>
      </c>
      <c r="AB51" s="1088" t="s">
        <v>86</v>
      </c>
      <c r="AC51" s="1088" t="s">
        <v>86</v>
      </c>
      <c r="AD51" s="1109" t="s">
        <v>86</v>
      </c>
      <c r="AE51" s="1112" t="s">
        <v>86</v>
      </c>
      <c r="AF51" s="1118" t="s">
        <v>194</v>
      </c>
      <c r="AG51" s="1124" t="s">
        <v>3759</v>
      </c>
      <c r="AH51" s="1088" t="s">
        <v>86</v>
      </c>
    </row>
    <row r="52" spans="1:34" x14ac:dyDescent="0.3">
      <c r="A52" s="38" t="s">
        <v>213</v>
      </c>
      <c r="B52" s="33" t="s">
        <v>4239</v>
      </c>
      <c r="C52" s="629" t="s">
        <v>86</v>
      </c>
      <c r="D52" s="33" t="s">
        <v>194</v>
      </c>
      <c r="E52" s="33" t="s">
        <v>3759</v>
      </c>
      <c r="F52" s="33" t="s">
        <v>86</v>
      </c>
      <c r="G52" s="33" t="s">
        <v>194</v>
      </c>
      <c r="H52" s="33" t="s">
        <v>86</v>
      </c>
      <c r="I52" s="33" t="s">
        <v>194</v>
      </c>
      <c r="J52" s="33" t="s">
        <v>194</v>
      </c>
      <c r="K52" s="33" t="s">
        <v>86</v>
      </c>
      <c r="L52" s="33" t="s">
        <v>86</v>
      </c>
      <c r="M52" s="33" t="s">
        <v>3759</v>
      </c>
      <c r="N52" s="33" t="s">
        <v>194</v>
      </c>
      <c r="O52" s="33" t="s">
        <v>3759</v>
      </c>
      <c r="P52" s="33" t="s">
        <v>194</v>
      </c>
      <c r="Q52" s="33" t="s">
        <v>86</v>
      </c>
      <c r="R52" s="33" t="s">
        <v>86</v>
      </c>
      <c r="S52" s="33" t="s">
        <v>194</v>
      </c>
      <c r="T52" s="33" t="s">
        <v>194</v>
      </c>
      <c r="U52" s="33" t="s">
        <v>86</v>
      </c>
      <c r="V52" s="33" t="s">
        <v>194</v>
      </c>
      <c r="W52" s="33" t="s">
        <v>194</v>
      </c>
      <c r="X52" s="33" t="s">
        <v>194</v>
      </c>
      <c r="Y52" s="33" t="s">
        <v>86</v>
      </c>
      <c r="Z52" s="1088" t="s">
        <v>86</v>
      </c>
      <c r="AA52" s="1088" t="s">
        <v>86</v>
      </c>
      <c r="AB52" s="1088" t="s">
        <v>86</v>
      </c>
      <c r="AC52" s="1088" t="s">
        <v>86</v>
      </c>
      <c r="AD52" s="1109" t="s">
        <v>86</v>
      </c>
      <c r="AE52" s="1112" t="s">
        <v>194</v>
      </c>
      <c r="AF52" s="1118" t="s">
        <v>86</v>
      </c>
      <c r="AG52" s="1124" t="s">
        <v>3759</v>
      </c>
      <c r="AH52" s="1088" t="s">
        <v>86</v>
      </c>
    </row>
    <row r="53" spans="1:34" x14ac:dyDescent="0.3">
      <c r="A53" s="38" t="s">
        <v>2478</v>
      </c>
      <c r="B53" s="33" t="s">
        <v>188</v>
      </c>
      <c r="C53" s="629" t="s">
        <v>194</v>
      </c>
      <c r="D53" s="33" t="s">
        <v>194</v>
      </c>
      <c r="E53" s="33" t="s">
        <v>86</v>
      </c>
      <c r="F53" s="33" t="s">
        <v>194</v>
      </c>
      <c r="G53" s="33" t="s">
        <v>86</v>
      </c>
      <c r="H53" s="33" t="s">
        <v>194</v>
      </c>
      <c r="I53" s="33" t="s">
        <v>86</v>
      </c>
      <c r="J53" s="33" t="s">
        <v>86</v>
      </c>
      <c r="K53" s="33" t="s">
        <v>194</v>
      </c>
      <c r="L53" s="33" t="s">
        <v>86</v>
      </c>
      <c r="M53" s="33" t="s">
        <v>194</v>
      </c>
      <c r="N53" s="33" t="s">
        <v>86</v>
      </c>
      <c r="O53" s="33" t="s">
        <v>86</v>
      </c>
      <c r="P53" s="33" t="s">
        <v>86</v>
      </c>
      <c r="Q53" s="33" t="s">
        <v>86</v>
      </c>
      <c r="R53" s="33" t="s">
        <v>194</v>
      </c>
      <c r="S53" s="33" t="s">
        <v>194</v>
      </c>
      <c r="T53" s="33" t="s">
        <v>86</v>
      </c>
      <c r="U53" s="33" t="s">
        <v>194</v>
      </c>
      <c r="V53" s="33" t="s">
        <v>86</v>
      </c>
      <c r="W53" s="33" t="s">
        <v>194</v>
      </c>
      <c r="X53" s="33" t="s">
        <v>194</v>
      </c>
      <c r="Y53" s="33" t="s">
        <v>86</v>
      </c>
      <c r="Z53" s="1088" t="s">
        <v>86</v>
      </c>
      <c r="AA53" s="1088" t="s">
        <v>194</v>
      </c>
      <c r="AB53" s="1088" t="s">
        <v>194</v>
      </c>
      <c r="AC53" s="1088" t="s">
        <v>194</v>
      </c>
      <c r="AD53" s="1109" t="s">
        <v>86</v>
      </c>
      <c r="AE53" s="1112" t="s">
        <v>194</v>
      </c>
      <c r="AF53" s="1118" t="s">
        <v>86</v>
      </c>
      <c r="AG53" s="1124" t="s">
        <v>194</v>
      </c>
      <c r="AH53" s="1088" t="s">
        <v>86</v>
      </c>
    </row>
    <row r="54" spans="1:34" x14ac:dyDescent="0.3">
      <c r="A54" s="38" t="s">
        <v>876</v>
      </c>
      <c r="B54" s="33" t="s">
        <v>173</v>
      </c>
      <c r="C54" s="629" t="s">
        <v>194</v>
      </c>
      <c r="D54" s="33" t="s">
        <v>86</v>
      </c>
      <c r="E54" s="33" t="s">
        <v>86</v>
      </c>
      <c r="F54" s="33" t="s">
        <v>194</v>
      </c>
      <c r="G54" s="33" t="s">
        <v>86</v>
      </c>
      <c r="H54" s="33" t="s">
        <v>86</v>
      </c>
      <c r="I54" s="33" t="s">
        <v>86</v>
      </c>
      <c r="J54" s="33" t="s">
        <v>86</v>
      </c>
      <c r="K54" s="33" t="s">
        <v>194</v>
      </c>
      <c r="L54" s="33" t="s">
        <v>194</v>
      </c>
      <c r="M54" s="33" t="s">
        <v>194</v>
      </c>
      <c r="N54" s="33" t="s">
        <v>86</v>
      </c>
      <c r="O54" s="33" t="s">
        <v>86</v>
      </c>
      <c r="P54" s="33" t="s">
        <v>86</v>
      </c>
      <c r="Q54" s="33" t="s">
        <v>194</v>
      </c>
      <c r="R54" s="33" t="s">
        <v>86</v>
      </c>
      <c r="S54" s="33" t="s">
        <v>86</v>
      </c>
      <c r="T54" s="33" t="s">
        <v>194</v>
      </c>
      <c r="U54" s="33" t="s">
        <v>194</v>
      </c>
      <c r="V54" s="33" t="s">
        <v>194</v>
      </c>
      <c r="W54" s="33" t="s">
        <v>86</v>
      </c>
      <c r="X54" s="33" t="s">
        <v>86</v>
      </c>
      <c r="Y54" s="33" t="s">
        <v>86</v>
      </c>
      <c r="Z54" s="1088" t="s">
        <v>194</v>
      </c>
      <c r="AA54" s="1088" t="s">
        <v>86</v>
      </c>
      <c r="AB54" s="1088" t="s">
        <v>86</v>
      </c>
      <c r="AC54" s="1088" t="s">
        <v>86</v>
      </c>
      <c r="AD54" s="1109" t="s">
        <v>194</v>
      </c>
      <c r="AE54" s="1112" t="s">
        <v>86</v>
      </c>
      <c r="AF54" s="1118" t="s">
        <v>194</v>
      </c>
      <c r="AG54" s="1124" t="s">
        <v>3759</v>
      </c>
      <c r="AH54" s="1088" t="s">
        <v>86</v>
      </c>
    </row>
    <row r="55" spans="1:34" x14ac:dyDescent="0.3">
      <c r="A55" s="38" t="s">
        <v>5435</v>
      </c>
      <c r="B55" s="33" t="s">
        <v>188</v>
      </c>
      <c r="C55" s="629" t="s">
        <v>86</v>
      </c>
      <c r="D55" s="33" t="s">
        <v>86</v>
      </c>
      <c r="E55" s="33" t="s">
        <v>3759</v>
      </c>
      <c r="F55" s="33" t="s">
        <v>194</v>
      </c>
      <c r="G55" s="33" t="s">
        <v>86</v>
      </c>
      <c r="H55" s="33" t="s">
        <v>194</v>
      </c>
      <c r="I55" s="33" t="s">
        <v>194</v>
      </c>
      <c r="J55" s="33" t="s">
        <v>86</v>
      </c>
      <c r="K55" s="33" t="s">
        <v>86</v>
      </c>
      <c r="L55" s="33" t="s">
        <v>86</v>
      </c>
      <c r="M55" s="33" t="s">
        <v>86</v>
      </c>
      <c r="N55" s="33" t="s">
        <v>86</v>
      </c>
      <c r="O55" s="33" t="s">
        <v>194</v>
      </c>
      <c r="P55" s="33" t="s">
        <v>86</v>
      </c>
      <c r="Q55" s="33" t="s">
        <v>86</v>
      </c>
      <c r="R55" s="33" t="s">
        <v>194</v>
      </c>
      <c r="S55" s="33" t="s">
        <v>194</v>
      </c>
      <c r="T55" s="33" t="s">
        <v>86</v>
      </c>
      <c r="U55" s="33" t="s">
        <v>194</v>
      </c>
      <c r="V55" s="33" t="s">
        <v>86</v>
      </c>
      <c r="W55" s="33" t="s">
        <v>86</v>
      </c>
      <c r="X55" s="33" t="s">
        <v>194</v>
      </c>
      <c r="Y55" s="33" t="s">
        <v>194</v>
      </c>
      <c r="Z55" s="1088" t="s">
        <v>194</v>
      </c>
      <c r="AA55" s="1088" t="s">
        <v>194</v>
      </c>
      <c r="AB55" s="1088" t="s">
        <v>86</v>
      </c>
      <c r="AC55" s="1088" t="s">
        <v>194</v>
      </c>
      <c r="AD55" s="1109" t="s">
        <v>86</v>
      </c>
      <c r="AE55" s="1112" t="s">
        <v>194</v>
      </c>
      <c r="AF55" s="1118" t="s">
        <v>86</v>
      </c>
      <c r="AG55" s="1124" t="s">
        <v>194</v>
      </c>
      <c r="AH55" s="1088" t="s">
        <v>86</v>
      </c>
    </row>
    <row r="56" spans="1:34" x14ac:dyDescent="0.3">
      <c r="A56" s="38" t="s">
        <v>5424</v>
      </c>
      <c r="B56" s="1020" t="s">
        <v>173</v>
      </c>
      <c r="C56" s="1021" t="s">
        <v>86</v>
      </c>
      <c r="D56" s="1088" t="s">
        <v>194</v>
      </c>
      <c r="E56" s="1020" t="s">
        <v>194</v>
      </c>
      <c r="F56" s="1088" t="s">
        <v>194</v>
      </c>
      <c r="G56" s="1088" t="s">
        <v>86</v>
      </c>
      <c r="H56" s="1088" t="s">
        <v>86</v>
      </c>
      <c r="I56" s="1088" t="s">
        <v>86</v>
      </c>
      <c r="J56" s="1088" t="s">
        <v>194</v>
      </c>
      <c r="K56" s="1020" t="s">
        <v>194</v>
      </c>
      <c r="L56" s="1088" t="s">
        <v>86</v>
      </c>
      <c r="M56" s="1088" t="s">
        <v>194</v>
      </c>
      <c r="N56" s="1088" t="s">
        <v>86</v>
      </c>
      <c r="O56" s="1088" t="s">
        <v>194</v>
      </c>
      <c r="P56" s="1088" t="s">
        <v>86</v>
      </c>
      <c r="Q56" s="1088" t="s">
        <v>86</v>
      </c>
      <c r="R56" s="1088" t="s">
        <v>86</v>
      </c>
      <c r="S56" s="1088" t="s">
        <v>3759</v>
      </c>
      <c r="T56" s="1088" t="s">
        <v>86</v>
      </c>
      <c r="U56" s="1020" t="s">
        <v>194</v>
      </c>
      <c r="V56" s="1088" t="s">
        <v>86</v>
      </c>
      <c r="W56" s="1088" t="s">
        <v>86</v>
      </c>
      <c r="X56" s="1088" t="s">
        <v>194</v>
      </c>
      <c r="Y56" s="1088" t="s">
        <v>86</v>
      </c>
      <c r="Z56" s="1088" t="s">
        <v>194</v>
      </c>
      <c r="AA56" s="1088" t="s">
        <v>86</v>
      </c>
      <c r="AB56" s="1088" t="s">
        <v>194</v>
      </c>
      <c r="AC56" s="1088" t="s">
        <v>86</v>
      </c>
      <c r="AD56" s="1109" t="s">
        <v>86</v>
      </c>
      <c r="AE56" s="1112" t="s">
        <v>86</v>
      </c>
      <c r="AF56" s="1118" t="s">
        <v>86</v>
      </c>
      <c r="AG56" s="1124" t="s">
        <v>3759</v>
      </c>
      <c r="AH56" s="1088" t="s">
        <v>86</v>
      </c>
    </row>
    <row r="57" spans="1:34" x14ac:dyDescent="0.3">
      <c r="A57" s="38" t="s">
        <v>4890</v>
      </c>
      <c r="B57" s="33" t="s">
        <v>185</v>
      </c>
      <c r="C57" s="629" t="s">
        <v>194</v>
      </c>
      <c r="D57" s="433" t="s">
        <v>115</v>
      </c>
      <c r="E57" s="33" t="s">
        <v>194</v>
      </c>
      <c r="F57" s="433" t="s">
        <v>115</v>
      </c>
      <c r="G57" s="433" t="s">
        <v>115</v>
      </c>
      <c r="H57" s="433" t="s">
        <v>115</v>
      </c>
      <c r="I57" s="433" t="s">
        <v>115</v>
      </c>
      <c r="J57" s="433" t="s">
        <v>115</v>
      </c>
      <c r="K57" s="33" t="s">
        <v>194</v>
      </c>
      <c r="L57" s="433" t="s">
        <v>115</v>
      </c>
      <c r="M57" s="433" t="s">
        <v>115</v>
      </c>
      <c r="N57" s="433" t="s">
        <v>115</v>
      </c>
      <c r="O57" s="433" t="s">
        <v>115</v>
      </c>
      <c r="P57" s="433" t="s">
        <v>115</v>
      </c>
      <c r="Q57" s="433" t="s">
        <v>115</v>
      </c>
      <c r="R57" s="433" t="s">
        <v>115</v>
      </c>
      <c r="S57" s="433" t="s">
        <v>115</v>
      </c>
      <c r="T57" s="433" t="s">
        <v>115</v>
      </c>
      <c r="U57" s="33" t="s">
        <v>194</v>
      </c>
      <c r="V57" s="433" t="s">
        <v>115</v>
      </c>
      <c r="W57" s="433" t="s">
        <v>115</v>
      </c>
      <c r="X57" s="433" t="s">
        <v>115</v>
      </c>
      <c r="Y57" s="433" t="s">
        <v>115</v>
      </c>
      <c r="Z57" s="433" t="s">
        <v>115</v>
      </c>
      <c r="AA57" s="433" t="s">
        <v>115</v>
      </c>
      <c r="AB57" s="433" t="s">
        <v>115</v>
      </c>
      <c r="AC57" s="433" t="s">
        <v>115</v>
      </c>
      <c r="AD57" s="433" t="s">
        <v>115</v>
      </c>
      <c r="AE57" s="1112" t="s">
        <v>86</v>
      </c>
      <c r="AF57" s="433" t="s">
        <v>115</v>
      </c>
      <c r="AG57" s="433" t="s">
        <v>115</v>
      </c>
      <c r="AH57" s="433" t="s">
        <v>115</v>
      </c>
    </row>
    <row r="58" spans="1:34" x14ac:dyDescent="0.3">
      <c r="A58" s="38" t="s">
        <v>214</v>
      </c>
      <c r="B58" s="33" t="s">
        <v>175</v>
      </c>
      <c r="C58" s="629" t="s">
        <v>86</v>
      </c>
      <c r="D58" s="33" t="s">
        <v>86</v>
      </c>
      <c r="E58" s="33" t="s">
        <v>86</v>
      </c>
      <c r="F58" s="33" t="s">
        <v>86</v>
      </c>
      <c r="G58" s="33" t="s">
        <v>86</v>
      </c>
      <c r="H58" s="33" t="s">
        <v>194</v>
      </c>
      <c r="I58" s="33" t="s">
        <v>194</v>
      </c>
      <c r="J58" s="33" t="s">
        <v>86</v>
      </c>
      <c r="K58" s="33" t="s">
        <v>86</v>
      </c>
      <c r="L58" s="33" t="s">
        <v>86</v>
      </c>
      <c r="M58" s="33" t="s">
        <v>86</v>
      </c>
      <c r="N58" s="33" t="s">
        <v>86</v>
      </c>
      <c r="O58" s="33" t="s">
        <v>194</v>
      </c>
      <c r="P58" s="33" t="s">
        <v>86</v>
      </c>
      <c r="Q58" s="33" t="s">
        <v>86</v>
      </c>
      <c r="R58" s="33" t="s">
        <v>194</v>
      </c>
      <c r="S58" s="33" t="s">
        <v>194</v>
      </c>
      <c r="T58" s="33" t="s">
        <v>86</v>
      </c>
      <c r="U58" s="33" t="s">
        <v>86</v>
      </c>
      <c r="V58" s="33" t="s">
        <v>86</v>
      </c>
      <c r="W58" s="33" t="s">
        <v>194</v>
      </c>
      <c r="X58" s="33" t="s">
        <v>194</v>
      </c>
      <c r="Y58" s="33" t="s">
        <v>194</v>
      </c>
      <c r="Z58" s="1088" t="s">
        <v>86</v>
      </c>
      <c r="AA58" s="1088" t="s">
        <v>194</v>
      </c>
      <c r="AB58" s="1088" t="s">
        <v>194</v>
      </c>
      <c r="AC58" s="1088" t="s">
        <v>194</v>
      </c>
      <c r="AD58" s="1109" t="s">
        <v>86</v>
      </c>
      <c r="AE58" s="1112" t="s">
        <v>194</v>
      </c>
      <c r="AF58" s="1118" t="s">
        <v>86</v>
      </c>
      <c r="AG58" s="1124" t="s">
        <v>194</v>
      </c>
      <c r="AH58" s="1088" t="s">
        <v>86</v>
      </c>
    </row>
    <row r="59" spans="1:34" x14ac:dyDescent="0.3">
      <c r="C59">
        <f t="shared" ref="C59:Z59" si="0">COUNTIF(C6:C58,"Mistrně")</f>
        <v>16</v>
      </c>
      <c r="D59">
        <f t="shared" si="0"/>
        <v>15</v>
      </c>
      <c r="E59">
        <f t="shared" si="0"/>
        <v>16</v>
      </c>
      <c r="F59">
        <f t="shared" si="0"/>
        <v>15</v>
      </c>
      <c r="G59">
        <f t="shared" si="0"/>
        <v>20</v>
      </c>
      <c r="H59">
        <f t="shared" si="0"/>
        <v>16</v>
      </c>
      <c r="I59">
        <f t="shared" si="0"/>
        <v>16</v>
      </c>
      <c r="J59">
        <f t="shared" si="0"/>
        <v>21</v>
      </c>
      <c r="K59">
        <f t="shared" si="0"/>
        <v>16</v>
      </c>
      <c r="L59">
        <f t="shared" si="0"/>
        <v>15</v>
      </c>
      <c r="M59">
        <f t="shared" si="0"/>
        <v>21</v>
      </c>
      <c r="N59">
        <f t="shared" si="0"/>
        <v>16</v>
      </c>
      <c r="O59">
        <f t="shared" si="0"/>
        <v>15</v>
      </c>
      <c r="P59">
        <f t="shared" si="0"/>
        <v>21</v>
      </c>
      <c r="Q59">
        <f t="shared" si="0"/>
        <v>15</v>
      </c>
      <c r="R59">
        <f t="shared" si="0"/>
        <v>15</v>
      </c>
      <c r="S59">
        <f t="shared" si="0"/>
        <v>15</v>
      </c>
      <c r="T59">
        <f t="shared" si="0"/>
        <v>15</v>
      </c>
      <c r="U59">
        <f t="shared" si="0"/>
        <v>16</v>
      </c>
      <c r="V59">
        <f t="shared" si="0"/>
        <v>21</v>
      </c>
      <c r="W59">
        <f t="shared" si="0"/>
        <v>16</v>
      </c>
      <c r="X59">
        <f t="shared" si="0"/>
        <v>15</v>
      </c>
      <c r="Y59">
        <f t="shared" si="0"/>
        <v>15</v>
      </c>
      <c r="Z59">
        <f t="shared" si="0"/>
        <v>15</v>
      </c>
      <c r="AA59">
        <f t="shared" ref="AA59:AH59" si="1">COUNTIF(AA6:AA58,"Mistrně")</f>
        <v>15</v>
      </c>
      <c r="AB59">
        <f t="shared" si="1"/>
        <v>15</v>
      </c>
      <c r="AC59">
        <f t="shared" si="1"/>
        <v>15</v>
      </c>
      <c r="AD59">
        <f t="shared" ref="AD59:AG59" si="2">COUNTIF(AD6:AD58,"Mistrně")</f>
        <v>15</v>
      </c>
      <c r="AE59">
        <f t="shared" si="2"/>
        <v>15</v>
      </c>
      <c r="AF59">
        <f t="shared" si="2"/>
        <v>15</v>
      </c>
      <c r="AG59">
        <f t="shared" si="2"/>
        <v>15</v>
      </c>
      <c r="AH59">
        <f t="shared" si="1"/>
        <v>0</v>
      </c>
    </row>
    <row r="61" spans="1:34" x14ac:dyDescent="0.3">
      <c r="A61" s="115" t="s">
        <v>115</v>
      </c>
    </row>
    <row r="62" spans="1:34" x14ac:dyDescent="0.3">
      <c r="A62" s="115" t="s">
        <v>3759</v>
      </c>
    </row>
    <row r="63" spans="1:34" x14ac:dyDescent="0.3">
      <c r="A63" s="115" t="s">
        <v>194</v>
      </c>
    </row>
  </sheetData>
  <autoFilter ref="A5:AH59"/>
  <sortState ref="A6:Z58">
    <sortCondition ref="A6:A58"/>
  </sortState>
  <conditionalFormatting sqref="C6:L6 C23:J23 N23:Y23 M6:Y22 C8:L22 C24:Y58">
    <cfRule type="cellIs" dxfId="388" priority="21" stopIfTrue="1" operator="equal">
      <formula>"Mistrně"</formula>
    </cfRule>
  </conditionalFormatting>
  <conditionalFormatting sqref="C7:L7">
    <cfRule type="cellIs" dxfId="387" priority="15" stopIfTrue="1" operator="equal">
      <formula>"Mistrně"</formula>
    </cfRule>
  </conditionalFormatting>
  <conditionalFormatting sqref="K23:M23">
    <cfRule type="cellIs" dxfId="386" priority="14" stopIfTrue="1" operator="equal">
      <formula>"Mistrně"</formula>
    </cfRule>
  </conditionalFormatting>
  <conditionalFormatting sqref="Z58 Z57:AC57 Z6:Z56 AA21:AC25 AH21:AH25 AH57">
    <cfRule type="cellIs" dxfId="385" priority="13" stopIfTrue="1" operator="equal">
      <formula>"Mistrně"</formula>
    </cfRule>
  </conditionalFormatting>
  <conditionalFormatting sqref="AA58:AC58 AH58">
    <cfRule type="cellIs" dxfId="384" priority="12" stopIfTrue="1" operator="equal">
      <formula>"Mistrně"</formula>
    </cfRule>
  </conditionalFormatting>
  <conditionalFormatting sqref="AA26:AC56 AH26:AH56">
    <cfRule type="cellIs" dxfId="383" priority="11" stopIfTrue="1" operator="equal">
      <formula>"Mistrně"</formula>
    </cfRule>
  </conditionalFormatting>
  <conditionalFormatting sqref="AA6:AC20 AH6:AH20">
    <cfRule type="cellIs" dxfId="382" priority="10" stopIfTrue="1" operator="equal">
      <formula>"Mistrně"</formula>
    </cfRule>
  </conditionalFormatting>
  <conditionalFormatting sqref="AD57 AD21:AE25">
    <cfRule type="cellIs" dxfId="381" priority="9" stopIfTrue="1" operator="equal">
      <formula>"Mistrně"</formula>
    </cfRule>
  </conditionalFormatting>
  <conditionalFormatting sqref="AD58">
    <cfRule type="cellIs" dxfId="380" priority="8" stopIfTrue="1" operator="equal">
      <formula>"Mistrně"</formula>
    </cfRule>
  </conditionalFormatting>
  <conditionalFormatting sqref="AD26:AD56">
    <cfRule type="cellIs" dxfId="379" priority="7" stopIfTrue="1" operator="equal">
      <formula>"Mistrně"</formula>
    </cfRule>
  </conditionalFormatting>
  <conditionalFormatting sqref="AD6:AE20">
    <cfRule type="cellIs" dxfId="378" priority="6" stopIfTrue="1" operator="equal">
      <formula>"Mistrně"</formula>
    </cfRule>
  </conditionalFormatting>
  <conditionalFormatting sqref="AE26:AE58">
    <cfRule type="cellIs" dxfId="377" priority="5" stopIfTrue="1" operator="equal">
      <formula>"Mistrně"</formula>
    </cfRule>
  </conditionalFormatting>
  <conditionalFormatting sqref="AF21:AG25 AF57:AG57">
    <cfRule type="cellIs" dxfId="376" priority="4" stopIfTrue="1" operator="equal">
      <formula>"Mistrně"</formula>
    </cfRule>
  </conditionalFormatting>
  <conditionalFormatting sqref="AF58:AG58">
    <cfRule type="cellIs" dxfId="375" priority="3" stopIfTrue="1" operator="equal">
      <formula>"Mistrně"</formula>
    </cfRule>
  </conditionalFormatting>
  <conditionalFormatting sqref="AF26:AG56">
    <cfRule type="cellIs" dxfId="374" priority="2" stopIfTrue="1" operator="equal">
      <formula>"Mistrně"</formula>
    </cfRule>
  </conditionalFormatting>
  <conditionalFormatting sqref="AF6:AG20">
    <cfRule type="cellIs" dxfId="373" priority="1" stopIfTrue="1" operator="equal">
      <formula>"Mistrně"</formula>
    </cfRule>
  </conditionalFormatting>
  <dataValidations count="1">
    <dataValidation type="list" allowBlank="1" showInputMessage="1" showErrorMessage="1" sqref="C6:AH58">
      <formula1>$A$61:$A$63</formula1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92D050"/>
  </sheetPr>
  <dimension ref="A1:Z232"/>
  <sheetViews>
    <sheetView zoomScaleNormal="100" workbookViewId="0">
      <selection activeCell="R6" sqref="R6"/>
    </sheetView>
  </sheetViews>
  <sheetFormatPr defaultColWidth="9.109375" defaultRowHeight="14.4" x14ac:dyDescent="0.3"/>
  <cols>
    <col min="1" max="1" width="15" style="369" customWidth="1"/>
    <col min="2" max="2" width="13.88671875" style="369" customWidth="1"/>
    <col min="3" max="3" width="8.5546875" style="369" customWidth="1"/>
    <col min="4" max="4" width="10.44140625" style="369" customWidth="1"/>
    <col min="5" max="6" width="3.6640625" style="369" customWidth="1"/>
    <col min="7" max="7" width="5.109375" style="369" customWidth="1"/>
    <col min="8" max="8" width="2.44140625" style="369" customWidth="1"/>
    <col min="9" max="9" width="13.88671875" style="369" customWidth="1"/>
    <col min="10" max="10" width="23.44140625" style="369" customWidth="1"/>
    <col min="11" max="11" width="7.33203125" style="369" customWidth="1"/>
    <col min="12" max="12" width="4.109375" style="369" customWidth="1"/>
    <col min="13" max="13" width="4.33203125" style="369" customWidth="1"/>
    <col min="14" max="14" width="5.33203125" style="369" customWidth="1"/>
    <col min="15" max="15" width="1" style="369" customWidth="1"/>
    <col min="16" max="16" width="3.33203125" style="369" customWidth="1"/>
    <col min="17" max="17" width="3.44140625" style="369" customWidth="1"/>
    <col min="18" max="18" width="10" style="369" customWidth="1"/>
    <col min="19" max="19" width="24" style="369" bestFit="1" customWidth="1"/>
    <col min="20" max="20" width="27" customWidth="1"/>
    <col min="21" max="21" width="27" style="369" customWidth="1"/>
    <col min="22" max="22" width="28.88671875" style="369" bestFit="1" customWidth="1"/>
    <col min="23" max="23" width="17.44140625" style="369" customWidth="1"/>
    <col min="24" max="24" width="28.5546875" style="369" bestFit="1" customWidth="1"/>
    <col min="25" max="25" width="16.88671875" style="369" bestFit="1" customWidth="1"/>
    <col min="26" max="16384" width="9.109375" style="369"/>
  </cols>
  <sheetData>
    <row r="1" spans="1:25" ht="24.6" x14ac:dyDescent="0.4">
      <c r="A1" s="818"/>
      <c r="B1" s="819" t="s">
        <v>2086</v>
      </c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 t="s">
        <v>148</v>
      </c>
      <c r="N1" s="820"/>
      <c r="O1" s="821"/>
      <c r="V1"/>
    </row>
    <row r="2" spans="1:25" ht="12.9" customHeight="1" x14ac:dyDescent="0.3">
      <c r="A2" s="822" t="s">
        <v>5715</v>
      </c>
      <c r="B2" s="823"/>
      <c r="C2" s="1158" t="s">
        <v>5722</v>
      </c>
      <c r="D2" s="823"/>
      <c r="E2" s="823"/>
      <c r="F2" s="454"/>
      <c r="G2" s="454">
        <f>SUM(G4:G7)</f>
        <v>0</v>
      </c>
      <c r="H2" s="823"/>
      <c r="I2" s="1005" t="s">
        <v>5724</v>
      </c>
      <c r="O2" s="761"/>
      <c r="S2" s="999" t="s">
        <v>5730</v>
      </c>
      <c r="V2"/>
      <c r="W2"/>
      <c r="Y2"/>
    </row>
    <row r="3" spans="1:25" ht="12.75" customHeight="1" x14ac:dyDescent="0.3">
      <c r="A3" s="1381" t="s">
        <v>4492</v>
      </c>
      <c r="B3" s="1380"/>
      <c r="C3" s="1379" t="s">
        <v>154</v>
      </c>
      <c r="D3" s="1379"/>
      <c r="E3" s="1380"/>
      <c r="F3" s="1000" t="s">
        <v>151</v>
      </c>
      <c r="G3" s="1001" t="s">
        <v>5696</v>
      </c>
      <c r="H3" s="823"/>
      <c r="I3" s="1382" t="s">
        <v>4492</v>
      </c>
      <c r="J3" s="1380"/>
      <c r="K3" s="1382" t="s">
        <v>154</v>
      </c>
      <c r="L3" s="1380"/>
      <c r="M3" s="1000" t="s">
        <v>151</v>
      </c>
      <c r="N3" s="1001" t="s">
        <v>5723</v>
      </c>
      <c r="O3" s="761"/>
      <c r="P3" s="380"/>
      <c r="S3" s="381"/>
      <c r="T3" s="1171" t="s">
        <v>5732</v>
      </c>
    </row>
    <row r="4" spans="1:25" ht="12.9" customHeight="1" x14ac:dyDescent="0.3">
      <c r="A4" s="1374"/>
      <c r="B4" s="1375"/>
      <c r="C4" s="449"/>
      <c r="D4" s="449"/>
      <c r="E4" s="450"/>
      <c r="F4" s="451"/>
      <c r="G4" s="452">
        <f>F4*IFERROR(HLOOKUP(Věci!$C$2,Věci!$A$2:$C$529,MATCH(A4,Věci!$A$2:$A$529,0),FALSE),0)</f>
        <v>0</v>
      </c>
      <c r="H4" s="823"/>
      <c r="I4" s="1376"/>
      <c r="J4" s="1375"/>
      <c r="K4" s="1377"/>
      <c r="L4" s="1378"/>
      <c r="M4" s="451"/>
      <c r="N4" s="452"/>
      <c r="O4" s="761"/>
      <c r="P4" s="380"/>
      <c r="S4" s="381"/>
      <c r="T4" s="1171" t="s">
        <v>5732</v>
      </c>
    </row>
    <row r="5" spans="1:25" ht="12.9" customHeight="1" x14ac:dyDescent="0.3">
      <c r="A5" s="1374"/>
      <c r="B5" s="1375"/>
      <c r="C5" s="449"/>
      <c r="D5" s="449"/>
      <c r="E5" s="450"/>
      <c r="F5" s="451"/>
      <c r="G5" s="452">
        <f>F5*IFERROR(HLOOKUP(Věci!$C$2,Věci!$A$2:$C$529,MATCH(A5,Věci!$A$2:$A$529,0),FALSE),0)</f>
        <v>0</v>
      </c>
      <c r="H5" s="823"/>
      <c r="I5" s="1376"/>
      <c r="J5" s="1375"/>
      <c r="K5" s="1377"/>
      <c r="L5" s="1378"/>
      <c r="M5" s="451"/>
      <c r="N5" s="452"/>
      <c r="O5" s="761"/>
      <c r="P5" s="380"/>
      <c r="S5" s="381"/>
      <c r="T5" s="1171" t="s">
        <v>5732</v>
      </c>
    </row>
    <row r="6" spans="1:25" ht="12.9" customHeight="1" x14ac:dyDescent="0.3">
      <c r="A6" s="1374"/>
      <c r="B6" s="1375"/>
      <c r="C6" s="449"/>
      <c r="D6" s="449"/>
      <c r="E6" s="450"/>
      <c r="F6" s="451"/>
      <c r="G6" s="452">
        <f>F6*IFERROR(HLOOKUP(Věci!$C$2,Věci!$A$2:$C$529,MATCH(A6,Věci!$A$2:$A$529,0),FALSE),0)</f>
        <v>0</v>
      </c>
      <c r="H6" s="823"/>
      <c r="I6" s="1376"/>
      <c r="J6" s="1375"/>
      <c r="K6" s="1377"/>
      <c r="L6" s="1378"/>
      <c r="M6" s="451"/>
      <c r="N6" s="452"/>
      <c r="O6" s="761"/>
      <c r="P6" s="380"/>
      <c r="S6" s="381"/>
      <c r="T6" s="1171" t="s">
        <v>5732</v>
      </c>
    </row>
    <row r="7" spans="1:25" ht="12.9" customHeight="1" x14ac:dyDescent="0.3">
      <c r="A7" s="1374"/>
      <c r="B7" s="1375"/>
      <c r="C7" s="449"/>
      <c r="D7" s="449"/>
      <c r="E7" s="450"/>
      <c r="F7" s="451"/>
      <c r="G7" s="452">
        <f>F7*IFERROR(HLOOKUP(Věci!$C$2,Věci!$A$2:$C$529,MATCH(A7,Věci!$A$2:$A$529,0),FALSE),0)</f>
        <v>0</v>
      </c>
      <c r="H7" s="823"/>
      <c r="I7" s="1376"/>
      <c r="J7" s="1375"/>
      <c r="K7" s="1377"/>
      <c r="L7" s="1378"/>
      <c r="M7" s="451"/>
      <c r="N7" s="452"/>
      <c r="O7" s="761"/>
      <c r="P7" s="380"/>
      <c r="S7" s="381" t="s">
        <v>3257</v>
      </c>
    </row>
    <row r="8" spans="1:25" ht="12.9" customHeight="1" x14ac:dyDescent="0.3">
      <c r="A8" s="822" t="s">
        <v>5719</v>
      </c>
      <c r="B8" s="454"/>
      <c r="C8" s="454"/>
      <c r="D8" s="454" t="s">
        <v>5720</v>
      </c>
      <c r="E8" s="454">
        <f>SUM(G10:G11)</f>
        <v>0</v>
      </c>
      <c r="F8" s="454" t="s">
        <v>5721</v>
      </c>
      <c r="G8" s="454"/>
      <c r="H8" s="823"/>
      <c r="I8" s="1376"/>
      <c r="J8" s="1375"/>
      <c r="K8" s="1377"/>
      <c r="L8" s="1378"/>
      <c r="M8" s="451"/>
      <c r="N8" s="452"/>
      <c r="O8" s="761"/>
      <c r="P8" s="380"/>
      <c r="S8" s="381" t="s">
        <v>2394</v>
      </c>
    </row>
    <row r="9" spans="1:25" ht="12.9" customHeight="1" x14ac:dyDescent="0.3">
      <c r="A9" s="1381" t="s">
        <v>4492</v>
      </c>
      <c r="B9" s="1380"/>
      <c r="C9" s="1379" t="s">
        <v>154</v>
      </c>
      <c r="D9" s="1379"/>
      <c r="E9" s="1380"/>
      <c r="F9" s="1000" t="s">
        <v>151</v>
      </c>
      <c r="G9" s="1001" t="s">
        <v>4253</v>
      </c>
      <c r="H9" s="823"/>
      <c r="I9" s="1376"/>
      <c r="J9" s="1375"/>
      <c r="K9" s="1377"/>
      <c r="L9" s="1378"/>
      <c r="M9" s="451"/>
      <c r="N9" s="452"/>
      <c r="O9" s="761"/>
      <c r="P9" s="380"/>
      <c r="S9" s="381" t="s">
        <v>3258</v>
      </c>
    </row>
    <row r="10" spans="1:25" ht="12.9" customHeight="1" x14ac:dyDescent="0.3">
      <c r="A10" s="1374" t="s">
        <v>5716</v>
      </c>
      <c r="B10" s="1375"/>
      <c r="C10" s="449" t="s">
        <v>5717</v>
      </c>
      <c r="D10" s="449"/>
      <c r="E10" s="450"/>
      <c r="F10" s="451"/>
      <c r="G10" s="452">
        <f>F10*2</f>
        <v>0</v>
      </c>
      <c r="H10" s="823"/>
      <c r="I10" s="1376"/>
      <c r="J10" s="1375"/>
      <c r="K10" s="1377"/>
      <c r="L10" s="1378"/>
      <c r="M10" s="451"/>
      <c r="N10" s="452"/>
      <c r="O10" s="761"/>
      <c r="P10" s="380"/>
      <c r="S10" s="381" t="s">
        <v>4903</v>
      </c>
    </row>
    <row r="11" spans="1:25" ht="12.9" customHeight="1" x14ac:dyDescent="0.3">
      <c r="A11" s="1374" t="s">
        <v>2104</v>
      </c>
      <c r="B11" s="1375"/>
      <c r="C11" s="449" t="s">
        <v>5718</v>
      </c>
      <c r="D11" s="449"/>
      <c r="E11" s="450"/>
      <c r="F11" s="451"/>
      <c r="G11" s="452">
        <f>F11*4</f>
        <v>0</v>
      </c>
      <c r="H11" s="823"/>
      <c r="I11" s="1376"/>
      <c r="J11" s="1375"/>
      <c r="K11" s="1377"/>
      <c r="L11" s="1378"/>
      <c r="M11" s="451"/>
      <c r="N11" s="452"/>
      <c r="O11" s="761"/>
      <c r="P11" s="380"/>
      <c r="S11" s="381" t="s">
        <v>3184</v>
      </c>
    </row>
    <row r="12" spans="1:25" ht="12.9" customHeight="1" x14ac:dyDescent="0.3">
      <c r="A12" s="822" t="s">
        <v>5726</v>
      </c>
      <c r="D12" s="1160" t="s">
        <v>554</v>
      </c>
      <c r="E12" s="1159">
        <f>8+E8</f>
        <v>8</v>
      </c>
      <c r="F12" s="1160" t="s">
        <v>5721</v>
      </c>
      <c r="H12" s="823"/>
      <c r="I12" s="1376"/>
      <c r="J12" s="1375"/>
      <c r="K12" s="1377"/>
      <c r="L12" s="1378"/>
      <c r="M12" s="451"/>
      <c r="N12" s="452"/>
      <c r="O12" s="761"/>
      <c r="P12" s="380"/>
      <c r="S12" s="381" t="s">
        <v>969</v>
      </c>
    </row>
    <row r="13" spans="1:25" ht="12.9" customHeight="1" x14ac:dyDescent="0.3">
      <c r="A13" s="1381" t="s">
        <v>4492</v>
      </c>
      <c r="B13" s="1380"/>
      <c r="C13" s="1379" t="s">
        <v>154</v>
      </c>
      <c r="D13" s="1379"/>
      <c r="E13" s="1380"/>
      <c r="F13" s="1000" t="s">
        <v>151</v>
      </c>
      <c r="G13" s="1001" t="s">
        <v>5696</v>
      </c>
      <c r="H13" s="823"/>
      <c r="I13" s="1376"/>
      <c r="J13" s="1375"/>
      <c r="K13" s="1377"/>
      <c r="L13" s="1378"/>
      <c r="M13" s="451"/>
      <c r="N13" s="452"/>
      <c r="O13" s="761"/>
      <c r="P13" s="380"/>
      <c r="S13" s="381" t="s">
        <v>3907</v>
      </c>
    </row>
    <row r="14" spans="1:25" ht="12.9" customHeight="1" x14ac:dyDescent="0.3">
      <c r="A14" s="1374"/>
      <c r="B14" s="1375"/>
      <c r="C14" s="449"/>
      <c r="D14" s="449"/>
      <c r="E14" s="450"/>
      <c r="F14" s="451"/>
      <c r="G14" s="452">
        <f>F14*IFERROR(HLOOKUP(Věci!$C$2,Věci!$A$2:$C$529,MATCH(A14,Věci!$A$2:$A$529,0),FALSE),0)</f>
        <v>0</v>
      </c>
      <c r="H14" s="823"/>
      <c r="I14" s="1376"/>
      <c r="J14" s="1375"/>
      <c r="K14" s="1377"/>
      <c r="L14" s="1378"/>
      <c r="M14" s="451"/>
      <c r="N14" s="452"/>
      <c r="O14" s="761"/>
      <c r="P14" s="380"/>
      <c r="S14" s="381" t="s">
        <v>4569</v>
      </c>
    </row>
    <row r="15" spans="1:25" ht="12.9" customHeight="1" x14ac:dyDescent="0.3">
      <c r="A15" s="1374"/>
      <c r="B15" s="1375"/>
      <c r="C15" s="449"/>
      <c r="D15" s="449"/>
      <c r="E15" s="450"/>
      <c r="F15" s="451"/>
      <c r="G15" s="452">
        <f>F15*IFERROR(HLOOKUP(Věci!$C$2,Věci!$A$2:$C$529,MATCH(A15,Věci!$A$2:$A$529,0),FALSE),0)</f>
        <v>0</v>
      </c>
      <c r="H15" s="823"/>
      <c r="I15" s="1376"/>
      <c r="J15" s="1375"/>
      <c r="K15" s="1377"/>
      <c r="L15" s="1378"/>
      <c r="M15" s="451"/>
      <c r="N15" s="452"/>
      <c r="O15" s="761"/>
      <c r="P15" s="380"/>
      <c r="S15" s="381" t="s">
        <v>462</v>
      </c>
    </row>
    <row r="16" spans="1:25" ht="12.9" customHeight="1" x14ac:dyDescent="0.3">
      <c r="A16" s="1374"/>
      <c r="B16" s="1375"/>
      <c r="C16" s="449"/>
      <c r="D16" s="449"/>
      <c r="E16" s="450"/>
      <c r="F16" s="451"/>
      <c r="G16" s="452">
        <f>F16*IFERROR(HLOOKUP(Věci!$C$2,Věci!$A$2:$C$529,MATCH(A16,Věci!$A$2:$A$529,0),FALSE),0)</f>
        <v>0</v>
      </c>
      <c r="H16" s="823"/>
      <c r="I16" s="1376"/>
      <c r="J16" s="1375"/>
      <c r="K16" s="1377"/>
      <c r="L16" s="1378"/>
      <c r="M16" s="451"/>
      <c r="N16" s="452"/>
      <c r="O16" s="761"/>
      <c r="P16" s="380"/>
      <c r="S16" s="381" t="s">
        <v>393</v>
      </c>
    </row>
    <row r="17" spans="1:26" ht="12.9" customHeight="1" x14ac:dyDescent="0.3">
      <c r="A17" s="1374"/>
      <c r="B17" s="1375"/>
      <c r="C17" s="449"/>
      <c r="D17" s="449"/>
      <c r="E17" s="450"/>
      <c r="F17" s="451"/>
      <c r="G17" s="452">
        <f>F17*IFERROR(HLOOKUP(Věci!$C$2,Věci!$A$2:$C$529,MATCH(A17,Věci!$A$2:$A$529,0),FALSE),0)</f>
        <v>0</v>
      </c>
      <c r="H17" s="823"/>
      <c r="I17" s="1376"/>
      <c r="J17" s="1375"/>
      <c r="K17" s="1377"/>
      <c r="L17" s="1378"/>
      <c r="M17" s="451"/>
      <c r="N17" s="452"/>
      <c r="O17" s="761"/>
      <c r="P17" s="380"/>
      <c r="S17" s="381" t="s">
        <v>520</v>
      </c>
    </row>
    <row r="18" spans="1:26" ht="15" customHeight="1" x14ac:dyDescent="0.3">
      <c r="A18" s="1374"/>
      <c r="B18" s="1375"/>
      <c r="C18" s="449"/>
      <c r="D18" s="449"/>
      <c r="E18" s="450"/>
      <c r="F18" s="451"/>
      <c r="G18" s="452">
        <f>F18*IFERROR(HLOOKUP(Věci!$C$2,Věci!$A$2:$C$529,MATCH(A18,Věci!$A$2:$A$529,0),FALSE),0)</f>
        <v>0</v>
      </c>
      <c r="H18" s="823"/>
      <c r="I18" s="1376"/>
      <c r="J18" s="1375"/>
      <c r="K18" s="1377"/>
      <c r="L18" s="1378"/>
      <c r="M18" s="451"/>
      <c r="N18" s="452"/>
      <c r="O18" s="761"/>
      <c r="P18" s="380"/>
      <c r="S18" s="381" t="s">
        <v>974</v>
      </c>
    </row>
    <row r="19" spans="1:26" ht="12.9" customHeight="1" x14ac:dyDescent="0.3">
      <c r="A19" s="1374"/>
      <c r="B19" s="1375"/>
      <c r="C19" s="449"/>
      <c r="D19" s="449"/>
      <c r="E19" s="450"/>
      <c r="F19" s="451"/>
      <c r="G19" s="452">
        <f>F19*IFERROR(HLOOKUP(Věci!$C$2,Věci!$A$2:$C$529,MATCH(A19,Věci!$A$2:$A$529,0),FALSE),0)</f>
        <v>0</v>
      </c>
      <c r="H19" s="823"/>
      <c r="I19" s="1376"/>
      <c r="J19" s="1375"/>
      <c r="K19" s="1377"/>
      <c r="L19" s="1378"/>
      <c r="M19" s="451"/>
      <c r="N19" s="452"/>
      <c r="O19" s="761"/>
      <c r="P19" s="380"/>
      <c r="S19" s="381" t="s">
        <v>1261</v>
      </c>
    </row>
    <row r="20" spans="1:26" ht="12.9" customHeight="1" x14ac:dyDescent="0.3">
      <c r="A20" s="1374"/>
      <c r="B20" s="1375"/>
      <c r="C20" s="449"/>
      <c r="D20" s="449"/>
      <c r="E20" s="450"/>
      <c r="F20" s="451"/>
      <c r="G20" s="452">
        <f>F20*IFERROR(HLOOKUP(Věci!$C$2,Věci!$A$2:$C$529,MATCH(A20,Věci!$A$2:$A$529,0),FALSE),0)</f>
        <v>0</v>
      </c>
      <c r="H20" s="823"/>
      <c r="I20" s="1376"/>
      <c r="J20" s="1375"/>
      <c r="K20" s="1377"/>
      <c r="L20" s="1378"/>
      <c r="M20" s="451"/>
      <c r="N20" s="452"/>
      <c r="O20" s="761"/>
      <c r="P20" s="380"/>
      <c r="S20" s="381" t="s">
        <v>434</v>
      </c>
    </row>
    <row r="21" spans="1:26" ht="12.9" customHeight="1" x14ac:dyDescent="0.3">
      <c r="A21" s="1374"/>
      <c r="B21" s="1375"/>
      <c r="C21" s="449"/>
      <c r="D21" s="449"/>
      <c r="E21" s="450"/>
      <c r="F21" s="451"/>
      <c r="G21" s="452">
        <f>F21*IFERROR(HLOOKUP(Věci!$C$2,Věci!$A$2:$C$529,MATCH(A21,Věci!$A$2:$A$529,0),FALSE),0)</f>
        <v>0</v>
      </c>
      <c r="H21" s="823"/>
      <c r="I21" s="1376"/>
      <c r="J21" s="1375"/>
      <c r="K21" s="1377"/>
      <c r="L21" s="1378"/>
      <c r="M21" s="451"/>
      <c r="N21" s="452"/>
      <c r="O21" s="761"/>
      <c r="P21" s="380"/>
      <c r="S21" s="381" t="s">
        <v>2095</v>
      </c>
    </row>
    <row r="22" spans="1:26" ht="12.9" customHeight="1" x14ac:dyDescent="0.3">
      <c r="A22" s="1374"/>
      <c r="B22" s="1375"/>
      <c r="C22" s="449"/>
      <c r="D22" s="449"/>
      <c r="E22" s="450"/>
      <c r="F22" s="451"/>
      <c r="G22" s="452">
        <f>F22*IFERROR(HLOOKUP(Věci!$C$2,Věci!$A$2:$C$529,MATCH(A22,Věci!$A$2:$A$529,0),FALSE),0)</f>
        <v>0</v>
      </c>
      <c r="H22" s="823"/>
      <c r="I22" s="1376"/>
      <c r="J22" s="1375"/>
      <c r="K22" s="1377"/>
      <c r="L22" s="1378"/>
      <c r="M22" s="451"/>
      <c r="N22" s="452"/>
      <c r="O22" s="761"/>
      <c r="P22" s="380"/>
      <c r="S22" s="381" t="s">
        <v>3185</v>
      </c>
    </row>
    <row r="23" spans="1:26" ht="12.9" customHeight="1" x14ac:dyDescent="0.3">
      <c r="A23" s="1374"/>
      <c r="B23" s="1375"/>
      <c r="C23" s="449"/>
      <c r="D23" s="449"/>
      <c r="E23" s="450"/>
      <c r="F23" s="451"/>
      <c r="G23" s="452">
        <f>F23*IFERROR(HLOOKUP(Věci!$C$2,Věci!$A$2:$C$529,MATCH(A23,Věci!$A$2:$A$529,0),FALSE),0)</f>
        <v>0</v>
      </c>
      <c r="H23" s="823"/>
      <c r="I23" s="1376"/>
      <c r="J23" s="1375"/>
      <c r="K23" s="1377"/>
      <c r="L23" s="1378"/>
      <c r="M23" s="451"/>
      <c r="N23" s="452"/>
      <c r="O23" s="761"/>
      <c r="P23" s="380"/>
      <c r="S23" s="381" t="s">
        <v>365</v>
      </c>
      <c r="X23"/>
      <c r="Y23"/>
      <c r="Z23"/>
    </row>
    <row r="24" spans="1:26" ht="12.9" customHeight="1" x14ac:dyDescent="0.3">
      <c r="A24" s="1374"/>
      <c r="B24" s="1375"/>
      <c r="C24" s="449"/>
      <c r="D24" s="449"/>
      <c r="E24" s="450"/>
      <c r="F24" s="451"/>
      <c r="G24" s="452">
        <f>F24*IFERROR(HLOOKUP(Věci!$C$2,Věci!$A$2:$C$529,MATCH(A24,Věci!$A$2:$A$529,0),FALSE),0)</f>
        <v>0</v>
      </c>
      <c r="H24" s="823"/>
      <c r="I24" s="1376"/>
      <c r="J24" s="1375"/>
      <c r="K24" s="1377"/>
      <c r="L24" s="1378"/>
      <c r="M24" s="451"/>
      <c r="N24" s="452"/>
      <c r="O24" s="761"/>
      <c r="P24" s="380"/>
      <c r="S24" s="381" t="s">
        <v>501</v>
      </c>
      <c r="X24"/>
      <c r="Y24"/>
      <c r="Z24"/>
    </row>
    <row r="25" spans="1:26" ht="12.9" customHeight="1" x14ac:dyDescent="0.3">
      <c r="A25" s="1374"/>
      <c r="B25" s="1375"/>
      <c r="C25" s="449"/>
      <c r="D25" s="449"/>
      <c r="E25" s="450"/>
      <c r="F25" s="451"/>
      <c r="G25" s="452">
        <f>F25*IFERROR(HLOOKUP(Věci!$C$2,Věci!$A$2:$C$529,MATCH(A25,Věci!$A$2:$A$529,0),FALSE),0)</f>
        <v>0</v>
      </c>
      <c r="H25" s="823"/>
      <c r="I25" s="1376"/>
      <c r="J25" s="1375"/>
      <c r="K25" s="1377"/>
      <c r="L25" s="1378"/>
      <c r="M25" s="451"/>
      <c r="N25" s="452"/>
      <c r="O25" s="761"/>
      <c r="P25" s="380"/>
      <c r="S25" s="381" t="s">
        <v>967</v>
      </c>
      <c r="X25"/>
      <c r="Y25"/>
      <c r="Z25"/>
    </row>
    <row r="26" spans="1:26" ht="12.9" customHeight="1" x14ac:dyDescent="0.3">
      <c r="A26" s="1374"/>
      <c r="B26" s="1375"/>
      <c r="C26" s="449"/>
      <c r="D26" s="449"/>
      <c r="E26" s="450"/>
      <c r="F26" s="451"/>
      <c r="G26" s="452">
        <f>F26*IFERROR(HLOOKUP(Věci!$C$2,Věci!$A$2:$C$529,MATCH(A26,Věci!$A$2:$A$529,0),FALSE),0)</f>
        <v>0</v>
      </c>
      <c r="H26" s="823"/>
      <c r="I26" s="1376"/>
      <c r="J26" s="1375"/>
      <c r="K26" s="1377"/>
      <c r="L26" s="1378"/>
      <c r="M26" s="451"/>
      <c r="N26" s="452"/>
      <c r="O26" s="761"/>
      <c r="S26" s="381" t="s">
        <v>561</v>
      </c>
      <c r="X26"/>
      <c r="Y26"/>
      <c r="Z26"/>
    </row>
    <row r="27" spans="1:26" ht="12.9" customHeight="1" x14ac:dyDescent="0.3">
      <c r="A27" s="1374"/>
      <c r="B27" s="1375"/>
      <c r="C27" s="449"/>
      <c r="D27" s="449"/>
      <c r="E27" s="450"/>
      <c r="F27" s="451"/>
      <c r="G27" s="452">
        <f>F27*IFERROR(HLOOKUP(Věci!$C$2,Věci!$A$2:$C$529,MATCH(A27,Věci!$A$2:$A$529,0),FALSE),0)</f>
        <v>0</v>
      </c>
      <c r="H27" s="823"/>
      <c r="I27" s="1376"/>
      <c r="J27" s="1375"/>
      <c r="K27" s="1377"/>
      <c r="L27" s="1378"/>
      <c r="M27" s="451"/>
      <c r="N27" s="452"/>
      <c r="O27" s="761"/>
      <c r="P27" s="380"/>
      <c r="S27" s="381" t="s">
        <v>1236</v>
      </c>
      <c r="X27"/>
      <c r="Y27"/>
      <c r="Z27"/>
    </row>
    <row r="28" spans="1:26" ht="12.9" customHeight="1" x14ac:dyDescent="0.3">
      <c r="A28" s="1374"/>
      <c r="B28" s="1375"/>
      <c r="C28" s="449"/>
      <c r="D28" s="449"/>
      <c r="E28" s="450"/>
      <c r="F28" s="451"/>
      <c r="G28" s="452">
        <f>F28*IFERROR(HLOOKUP(Věci!$C$2,Věci!$A$2:$C$529,MATCH(A28,Věci!$A$2:$A$529,0),FALSE),0)</f>
        <v>0</v>
      </c>
      <c r="H28" s="823"/>
      <c r="I28" s="1376"/>
      <c r="J28" s="1375"/>
      <c r="K28" s="1377"/>
      <c r="L28" s="1378"/>
      <c r="M28" s="451"/>
      <c r="N28" s="452"/>
      <c r="O28" s="761"/>
      <c r="P28" s="380"/>
      <c r="S28" s="381" t="s">
        <v>1137</v>
      </c>
      <c r="X28"/>
      <c r="Y28"/>
      <c r="Z28"/>
    </row>
    <row r="29" spans="1:26" ht="12.9" customHeight="1" x14ac:dyDescent="0.3">
      <c r="A29" s="1374"/>
      <c r="B29" s="1375"/>
      <c r="C29" s="449"/>
      <c r="D29" s="449"/>
      <c r="E29" s="450"/>
      <c r="F29" s="451"/>
      <c r="G29" s="452">
        <f>F29*IFERROR(HLOOKUP(Věci!$C$2,Věci!$A$2:$C$529,MATCH(A29,Věci!$A$2:$A$529,0),FALSE),0)</f>
        <v>0</v>
      </c>
      <c r="H29" s="823"/>
      <c r="I29" s="1376"/>
      <c r="J29" s="1375"/>
      <c r="K29" s="1377"/>
      <c r="L29" s="1378"/>
      <c r="M29" s="451"/>
      <c r="N29" s="452"/>
      <c r="O29" s="761"/>
      <c r="P29" s="380"/>
      <c r="S29" s="381" t="s">
        <v>1238</v>
      </c>
      <c r="X29"/>
      <c r="Y29"/>
      <c r="Z29"/>
    </row>
    <row r="30" spans="1:26" ht="12.9" customHeight="1" x14ac:dyDescent="0.3">
      <c r="A30"/>
      <c r="B30"/>
      <c r="C30"/>
      <c r="D30"/>
      <c r="E30"/>
      <c r="F30" s="3" t="s">
        <v>5725</v>
      </c>
      <c r="G30" s="1161">
        <f>SUM(G14:G29)</f>
        <v>0</v>
      </c>
      <c r="H30" s="823"/>
      <c r="I30" s="1376"/>
      <c r="J30" s="1375"/>
      <c r="K30" s="1377"/>
      <c r="L30" s="1378"/>
      <c r="M30" s="451"/>
      <c r="N30" s="452"/>
      <c r="O30" s="761"/>
      <c r="P30" s="380"/>
      <c r="S30" s="381" t="s">
        <v>2096</v>
      </c>
      <c r="X30"/>
      <c r="Y30"/>
      <c r="Z30"/>
    </row>
    <row r="31" spans="1:26" ht="12.9" customHeight="1" x14ac:dyDescent="0.3">
      <c r="A31" s="822" t="s">
        <v>5731</v>
      </c>
      <c r="B31"/>
      <c r="C31"/>
      <c r="D31"/>
      <c r="E31"/>
      <c r="F31"/>
      <c r="G31"/>
      <c r="H31" s="823"/>
      <c r="I31" s="1376"/>
      <c r="J31" s="1375"/>
      <c r="K31" s="1377"/>
      <c r="L31" s="1378"/>
      <c r="M31" s="451"/>
      <c r="N31" s="452"/>
      <c r="O31" s="761"/>
      <c r="P31" s="380"/>
      <c r="S31" s="381" t="s">
        <v>1237</v>
      </c>
      <c r="W31"/>
      <c r="X31"/>
      <c r="Y31"/>
      <c r="Z31"/>
    </row>
    <row r="32" spans="1:26" ht="12.9" customHeight="1" x14ac:dyDescent="0.3">
      <c r="A32" s="1381" t="s">
        <v>4492</v>
      </c>
      <c r="B32" s="1380"/>
      <c r="C32" s="1382" t="s">
        <v>154</v>
      </c>
      <c r="D32" s="1379"/>
      <c r="E32" s="1379"/>
      <c r="F32" s="1380"/>
      <c r="G32" s="1000" t="s">
        <v>151</v>
      </c>
      <c r="H32" s="823"/>
      <c r="I32" s="1376"/>
      <c r="J32" s="1375"/>
      <c r="K32" s="1377"/>
      <c r="L32" s="1378"/>
      <c r="M32" s="451"/>
      <c r="N32" s="452"/>
      <c r="O32" s="761"/>
      <c r="P32" s="380"/>
      <c r="S32" s="381" t="s">
        <v>3927</v>
      </c>
      <c r="W32"/>
      <c r="X32"/>
      <c r="Y32"/>
      <c r="Z32"/>
    </row>
    <row r="33" spans="1:26" ht="12.9" customHeight="1" x14ac:dyDescent="0.3">
      <c r="A33" s="1374"/>
      <c r="B33" s="1375"/>
      <c r="C33" s="1162"/>
      <c r="D33" s="1163"/>
      <c r="E33" s="1163"/>
      <c r="F33" s="1164"/>
      <c r="G33" s="451"/>
      <c r="H33" s="823"/>
      <c r="I33" s="1376"/>
      <c r="J33" s="1375"/>
      <c r="K33" s="1377"/>
      <c r="L33" s="1378"/>
      <c r="M33" s="451"/>
      <c r="N33" s="452"/>
      <c r="O33" s="761"/>
      <c r="P33" s="380"/>
      <c r="S33" s="381" t="s">
        <v>939</v>
      </c>
      <c r="W33"/>
      <c r="X33"/>
      <c r="Y33"/>
      <c r="Z33"/>
    </row>
    <row r="34" spans="1:26" ht="12.9" customHeight="1" x14ac:dyDescent="0.3">
      <c r="A34" s="1374"/>
      <c r="B34" s="1375"/>
      <c r="C34" s="1162"/>
      <c r="D34" s="1163"/>
      <c r="E34" s="1163"/>
      <c r="F34" s="1164"/>
      <c r="G34" s="451"/>
      <c r="H34" s="823"/>
      <c r="I34" s="1376"/>
      <c r="J34" s="1375"/>
      <c r="K34" s="1377"/>
      <c r="L34" s="1378"/>
      <c r="M34" s="451"/>
      <c r="N34" s="452"/>
      <c r="O34" s="761"/>
      <c r="P34" s="380"/>
      <c r="S34" s="381" t="s">
        <v>3256</v>
      </c>
      <c r="W34"/>
      <c r="X34"/>
      <c r="Y34"/>
      <c r="Z34"/>
    </row>
    <row r="35" spans="1:26" ht="12.9" customHeight="1" x14ac:dyDescent="0.3">
      <c r="A35" s="1374"/>
      <c r="B35" s="1375"/>
      <c r="C35" s="1162"/>
      <c r="D35" s="1163"/>
      <c r="E35" s="1163"/>
      <c r="F35" s="1164"/>
      <c r="G35" s="451"/>
      <c r="H35" s="823"/>
      <c r="I35" s="1376"/>
      <c r="J35" s="1375"/>
      <c r="K35" s="1377"/>
      <c r="L35" s="1378"/>
      <c r="M35" s="451"/>
      <c r="N35" s="452"/>
      <c r="O35" s="761"/>
      <c r="P35" s="380"/>
      <c r="S35" s="381" t="s">
        <v>369</v>
      </c>
      <c r="W35"/>
      <c r="X35"/>
      <c r="Y35"/>
      <c r="Z35"/>
    </row>
    <row r="36" spans="1:26" ht="12.9" customHeight="1" x14ac:dyDescent="0.3">
      <c r="A36" s="1374"/>
      <c r="B36" s="1375"/>
      <c r="C36" s="1162"/>
      <c r="D36" s="1163"/>
      <c r="E36" s="1163"/>
      <c r="F36" s="1164"/>
      <c r="G36" s="451"/>
      <c r="H36" s="823"/>
      <c r="I36" s="1376"/>
      <c r="J36" s="1375"/>
      <c r="K36" s="1377"/>
      <c r="L36" s="1378"/>
      <c r="M36" s="451"/>
      <c r="N36" s="452"/>
      <c r="O36" s="761"/>
      <c r="P36" s="380"/>
      <c r="Q36" s="383"/>
      <c r="S36" s="381" t="s">
        <v>4912</v>
      </c>
      <c r="X36"/>
      <c r="Y36"/>
      <c r="Z36"/>
    </row>
    <row r="37" spans="1:26" ht="12.9" customHeight="1" x14ac:dyDescent="0.3">
      <c r="A37" s="1374"/>
      <c r="B37" s="1375"/>
      <c r="C37" s="1162"/>
      <c r="D37" s="1163"/>
      <c r="E37" s="1163"/>
      <c r="F37" s="1164"/>
      <c r="G37" s="451"/>
      <c r="H37" s="823"/>
      <c r="I37" s="1376"/>
      <c r="J37" s="1375"/>
      <c r="K37" s="1377"/>
      <c r="L37" s="1378"/>
      <c r="M37" s="451"/>
      <c r="N37" s="452"/>
      <c r="O37" s="761"/>
      <c r="P37" s="380"/>
      <c r="Q37" s="383"/>
      <c r="S37" s="381" t="s">
        <v>3183</v>
      </c>
      <c r="X37"/>
      <c r="Y37"/>
      <c r="Z37"/>
    </row>
    <row r="38" spans="1:26" ht="12.9" customHeight="1" x14ac:dyDescent="0.3">
      <c r="A38" s="1374"/>
      <c r="B38" s="1375"/>
      <c r="C38" s="1162"/>
      <c r="D38" s="1163"/>
      <c r="E38" s="1163"/>
      <c r="F38" s="1164"/>
      <c r="G38" s="451"/>
      <c r="H38" s="823"/>
      <c r="I38" s="1376"/>
      <c r="J38" s="1375"/>
      <c r="K38" s="1377"/>
      <c r="L38" s="1378"/>
      <c r="M38" s="451"/>
      <c r="N38" s="452"/>
      <c r="O38" s="761"/>
      <c r="P38" s="380"/>
      <c r="Q38" s="383"/>
      <c r="S38" s="381" t="s">
        <v>981</v>
      </c>
      <c r="X38"/>
      <c r="Y38"/>
      <c r="Z38"/>
    </row>
    <row r="39" spans="1:26" ht="12.9" customHeight="1" x14ac:dyDescent="0.3">
      <c r="A39" s="1374"/>
      <c r="B39" s="1375"/>
      <c r="C39" s="1162"/>
      <c r="D39" s="1163"/>
      <c r="E39" s="1163"/>
      <c r="F39" s="1164"/>
      <c r="G39" s="451"/>
      <c r="H39" s="823"/>
      <c r="I39" s="1376"/>
      <c r="J39" s="1375"/>
      <c r="K39" s="1377"/>
      <c r="L39" s="1378"/>
      <c r="M39" s="451"/>
      <c r="N39" s="452"/>
      <c r="O39" s="761"/>
      <c r="P39" s="380"/>
      <c r="Q39" s="383"/>
      <c r="S39" s="381" t="s">
        <v>980</v>
      </c>
      <c r="X39"/>
      <c r="Y39"/>
      <c r="Z39"/>
    </row>
    <row r="40" spans="1:26" ht="12.9" customHeight="1" x14ac:dyDescent="0.3">
      <c r="A40" s="1374"/>
      <c r="B40" s="1375"/>
      <c r="C40" s="1162"/>
      <c r="D40" s="1163"/>
      <c r="E40" s="1163"/>
      <c r="F40" s="1164"/>
      <c r="G40" s="451"/>
      <c r="H40" s="823"/>
      <c r="I40" s="1376"/>
      <c r="J40" s="1375"/>
      <c r="K40" s="1377"/>
      <c r="L40" s="1378"/>
      <c r="M40" s="451"/>
      <c r="N40" s="452"/>
      <c r="O40" s="761"/>
      <c r="P40" s="380"/>
      <c r="Q40" s="383"/>
      <c r="S40" s="381" t="s">
        <v>497</v>
      </c>
      <c r="X40"/>
      <c r="Y40"/>
      <c r="Z40"/>
    </row>
    <row r="41" spans="1:26" ht="12.9" customHeight="1" x14ac:dyDescent="0.3">
      <c r="A41" s="1374"/>
      <c r="B41" s="1375"/>
      <c r="C41" s="1162"/>
      <c r="D41" s="1163"/>
      <c r="E41" s="1163"/>
      <c r="F41" s="1164"/>
      <c r="G41" s="451"/>
      <c r="H41" s="823"/>
      <c r="I41" s="1376"/>
      <c r="J41" s="1375"/>
      <c r="K41" s="1377"/>
      <c r="L41" s="1378"/>
      <c r="M41" s="451"/>
      <c r="N41" s="452"/>
      <c r="O41" s="761"/>
      <c r="P41" s="380"/>
      <c r="Q41" s="383"/>
      <c r="S41" s="381" t="s">
        <v>3182</v>
      </c>
      <c r="X41"/>
      <c r="Y41"/>
      <c r="Z41"/>
    </row>
    <row r="42" spans="1:26" ht="12.9" customHeight="1" x14ac:dyDescent="0.3">
      <c r="A42" s="1374"/>
      <c r="B42" s="1375"/>
      <c r="C42" s="1162"/>
      <c r="D42" s="1163"/>
      <c r="E42" s="1163"/>
      <c r="F42" s="1164"/>
      <c r="G42" s="451"/>
      <c r="H42" s="823"/>
      <c r="I42" s="1376"/>
      <c r="J42" s="1375"/>
      <c r="K42" s="1377"/>
      <c r="L42" s="1378"/>
      <c r="M42" s="451"/>
      <c r="N42" s="452"/>
      <c r="O42" s="761"/>
      <c r="P42" s="380"/>
      <c r="Q42" s="383"/>
      <c r="S42" s="381" t="s">
        <v>979</v>
      </c>
      <c r="X42"/>
      <c r="Y42"/>
      <c r="Z42"/>
    </row>
    <row r="43" spans="1:26" ht="12.9" customHeight="1" x14ac:dyDescent="0.3">
      <c r="A43" s="1374"/>
      <c r="B43" s="1375"/>
      <c r="C43" s="1162"/>
      <c r="D43" s="1163"/>
      <c r="E43" s="1163"/>
      <c r="F43" s="1164"/>
      <c r="G43" s="451"/>
      <c r="H43" s="825"/>
      <c r="I43" s="1376"/>
      <c r="J43" s="1375"/>
      <c r="K43" s="1377"/>
      <c r="L43" s="1378"/>
      <c r="M43" s="451"/>
      <c r="N43" s="452"/>
      <c r="O43" s="761"/>
      <c r="P43" s="380"/>
      <c r="Q43" s="383"/>
      <c r="S43" s="381" t="s">
        <v>1307</v>
      </c>
      <c r="X43"/>
      <c r="Y43"/>
      <c r="Z43"/>
    </row>
    <row r="44" spans="1:26" ht="12.9" customHeight="1" x14ac:dyDescent="0.3">
      <c r="A44" s="1374"/>
      <c r="B44" s="1375"/>
      <c r="C44" s="1162"/>
      <c r="D44" s="1163"/>
      <c r="E44" s="1163"/>
      <c r="F44" s="1164"/>
      <c r="G44" s="451"/>
      <c r="H44" s="825"/>
      <c r="I44" s="1376"/>
      <c r="J44" s="1375"/>
      <c r="K44" s="1377"/>
      <c r="L44" s="1378"/>
      <c r="M44" s="451"/>
      <c r="N44" s="452"/>
      <c r="O44" s="761"/>
      <c r="P44" s="380"/>
      <c r="Q44" s="383"/>
      <c r="S44" s="381" t="s">
        <v>1214</v>
      </c>
      <c r="X44"/>
      <c r="Y44"/>
      <c r="Z44"/>
    </row>
    <row r="45" spans="1:26" ht="12.9" customHeight="1" x14ac:dyDescent="0.3">
      <c r="A45" s="1374"/>
      <c r="B45" s="1375"/>
      <c r="C45" s="1162"/>
      <c r="D45" s="1163"/>
      <c r="E45" s="1163"/>
      <c r="F45" s="1164"/>
      <c r="G45" s="451"/>
      <c r="H45" s="825"/>
      <c r="I45" s="1376"/>
      <c r="J45" s="1375"/>
      <c r="K45" s="1377"/>
      <c r="L45" s="1378"/>
      <c r="M45" s="451"/>
      <c r="N45" s="452"/>
      <c r="O45" s="761"/>
      <c r="P45" s="380"/>
      <c r="Q45" s="383"/>
      <c r="S45" s="381" t="s">
        <v>381</v>
      </c>
      <c r="X45"/>
      <c r="Y45"/>
      <c r="Z45"/>
    </row>
    <row r="46" spans="1:26" ht="12.9" customHeight="1" x14ac:dyDescent="0.3">
      <c r="A46" s="1374"/>
      <c r="B46" s="1375"/>
      <c r="C46" s="1162"/>
      <c r="D46" s="1163"/>
      <c r="E46" s="1163"/>
      <c r="F46" s="1164"/>
      <c r="G46" s="451"/>
      <c r="H46" s="825"/>
      <c r="I46" s="1376"/>
      <c r="J46" s="1375"/>
      <c r="K46" s="1377"/>
      <c r="L46" s="1378"/>
      <c r="M46" s="451"/>
      <c r="N46" s="452"/>
      <c r="O46" s="761"/>
      <c r="P46" s="380"/>
      <c r="S46" s="381" t="s">
        <v>1142</v>
      </c>
      <c r="X46"/>
      <c r="Y46"/>
      <c r="Z46"/>
    </row>
    <row r="47" spans="1:26" ht="12.9" customHeight="1" x14ac:dyDescent="0.3">
      <c r="A47" s="1374"/>
      <c r="B47" s="1375"/>
      <c r="C47" s="1162"/>
      <c r="D47" s="1163"/>
      <c r="E47" s="1163"/>
      <c r="F47" s="1164"/>
      <c r="G47" s="451"/>
      <c r="H47" s="825"/>
      <c r="I47" s="1376"/>
      <c r="J47" s="1375"/>
      <c r="K47" s="1377"/>
      <c r="L47" s="1378"/>
      <c r="M47" s="451"/>
      <c r="N47" s="452"/>
      <c r="O47" s="761"/>
      <c r="P47" s="380"/>
      <c r="S47" s="381" t="s">
        <v>3919</v>
      </c>
      <c r="X47"/>
      <c r="Y47"/>
      <c r="Z47"/>
    </row>
    <row r="48" spans="1:26" ht="12.9" customHeight="1" x14ac:dyDescent="0.3">
      <c r="A48" s="1374"/>
      <c r="B48" s="1375"/>
      <c r="C48" s="1162"/>
      <c r="D48" s="1163"/>
      <c r="E48" s="1163"/>
      <c r="F48" s="1164"/>
      <c r="G48" s="451"/>
      <c r="H48" s="825"/>
      <c r="I48" s="1376"/>
      <c r="J48" s="1375"/>
      <c r="K48" s="1377"/>
      <c r="L48" s="1378"/>
      <c r="M48" s="451"/>
      <c r="N48" s="452"/>
      <c r="O48" s="761"/>
      <c r="P48" s="380"/>
      <c r="S48" s="381" t="s">
        <v>941</v>
      </c>
      <c r="X48"/>
      <c r="Y48"/>
      <c r="Z48"/>
    </row>
    <row r="49" spans="1:26" ht="12.9" customHeight="1" x14ac:dyDescent="0.3">
      <c r="A49" s="1374"/>
      <c r="B49" s="1375"/>
      <c r="C49" s="1162"/>
      <c r="D49" s="1163"/>
      <c r="E49" s="1163"/>
      <c r="F49" s="1164"/>
      <c r="G49" s="451"/>
      <c r="H49" s="825"/>
      <c r="I49" s="1376"/>
      <c r="J49" s="1375"/>
      <c r="K49" s="1377"/>
      <c r="L49" s="1378"/>
      <c r="M49" s="451"/>
      <c r="N49" s="452"/>
      <c r="O49" s="761"/>
      <c r="P49" s="380"/>
      <c r="S49" s="381" t="s">
        <v>4552</v>
      </c>
      <c r="X49"/>
      <c r="Y49"/>
      <c r="Z49"/>
    </row>
    <row r="50" spans="1:26" ht="12.9" customHeight="1" x14ac:dyDescent="0.3">
      <c r="A50" s="1374"/>
      <c r="B50" s="1375"/>
      <c r="C50" s="1162"/>
      <c r="D50" s="1163"/>
      <c r="E50" s="1163"/>
      <c r="F50" s="1164"/>
      <c r="G50" s="451"/>
      <c r="H50" s="825"/>
      <c r="I50" s="1376"/>
      <c r="J50" s="1375"/>
      <c r="K50" s="1377"/>
      <c r="L50" s="1378"/>
      <c r="M50" s="451"/>
      <c r="N50" s="452"/>
      <c r="O50" s="761"/>
      <c r="P50" s="380"/>
      <c r="S50" s="381" t="s">
        <v>4557</v>
      </c>
      <c r="X50"/>
      <c r="Y50"/>
      <c r="Z50"/>
    </row>
    <row r="51" spans="1:26" ht="12.9" customHeight="1" x14ac:dyDescent="0.3">
      <c r="A51" s="1374"/>
      <c r="B51" s="1375"/>
      <c r="C51" s="1162"/>
      <c r="D51" s="1163"/>
      <c r="E51" s="1163"/>
      <c r="F51" s="1164"/>
      <c r="G51" s="451"/>
      <c r="H51" s="825"/>
      <c r="I51" s="1376"/>
      <c r="J51" s="1375"/>
      <c r="K51" s="1377"/>
      <c r="L51" s="1378"/>
      <c r="M51" s="451"/>
      <c r="N51" s="452"/>
      <c r="O51" s="761"/>
      <c r="P51" s="380"/>
      <c r="S51" s="381" t="s">
        <v>4553</v>
      </c>
      <c r="X51"/>
      <c r="Y51"/>
      <c r="Z51"/>
    </row>
    <row r="52" spans="1:26" ht="12.9" customHeight="1" x14ac:dyDescent="0.3">
      <c r="A52" s="1374"/>
      <c r="B52" s="1375"/>
      <c r="C52" s="1162"/>
      <c r="D52" s="1163"/>
      <c r="E52" s="1163"/>
      <c r="F52" s="1164"/>
      <c r="G52" s="451"/>
      <c r="H52" s="825"/>
      <c r="I52" s="1376"/>
      <c r="J52" s="1375"/>
      <c r="K52" s="1377"/>
      <c r="L52" s="1378"/>
      <c r="M52" s="451"/>
      <c r="N52" s="452"/>
      <c r="O52" s="761"/>
      <c r="P52" s="380"/>
      <c r="S52" s="381" t="s">
        <v>4554</v>
      </c>
      <c r="X52"/>
      <c r="Y52"/>
      <c r="Z52"/>
    </row>
    <row r="53" spans="1:26" ht="12.9" customHeight="1" x14ac:dyDescent="0.3">
      <c r="A53" s="1374"/>
      <c r="B53" s="1375"/>
      <c r="C53" s="1162"/>
      <c r="D53" s="1163"/>
      <c r="E53" s="1163"/>
      <c r="F53" s="1164"/>
      <c r="G53" s="451"/>
      <c r="H53" s="825"/>
      <c r="I53" s="1376"/>
      <c r="J53" s="1375"/>
      <c r="K53" s="1377"/>
      <c r="L53" s="1378"/>
      <c r="M53" s="451"/>
      <c r="N53" s="452"/>
      <c r="O53" s="761"/>
      <c r="P53" s="380"/>
      <c r="S53" s="381" t="s">
        <v>4555</v>
      </c>
      <c r="X53"/>
      <c r="Y53"/>
      <c r="Z53"/>
    </row>
    <row r="54" spans="1:26" ht="12.9" customHeight="1" x14ac:dyDescent="0.3">
      <c r="A54" s="1374"/>
      <c r="B54" s="1375"/>
      <c r="C54" s="1162"/>
      <c r="D54" s="1163"/>
      <c r="E54" s="1163"/>
      <c r="F54" s="1164"/>
      <c r="G54" s="451"/>
      <c r="H54" s="825"/>
      <c r="I54" s="1376"/>
      <c r="J54" s="1375"/>
      <c r="K54" s="1377"/>
      <c r="L54" s="1378"/>
      <c r="M54" s="451"/>
      <c r="N54" s="452"/>
      <c r="O54" s="761"/>
      <c r="S54" s="381" t="s">
        <v>4556</v>
      </c>
      <c r="X54"/>
      <c r="Y54"/>
      <c r="Z54"/>
    </row>
    <row r="55" spans="1:26" ht="12.9" customHeight="1" x14ac:dyDescent="0.3">
      <c r="A55" s="1374"/>
      <c r="B55" s="1375"/>
      <c r="C55" s="1162"/>
      <c r="D55" s="1163"/>
      <c r="E55" s="1163"/>
      <c r="F55" s="1164"/>
      <c r="G55" s="451"/>
      <c r="H55" s="825"/>
      <c r="I55" s="1376"/>
      <c r="J55" s="1375"/>
      <c r="K55" s="1377"/>
      <c r="L55" s="1378"/>
      <c r="M55" s="451"/>
      <c r="N55" s="452"/>
      <c r="O55" s="761"/>
      <c r="S55" s="381" t="s">
        <v>4558</v>
      </c>
      <c r="X55"/>
      <c r="Y55"/>
      <c r="Z55"/>
    </row>
    <row r="56" spans="1:26" ht="12.9" customHeight="1" x14ac:dyDescent="0.3">
      <c r="A56" s="1374"/>
      <c r="B56" s="1375"/>
      <c r="C56" s="1162"/>
      <c r="D56" s="1163"/>
      <c r="E56" s="1163"/>
      <c r="F56" s="1164"/>
      <c r="G56" s="451"/>
      <c r="H56" s="825"/>
      <c r="I56" s="1376"/>
      <c r="J56" s="1375"/>
      <c r="K56" s="1377"/>
      <c r="L56" s="1378"/>
      <c r="M56" s="451"/>
      <c r="N56" s="452"/>
      <c r="O56" s="761"/>
      <c r="S56" s="381" t="s">
        <v>4904</v>
      </c>
      <c r="X56"/>
      <c r="Y56"/>
      <c r="Z56"/>
    </row>
    <row r="57" spans="1:26" ht="12.9" customHeight="1" x14ac:dyDescent="0.3">
      <c r="A57" s="1374"/>
      <c r="B57" s="1375"/>
      <c r="C57" s="1162"/>
      <c r="D57" s="1163"/>
      <c r="E57" s="1163"/>
      <c r="F57" s="1164"/>
      <c r="G57" s="451"/>
      <c r="H57" s="825"/>
      <c r="I57" s="1376"/>
      <c r="J57" s="1375"/>
      <c r="K57" s="1377"/>
      <c r="L57" s="1378"/>
      <c r="M57" s="451"/>
      <c r="N57" s="452"/>
      <c r="O57" s="761"/>
      <c r="S57" s="381" t="s">
        <v>531</v>
      </c>
      <c r="X57"/>
      <c r="Y57"/>
      <c r="Z57"/>
    </row>
    <row r="58" spans="1:26" ht="12.9" customHeight="1" x14ac:dyDescent="0.3">
      <c r="A58" s="1374"/>
      <c r="B58" s="1375"/>
      <c r="C58" s="1162"/>
      <c r="D58" s="1163"/>
      <c r="E58" s="1163"/>
      <c r="F58" s="1164"/>
      <c r="G58" s="451"/>
      <c r="H58" s="825"/>
      <c r="I58" s="1376"/>
      <c r="J58" s="1375"/>
      <c r="K58" s="1377"/>
      <c r="L58" s="1378"/>
      <c r="M58" s="451"/>
      <c r="N58" s="452"/>
      <c r="O58" s="761"/>
      <c r="S58" s="381" t="s">
        <v>376</v>
      </c>
      <c r="X58"/>
      <c r="Y58"/>
      <c r="Z58"/>
    </row>
    <row r="59" spans="1:26" ht="12.9" customHeight="1" x14ac:dyDescent="0.3">
      <c r="A59" s="1374"/>
      <c r="B59" s="1375"/>
      <c r="C59" s="1162"/>
      <c r="D59" s="1163"/>
      <c r="E59" s="1163"/>
      <c r="F59" s="1164"/>
      <c r="G59" s="451"/>
      <c r="H59" s="825"/>
      <c r="I59" s="1376"/>
      <c r="J59" s="1375"/>
      <c r="K59" s="1377"/>
      <c r="L59" s="1378"/>
      <c r="M59" s="451"/>
      <c r="N59" s="452"/>
      <c r="O59" s="761"/>
      <c r="S59" s="381" t="s">
        <v>3186</v>
      </c>
      <c r="X59"/>
      <c r="Y59"/>
      <c r="Z59"/>
    </row>
    <row r="60" spans="1:26" ht="12.9" customHeight="1" x14ac:dyDescent="0.3">
      <c r="A60" s="1374"/>
      <c r="B60" s="1375"/>
      <c r="C60" s="1162"/>
      <c r="D60" s="1163"/>
      <c r="E60" s="1163"/>
      <c r="F60" s="1164"/>
      <c r="G60" s="451"/>
      <c r="H60" s="825"/>
      <c r="I60" s="1376"/>
      <c r="J60" s="1375"/>
      <c r="K60" s="1377"/>
      <c r="L60" s="1378"/>
      <c r="M60" s="451"/>
      <c r="N60" s="452"/>
      <c r="O60" s="761"/>
      <c r="S60" s="381" t="s">
        <v>1276</v>
      </c>
      <c r="X60"/>
      <c r="Y60"/>
      <c r="Z60"/>
    </row>
    <row r="61" spans="1:26" ht="12.9" customHeight="1" x14ac:dyDescent="0.3">
      <c r="A61" s="1374"/>
      <c r="B61" s="1375"/>
      <c r="C61" s="1162"/>
      <c r="D61" s="1163"/>
      <c r="E61" s="1163"/>
      <c r="F61" s="1164"/>
      <c r="G61" s="451"/>
      <c r="H61" s="825"/>
      <c r="I61" s="1376"/>
      <c r="J61" s="1375"/>
      <c r="K61" s="1377"/>
      <c r="L61" s="1378"/>
      <c r="M61" s="451"/>
      <c r="N61" s="452"/>
      <c r="O61" s="761"/>
      <c r="S61" s="381" t="s">
        <v>373</v>
      </c>
      <c r="X61"/>
      <c r="Y61"/>
      <c r="Z61"/>
    </row>
    <row r="62" spans="1:26" ht="12.9" customHeight="1" x14ac:dyDescent="0.3">
      <c r="A62" s="1374"/>
      <c r="B62" s="1375"/>
      <c r="C62" s="1162"/>
      <c r="D62" s="1163"/>
      <c r="E62" s="1163"/>
      <c r="F62" s="1164"/>
      <c r="G62" s="451"/>
      <c r="H62" s="197"/>
      <c r="I62" s="1376"/>
      <c r="J62" s="1375"/>
      <c r="K62" s="1377"/>
      <c r="L62" s="1378"/>
      <c r="M62" s="451"/>
      <c r="N62" s="452"/>
      <c r="O62" s="761"/>
      <c r="S62" s="381" t="s">
        <v>971</v>
      </c>
      <c r="X62"/>
      <c r="Y62"/>
      <c r="Z62"/>
    </row>
    <row r="63" spans="1:26" ht="12.9" customHeight="1" x14ac:dyDescent="0.3">
      <c r="A63" s="1374"/>
      <c r="B63" s="1375"/>
      <c r="C63" s="1162"/>
      <c r="D63" s="1163"/>
      <c r="E63" s="1163"/>
      <c r="F63" s="1164"/>
      <c r="G63" s="451"/>
      <c r="H63" s="197"/>
      <c r="I63" s="1376"/>
      <c r="J63" s="1375"/>
      <c r="K63" s="1377"/>
      <c r="L63" s="1378"/>
      <c r="M63" s="451"/>
      <c r="N63" s="452"/>
      <c r="O63" s="801"/>
      <c r="S63" s="381" t="s">
        <v>473</v>
      </c>
      <c r="X63"/>
      <c r="Y63"/>
      <c r="Z63"/>
    </row>
    <row r="64" spans="1:26" ht="12.9" customHeight="1" x14ac:dyDescent="0.3">
      <c r="A64" s="1374"/>
      <c r="B64" s="1375"/>
      <c r="C64" s="1162"/>
      <c r="D64" s="1163"/>
      <c r="E64" s="1163"/>
      <c r="F64" s="1164"/>
      <c r="G64" s="451"/>
      <c r="H64" s="197"/>
      <c r="I64" s="1376"/>
      <c r="J64" s="1375"/>
      <c r="K64" s="1377"/>
      <c r="L64" s="1378"/>
      <c r="M64" s="451"/>
      <c r="N64" s="452"/>
      <c r="O64" s="801"/>
      <c r="S64" s="381" t="s">
        <v>514</v>
      </c>
    </row>
    <row r="65" spans="1:19" ht="12.9" customHeight="1" x14ac:dyDescent="0.3">
      <c r="A65" s="1374"/>
      <c r="B65" s="1375"/>
      <c r="C65" s="1162"/>
      <c r="D65" s="1163"/>
      <c r="E65" s="1163"/>
      <c r="F65" s="1164"/>
      <c r="G65" s="451"/>
      <c r="H65" s="197"/>
      <c r="I65" s="1376"/>
      <c r="J65" s="1375"/>
      <c r="K65" s="1377"/>
      <c r="L65" s="1378"/>
      <c r="M65" s="451"/>
      <c r="N65" s="452"/>
      <c r="O65" s="801"/>
      <c r="S65" s="381" t="s">
        <v>500</v>
      </c>
    </row>
    <row r="66" spans="1:19" ht="12.9" customHeight="1" x14ac:dyDescent="0.3">
      <c r="A66" s="1374"/>
      <c r="B66" s="1375"/>
      <c r="C66" s="1162"/>
      <c r="D66" s="1163"/>
      <c r="E66" s="1163"/>
      <c r="F66" s="1164"/>
      <c r="G66" s="451"/>
      <c r="I66" s="1376"/>
      <c r="J66" s="1375"/>
      <c r="K66" s="1377"/>
      <c r="L66" s="1378"/>
      <c r="M66" s="451"/>
      <c r="N66" s="452"/>
      <c r="O66" s="801"/>
      <c r="S66" s="381" t="s">
        <v>3929</v>
      </c>
    </row>
    <row r="67" spans="1:19" ht="12.9" customHeight="1" x14ac:dyDescent="0.3">
      <c r="A67" s="1374"/>
      <c r="B67" s="1375"/>
      <c r="C67" s="1162"/>
      <c r="D67" s="1163"/>
      <c r="E67" s="1163"/>
      <c r="F67" s="1164"/>
      <c r="G67" s="451"/>
      <c r="I67" s="1376"/>
      <c r="J67" s="1375"/>
      <c r="K67" s="1377"/>
      <c r="L67" s="1378"/>
      <c r="M67" s="451"/>
      <c r="N67" s="452"/>
      <c r="O67" s="801"/>
      <c r="S67" s="381" t="s">
        <v>490</v>
      </c>
    </row>
    <row r="68" spans="1:19" ht="12.9" customHeight="1" x14ac:dyDescent="0.3">
      <c r="A68" s="1374"/>
      <c r="B68" s="1375"/>
      <c r="C68" s="1162"/>
      <c r="D68" s="1163"/>
      <c r="E68" s="1163"/>
      <c r="F68" s="1164"/>
      <c r="G68" s="451"/>
      <c r="M68"/>
      <c r="N68"/>
      <c r="O68" s="801"/>
      <c r="S68" s="381" t="s">
        <v>1213</v>
      </c>
    </row>
    <row r="69" spans="1:19" ht="12.9" customHeight="1" x14ac:dyDescent="0.3">
      <c r="A69" s="1374"/>
      <c r="B69" s="1375"/>
      <c r="C69" s="1162"/>
      <c r="D69" s="1163"/>
      <c r="E69" s="1163"/>
      <c r="F69" s="1164"/>
      <c r="G69" s="451"/>
      <c r="I69" s="824" t="s">
        <v>48</v>
      </c>
      <c r="J69" s="1169" t="s">
        <v>5727</v>
      </c>
      <c r="K69" s="454"/>
      <c r="L69" s="823"/>
      <c r="M69" s="823"/>
      <c r="N69" s="1010" t="s">
        <v>151</v>
      </c>
      <c r="O69" s="801"/>
      <c r="S69" s="381" t="s">
        <v>3787</v>
      </c>
    </row>
    <row r="70" spans="1:19" ht="12.9" customHeight="1" x14ac:dyDescent="0.3">
      <c r="A70" s="1374"/>
      <c r="B70" s="1375"/>
      <c r="C70" s="1162"/>
      <c r="D70" s="1163"/>
      <c r="E70" s="1163"/>
      <c r="F70" s="1164"/>
      <c r="G70" s="451"/>
      <c r="I70" s="1011" t="s">
        <v>682</v>
      </c>
      <c r="J70" s="453"/>
      <c r="K70" s="453"/>
      <c r="L70" s="453"/>
      <c r="M70" s="453"/>
      <c r="N70" s="448"/>
      <c r="O70" s="1008"/>
      <c r="S70" s="381" t="s">
        <v>360</v>
      </c>
    </row>
    <row r="71" spans="1:19" ht="12.9" customHeight="1" x14ac:dyDescent="0.3">
      <c r="A71" s="1374"/>
      <c r="B71" s="1375"/>
      <c r="C71" s="1162"/>
      <c r="D71" s="1163"/>
      <c r="E71" s="1163"/>
      <c r="F71" s="1164"/>
      <c r="G71" s="451"/>
      <c r="I71" s="1011" t="s">
        <v>5728</v>
      </c>
      <c r="J71" s="453"/>
      <c r="K71" s="453"/>
      <c r="L71" s="453"/>
      <c r="M71" s="453"/>
      <c r="N71" s="448"/>
      <c r="O71" s="1008"/>
      <c r="S71" s="381" t="s">
        <v>513</v>
      </c>
    </row>
    <row r="72" spans="1:19" ht="12.9" customHeight="1" x14ac:dyDescent="0.3">
      <c r="A72" s="1374"/>
      <c r="B72" s="1375"/>
      <c r="C72" s="1162"/>
      <c r="D72" s="1163"/>
      <c r="E72" s="1163"/>
      <c r="F72" s="1164"/>
      <c r="G72" s="451"/>
      <c r="I72" s="1011" t="s">
        <v>684</v>
      </c>
      <c r="J72" s="453"/>
      <c r="K72" s="453"/>
      <c r="L72" s="453"/>
      <c r="M72" s="453"/>
      <c r="N72" s="448"/>
      <c r="O72" s="1008"/>
      <c r="S72" s="381" t="s">
        <v>372</v>
      </c>
    </row>
    <row r="73" spans="1:19" ht="12.9" customHeight="1" thickBot="1" x14ac:dyDescent="0.35">
      <c r="A73" s="1383"/>
      <c r="B73" s="1384"/>
      <c r="C73" s="1165"/>
      <c r="D73" s="1166"/>
      <c r="E73" s="1166"/>
      <c r="F73" s="1167"/>
      <c r="G73" s="1168"/>
      <c r="H73" s="804"/>
      <c r="I73" s="1170" t="s">
        <v>5729</v>
      </c>
      <c r="J73" s="1006"/>
      <c r="K73" s="1006"/>
      <c r="L73" s="1006"/>
      <c r="M73" s="1006"/>
      <c r="N73" s="1007"/>
      <c r="O73" s="1009"/>
      <c r="S73" s="381" t="s">
        <v>471</v>
      </c>
    </row>
    <row r="74" spans="1:19" ht="12.9" customHeight="1" x14ac:dyDescent="0.3">
      <c r="L74" s="447"/>
      <c r="M74" s="447"/>
      <c r="N74" s="447"/>
      <c r="O74" s="447"/>
      <c r="P74"/>
      <c r="Q74"/>
      <c r="S74" s="381" t="s">
        <v>4902</v>
      </c>
    </row>
    <row r="75" spans="1:19" ht="12.9" customHeight="1" x14ac:dyDescent="0.3">
      <c r="L75"/>
      <c r="M75"/>
      <c r="N75"/>
      <c r="P75"/>
      <c r="Q75"/>
      <c r="S75" s="381" t="s">
        <v>1637</v>
      </c>
    </row>
    <row r="76" spans="1:19" ht="12.9" customHeight="1" x14ac:dyDescent="0.3">
      <c r="L76"/>
      <c r="M76"/>
      <c r="N76"/>
      <c r="P76"/>
      <c r="Q76"/>
      <c r="S76" s="381" t="s">
        <v>2110</v>
      </c>
    </row>
    <row r="77" spans="1:19" ht="12.9" customHeight="1" x14ac:dyDescent="0.3">
      <c r="L77"/>
      <c r="M77"/>
      <c r="N77"/>
      <c r="P77"/>
      <c r="Q77"/>
      <c r="S77" s="381" t="s">
        <v>470</v>
      </c>
    </row>
    <row r="78" spans="1:19" ht="12.9" customHeight="1" x14ac:dyDescent="0.3">
      <c r="L78"/>
      <c r="M78"/>
      <c r="N78"/>
      <c r="P78"/>
      <c r="Q78"/>
      <c r="S78" s="381" t="s">
        <v>447</v>
      </c>
    </row>
    <row r="79" spans="1:19" ht="12.9" customHeight="1" x14ac:dyDescent="0.3">
      <c r="L79"/>
      <c r="M79"/>
      <c r="N79"/>
      <c r="P79"/>
      <c r="Q79"/>
      <c r="S79" s="381" t="s">
        <v>530</v>
      </c>
    </row>
    <row r="80" spans="1:19" ht="12.9" customHeight="1" x14ac:dyDescent="0.3">
      <c r="L80"/>
      <c r="M80"/>
      <c r="N80"/>
      <c r="P80"/>
      <c r="Q80"/>
      <c r="S80" s="381" t="s">
        <v>2101</v>
      </c>
    </row>
    <row r="81" spans="1:22" ht="12.9" customHeight="1" x14ac:dyDescent="0.3">
      <c r="L81"/>
      <c r="M81"/>
      <c r="N81"/>
      <c r="P81"/>
      <c r="Q81"/>
      <c r="S81" s="381" t="s">
        <v>4905</v>
      </c>
    </row>
    <row r="82" spans="1:22" ht="12.9" customHeight="1" x14ac:dyDescent="0.3">
      <c r="L82"/>
      <c r="M82"/>
      <c r="N82"/>
      <c r="P82"/>
      <c r="Q82"/>
      <c r="S82" s="381" t="s">
        <v>3187</v>
      </c>
    </row>
    <row r="83" spans="1:22" ht="12.9" customHeight="1" x14ac:dyDescent="0.3">
      <c r="I83"/>
      <c r="J83"/>
      <c r="K83"/>
      <c r="L83"/>
      <c r="M83"/>
      <c r="N83"/>
      <c r="O83"/>
      <c r="P83"/>
      <c r="Q83"/>
      <c r="S83" s="381" t="s">
        <v>982</v>
      </c>
    </row>
    <row r="84" spans="1:22" ht="12.9" customHeight="1" x14ac:dyDescent="0.3">
      <c r="I84"/>
      <c r="J84"/>
      <c r="K84"/>
      <c r="L84"/>
      <c r="M84"/>
      <c r="N84"/>
      <c r="O84"/>
      <c r="P84"/>
      <c r="Q84"/>
      <c r="S84" s="381" t="s">
        <v>506</v>
      </c>
    </row>
    <row r="85" spans="1:22" ht="12.9" customHeight="1" x14ac:dyDescent="0.3">
      <c r="I85"/>
      <c r="J85"/>
      <c r="K85"/>
      <c r="L85"/>
      <c r="M85"/>
      <c r="N85"/>
      <c r="O85"/>
      <c r="P85"/>
      <c r="Q85"/>
      <c r="S85" s="381" t="s">
        <v>508</v>
      </c>
    </row>
    <row r="86" spans="1:22" ht="12.9" customHeight="1" x14ac:dyDescent="0.3">
      <c r="I86"/>
      <c r="J86"/>
      <c r="K86"/>
      <c r="L86"/>
      <c r="M86"/>
      <c r="N86"/>
      <c r="O86"/>
      <c r="P86"/>
      <c r="Q86"/>
      <c r="S86" s="381" t="s">
        <v>507</v>
      </c>
    </row>
    <row r="87" spans="1:22" ht="12.9" customHeight="1" x14ac:dyDescent="0.3">
      <c r="A87"/>
      <c r="B87"/>
      <c r="C87"/>
      <c r="D87"/>
      <c r="I87"/>
      <c r="J87"/>
      <c r="K87"/>
      <c r="L87"/>
      <c r="M87"/>
      <c r="N87"/>
      <c r="O87"/>
      <c r="P87"/>
      <c r="Q87"/>
      <c r="S87" s="381" t="s">
        <v>377</v>
      </c>
    </row>
    <row r="88" spans="1:22" ht="12.9" customHeight="1" x14ac:dyDescent="0.3">
      <c r="A88"/>
      <c r="B88"/>
      <c r="C88"/>
      <c r="D88"/>
      <c r="I88"/>
      <c r="J88"/>
      <c r="K88"/>
      <c r="L88"/>
      <c r="M88"/>
      <c r="N88"/>
      <c r="O88"/>
      <c r="P88"/>
      <c r="Q88"/>
      <c r="S88" s="381" t="s">
        <v>498</v>
      </c>
    </row>
    <row r="89" spans="1:22" ht="12.9" customHeight="1" x14ac:dyDescent="0.3">
      <c r="H89"/>
      <c r="I89"/>
      <c r="J89"/>
      <c r="K89"/>
      <c r="L89"/>
      <c r="M89"/>
      <c r="N89"/>
      <c r="O89"/>
      <c r="P89"/>
      <c r="Q89"/>
      <c r="S89" s="381" t="s">
        <v>3937</v>
      </c>
    </row>
    <row r="90" spans="1:22" ht="12.9" customHeight="1" x14ac:dyDescent="0.3">
      <c r="H90"/>
      <c r="I90"/>
      <c r="J90"/>
      <c r="K90"/>
      <c r="L90"/>
      <c r="M90"/>
      <c r="N90"/>
      <c r="O90"/>
      <c r="P90"/>
      <c r="Q90"/>
      <c r="S90" s="381" t="s">
        <v>3914</v>
      </c>
    </row>
    <row r="91" spans="1:22" ht="12.9" customHeight="1" x14ac:dyDescent="0.3">
      <c r="H91"/>
      <c r="I91"/>
      <c r="J91"/>
      <c r="K91"/>
      <c r="L91"/>
      <c r="M91"/>
      <c r="N91"/>
      <c r="O91"/>
      <c r="P91"/>
      <c r="Q91"/>
      <c r="S91" s="381" t="s">
        <v>481</v>
      </c>
    </row>
    <row r="92" spans="1:22" ht="12.9" customHeight="1" x14ac:dyDescent="0.3">
      <c r="H92"/>
      <c r="I92"/>
      <c r="J92"/>
      <c r="K92"/>
      <c r="L92"/>
      <c r="M92"/>
      <c r="N92"/>
      <c r="O92"/>
      <c r="P92"/>
      <c r="Q92"/>
      <c r="S92" s="381" t="s">
        <v>1217</v>
      </c>
    </row>
    <row r="93" spans="1:22" ht="12.9" customHeight="1" x14ac:dyDescent="0.3">
      <c r="H93"/>
      <c r="I93"/>
      <c r="J93"/>
      <c r="K93"/>
      <c r="L93"/>
      <c r="M93"/>
      <c r="N93"/>
      <c r="O93"/>
      <c r="P93"/>
      <c r="Q93"/>
      <c r="S93" s="381" t="s">
        <v>430</v>
      </c>
    </row>
    <row r="94" spans="1:22" ht="12.9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S94" s="381" t="s">
        <v>4545</v>
      </c>
    </row>
    <row r="95" spans="1:22" ht="12.9" customHeight="1" x14ac:dyDescent="0.3">
      <c r="H95"/>
      <c r="I95"/>
      <c r="J95"/>
      <c r="K95"/>
      <c r="L95"/>
      <c r="M95"/>
      <c r="N95"/>
      <c r="O95"/>
      <c r="P95"/>
      <c r="Q95"/>
      <c r="S95" s="381" t="s">
        <v>4546</v>
      </c>
    </row>
    <row r="96" spans="1:22" ht="12.9" customHeight="1" x14ac:dyDescent="0.3">
      <c r="H96"/>
      <c r="I96"/>
      <c r="J96"/>
      <c r="K96"/>
      <c r="L96"/>
      <c r="M96"/>
      <c r="N96"/>
      <c r="O96"/>
      <c r="P96"/>
      <c r="Q96"/>
      <c r="S96" s="381" t="s">
        <v>4547</v>
      </c>
      <c r="V96"/>
    </row>
    <row r="97" spans="8:22" ht="12.9" customHeight="1" x14ac:dyDescent="0.3">
      <c r="H97"/>
      <c r="I97"/>
      <c r="J97"/>
      <c r="K97"/>
      <c r="L97"/>
      <c r="M97"/>
      <c r="N97"/>
      <c r="O97"/>
      <c r="P97"/>
      <c r="Q97"/>
      <c r="S97" s="381" t="s">
        <v>4548</v>
      </c>
      <c r="V97"/>
    </row>
    <row r="98" spans="8:22" ht="12.9" customHeight="1" x14ac:dyDescent="0.3">
      <c r="H98"/>
      <c r="I98"/>
      <c r="J98"/>
      <c r="K98"/>
      <c r="L98"/>
      <c r="M98"/>
      <c r="N98"/>
      <c r="O98"/>
      <c r="P98"/>
      <c r="Q98"/>
      <c r="S98" s="381" t="s">
        <v>4549</v>
      </c>
      <c r="V98"/>
    </row>
    <row r="99" spans="8:22" ht="12.9" customHeight="1" x14ac:dyDescent="0.3">
      <c r="H99"/>
      <c r="I99" s="447"/>
      <c r="J99" s="447"/>
      <c r="K99" s="447"/>
      <c r="L99" s="447"/>
      <c r="M99" s="447"/>
      <c r="N99" s="447"/>
      <c r="O99" s="447"/>
      <c r="S99" s="381" t="s">
        <v>4551</v>
      </c>
    </row>
    <row r="100" spans="8:22" ht="12.9" customHeight="1" x14ac:dyDescent="0.3">
      <c r="H100"/>
      <c r="I100" s="447"/>
      <c r="J100" s="447"/>
      <c r="K100" s="447"/>
      <c r="L100" s="447"/>
      <c r="M100" s="447"/>
      <c r="N100" s="447"/>
      <c r="O100" s="447"/>
      <c r="S100" s="381" t="s">
        <v>3796</v>
      </c>
    </row>
    <row r="101" spans="8:22" ht="12.9" customHeight="1" x14ac:dyDescent="0.3">
      <c r="H101"/>
      <c r="I101" s="447"/>
      <c r="J101" s="447"/>
      <c r="K101" s="447"/>
      <c r="L101" s="447"/>
      <c r="M101" s="447"/>
      <c r="N101" s="447"/>
      <c r="O101" s="447"/>
      <c r="S101" s="381" t="s">
        <v>3876</v>
      </c>
    </row>
    <row r="102" spans="8:22" ht="12.9" customHeight="1" x14ac:dyDescent="0.3">
      <c r="H102"/>
      <c r="I102" s="447"/>
      <c r="J102" s="447"/>
      <c r="K102" s="447"/>
      <c r="L102" s="447"/>
      <c r="M102" s="447"/>
      <c r="N102" s="447"/>
      <c r="O102" s="447"/>
      <c r="S102" s="381" t="s">
        <v>468</v>
      </c>
    </row>
    <row r="103" spans="8:22" ht="12.9" customHeight="1" x14ac:dyDescent="0.3">
      <c r="I103" s="447"/>
      <c r="J103" s="447"/>
      <c r="K103" s="447"/>
      <c r="L103" s="447"/>
      <c r="M103" s="447"/>
      <c r="N103" s="447"/>
      <c r="O103" s="447"/>
      <c r="S103" s="381" t="s">
        <v>463</v>
      </c>
    </row>
    <row r="104" spans="8:22" ht="12.9" customHeight="1" x14ac:dyDescent="0.3">
      <c r="I104" s="447"/>
      <c r="J104" s="447"/>
      <c r="K104" s="447"/>
      <c r="L104" s="447"/>
      <c r="M104" s="447"/>
      <c r="N104" s="447"/>
      <c r="O104" s="447"/>
      <c r="S104" s="381" t="s">
        <v>448</v>
      </c>
    </row>
    <row r="105" spans="8:22" ht="12.9" customHeight="1" x14ac:dyDescent="0.3">
      <c r="I105" s="447"/>
      <c r="J105" s="447"/>
      <c r="K105" s="447"/>
      <c r="L105" s="447"/>
      <c r="M105" s="447"/>
      <c r="N105" s="447"/>
      <c r="O105" s="447"/>
      <c r="S105" s="381" t="s">
        <v>449</v>
      </c>
    </row>
    <row r="106" spans="8:22" ht="12.9" customHeight="1" x14ac:dyDescent="0.3">
      <c r="H106"/>
      <c r="I106" s="447"/>
      <c r="J106" s="447"/>
      <c r="K106" s="447"/>
      <c r="L106" s="447"/>
      <c r="M106" s="447"/>
      <c r="N106" s="447"/>
      <c r="O106" s="447"/>
      <c r="S106" s="381" t="s">
        <v>4901</v>
      </c>
    </row>
    <row r="107" spans="8:22" ht="12.9" customHeight="1" x14ac:dyDescent="0.3">
      <c r="H107"/>
      <c r="I107" s="447"/>
      <c r="J107" s="447"/>
      <c r="K107" s="447"/>
      <c r="L107" s="447"/>
      <c r="M107" s="447"/>
      <c r="N107" s="447"/>
      <c r="O107" s="447"/>
      <c r="S107" s="381" t="s">
        <v>504</v>
      </c>
    </row>
    <row r="108" spans="8:22" ht="12.9" customHeight="1" x14ac:dyDescent="0.3">
      <c r="H108"/>
      <c r="I108" s="447"/>
      <c r="J108" s="447"/>
      <c r="K108" s="447"/>
      <c r="L108" s="447"/>
      <c r="M108" s="447"/>
      <c r="N108" s="447"/>
      <c r="O108" s="447"/>
      <c r="S108" s="381" t="s">
        <v>495</v>
      </c>
    </row>
    <row r="109" spans="8:22" ht="12.9" customHeight="1" x14ac:dyDescent="0.3">
      <c r="H109"/>
      <c r="I109" s="447"/>
      <c r="J109" s="447"/>
      <c r="K109" s="447"/>
      <c r="L109" s="447"/>
      <c r="M109" s="447"/>
      <c r="N109" s="447"/>
      <c r="O109" s="447"/>
      <c r="S109" s="381" t="s">
        <v>503</v>
      </c>
    </row>
    <row r="110" spans="8:22" ht="12.9" customHeight="1" x14ac:dyDescent="0.3">
      <c r="H110"/>
      <c r="I110" s="447"/>
      <c r="J110" s="447"/>
      <c r="K110" s="447"/>
      <c r="L110" s="447"/>
      <c r="M110" s="447"/>
      <c r="N110" s="447"/>
      <c r="O110" s="447"/>
      <c r="S110" s="381" t="s">
        <v>496</v>
      </c>
    </row>
    <row r="111" spans="8:22" ht="12.9" customHeight="1" x14ac:dyDescent="0.3">
      <c r="H111" s="447"/>
      <c r="I111" s="447"/>
      <c r="J111" s="447"/>
      <c r="K111" s="447"/>
      <c r="L111" s="447"/>
      <c r="M111" s="447"/>
      <c r="N111" s="447"/>
      <c r="O111" s="447"/>
      <c r="S111" s="381" t="s">
        <v>505</v>
      </c>
    </row>
    <row r="112" spans="8:22" ht="12.9" customHeight="1" x14ac:dyDescent="0.3">
      <c r="H112" s="447"/>
      <c r="I112" s="447"/>
      <c r="J112" s="447"/>
      <c r="K112" s="447"/>
      <c r="L112" s="447"/>
      <c r="M112" s="447"/>
      <c r="N112" s="447"/>
      <c r="O112" s="447"/>
      <c r="S112" s="381" t="s">
        <v>464</v>
      </c>
    </row>
    <row r="113" spans="1:19" ht="12.9" customHeight="1" x14ac:dyDescent="0.3">
      <c r="A113" s="447"/>
      <c r="B113" s="447"/>
      <c r="C113" s="447"/>
      <c r="D113" s="447"/>
      <c r="E113" s="447"/>
      <c r="F113" s="447"/>
      <c r="G113" s="447"/>
      <c r="H113" s="447"/>
      <c r="I113" s="447"/>
      <c r="J113" s="447"/>
      <c r="K113" s="447"/>
      <c r="L113" s="447"/>
      <c r="M113" s="447"/>
      <c r="N113" s="447"/>
      <c r="O113" s="447"/>
      <c r="S113" s="381" t="s">
        <v>370</v>
      </c>
    </row>
    <row r="114" spans="1:19" ht="12.9" customHeight="1" x14ac:dyDescent="0.3">
      <c r="A114" s="447"/>
      <c r="B114" s="447"/>
      <c r="C114" s="447"/>
      <c r="D114" s="447"/>
      <c r="E114" s="447"/>
      <c r="F114" s="447"/>
      <c r="G114" s="447"/>
      <c r="H114" s="447"/>
      <c r="I114" s="447"/>
      <c r="J114" s="447"/>
      <c r="K114" s="447"/>
      <c r="L114" s="447"/>
      <c r="M114" s="447"/>
      <c r="N114" s="447"/>
      <c r="O114" s="447"/>
      <c r="S114" s="381" t="s">
        <v>3772</v>
      </c>
    </row>
    <row r="115" spans="1:19" ht="12.9" customHeight="1" x14ac:dyDescent="0.3">
      <c r="A115" s="447"/>
      <c r="B115" s="447"/>
      <c r="C115" s="447"/>
      <c r="D115" s="447"/>
      <c r="E115" s="447"/>
      <c r="F115" s="447"/>
      <c r="G115" s="447"/>
      <c r="H115" s="447"/>
      <c r="I115" s="447"/>
      <c r="J115" s="447"/>
      <c r="K115" s="447"/>
      <c r="L115" s="447"/>
      <c r="M115" s="447"/>
      <c r="N115" s="447"/>
      <c r="O115" s="447"/>
      <c r="S115" s="381" t="s">
        <v>1135</v>
      </c>
    </row>
    <row r="116" spans="1:19" ht="12.9" customHeight="1" x14ac:dyDescent="0.3">
      <c r="A116" s="447"/>
      <c r="B116" s="447"/>
      <c r="C116" s="447"/>
      <c r="D116" s="447"/>
      <c r="E116" s="447"/>
      <c r="F116" s="447"/>
      <c r="G116" s="447"/>
      <c r="H116" s="447"/>
      <c r="I116" s="447"/>
      <c r="J116" s="447"/>
      <c r="K116" s="447"/>
      <c r="L116" s="447"/>
      <c r="M116" s="447"/>
      <c r="N116" s="447"/>
      <c r="O116" s="447"/>
      <c r="S116" s="381" t="s">
        <v>374</v>
      </c>
    </row>
    <row r="117" spans="1:19" ht="12.9" customHeight="1" x14ac:dyDescent="0.3">
      <c r="A117" s="447"/>
      <c r="B117" s="447"/>
      <c r="C117" s="447"/>
      <c r="D117" s="447"/>
      <c r="E117" s="447"/>
      <c r="F117" s="447"/>
      <c r="G117" s="447"/>
      <c r="H117" s="447"/>
      <c r="I117" s="447"/>
      <c r="J117" s="447"/>
      <c r="K117" s="447"/>
      <c r="L117" s="447"/>
      <c r="M117" s="447"/>
      <c r="N117" s="447"/>
      <c r="O117" s="447"/>
      <c r="S117" s="381" t="s">
        <v>972</v>
      </c>
    </row>
    <row r="118" spans="1:19" ht="12.9" customHeight="1" x14ac:dyDescent="0.3">
      <c r="A118" s="447"/>
      <c r="B118" s="447"/>
      <c r="C118" s="447"/>
      <c r="D118" s="447"/>
      <c r="E118" s="447"/>
      <c r="F118" s="447"/>
      <c r="G118" s="447"/>
      <c r="H118" s="447"/>
      <c r="I118" s="447"/>
      <c r="J118" s="447"/>
      <c r="K118" s="447"/>
      <c r="L118" s="447"/>
      <c r="M118" s="447"/>
      <c r="N118" s="447"/>
      <c r="O118" s="447"/>
      <c r="S118" s="381" t="s">
        <v>509</v>
      </c>
    </row>
    <row r="119" spans="1:19" ht="12.9" customHeight="1" x14ac:dyDescent="0.3">
      <c r="A119" s="447"/>
      <c r="B119" s="447"/>
      <c r="C119" s="447"/>
      <c r="D119" s="447"/>
      <c r="E119" s="447"/>
      <c r="F119" s="447"/>
      <c r="G119" s="447"/>
      <c r="H119" s="447"/>
      <c r="I119" s="447"/>
      <c r="J119" s="447"/>
      <c r="K119" s="447"/>
      <c r="L119" s="447"/>
      <c r="M119" s="447"/>
      <c r="N119" s="447"/>
      <c r="O119" s="447"/>
      <c r="S119" s="381" t="s">
        <v>512</v>
      </c>
    </row>
    <row r="120" spans="1:19" ht="12.9" customHeight="1" x14ac:dyDescent="0.3">
      <c r="A120" s="447"/>
      <c r="B120" s="447"/>
      <c r="C120" s="447"/>
      <c r="D120" s="447"/>
      <c r="E120" s="447"/>
      <c r="F120" s="447"/>
      <c r="G120" s="447"/>
      <c r="H120" s="447"/>
      <c r="I120" s="447"/>
      <c r="J120" s="447"/>
      <c r="K120" s="447"/>
      <c r="L120" s="447"/>
      <c r="M120" s="447"/>
      <c r="N120" s="447"/>
      <c r="O120" s="447"/>
      <c r="S120" s="381" t="s">
        <v>510</v>
      </c>
    </row>
    <row r="121" spans="1:19" ht="12.9" customHeight="1" x14ac:dyDescent="0.3">
      <c r="A121" s="447"/>
      <c r="B121" s="447"/>
      <c r="C121" s="447"/>
      <c r="D121" s="447"/>
      <c r="E121" s="447"/>
      <c r="F121" s="447"/>
      <c r="G121" s="447"/>
      <c r="H121" s="447"/>
      <c r="I121" s="447"/>
      <c r="J121" s="447"/>
      <c r="K121" s="447"/>
      <c r="L121" s="447"/>
      <c r="M121" s="447"/>
      <c r="N121" s="447"/>
      <c r="O121" s="447"/>
      <c r="S121" s="381" t="s">
        <v>511</v>
      </c>
    </row>
    <row r="122" spans="1:19" ht="12.9" customHeight="1" x14ac:dyDescent="0.3">
      <c r="A122" s="447"/>
      <c r="B122" s="447"/>
      <c r="C122" s="447"/>
      <c r="D122" s="447"/>
      <c r="E122" s="447"/>
      <c r="F122" s="447"/>
      <c r="G122" s="447"/>
      <c r="H122" s="447"/>
      <c r="I122" s="447"/>
      <c r="J122" s="447"/>
      <c r="K122" s="447"/>
      <c r="L122" s="447"/>
      <c r="M122" s="447"/>
      <c r="N122" s="447"/>
      <c r="O122" s="447"/>
      <c r="S122" s="381" t="s">
        <v>1147</v>
      </c>
    </row>
    <row r="123" spans="1:19" ht="12.9" customHeight="1" x14ac:dyDescent="0.3">
      <c r="A123" s="447"/>
      <c r="B123" s="447"/>
      <c r="C123" s="447"/>
      <c r="D123" s="447"/>
      <c r="E123" s="447"/>
      <c r="F123" s="447"/>
      <c r="G123" s="447"/>
      <c r="H123" s="447"/>
      <c r="I123" s="447"/>
      <c r="J123" s="447"/>
      <c r="K123" s="447"/>
      <c r="L123" s="447"/>
      <c r="M123" s="447"/>
      <c r="N123" s="447"/>
      <c r="O123" s="447"/>
      <c r="S123" s="381" t="s">
        <v>4550</v>
      </c>
    </row>
    <row r="124" spans="1:19" ht="12.9" customHeight="1" x14ac:dyDescent="0.3">
      <c r="A124" s="447"/>
      <c r="B124" s="447"/>
      <c r="C124" s="447"/>
      <c r="D124" s="447"/>
      <c r="E124" s="447"/>
      <c r="F124" s="447"/>
      <c r="G124" s="447"/>
      <c r="H124" s="447"/>
      <c r="I124" s="447"/>
      <c r="J124" s="447"/>
      <c r="K124" s="447"/>
      <c r="L124" s="447"/>
      <c r="M124" s="447"/>
      <c r="N124" s="447"/>
      <c r="O124" s="447"/>
      <c r="S124" s="381" t="s">
        <v>383</v>
      </c>
    </row>
    <row r="125" spans="1:19" ht="12.9" customHeight="1" x14ac:dyDescent="0.3">
      <c r="A125" s="447"/>
      <c r="B125" s="447"/>
      <c r="C125" s="447"/>
      <c r="D125" s="447"/>
      <c r="E125" s="447"/>
      <c r="F125" s="447"/>
      <c r="G125" s="447"/>
      <c r="H125" s="447"/>
      <c r="I125" s="447"/>
      <c r="J125" s="447"/>
      <c r="K125" s="447"/>
      <c r="L125" s="447"/>
      <c r="M125" s="447"/>
      <c r="N125" s="447"/>
      <c r="O125" s="447"/>
      <c r="S125" s="381" t="s">
        <v>487</v>
      </c>
    </row>
    <row r="126" spans="1:19" ht="12.9" customHeight="1" x14ac:dyDescent="0.3">
      <c r="A126" s="447"/>
      <c r="B126" s="447"/>
      <c r="C126" s="447"/>
      <c r="D126" s="447"/>
      <c r="E126" s="447"/>
      <c r="F126" s="447"/>
      <c r="G126" s="447"/>
      <c r="H126" s="447"/>
      <c r="I126" s="447"/>
      <c r="J126" s="447"/>
      <c r="K126" s="447"/>
      <c r="L126" s="447"/>
      <c r="M126" s="447"/>
      <c r="N126" s="447"/>
      <c r="O126" s="447"/>
      <c r="S126" s="381" t="s">
        <v>973</v>
      </c>
    </row>
    <row r="127" spans="1:19" ht="12.9" customHeight="1" x14ac:dyDescent="0.3">
      <c r="A127" s="447"/>
      <c r="B127" s="447"/>
      <c r="C127" s="447"/>
      <c r="D127" s="447"/>
      <c r="E127" s="447"/>
      <c r="F127" s="447"/>
      <c r="G127" s="447"/>
      <c r="H127" s="447"/>
      <c r="I127" s="447"/>
      <c r="J127" s="447"/>
      <c r="K127" s="447"/>
      <c r="L127" s="447"/>
      <c r="M127" s="447"/>
      <c r="N127" s="447"/>
      <c r="O127" s="447"/>
      <c r="S127" s="381" t="s">
        <v>363</v>
      </c>
    </row>
    <row r="128" spans="1:19" ht="12.9" customHeight="1" x14ac:dyDescent="0.3">
      <c r="A128" s="447"/>
      <c r="B128" s="447"/>
      <c r="C128" s="447"/>
      <c r="D128" s="447"/>
      <c r="E128" s="447"/>
      <c r="F128" s="447"/>
      <c r="G128" s="447"/>
      <c r="H128" s="447"/>
      <c r="I128" s="447"/>
      <c r="J128" s="447"/>
      <c r="K128" s="447"/>
      <c r="L128" s="447"/>
      <c r="M128" s="447"/>
      <c r="N128" s="447"/>
      <c r="O128" s="447"/>
      <c r="S128" s="381" t="s">
        <v>363</v>
      </c>
    </row>
    <row r="129" spans="1:19" ht="12.9" customHeight="1" x14ac:dyDescent="0.3">
      <c r="A129" s="447"/>
      <c r="B129" s="447"/>
      <c r="C129" s="447"/>
      <c r="D129" s="447"/>
      <c r="E129" s="447"/>
      <c r="F129" s="447"/>
      <c r="G129" s="447"/>
      <c r="H129" s="447"/>
      <c r="I129" s="447"/>
      <c r="J129" s="447"/>
      <c r="K129" s="447"/>
      <c r="L129" s="447"/>
      <c r="M129" s="447"/>
      <c r="N129" s="447"/>
      <c r="O129" s="447"/>
      <c r="S129" s="381" t="s">
        <v>663</v>
      </c>
    </row>
    <row r="130" spans="1:19" ht="12.9" customHeight="1" x14ac:dyDescent="0.3">
      <c r="A130" s="447"/>
      <c r="B130" s="447"/>
      <c r="C130" s="447"/>
      <c r="D130" s="447"/>
      <c r="E130" s="447"/>
      <c r="F130" s="447"/>
      <c r="G130" s="447"/>
      <c r="H130" s="447"/>
      <c r="I130" s="447"/>
      <c r="J130" s="447"/>
      <c r="K130" s="447"/>
      <c r="L130" s="447"/>
      <c r="M130" s="447"/>
      <c r="N130" s="447"/>
      <c r="O130" s="447"/>
      <c r="S130" s="381" t="s">
        <v>375</v>
      </c>
    </row>
    <row r="131" spans="1:19" ht="12.9" customHeight="1" x14ac:dyDescent="0.3">
      <c r="A131" s="447"/>
      <c r="B131" s="447"/>
      <c r="C131" s="447"/>
      <c r="D131" s="447"/>
      <c r="E131" s="447"/>
      <c r="F131" s="447"/>
      <c r="G131" s="447"/>
      <c r="H131" s="447"/>
      <c r="I131" s="447"/>
      <c r="J131" s="447"/>
      <c r="K131" s="447"/>
      <c r="L131" s="447"/>
      <c r="M131" s="447"/>
      <c r="N131" s="447"/>
      <c r="O131" s="447"/>
      <c r="S131" s="381" t="s">
        <v>1277</v>
      </c>
    </row>
    <row r="132" spans="1:19" ht="12.9" customHeight="1" x14ac:dyDescent="0.3">
      <c r="A132" s="447"/>
      <c r="B132" s="447"/>
      <c r="C132" s="447"/>
      <c r="D132" s="447"/>
      <c r="E132" s="447"/>
      <c r="F132" s="447"/>
      <c r="G132" s="447"/>
      <c r="H132" s="447"/>
      <c r="I132" s="447"/>
      <c r="J132" s="447"/>
      <c r="K132" s="447"/>
      <c r="L132" s="447"/>
      <c r="M132" s="447"/>
      <c r="N132" s="447"/>
      <c r="O132" s="447"/>
      <c r="S132" s="381" t="s">
        <v>4570</v>
      </c>
    </row>
    <row r="133" spans="1:19" ht="12.9" customHeight="1" x14ac:dyDescent="0.3">
      <c r="A133" s="447"/>
      <c r="B133" s="447"/>
      <c r="C133" s="447"/>
      <c r="D133" s="447"/>
      <c r="E133" s="447"/>
      <c r="F133" s="447"/>
      <c r="G133" s="447"/>
      <c r="H133" s="447"/>
      <c r="I133" s="447"/>
      <c r="J133" s="447"/>
      <c r="K133" s="447"/>
      <c r="L133" s="447"/>
      <c r="M133" s="447"/>
      <c r="N133" s="447"/>
      <c r="O133" s="447"/>
      <c r="S133" s="381" t="s">
        <v>1216</v>
      </c>
    </row>
    <row r="134" spans="1:19" ht="12.9" customHeight="1" x14ac:dyDescent="0.3">
      <c r="A134" s="447"/>
      <c r="B134" s="447"/>
      <c r="C134" s="447"/>
      <c r="D134" s="447"/>
      <c r="E134" s="447"/>
      <c r="F134" s="447"/>
      <c r="G134" s="447"/>
      <c r="H134" s="447"/>
      <c r="I134" s="447"/>
      <c r="J134" s="447"/>
      <c r="K134" s="447"/>
      <c r="L134" s="447"/>
      <c r="M134" s="447"/>
      <c r="N134" s="447"/>
      <c r="O134" s="447"/>
      <c r="S134" s="381" t="s">
        <v>382</v>
      </c>
    </row>
    <row r="135" spans="1:19" ht="12.9" customHeight="1" x14ac:dyDescent="0.3">
      <c r="A135" s="447"/>
      <c r="B135" s="447"/>
      <c r="C135" s="447"/>
      <c r="D135" s="447"/>
      <c r="E135" s="447"/>
      <c r="F135" s="447"/>
      <c r="G135" s="447"/>
      <c r="H135" s="447"/>
      <c r="I135" s="447"/>
      <c r="J135" s="447"/>
      <c r="K135" s="447"/>
      <c r="L135" s="447"/>
      <c r="M135" s="447"/>
      <c r="N135" s="447"/>
      <c r="O135" s="447"/>
      <c r="S135" s="381" t="s">
        <v>380</v>
      </c>
    </row>
    <row r="136" spans="1:19" ht="12.9" customHeight="1" x14ac:dyDescent="0.3">
      <c r="A136" s="447"/>
      <c r="B136" s="447"/>
      <c r="C136" s="447"/>
      <c r="D136" s="447"/>
      <c r="E136" s="447"/>
      <c r="F136" s="447"/>
      <c r="G136" s="447"/>
      <c r="H136" s="447"/>
      <c r="I136" s="447"/>
      <c r="J136" s="447"/>
      <c r="K136" s="447"/>
      <c r="L136" s="447"/>
      <c r="M136" s="447"/>
      <c r="N136" s="447"/>
      <c r="O136" s="447"/>
      <c r="S136" s="381" t="s">
        <v>976</v>
      </c>
    </row>
    <row r="137" spans="1:19" ht="12.9" customHeight="1" x14ac:dyDescent="0.3">
      <c r="A137" s="447"/>
      <c r="B137" s="447"/>
      <c r="C137" s="447"/>
      <c r="D137" s="447"/>
      <c r="E137" s="447"/>
      <c r="F137" s="447"/>
      <c r="G137" s="447"/>
      <c r="H137" s="447"/>
      <c r="I137" s="447"/>
      <c r="J137" s="447"/>
      <c r="K137" s="447"/>
      <c r="L137" s="447"/>
      <c r="M137" s="447"/>
      <c r="N137" s="447"/>
      <c r="O137" s="447"/>
      <c r="S137" s="381" t="s">
        <v>1138</v>
      </c>
    </row>
    <row r="138" spans="1:19" ht="12.9" customHeight="1" x14ac:dyDescent="0.3">
      <c r="A138" s="447"/>
      <c r="B138" s="447"/>
      <c r="C138" s="447"/>
      <c r="D138" s="447"/>
      <c r="E138" s="447"/>
      <c r="F138" s="447"/>
      <c r="G138" s="447"/>
      <c r="H138" s="447"/>
      <c r="I138" s="447"/>
      <c r="J138" s="447"/>
      <c r="K138" s="447"/>
      <c r="L138" s="447"/>
      <c r="M138" s="447"/>
      <c r="N138" s="447"/>
      <c r="O138" s="447"/>
      <c r="S138" s="381" t="s">
        <v>1185</v>
      </c>
    </row>
    <row r="139" spans="1:19" ht="12.9" customHeight="1" x14ac:dyDescent="0.3">
      <c r="A139" s="447"/>
      <c r="B139" s="447"/>
      <c r="C139" s="447"/>
      <c r="D139" s="447"/>
      <c r="E139" s="447"/>
      <c r="F139" s="447"/>
      <c r="G139" s="447"/>
      <c r="H139" s="447"/>
      <c r="I139" s="447"/>
      <c r="J139" s="447"/>
      <c r="K139" s="447"/>
      <c r="L139" s="447"/>
      <c r="M139" s="447"/>
      <c r="N139" s="447"/>
      <c r="O139" s="447"/>
      <c r="S139" s="381" t="s">
        <v>1189</v>
      </c>
    </row>
    <row r="140" spans="1:19" ht="12.9" customHeight="1" x14ac:dyDescent="0.3">
      <c r="A140" s="447"/>
      <c r="B140" s="447"/>
      <c r="C140" s="447"/>
      <c r="D140" s="447"/>
      <c r="E140" s="447"/>
      <c r="F140" s="447"/>
      <c r="G140" s="447"/>
      <c r="H140" s="447"/>
      <c r="S140" s="381" t="s">
        <v>3879</v>
      </c>
    </row>
    <row r="141" spans="1:19" ht="12.9" customHeight="1" x14ac:dyDescent="0.3">
      <c r="A141" s="447"/>
      <c r="B141" s="447"/>
      <c r="C141" s="447"/>
      <c r="D141" s="447"/>
      <c r="E141" s="447"/>
      <c r="F141" s="447"/>
      <c r="G141" s="447"/>
      <c r="H141" s="447"/>
      <c r="S141" s="381" t="s">
        <v>1188</v>
      </c>
    </row>
    <row r="142" spans="1:19" ht="12.9" customHeight="1" x14ac:dyDescent="0.3">
      <c r="A142" s="447"/>
      <c r="B142" s="447"/>
      <c r="C142" s="447"/>
      <c r="D142" s="447"/>
      <c r="E142" s="447"/>
      <c r="F142" s="447"/>
      <c r="G142" s="447"/>
      <c r="H142" s="447"/>
      <c r="S142" s="381" t="s">
        <v>1186</v>
      </c>
    </row>
    <row r="143" spans="1:19" ht="12.9" customHeight="1" x14ac:dyDescent="0.3">
      <c r="A143" s="447"/>
      <c r="B143" s="447"/>
      <c r="C143" s="447"/>
      <c r="D143" s="447"/>
      <c r="E143" s="447"/>
      <c r="F143" s="447"/>
      <c r="G143" s="447"/>
      <c r="H143" s="447"/>
      <c r="S143" s="381" t="s">
        <v>1187</v>
      </c>
    </row>
    <row r="144" spans="1:19" ht="12.9" customHeight="1" x14ac:dyDescent="0.3">
      <c r="A144" s="447"/>
      <c r="B144" s="447"/>
      <c r="C144" s="447"/>
      <c r="D144" s="447"/>
      <c r="E144" s="447"/>
      <c r="F144" s="447"/>
      <c r="G144" s="447"/>
      <c r="H144" s="447"/>
      <c r="S144" s="381" t="s">
        <v>1184</v>
      </c>
    </row>
    <row r="145" spans="1:19" ht="12.9" customHeight="1" x14ac:dyDescent="0.3">
      <c r="A145" s="447"/>
      <c r="B145" s="447"/>
      <c r="C145" s="447"/>
      <c r="D145" s="447"/>
      <c r="E145" s="447"/>
      <c r="F145" s="447"/>
      <c r="G145" s="447"/>
      <c r="H145" s="447"/>
      <c r="S145" s="381" t="s">
        <v>1228</v>
      </c>
    </row>
    <row r="146" spans="1:19" ht="12.9" customHeight="1" x14ac:dyDescent="0.3">
      <c r="A146" s="447"/>
      <c r="B146" s="447"/>
      <c r="C146" s="447"/>
      <c r="D146" s="447"/>
      <c r="E146" s="447"/>
      <c r="F146" s="447"/>
      <c r="G146" s="447"/>
      <c r="H146" s="447"/>
      <c r="S146" s="381" t="s">
        <v>384</v>
      </c>
    </row>
    <row r="147" spans="1:19" ht="12.9" customHeight="1" x14ac:dyDescent="0.3">
      <c r="A147" s="447"/>
      <c r="B147" s="447"/>
      <c r="C147" s="447"/>
      <c r="D147" s="447"/>
      <c r="E147" s="447"/>
      <c r="F147" s="447"/>
      <c r="G147" s="447"/>
      <c r="H147" s="447"/>
      <c r="S147" s="381" t="s">
        <v>2386</v>
      </c>
    </row>
    <row r="148" spans="1:19" ht="12.9" customHeight="1" x14ac:dyDescent="0.3">
      <c r="A148" s="447"/>
      <c r="B148" s="447"/>
      <c r="C148" s="447"/>
      <c r="D148" s="447"/>
      <c r="E148" s="447"/>
      <c r="F148" s="447"/>
      <c r="G148" s="447"/>
      <c r="H148" s="447"/>
      <c r="S148" s="381" t="s">
        <v>362</v>
      </c>
    </row>
    <row r="149" spans="1:19" ht="12.9" customHeight="1" x14ac:dyDescent="0.3">
      <c r="A149" s="447"/>
      <c r="B149" s="447"/>
      <c r="C149" s="447"/>
      <c r="D149" s="447"/>
      <c r="E149" s="447"/>
      <c r="F149" s="447"/>
      <c r="G149" s="447"/>
      <c r="H149" s="447"/>
      <c r="S149" s="381" t="s">
        <v>4542</v>
      </c>
    </row>
    <row r="150" spans="1:19" x14ac:dyDescent="0.3">
      <c r="A150" s="447"/>
      <c r="B150" s="447"/>
      <c r="C150" s="447"/>
      <c r="D150" s="447"/>
      <c r="E150" s="447"/>
      <c r="F150" s="447"/>
      <c r="G150" s="447"/>
      <c r="H150" s="447"/>
      <c r="S150" s="381" t="s">
        <v>450</v>
      </c>
    </row>
    <row r="151" spans="1:19" x14ac:dyDescent="0.3">
      <c r="A151" s="447"/>
      <c r="B151" s="447"/>
      <c r="C151" s="447"/>
      <c r="D151" s="447"/>
      <c r="E151" s="447"/>
      <c r="F151" s="447"/>
      <c r="G151" s="447"/>
      <c r="H151" s="447"/>
      <c r="S151" s="381" t="s">
        <v>4543</v>
      </c>
    </row>
    <row r="152" spans="1:19" x14ac:dyDescent="0.3">
      <c r="A152" s="447"/>
      <c r="B152" s="447"/>
      <c r="C152" s="447"/>
      <c r="D152" s="447"/>
      <c r="E152" s="447"/>
      <c r="F152" s="447"/>
      <c r="G152" s="447"/>
      <c r="H152" s="447"/>
      <c r="S152" s="381" t="s">
        <v>378</v>
      </c>
    </row>
    <row r="153" spans="1:19" x14ac:dyDescent="0.3">
      <c r="A153" s="447"/>
      <c r="B153" s="447"/>
      <c r="C153" s="447"/>
      <c r="D153" s="447"/>
      <c r="E153" s="447"/>
      <c r="F153" s="447"/>
      <c r="G153" s="447"/>
      <c r="H153" s="447"/>
      <c r="S153" s="381" t="s">
        <v>1136</v>
      </c>
    </row>
    <row r="154" spans="1:19" x14ac:dyDescent="0.3">
      <c r="A154" s="447"/>
      <c r="B154" s="447"/>
      <c r="C154" s="447"/>
      <c r="D154" s="447"/>
      <c r="E154" s="447"/>
      <c r="F154" s="447"/>
      <c r="G154" s="447"/>
      <c r="H154" s="447"/>
      <c r="S154" s="381" t="s">
        <v>1221</v>
      </c>
    </row>
    <row r="155" spans="1:19" x14ac:dyDescent="0.3">
      <c r="A155" s="447"/>
      <c r="B155" s="447"/>
      <c r="C155" s="447"/>
      <c r="D155" s="447"/>
      <c r="E155" s="447"/>
      <c r="F155" s="447"/>
      <c r="G155" s="447"/>
      <c r="H155" s="447"/>
      <c r="S155" s="381" t="s">
        <v>482</v>
      </c>
    </row>
    <row r="156" spans="1:19" x14ac:dyDescent="0.3">
      <c r="A156" s="447"/>
      <c r="B156" s="447"/>
      <c r="C156" s="447"/>
      <c r="D156" s="447"/>
      <c r="E156" s="447"/>
      <c r="F156" s="447"/>
      <c r="G156" s="447"/>
      <c r="H156" s="447"/>
      <c r="S156" s="381" t="s">
        <v>3792</v>
      </c>
    </row>
    <row r="157" spans="1:19" x14ac:dyDescent="0.3">
      <c r="A157" s="447"/>
      <c r="B157" s="447"/>
      <c r="C157" s="447"/>
      <c r="D157" s="447"/>
      <c r="E157" s="447"/>
      <c r="F157" s="447"/>
      <c r="G157" s="447"/>
      <c r="H157" s="447"/>
      <c r="S157" s="381" t="s">
        <v>3793</v>
      </c>
    </row>
    <row r="158" spans="1:19" x14ac:dyDescent="0.3">
      <c r="A158" s="447"/>
      <c r="B158" s="447"/>
      <c r="C158" s="447"/>
      <c r="D158" s="447"/>
      <c r="E158" s="447"/>
      <c r="F158" s="447"/>
      <c r="G158" s="447"/>
      <c r="H158" s="447"/>
      <c r="S158" s="381" t="s">
        <v>3791</v>
      </c>
    </row>
    <row r="159" spans="1:19" x14ac:dyDescent="0.3">
      <c r="S159" s="381" t="s">
        <v>525</v>
      </c>
    </row>
    <row r="160" spans="1:19" x14ac:dyDescent="0.3">
      <c r="S160" s="381" t="s">
        <v>1140</v>
      </c>
    </row>
    <row r="161" spans="19:19" x14ac:dyDescent="0.3">
      <c r="S161" s="381" t="s">
        <v>3938</v>
      </c>
    </row>
    <row r="162" spans="19:19" x14ac:dyDescent="0.3">
      <c r="S162" s="381" t="s">
        <v>3906</v>
      </c>
    </row>
    <row r="163" spans="19:19" x14ac:dyDescent="0.3">
      <c r="S163" s="381" t="s">
        <v>3781</v>
      </c>
    </row>
    <row r="164" spans="19:19" x14ac:dyDescent="0.3">
      <c r="S164" s="381" t="s">
        <v>3782</v>
      </c>
    </row>
    <row r="165" spans="19:19" x14ac:dyDescent="0.3">
      <c r="S165" s="381" t="s">
        <v>4575</v>
      </c>
    </row>
    <row r="166" spans="19:19" x14ac:dyDescent="0.3">
      <c r="S166" s="381" t="s">
        <v>379</v>
      </c>
    </row>
    <row r="167" spans="19:19" x14ac:dyDescent="0.3">
      <c r="S167" s="381" t="s">
        <v>977</v>
      </c>
    </row>
    <row r="168" spans="19:19" x14ac:dyDescent="0.3">
      <c r="S168" s="381" t="s">
        <v>499</v>
      </c>
    </row>
    <row r="169" spans="19:19" x14ac:dyDescent="0.3">
      <c r="S169" s="381" t="s">
        <v>502</v>
      </c>
    </row>
    <row r="170" spans="19:19" x14ac:dyDescent="0.3">
      <c r="S170" s="381" t="s">
        <v>3932</v>
      </c>
    </row>
    <row r="171" spans="19:19" x14ac:dyDescent="0.3">
      <c r="S171" s="381" t="s">
        <v>4526</v>
      </c>
    </row>
    <row r="172" spans="19:19" x14ac:dyDescent="0.3">
      <c r="S172" s="381" t="s">
        <v>3851</v>
      </c>
    </row>
    <row r="173" spans="19:19" x14ac:dyDescent="0.3">
      <c r="S173" s="381" t="s">
        <v>472</v>
      </c>
    </row>
    <row r="174" spans="19:19" x14ac:dyDescent="0.3">
      <c r="S174" s="381" t="s">
        <v>968</v>
      </c>
    </row>
    <row r="175" spans="19:19" x14ac:dyDescent="0.3">
      <c r="S175" s="381" t="s">
        <v>364</v>
      </c>
    </row>
    <row r="176" spans="19:19" x14ac:dyDescent="0.3">
      <c r="S176" s="381" t="s">
        <v>978</v>
      </c>
    </row>
    <row r="177" spans="19:19" x14ac:dyDescent="0.3">
      <c r="S177" s="381" t="s">
        <v>1913</v>
      </c>
    </row>
    <row r="178" spans="19:19" x14ac:dyDescent="0.3">
      <c r="S178" s="381" t="s">
        <v>446</v>
      </c>
    </row>
    <row r="179" spans="19:19" x14ac:dyDescent="0.3">
      <c r="S179" s="381" t="s">
        <v>3915</v>
      </c>
    </row>
    <row r="180" spans="19:19" x14ac:dyDescent="0.3">
      <c r="S180" s="381" t="s">
        <v>3916</v>
      </c>
    </row>
    <row r="181" spans="19:19" x14ac:dyDescent="0.3">
      <c r="S181" s="381" t="s">
        <v>371</v>
      </c>
    </row>
    <row r="182" spans="19:19" x14ac:dyDescent="0.3">
      <c r="S182" s="381" t="s">
        <v>394</v>
      </c>
    </row>
    <row r="183" spans="19:19" x14ac:dyDescent="0.3">
      <c r="S183" s="381" t="s">
        <v>395</v>
      </c>
    </row>
    <row r="184" spans="19:19" x14ac:dyDescent="0.3">
      <c r="S184" s="381" t="s">
        <v>396</v>
      </c>
    </row>
    <row r="185" spans="19:19" x14ac:dyDescent="0.3">
      <c r="S185" s="381" t="s">
        <v>367</v>
      </c>
    </row>
    <row r="186" spans="19:19" x14ac:dyDescent="0.3">
      <c r="S186" s="381" t="s">
        <v>457</v>
      </c>
    </row>
    <row r="187" spans="19:19" x14ac:dyDescent="0.3">
      <c r="S187" s="381" t="s">
        <v>458</v>
      </c>
    </row>
    <row r="188" spans="19:19" x14ac:dyDescent="0.3">
      <c r="S188" s="381" t="s">
        <v>456</v>
      </c>
    </row>
    <row r="189" spans="19:19" x14ac:dyDescent="0.3">
      <c r="S189" s="381" t="s">
        <v>521</v>
      </c>
    </row>
    <row r="190" spans="19:19" x14ac:dyDescent="0.3">
      <c r="S190" s="381" t="s">
        <v>368</v>
      </c>
    </row>
    <row r="191" spans="19:19" x14ac:dyDescent="0.3">
      <c r="S191" s="381" t="s">
        <v>1223</v>
      </c>
    </row>
    <row r="192" spans="19:19" x14ac:dyDescent="0.3">
      <c r="S192" s="381" t="s">
        <v>3794</v>
      </c>
    </row>
    <row r="193" spans="19:19" x14ac:dyDescent="0.3">
      <c r="S193" s="381" t="s">
        <v>3797</v>
      </c>
    </row>
    <row r="194" spans="19:19" x14ac:dyDescent="0.3">
      <c r="S194" s="381" t="s">
        <v>3923</v>
      </c>
    </row>
    <row r="195" spans="19:19" x14ac:dyDescent="0.3">
      <c r="S195" s="381" t="s">
        <v>3795</v>
      </c>
    </row>
    <row r="196" spans="19:19" x14ac:dyDescent="0.3">
      <c r="S196" s="381" t="s">
        <v>5699</v>
      </c>
    </row>
    <row r="197" spans="19:19" x14ac:dyDescent="0.3">
      <c r="S197" s="381" t="s">
        <v>5700</v>
      </c>
    </row>
    <row r="198" spans="19:19" x14ac:dyDescent="0.3">
      <c r="S198" s="381" t="s">
        <v>5701</v>
      </c>
    </row>
    <row r="199" spans="19:19" x14ac:dyDescent="0.3">
      <c r="S199" s="381" t="s">
        <v>435</v>
      </c>
    </row>
    <row r="200" spans="19:19" x14ac:dyDescent="0.3">
      <c r="S200" s="381" t="s">
        <v>366</v>
      </c>
    </row>
    <row r="201" spans="19:19" x14ac:dyDescent="0.3">
      <c r="S201" s="381" t="s">
        <v>2455</v>
      </c>
    </row>
    <row r="202" spans="19:19" x14ac:dyDescent="0.3">
      <c r="S202" s="381" t="s">
        <v>526</v>
      </c>
    </row>
    <row r="203" spans="19:19" x14ac:dyDescent="0.3">
      <c r="S203" s="381" t="s">
        <v>484</v>
      </c>
    </row>
    <row r="204" spans="19:19" x14ac:dyDescent="0.3">
      <c r="S204" s="381" t="s">
        <v>480</v>
      </c>
    </row>
    <row r="205" spans="19:19" x14ac:dyDescent="0.3">
      <c r="S205" s="381" t="s">
        <v>459</v>
      </c>
    </row>
    <row r="206" spans="19:19" x14ac:dyDescent="0.3">
      <c r="S206" s="381"/>
    </row>
    <row r="207" spans="19:19" x14ac:dyDescent="0.3">
      <c r="S207" s="454"/>
    </row>
    <row r="208" spans="19:19" x14ac:dyDescent="0.3">
      <c r="S208" s="454"/>
    </row>
    <row r="209" spans="19:19" x14ac:dyDescent="0.3">
      <c r="S209" s="454"/>
    </row>
    <row r="210" spans="19:19" x14ac:dyDescent="0.3">
      <c r="S210" s="454"/>
    </row>
    <row r="211" spans="19:19" x14ac:dyDescent="0.3">
      <c r="S211" s="454"/>
    </row>
    <row r="212" spans="19:19" x14ac:dyDescent="0.3">
      <c r="S212" s="454"/>
    </row>
    <row r="213" spans="19:19" x14ac:dyDescent="0.3">
      <c r="S213" s="454"/>
    </row>
    <row r="214" spans="19:19" x14ac:dyDescent="0.3">
      <c r="S214" s="454"/>
    </row>
    <row r="215" spans="19:19" x14ac:dyDescent="0.3">
      <c r="S215" s="454"/>
    </row>
    <row r="216" spans="19:19" x14ac:dyDescent="0.3">
      <c r="S216" s="454"/>
    </row>
    <row r="217" spans="19:19" x14ac:dyDescent="0.3">
      <c r="S217" s="454"/>
    </row>
    <row r="218" spans="19:19" x14ac:dyDescent="0.3">
      <c r="S218" s="454"/>
    </row>
    <row r="219" spans="19:19" x14ac:dyDescent="0.3">
      <c r="S219" s="454"/>
    </row>
    <row r="220" spans="19:19" x14ac:dyDescent="0.3">
      <c r="S220" s="454"/>
    </row>
    <row r="221" spans="19:19" x14ac:dyDescent="0.3">
      <c r="S221" s="454"/>
    </row>
    <row r="222" spans="19:19" x14ac:dyDescent="0.3">
      <c r="S222" s="454"/>
    </row>
    <row r="223" spans="19:19" x14ac:dyDescent="0.3">
      <c r="S223" s="454"/>
    </row>
    <row r="224" spans="19:19" x14ac:dyDescent="0.3">
      <c r="S224" s="454"/>
    </row>
    <row r="225" spans="19:19" x14ac:dyDescent="0.3">
      <c r="S225" s="454"/>
    </row>
    <row r="226" spans="19:19" x14ac:dyDescent="0.3">
      <c r="S226" s="454"/>
    </row>
    <row r="227" spans="19:19" x14ac:dyDescent="0.3">
      <c r="S227" s="454"/>
    </row>
    <row r="228" spans="19:19" x14ac:dyDescent="0.3">
      <c r="S228" s="454"/>
    </row>
    <row r="229" spans="19:19" x14ac:dyDescent="0.3">
      <c r="S229" s="454"/>
    </row>
    <row r="230" spans="19:19" x14ac:dyDescent="0.3">
      <c r="S230" s="454"/>
    </row>
    <row r="231" spans="19:19" x14ac:dyDescent="0.3">
      <c r="S231" s="454"/>
    </row>
    <row r="232" spans="19:19" x14ac:dyDescent="0.3">
      <c r="S232" s="454"/>
    </row>
  </sheetData>
  <sortState ref="S7:S209">
    <sortCondition ref="S7:S209"/>
  </sortState>
  <mergeCells count="201">
    <mergeCell ref="A69:B69"/>
    <mergeCell ref="A70:B70"/>
    <mergeCell ref="A71:B71"/>
    <mergeCell ref="A72:B72"/>
    <mergeCell ref="A73:B73"/>
    <mergeCell ref="A33:B33"/>
    <mergeCell ref="A60:B60"/>
    <mergeCell ref="A61:B61"/>
    <mergeCell ref="A62:B62"/>
    <mergeCell ref="A63:B63"/>
    <mergeCell ref="A64:B64"/>
    <mergeCell ref="A65:B65"/>
    <mergeCell ref="A66:B66"/>
    <mergeCell ref="A67:B67"/>
    <mergeCell ref="A68:B68"/>
    <mergeCell ref="A51:B51"/>
    <mergeCell ref="A52:B52"/>
    <mergeCell ref="A53:B53"/>
    <mergeCell ref="A54:B54"/>
    <mergeCell ref="A55:B55"/>
    <mergeCell ref="A56:B56"/>
    <mergeCell ref="A57:B57"/>
    <mergeCell ref="A58:B58"/>
    <mergeCell ref="A59:B59"/>
    <mergeCell ref="I67:J67"/>
    <mergeCell ref="K67:L67"/>
    <mergeCell ref="A13:B13"/>
    <mergeCell ref="C13:E13"/>
    <mergeCell ref="A14:B14"/>
    <mergeCell ref="A15:B15"/>
    <mergeCell ref="A16:B16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4:B34"/>
    <mergeCell ref="A32:B32"/>
    <mergeCell ref="C32:F32"/>
    <mergeCell ref="A35:B35"/>
    <mergeCell ref="A36:B36"/>
    <mergeCell ref="K57:L57"/>
    <mergeCell ref="I58:J58"/>
    <mergeCell ref="K58:L58"/>
    <mergeCell ref="I59:J59"/>
    <mergeCell ref="K59:L59"/>
    <mergeCell ref="I60:J60"/>
    <mergeCell ref="K60:L60"/>
    <mergeCell ref="I61:J61"/>
    <mergeCell ref="K61:L61"/>
    <mergeCell ref="I49:J49"/>
    <mergeCell ref="K49:L49"/>
    <mergeCell ref="I50:J50"/>
    <mergeCell ref="K50:L50"/>
    <mergeCell ref="I51:J51"/>
    <mergeCell ref="K51:L51"/>
    <mergeCell ref="I52:J52"/>
    <mergeCell ref="K52:L52"/>
    <mergeCell ref="I53:J53"/>
    <mergeCell ref="K53:L53"/>
    <mergeCell ref="I56:J56"/>
    <mergeCell ref="K56:L56"/>
    <mergeCell ref="I57:J57"/>
    <mergeCell ref="I44:J44"/>
    <mergeCell ref="K44:L44"/>
    <mergeCell ref="I45:J45"/>
    <mergeCell ref="K45:L45"/>
    <mergeCell ref="I46:J46"/>
    <mergeCell ref="K46:L46"/>
    <mergeCell ref="I47:J47"/>
    <mergeCell ref="K47:L47"/>
    <mergeCell ref="I48:J48"/>
    <mergeCell ref="K48:L48"/>
    <mergeCell ref="I39:J39"/>
    <mergeCell ref="K39:L39"/>
    <mergeCell ref="I40:J40"/>
    <mergeCell ref="K40:L40"/>
    <mergeCell ref="I41:J41"/>
    <mergeCell ref="K41:L41"/>
    <mergeCell ref="I42:J42"/>
    <mergeCell ref="K42:L42"/>
    <mergeCell ref="I43:J43"/>
    <mergeCell ref="K43:L43"/>
    <mergeCell ref="I34:J34"/>
    <mergeCell ref="K34:L34"/>
    <mergeCell ref="I35:J35"/>
    <mergeCell ref="K35:L35"/>
    <mergeCell ref="I36:J36"/>
    <mergeCell ref="K36:L36"/>
    <mergeCell ref="I37:J37"/>
    <mergeCell ref="K37:L37"/>
    <mergeCell ref="I38:J38"/>
    <mergeCell ref="K38:L38"/>
    <mergeCell ref="I29:J29"/>
    <mergeCell ref="K29:L29"/>
    <mergeCell ref="I30:J30"/>
    <mergeCell ref="K30:L30"/>
    <mergeCell ref="I31:J31"/>
    <mergeCell ref="K31:L31"/>
    <mergeCell ref="I32:J32"/>
    <mergeCell ref="K32:L32"/>
    <mergeCell ref="I33:J33"/>
    <mergeCell ref="K33:L33"/>
    <mergeCell ref="A6:B6"/>
    <mergeCell ref="A9:B9"/>
    <mergeCell ref="A10:B10"/>
    <mergeCell ref="A11:B11"/>
    <mergeCell ref="I25:J25"/>
    <mergeCell ref="K25:L25"/>
    <mergeCell ref="I26:J26"/>
    <mergeCell ref="K26:L26"/>
    <mergeCell ref="I27:J27"/>
    <mergeCell ref="K27:L27"/>
    <mergeCell ref="A18:B18"/>
    <mergeCell ref="A19:B19"/>
    <mergeCell ref="A20:B20"/>
    <mergeCell ref="I14:J14"/>
    <mergeCell ref="I15:J15"/>
    <mergeCell ref="I16:J16"/>
    <mergeCell ref="K13:L13"/>
    <mergeCell ref="I18:J18"/>
    <mergeCell ref="I24:J24"/>
    <mergeCell ref="K18:L18"/>
    <mergeCell ref="K24:L24"/>
    <mergeCell ref="I19:J19"/>
    <mergeCell ref="K19:L19"/>
    <mergeCell ref="I20:J20"/>
    <mergeCell ref="I62:J62"/>
    <mergeCell ref="K62:L62"/>
    <mergeCell ref="I63:J63"/>
    <mergeCell ref="K63:L63"/>
    <mergeCell ref="I64:J64"/>
    <mergeCell ref="K64:L64"/>
    <mergeCell ref="I65:J65"/>
    <mergeCell ref="K65:L65"/>
    <mergeCell ref="I66:J66"/>
    <mergeCell ref="K66:L66"/>
    <mergeCell ref="C3:E3"/>
    <mergeCell ref="A3:B3"/>
    <mergeCell ref="A4:B4"/>
    <mergeCell ref="A5:B5"/>
    <mergeCell ref="A7:B7"/>
    <mergeCell ref="A17:B17"/>
    <mergeCell ref="K3:L3"/>
    <mergeCell ref="K4:L4"/>
    <mergeCell ref="K5:L5"/>
    <mergeCell ref="K6:L6"/>
    <mergeCell ref="K7:L7"/>
    <mergeCell ref="I3:J3"/>
    <mergeCell ref="I17:J17"/>
    <mergeCell ref="I8:J8"/>
    <mergeCell ref="I9:J9"/>
    <mergeCell ref="I10:J10"/>
    <mergeCell ref="I11:J11"/>
    <mergeCell ref="I12:J12"/>
    <mergeCell ref="I4:J4"/>
    <mergeCell ref="I5:J5"/>
    <mergeCell ref="I6:J6"/>
    <mergeCell ref="I7:J7"/>
    <mergeCell ref="C9:E9"/>
    <mergeCell ref="I13:J13"/>
    <mergeCell ref="K20:L20"/>
    <mergeCell ref="I21:J21"/>
    <mergeCell ref="K21:L21"/>
    <mergeCell ref="I22:J22"/>
    <mergeCell ref="K22:L22"/>
    <mergeCell ref="I23:J23"/>
    <mergeCell ref="K23:L23"/>
    <mergeCell ref="I28:J28"/>
    <mergeCell ref="K28:L28"/>
    <mergeCell ref="K14:L14"/>
    <mergeCell ref="K15:L15"/>
    <mergeCell ref="K16:L16"/>
    <mergeCell ref="K17:L17"/>
    <mergeCell ref="K8:L8"/>
    <mergeCell ref="K9:L9"/>
    <mergeCell ref="K10:L10"/>
    <mergeCell ref="K11:L11"/>
    <mergeCell ref="K12:L12"/>
    <mergeCell ref="A37:B37"/>
    <mergeCell ref="A38:B38"/>
    <mergeCell ref="A39:B39"/>
    <mergeCell ref="A40:B40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I54:J54"/>
    <mergeCell ref="K54:L54"/>
    <mergeCell ref="I55:J55"/>
    <mergeCell ref="K55:L55"/>
  </mergeCells>
  <dataValidations count="3">
    <dataValidation type="whole" allowBlank="1" showInputMessage="1" showErrorMessage="1" sqref="F10">
      <formula1>0</formula1>
      <formula2>2</formula2>
    </dataValidation>
    <dataValidation type="whole" allowBlank="1" showInputMessage="1" showErrorMessage="1" sqref="F11">
      <formula1>0</formula1>
      <formula2>1</formula2>
    </dataValidation>
    <dataValidation type="list" allowBlank="1" showInputMessage="1" showErrorMessage="1" sqref="A4:B7 A14:B29">
      <formula1>$S$3:$S$206</formula1>
    </dataValidation>
  </dataValidations>
  <pageMargins left="0.39370078740157483" right="0.19685039370078741" top="0.19685039370078741" bottom="0.39370078740157483" header="0.31496062992125984" footer="0.31496062992125984"/>
  <pageSetup paperSize="9" scale="80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9">
    <tabColor rgb="FFFFFF00"/>
  </sheetPr>
  <dimension ref="A1:AN101"/>
  <sheetViews>
    <sheetView topLeftCell="A61" zoomScaleNormal="100" workbookViewId="0">
      <selection activeCell="P82" sqref="P82"/>
    </sheetView>
  </sheetViews>
  <sheetFormatPr defaultRowHeight="14.4" x14ac:dyDescent="0.3"/>
  <cols>
    <col min="1" max="1" width="24.88671875" customWidth="1"/>
    <col min="2" max="2" width="5.44140625" customWidth="1"/>
    <col min="3" max="3" width="3.6640625" customWidth="1"/>
    <col min="4" max="5" width="4" customWidth="1"/>
    <col min="6" max="6" width="3.6640625" customWidth="1"/>
    <col min="7" max="7" width="3.44140625" customWidth="1"/>
    <col min="8" max="8" width="3.33203125" customWidth="1"/>
    <col min="9" max="9" width="3.88671875" customWidth="1"/>
    <col min="10" max="10" width="3.33203125" customWidth="1"/>
    <col min="11" max="11" width="0.6640625" customWidth="1"/>
    <col min="12" max="12" width="26.5546875" customWidth="1"/>
    <col min="13" max="13" width="6.6640625" customWidth="1"/>
    <col min="14" max="14" width="3.6640625" customWidth="1"/>
    <col min="15" max="15" width="4" customWidth="1"/>
    <col min="16" max="16" width="4.109375" customWidth="1"/>
    <col min="17" max="17" width="3.6640625" customWidth="1"/>
    <col min="18" max="18" width="3" customWidth="1"/>
    <col min="19" max="19" width="3.33203125" customWidth="1"/>
    <col min="20" max="20" width="4.109375" customWidth="1"/>
    <col min="21" max="21" width="3.109375" customWidth="1"/>
    <col min="22" max="22" width="1" customWidth="1"/>
    <col min="24" max="24" width="8.44140625" customWidth="1"/>
    <col min="25" max="25" width="6.88671875" customWidth="1"/>
    <col min="26" max="26" width="5.6640625" customWidth="1"/>
    <col min="27" max="27" width="12.6640625" customWidth="1"/>
    <col min="28" max="28" width="5.88671875" customWidth="1"/>
    <col min="30" max="30" width="6.6640625" customWidth="1"/>
    <col min="31" max="32" width="5.44140625" customWidth="1"/>
    <col min="33" max="33" width="12.33203125" customWidth="1"/>
    <col min="36" max="36" width="10.44140625" customWidth="1"/>
    <col min="38" max="38" width="10.5546875" customWidth="1"/>
  </cols>
  <sheetData>
    <row r="1" spans="1:40" ht="25.8" x14ac:dyDescent="0.5">
      <c r="C1" s="5" t="s">
        <v>4604</v>
      </c>
      <c r="P1" t="s">
        <v>586</v>
      </c>
    </row>
    <row r="2" spans="1:40" ht="18" x14ac:dyDescent="0.35">
      <c r="A2" s="132" t="s">
        <v>416</v>
      </c>
      <c r="B2" s="132"/>
      <c r="G2" s="1385" t="s">
        <v>2913</v>
      </c>
      <c r="H2" s="1385"/>
      <c r="I2" s="1385"/>
      <c r="J2" s="1385"/>
      <c r="N2" s="3" t="s">
        <v>421</v>
      </c>
      <c r="O2" s="144">
        <f>Z6</f>
        <v>-5</v>
      </c>
      <c r="Q2" s="1385" t="s">
        <v>2482</v>
      </c>
      <c r="R2" s="1385"/>
      <c r="S2" s="1385"/>
      <c r="T2" s="1385"/>
      <c r="Y2" s="909" t="s">
        <v>421</v>
      </c>
      <c r="AB2" s="4" t="s">
        <v>2401</v>
      </c>
      <c r="AC2" s="620">
        <f>LOOKUP(MAX(G90:G91),$X$10:$X$14,$Y$10:$Y$14)</f>
        <v>6</v>
      </c>
    </row>
    <row r="3" spans="1:40" ht="12.9" customHeight="1" x14ac:dyDescent="0.3">
      <c r="A3" s="971" t="s">
        <v>417</v>
      </c>
      <c r="B3" s="983" t="s">
        <v>4408</v>
      </c>
      <c r="C3" s="190" t="s">
        <v>183</v>
      </c>
      <c r="D3" s="190" t="s">
        <v>2397</v>
      </c>
      <c r="E3" s="190" t="s">
        <v>278</v>
      </c>
      <c r="F3" s="190" t="s">
        <v>97</v>
      </c>
      <c r="G3" s="190" t="s">
        <v>95</v>
      </c>
      <c r="H3" s="190" t="s">
        <v>2398</v>
      </c>
      <c r="I3" s="190" t="s">
        <v>988</v>
      </c>
      <c r="J3" s="190" t="s">
        <v>2399</v>
      </c>
      <c r="L3" s="971" t="s">
        <v>417</v>
      </c>
      <c r="M3" s="983" t="s">
        <v>4408</v>
      </c>
      <c r="N3" s="190" t="s">
        <v>183</v>
      </c>
      <c r="O3" s="190" t="s">
        <v>2397</v>
      </c>
      <c r="P3" s="190" t="s">
        <v>278</v>
      </c>
      <c r="Q3" s="190" t="s">
        <v>97</v>
      </c>
      <c r="R3" s="190" t="s">
        <v>95</v>
      </c>
      <c r="S3" s="190" t="s">
        <v>2398</v>
      </c>
      <c r="T3" s="190" t="s">
        <v>988</v>
      </c>
      <c r="U3" s="190" t="s">
        <v>2399</v>
      </c>
      <c r="Y3" s="906" t="s">
        <v>317</v>
      </c>
      <c r="Z3" s="33">
        <f>'1-Vlastnosti'!O3</f>
        <v>-5</v>
      </c>
      <c r="AB3" s="4" t="s">
        <v>2400</v>
      </c>
      <c r="AC3" s="620">
        <f>SUM(J4:J73,U4:U73)</f>
        <v>0</v>
      </c>
    </row>
    <row r="4" spans="1:40" ht="12.9" customHeight="1" x14ac:dyDescent="0.3">
      <c r="A4" s="871"/>
      <c r="B4" s="984"/>
      <c r="C4" s="887"/>
      <c r="D4" s="879"/>
      <c r="E4" s="879"/>
      <c r="F4" s="879"/>
      <c r="G4" s="79" t="str">
        <f t="shared" ref="G4:G35" si="0">IF(A4=0," ",IF(COPY_Typ_magie1="Alchymie:",IFERROR(HLOOKUP($AN$12,$AG$12:$AN$20,MATCH(B4,$AG$12:$AG$20,0),FALSE),0),IFERROR(HLOOKUP($AB$24,$Z$24:$AB$27,MATCH(B4,$Z$24:$Z$27,0),FALSE),0)))</f>
        <v xml:space="preserve"> </v>
      </c>
      <c r="H4" s="80" t="str">
        <f t="shared" ref="H4:H35" si="1">IF(A4=0," ",IF(OR(COPY_Typ_magie1="Alchymie:",COPY_Typ_magie1="Hudba:"),0,3-C4))</f>
        <v xml:space="preserve"> </v>
      </c>
      <c r="I4" s="540" t="str">
        <f>IF(A4=0," ",LOOKUP($G$2,$A$74:$A$78,$T$74:$T$78)+G4+H4)</f>
        <v xml:space="preserve"> </v>
      </c>
      <c r="J4" s="462"/>
      <c r="L4" s="871"/>
      <c r="M4" s="984"/>
      <c r="N4" s="887"/>
      <c r="O4" s="884"/>
      <c r="P4" s="884"/>
      <c r="Q4" s="884"/>
      <c r="R4" s="79" t="str">
        <f t="shared" ref="R4:R35" si="2">IF(L4=0," ",IF(COPY_Typ_magie2="Alchymie:",IFERROR(HLOOKUP($AN$12,$AG$12:$AN$20,MATCH(M4,$AG$12:$AG$20,0),FALSE),0),IFERROR(HLOOKUP($AB$24,$Z$24:$AB$27,MATCH(M4,$Z$24:$Z$27,0),FALSE),0)))</f>
        <v xml:space="preserve"> </v>
      </c>
      <c r="S4" s="79" t="str">
        <f t="shared" ref="S4:S35" si="3">IF(L4=0," ",IF(OR(COPY_Typ_magie2="Alchymie:",COPY_Typ_magie2="Hudba:"),0,3-N4))</f>
        <v xml:space="preserve"> </v>
      </c>
      <c r="T4" s="540" t="str">
        <f>IF(L4=0," ",LOOKUP($Q$2,$A$74:$A$78,$T$74:$T$78)+R4+S4)</f>
        <v xml:space="preserve"> </v>
      </c>
      <c r="U4" s="462"/>
      <c r="Y4" s="906" t="s">
        <v>4188</v>
      </c>
      <c r="Z4" s="908"/>
      <c r="AB4" s="4" t="s">
        <v>166</v>
      </c>
      <c r="AC4" s="621">
        <f>AC2-AC3</f>
        <v>6</v>
      </c>
    </row>
    <row r="5" spans="1:40" ht="12.9" customHeight="1" x14ac:dyDescent="0.3">
      <c r="A5" s="872"/>
      <c r="B5" s="985"/>
      <c r="C5" s="888"/>
      <c r="D5" s="880"/>
      <c r="E5" s="880"/>
      <c r="F5" s="880"/>
      <c r="G5" s="80" t="str">
        <f t="shared" si="0"/>
        <v xml:space="preserve"> </v>
      </c>
      <c r="H5" s="80" t="str">
        <f t="shared" si="1"/>
        <v xml:space="preserve"> </v>
      </c>
      <c r="I5" s="541" t="str">
        <f t="shared" ref="I5:I35" si="4">IF(A5=0," ",LOOKUP($G$2,$A$74:$A$78,$T$74:$T$78)+G5+H5)</f>
        <v xml:space="preserve"> </v>
      </c>
      <c r="J5" s="463"/>
      <c r="L5" s="872"/>
      <c r="M5" s="985"/>
      <c r="N5" s="888"/>
      <c r="O5" s="885"/>
      <c r="P5" s="885"/>
      <c r="Q5" s="885"/>
      <c r="R5" s="80" t="str">
        <f t="shared" si="2"/>
        <v xml:space="preserve"> </v>
      </c>
      <c r="S5" s="80" t="str">
        <f t="shared" si="3"/>
        <v xml:space="preserve"> </v>
      </c>
      <c r="T5" s="541" t="str">
        <f t="shared" ref="T5:T35" si="5">IF(L5=0," ",LOOKUP($Q$2,$A$74:$A$78,$T$74:$T$78)+R5+S5)</f>
        <v xml:space="preserve"> </v>
      </c>
      <c r="U5" s="463"/>
      <c r="Y5" s="906" t="s">
        <v>4186</v>
      </c>
      <c r="Z5" s="908"/>
    </row>
    <row r="6" spans="1:40" ht="12.9" customHeight="1" x14ac:dyDescent="0.3">
      <c r="A6" s="872"/>
      <c r="B6" s="985"/>
      <c r="C6" s="888"/>
      <c r="D6" s="880"/>
      <c r="E6" s="880"/>
      <c r="F6" s="880"/>
      <c r="G6" s="80" t="str">
        <f t="shared" si="0"/>
        <v xml:space="preserve"> </v>
      </c>
      <c r="H6" s="80" t="str">
        <f t="shared" si="1"/>
        <v xml:space="preserve"> </v>
      </c>
      <c r="I6" s="541" t="str">
        <f t="shared" si="4"/>
        <v xml:space="preserve"> </v>
      </c>
      <c r="J6" s="463"/>
      <c r="L6" s="872"/>
      <c r="M6" s="985"/>
      <c r="N6" s="888"/>
      <c r="O6" s="885"/>
      <c r="P6" s="885"/>
      <c r="Q6" s="885"/>
      <c r="R6" s="80" t="str">
        <f t="shared" si="2"/>
        <v xml:space="preserve"> </v>
      </c>
      <c r="S6" s="80" t="str">
        <f t="shared" si="3"/>
        <v xml:space="preserve"> </v>
      </c>
      <c r="T6" s="541" t="str">
        <f t="shared" si="5"/>
        <v xml:space="preserve"> </v>
      </c>
      <c r="U6" s="463"/>
      <c r="Y6" s="906" t="s">
        <v>4187</v>
      </c>
      <c r="Z6" s="749">
        <f>SUM(Z3:Z5)</f>
        <v>-5</v>
      </c>
    </row>
    <row r="7" spans="1:40" ht="12.9" customHeight="1" x14ac:dyDescent="0.3">
      <c r="A7" s="872"/>
      <c r="B7" s="985"/>
      <c r="C7" s="888"/>
      <c r="D7" s="880"/>
      <c r="E7" s="880"/>
      <c r="F7" s="880"/>
      <c r="G7" s="80" t="str">
        <f t="shared" si="0"/>
        <v xml:space="preserve"> </v>
      </c>
      <c r="H7" s="80" t="str">
        <f t="shared" si="1"/>
        <v xml:space="preserve"> </v>
      </c>
      <c r="I7" s="541" t="str">
        <f t="shared" si="4"/>
        <v xml:space="preserve"> </v>
      </c>
      <c r="J7" s="463"/>
      <c r="L7" s="872"/>
      <c r="M7" s="985"/>
      <c r="N7" s="888"/>
      <c r="O7" s="885"/>
      <c r="P7" s="885"/>
      <c r="Q7" s="885"/>
      <c r="R7" s="80" t="str">
        <f t="shared" si="2"/>
        <v xml:space="preserve"> </v>
      </c>
      <c r="S7" s="80" t="str">
        <f t="shared" si="3"/>
        <v xml:space="preserve"> </v>
      </c>
      <c r="T7" s="541" t="str">
        <f t="shared" si="5"/>
        <v xml:space="preserve"> </v>
      </c>
      <c r="U7" s="463"/>
    </row>
    <row r="8" spans="1:40" ht="12.9" customHeight="1" x14ac:dyDescent="0.3">
      <c r="A8" s="872"/>
      <c r="B8" s="985"/>
      <c r="C8" s="888"/>
      <c r="D8" s="880"/>
      <c r="E8" s="880"/>
      <c r="F8" s="880"/>
      <c r="G8" s="80" t="str">
        <f t="shared" si="0"/>
        <v xml:space="preserve"> </v>
      </c>
      <c r="H8" s="80" t="str">
        <f t="shared" si="1"/>
        <v xml:space="preserve"> </v>
      </c>
      <c r="I8" s="541" t="str">
        <f t="shared" si="4"/>
        <v xml:space="preserve"> </v>
      </c>
      <c r="J8" s="463"/>
      <c r="L8" s="872"/>
      <c r="M8" s="985"/>
      <c r="N8" s="888"/>
      <c r="O8" s="885"/>
      <c r="P8" s="885"/>
      <c r="Q8" s="885"/>
      <c r="R8" s="80" t="str">
        <f t="shared" si="2"/>
        <v xml:space="preserve"> </v>
      </c>
      <c r="S8" s="80" t="str">
        <f t="shared" si="3"/>
        <v xml:space="preserve"> </v>
      </c>
      <c r="T8" s="541" t="str">
        <f t="shared" si="5"/>
        <v xml:space="preserve"> </v>
      </c>
      <c r="U8" s="463"/>
      <c r="X8" s="1" t="s">
        <v>1935</v>
      </c>
    </row>
    <row r="9" spans="1:40" ht="12.9" customHeight="1" x14ac:dyDescent="0.3">
      <c r="A9" s="872"/>
      <c r="B9" s="985"/>
      <c r="C9" s="888"/>
      <c r="D9" s="880"/>
      <c r="E9" s="880"/>
      <c r="F9" s="880"/>
      <c r="G9" s="80" t="str">
        <f t="shared" si="0"/>
        <v xml:space="preserve"> </v>
      </c>
      <c r="H9" s="80" t="str">
        <f t="shared" si="1"/>
        <v xml:space="preserve"> </v>
      </c>
      <c r="I9" s="541" t="str">
        <f t="shared" si="4"/>
        <v xml:space="preserve"> </v>
      </c>
      <c r="J9" s="463"/>
      <c r="L9" s="872"/>
      <c r="M9" s="985"/>
      <c r="N9" s="888"/>
      <c r="O9" s="885"/>
      <c r="P9" s="885"/>
      <c r="Q9" s="885"/>
      <c r="R9" s="80" t="str">
        <f t="shared" si="2"/>
        <v xml:space="preserve"> </v>
      </c>
      <c r="S9" s="80" t="str">
        <f t="shared" si="3"/>
        <v xml:space="preserve"> </v>
      </c>
      <c r="T9" s="541" t="str">
        <f t="shared" si="5"/>
        <v xml:space="preserve"> </v>
      </c>
      <c r="U9" s="463"/>
      <c r="X9" s="1116" t="s">
        <v>2</v>
      </c>
      <c r="Y9" s="1117" t="s">
        <v>554</v>
      </c>
      <c r="Z9" s="1116" t="s">
        <v>2634</v>
      </c>
      <c r="AA9" s="1116" t="s">
        <v>5633</v>
      </c>
    </row>
    <row r="10" spans="1:40" ht="12.9" customHeight="1" x14ac:dyDescent="0.3">
      <c r="A10" s="872"/>
      <c r="B10" s="985"/>
      <c r="C10" s="888"/>
      <c r="D10" s="880"/>
      <c r="E10" s="880"/>
      <c r="F10" s="880"/>
      <c r="G10" s="80" t="str">
        <f t="shared" si="0"/>
        <v xml:space="preserve"> </v>
      </c>
      <c r="H10" s="80" t="str">
        <f t="shared" si="1"/>
        <v xml:space="preserve"> </v>
      </c>
      <c r="I10" s="541" t="str">
        <f t="shared" si="4"/>
        <v xml:space="preserve"> </v>
      </c>
      <c r="J10" s="463"/>
      <c r="L10" s="872"/>
      <c r="M10" s="985"/>
      <c r="N10" s="888"/>
      <c r="O10" s="885"/>
      <c r="P10" s="885"/>
      <c r="Q10" s="885"/>
      <c r="R10" s="80" t="str">
        <f t="shared" si="2"/>
        <v xml:space="preserve"> </v>
      </c>
      <c r="S10" s="80" t="str">
        <f t="shared" si="3"/>
        <v xml:space="preserve"> </v>
      </c>
      <c r="T10" s="541" t="str">
        <f t="shared" si="5"/>
        <v xml:space="preserve"> </v>
      </c>
      <c r="U10" s="463"/>
      <c r="X10" s="63">
        <v>0</v>
      </c>
      <c r="Y10" s="397">
        <f>Úr+2</f>
        <v>6</v>
      </c>
      <c r="Z10" s="115">
        <v>2</v>
      </c>
      <c r="AA10" s="115" t="s">
        <v>5628</v>
      </c>
      <c r="AG10" s="1" t="s">
        <v>4611</v>
      </c>
    </row>
    <row r="11" spans="1:40" ht="12.9" customHeight="1" x14ac:dyDescent="0.3">
      <c r="A11" s="872"/>
      <c r="B11" s="985"/>
      <c r="C11" s="888"/>
      <c r="D11" s="880"/>
      <c r="E11" s="880"/>
      <c r="F11" s="880"/>
      <c r="G11" s="80" t="str">
        <f t="shared" si="0"/>
        <v xml:space="preserve"> </v>
      </c>
      <c r="H11" s="80" t="str">
        <f t="shared" si="1"/>
        <v xml:space="preserve"> </v>
      </c>
      <c r="I11" s="541" t="str">
        <f t="shared" si="4"/>
        <v xml:space="preserve"> </v>
      </c>
      <c r="J11" s="463"/>
      <c r="L11" s="872"/>
      <c r="M11" s="985"/>
      <c r="N11" s="888"/>
      <c r="O11" s="885"/>
      <c r="P11" s="885"/>
      <c r="Q11" s="885"/>
      <c r="R11" s="80" t="str">
        <f t="shared" si="2"/>
        <v xml:space="preserve"> </v>
      </c>
      <c r="S11" s="80" t="str">
        <f t="shared" si="3"/>
        <v xml:space="preserve"> </v>
      </c>
      <c r="T11" s="541" t="str">
        <f t="shared" si="5"/>
        <v xml:space="preserve"> </v>
      </c>
      <c r="U11" s="463"/>
      <c r="X11" s="63">
        <v>1</v>
      </c>
      <c r="Y11" s="397">
        <f>2*Úr+1</f>
        <v>9</v>
      </c>
      <c r="Z11" s="115">
        <v>13</v>
      </c>
      <c r="AA11" s="115" t="s">
        <v>5629</v>
      </c>
      <c r="AG11" s="1014"/>
      <c r="AH11" s="164" t="str">
        <f>B96</f>
        <v>ANO</v>
      </c>
      <c r="AI11" s="164" t="str">
        <f>B97</f>
        <v>NE</v>
      </c>
      <c r="AJ11" s="164" t="str">
        <f>B98</f>
        <v>NE</v>
      </c>
      <c r="AK11" s="164" t="str">
        <f>B99</f>
        <v>ANO</v>
      </c>
      <c r="AL11" s="164" t="str">
        <f>B100</f>
        <v>NE</v>
      </c>
      <c r="AM11" s="164" t="str">
        <f>B101</f>
        <v>ANO</v>
      </c>
      <c r="AN11" s="1014"/>
    </row>
    <row r="12" spans="1:40" ht="12.9" customHeight="1" x14ac:dyDescent="0.3">
      <c r="A12" s="872"/>
      <c r="B12" s="985"/>
      <c r="C12" s="888"/>
      <c r="D12" s="880"/>
      <c r="E12" s="880"/>
      <c r="F12" s="880"/>
      <c r="G12" s="80" t="str">
        <f t="shared" si="0"/>
        <v xml:space="preserve"> </v>
      </c>
      <c r="H12" s="80" t="str">
        <f t="shared" si="1"/>
        <v xml:space="preserve"> </v>
      </c>
      <c r="I12" s="541" t="str">
        <f t="shared" si="4"/>
        <v xml:space="preserve"> </v>
      </c>
      <c r="J12" s="463"/>
      <c r="L12" s="872"/>
      <c r="M12" s="985"/>
      <c r="N12" s="888"/>
      <c r="O12" s="885"/>
      <c r="P12" s="885"/>
      <c r="Q12" s="885"/>
      <c r="R12" s="80" t="str">
        <f t="shared" si="2"/>
        <v xml:space="preserve"> </v>
      </c>
      <c r="S12" s="80" t="str">
        <f t="shared" si="3"/>
        <v xml:space="preserve"> </v>
      </c>
      <c r="T12" s="541" t="str">
        <f t="shared" si="5"/>
        <v xml:space="preserve"> </v>
      </c>
      <c r="U12" s="463"/>
      <c r="X12" s="63">
        <v>2</v>
      </c>
      <c r="Y12" s="397">
        <f>2*(Úr+INT)</f>
        <v>0</v>
      </c>
      <c r="Z12" s="115">
        <v>16</v>
      </c>
      <c r="AA12" s="115" t="s">
        <v>5630</v>
      </c>
      <c r="AG12" s="394" t="s">
        <v>4612</v>
      </c>
      <c r="AH12" s="394" t="s">
        <v>4509</v>
      </c>
      <c r="AI12" s="394" t="s">
        <v>2386</v>
      </c>
      <c r="AJ12" s="394" t="s">
        <v>4607</v>
      </c>
      <c r="AK12" s="394" t="s">
        <v>4608</v>
      </c>
      <c r="AL12" s="394" t="s">
        <v>4609</v>
      </c>
      <c r="AM12" s="394" t="s">
        <v>530</v>
      </c>
      <c r="AN12" s="394" t="s">
        <v>321</v>
      </c>
    </row>
    <row r="13" spans="1:40" ht="12.9" customHeight="1" thickBot="1" x14ac:dyDescent="0.35">
      <c r="A13" s="873"/>
      <c r="B13" s="988"/>
      <c r="C13" s="889"/>
      <c r="D13" s="881"/>
      <c r="E13" s="881"/>
      <c r="F13" s="881"/>
      <c r="G13" s="546" t="str">
        <f t="shared" si="0"/>
        <v xml:space="preserve"> </v>
      </c>
      <c r="H13" s="546" t="str">
        <f t="shared" si="1"/>
        <v xml:space="preserve"> </v>
      </c>
      <c r="I13" s="547" t="str">
        <f t="shared" si="4"/>
        <v xml:space="preserve"> </v>
      </c>
      <c r="J13" s="548"/>
      <c r="L13" s="872"/>
      <c r="M13" s="985"/>
      <c r="N13" s="888"/>
      <c r="O13" s="885"/>
      <c r="P13" s="885"/>
      <c r="Q13" s="885"/>
      <c r="R13" s="80" t="str">
        <f t="shared" si="2"/>
        <v xml:space="preserve"> </v>
      </c>
      <c r="S13" s="80" t="str">
        <f t="shared" si="3"/>
        <v xml:space="preserve"> </v>
      </c>
      <c r="T13" s="541" t="str">
        <f t="shared" si="5"/>
        <v xml:space="preserve"> </v>
      </c>
      <c r="U13" s="463"/>
      <c r="X13" s="63">
        <v>3</v>
      </c>
      <c r="Y13" s="397">
        <f>3*(Úr+INT)</f>
        <v>0</v>
      </c>
      <c r="Z13" s="115">
        <v>19</v>
      </c>
      <c r="AA13" s="115" t="s">
        <v>5631</v>
      </c>
      <c r="AG13" s="422" t="s">
        <v>4613</v>
      </c>
      <c r="AH13" s="1014">
        <v>0</v>
      </c>
      <c r="AI13" s="1014">
        <v>0</v>
      </c>
      <c r="AJ13" s="1014">
        <v>0</v>
      </c>
      <c r="AK13" s="1014">
        <v>0</v>
      </c>
      <c r="AL13" s="1014">
        <v>0</v>
      </c>
      <c r="AM13" s="1014">
        <v>0</v>
      </c>
      <c r="AN13" s="749">
        <f>SUM(AH13:AM13)</f>
        <v>0</v>
      </c>
    </row>
    <row r="14" spans="1:40" ht="12.9" customHeight="1" x14ac:dyDescent="0.3">
      <c r="A14" s="874"/>
      <c r="B14" s="989"/>
      <c r="C14" s="890"/>
      <c r="D14" s="882"/>
      <c r="E14" s="882"/>
      <c r="F14" s="882"/>
      <c r="G14" s="471" t="str">
        <f t="shared" si="0"/>
        <v xml:space="preserve"> </v>
      </c>
      <c r="H14" s="471" t="str">
        <f t="shared" si="1"/>
        <v xml:space="preserve"> </v>
      </c>
      <c r="I14" s="544" t="str">
        <f t="shared" si="4"/>
        <v xml:space="preserve"> </v>
      </c>
      <c r="J14" s="545"/>
      <c r="L14" s="872"/>
      <c r="M14" s="985"/>
      <c r="N14" s="888"/>
      <c r="O14" s="885"/>
      <c r="P14" s="885"/>
      <c r="Q14" s="885"/>
      <c r="R14" s="80" t="str">
        <f t="shared" si="2"/>
        <v xml:space="preserve"> </v>
      </c>
      <c r="S14" s="80" t="str">
        <f t="shared" si="3"/>
        <v xml:space="preserve"> </v>
      </c>
      <c r="T14" s="541" t="str">
        <f t="shared" si="5"/>
        <v xml:space="preserve"> </v>
      </c>
      <c r="U14" s="463"/>
      <c r="X14" s="63">
        <v>4</v>
      </c>
      <c r="Y14" s="397">
        <f>4*Úr+3*INT</f>
        <v>4</v>
      </c>
      <c r="Z14" s="115">
        <v>21</v>
      </c>
      <c r="AA14" s="115" t="s">
        <v>5632</v>
      </c>
      <c r="AG14" s="422" t="s">
        <v>4614</v>
      </c>
      <c r="AH14" s="908">
        <f>IF(AH$11="ANO",0,-9)</f>
        <v>0</v>
      </c>
      <c r="AI14" s="1014">
        <v>0</v>
      </c>
      <c r="AJ14" s="908">
        <f>IF(AJ$11="ANO",0,-9)</f>
        <v>-9</v>
      </c>
      <c r="AK14" s="908">
        <f>IF(AK$11="ANO",1,0)</f>
        <v>1</v>
      </c>
      <c r="AL14" s="1014">
        <v>0</v>
      </c>
      <c r="AM14" s="1014">
        <v>0</v>
      </c>
      <c r="AN14" s="749">
        <f t="shared" ref="AN14:AN20" si="6">SUM(AH14:AM14)</f>
        <v>-8</v>
      </c>
    </row>
    <row r="15" spans="1:40" ht="12.9" customHeight="1" x14ac:dyDescent="0.3">
      <c r="A15" s="872"/>
      <c r="B15" s="985"/>
      <c r="C15" s="888"/>
      <c r="D15" s="880"/>
      <c r="E15" s="880"/>
      <c r="F15" s="880"/>
      <c r="G15" s="80" t="str">
        <f t="shared" si="0"/>
        <v xml:space="preserve"> </v>
      </c>
      <c r="H15" s="80" t="str">
        <f t="shared" si="1"/>
        <v xml:space="preserve"> </v>
      </c>
      <c r="I15" s="541" t="str">
        <f t="shared" si="4"/>
        <v xml:space="preserve"> </v>
      </c>
      <c r="J15" s="463"/>
      <c r="L15" s="872"/>
      <c r="M15" s="985"/>
      <c r="N15" s="888"/>
      <c r="O15" s="885"/>
      <c r="P15" s="885"/>
      <c r="Q15" s="885"/>
      <c r="R15" s="80" t="str">
        <f t="shared" si="2"/>
        <v xml:space="preserve"> </v>
      </c>
      <c r="S15" s="80" t="str">
        <f t="shared" si="3"/>
        <v xml:space="preserve"> </v>
      </c>
      <c r="T15" s="541" t="str">
        <f t="shared" si="5"/>
        <v xml:space="preserve"> </v>
      </c>
      <c r="U15" s="463"/>
      <c r="AG15" s="422" t="s">
        <v>2544</v>
      </c>
      <c r="AH15" s="908">
        <f>IF(AH$11="ANO",0,-9)</f>
        <v>0</v>
      </c>
      <c r="AI15" s="1014">
        <v>0</v>
      </c>
      <c r="AJ15" s="1014">
        <v>0</v>
      </c>
      <c r="AK15" s="908">
        <f t="shared" ref="AK15:AL20" si="7">IF(AK$11="ANO",1,0)</f>
        <v>1</v>
      </c>
      <c r="AL15" s="1014">
        <v>0</v>
      </c>
      <c r="AM15" s="908">
        <f t="shared" ref="AM15:AM16" si="8">IF(AM$11="ANO",1,0)</f>
        <v>1</v>
      </c>
      <c r="AN15" s="749">
        <f t="shared" si="6"/>
        <v>2</v>
      </c>
    </row>
    <row r="16" spans="1:40" ht="12.9" customHeight="1" x14ac:dyDescent="0.3">
      <c r="A16" s="872"/>
      <c r="B16" s="985"/>
      <c r="C16" s="888"/>
      <c r="D16" s="880"/>
      <c r="E16" s="880"/>
      <c r="F16" s="880"/>
      <c r="G16" s="80" t="str">
        <f t="shared" si="0"/>
        <v xml:space="preserve"> </v>
      </c>
      <c r="H16" s="80" t="str">
        <f t="shared" si="1"/>
        <v xml:space="preserve"> </v>
      </c>
      <c r="I16" s="541" t="str">
        <f t="shared" si="4"/>
        <v xml:space="preserve"> </v>
      </c>
      <c r="J16" s="463"/>
      <c r="L16" s="872"/>
      <c r="M16" s="985"/>
      <c r="N16" s="888"/>
      <c r="O16" s="885"/>
      <c r="P16" s="885"/>
      <c r="Q16" s="885"/>
      <c r="R16" s="80" t="str">
        <f t="shared" si="2"/>
        <v xml:space="preserve"> </v>
      </c>
      <c r="S16" s="80" t="str">
        <f t="shared" si="3"/>
        <v xml:space="preserve"> </v>
      </c>
      <c r="T16" s="541" t="str">
        <f t="shared" si="5"/>
        <v xml:space="preserve"> </v>
      </c>
      <c r="U16" s="463"/>
      <c r="X16" s="63" t="s">
        <v>283</v>
      </c>
      <c r="AG16" s="422" t="s">
        <v>4615</v>
      </c>
      <c r="AH16" s="908">
        <f>IF(AH$11="ANO",0,-9)</f>
        <v>0</v>
      </c>
      <c r="AI16" s="1014">
        <v>0</v>
      </c>
      <c r="AJ16" s="1014">
        <v>0</v>
      </c>
      <c r="AK16" s="908">
        <f t="shared" si="7"/>
        <v>1</v>
      </c>
      <c r="AL16" s="1014">
        <v>0</v>
      </c>
      <c r="AM16" s="908">
        <f t="shared" si="8"/>
        <v>1</v>
      </c>
      <c r="AN16" s="749">
        <f t="shared" si="6"/>
        <v>2</v>
      </c>
    </row>
    <row r="17" spans="1:40" ht="12.9" customHeight="1" x14ac:dyDescent="0.3">
      <c r="A17" s="872"/>
      <c r="B17" s="985"/>
      <c r="C17" s="888"/>
      <c r="D17" s="880"/>
      <c r="E17" s="880"/>
      <c r="F17" s="880"/>
      <c r="G17" s="80" t="str">
        <f t="shared" si="0"/>
        <v xml:space="preserve"> </v>
      </c>
      <c r="H17" s="80" t="str">
        <f t="shared" si="1"/>
        <v xml:space="preserve"> </v>
      </c>
      <c r="I17" s="541" t="str">
        <f t="shared" si="4"/>
        <v xml:space="preserve"> </v>
      </c>
      <c r="J17" s="463"/>
      <c r="L17" s="872"/>
      <c r="M17" s="985"/>
      <c r="N17" s="888"/>
      <c r="O17" s="885"/>
      <c r="P17" s="885"/>
      <c r="Q17" s="885"/>
      <c r="R17" s="80" t="str">
        <f t="shared" si="2"/>
        <v xml:space="preserve"> </v>
      </c>
      <c r="S17" s="80" t="str">
        <f t="shared" si="3"/>
        <v xml:space="preserve"> </v>
      </c>
      <c r="T17" s="541" t="str">
        <f t="shared" si="5"/>
        <v xml:space="preserve"> </v>
      </c>
      <c r="U17" s="463"/>
      <c r="X17" s="63" t="s">
        <v>1564</v>
      </c>
      <c r="AG17" s="422" t="s">
        <v>176</v>
      </c>
      <c r="AH17" s="1014">
        <v>0</v>
      </c>
      <c r="AI17" s="1014">
        <v>0</v>
      </c>
      <c r="AJ17" s="908">
        <f>IF(AJ$11="ANO",0,-9)</f>
        <v>-9</v>
      </c>
      <c r="AK17" s="908">
        <f t="shared" si="7"/>
        <v>1</v>
      </c>
      <c r="AL17" s="1014">
        <v>0</v>
      </c>
      <c r="AM17" s="1014">
        <v>0</v>
      </c>
      <c r="AN17" s="749">
        <f t="shared" si="6"/>
        <v>-8</v>
      </c>
    </row>
    <row r="18" spans="1:40" ht="12.9" customHeight="1" x14ac:dyDescent="0.3">
      <c r="A18" s="872"/>
      <c r="B18" s="985"/>
      <c r="C18" s="888"/>
      <c r="D18" s="880"/>
      <c r="E18" s="880"/>
      <c r="F18" s="880"/>
      <c r="G18" s="80" t="str">
        <f t="shared" si="0"/>
        <v xml:space="preserve"> </v>
      </c>
      <c r="H18" s="80" t="str">
        <f t="shared" si="1"/>
        <v xml:space="preserve"> </v>
      </c>
      <c r="I18" s="541" t="str">
        <f t="shared" si="4"/>
        <v xml:space="preserve"> </v>
      </c>
      <c r="J18" s="463"/>
      <c r="L18" s="872"/>
      <c r="M18" s="985"/>
      <c r="N18" s="888"/>
      <c r="O18" s="885"/>
      <c r="P18" s="885"/>
      <c r="Q18" s="885"/>
      <c r="R18" s="80" t="str">
        <f t="shared" si="2"/>
        <v xml:space="preserve"> </v>
      </c>
      <c r="S18" s="80" t="str">
        <f t="shared" si="3"/>
        <v xml:space="preserve"> </v>
      </c>
      <c r="T18" s="541" t="str">
        <f t="shared" si="5"/>
        <v xml:space="preserve"> </v>
      </c>
      <c r="U18" s="463"/>
      <c r="X18" s="63" t="s">
        <v>1256</v>
      </c>
      <c r="AG18" s="422" t="s">
        <v>4616</v>
      </c>
      <c r="AH18" s="1014">
        <v>0</v>
      </c>
      <c r="AI18" s="1014">
        <v>0</v>
      </c>
      <c r="AJ18" s="908">
        <f>IF(AJ$11="ANO",0,-9)</f>
        <v>-9</v>
      </c>
      <c r="AK18" s="1014">
        <v>0</v>
      </c>
      <c r="AL18" s="908">
        <f t="shared" si="7"/>
        <v>0</v>
      </c>
      <c r="AM18" s="1014">
        <v>0</v>
      </c>
      <c r="AN18" s="749">
        <f t="shared" si="6"/>
        <v>-9</v>
      </c>
    </row>
    <row r="19" spans="1:40" ht="12.9" customHeight="1" x14ac:dyDescent="0.3">
      <c r="A19" s="872"/>
      <c r="B19" s="985"/>
      <c r="C19" s="888"/>
      <c r="D19" s="880"/>
      <c r="E19" s="880"/>
      <c r="F19" s="880"/>
      <c r="G19" s="80" t="str">
        <f t="shared" si="0"/>
        <v xml:space="preserve"> </v>
      </c>
      <c r="H19" s="80" t="str">
        <f t="shared" si="1"/>
        <v xml:space="preserve"> </v>
      </c>
      <c r="I19" s="541" t="str">
        <f t="shared" si="4"/>
        <v xml:space="preserve"> </v>
      </c>
      <c r="J19" s="463"/>
      <c r="L19" s="872"/>
      <c r="M19" s="985"/>
      <c r="N19" s="888"/>
      <c r="O19" s="885"/>
      <c r="P19" s="885"/>
      <c r="Q19" s="885"/>
      <c r="R19" s="80" t="str">
        <f t="shared" si="2"/>
        <v xml:space="preserve"> </v>
      </c>
      <c r="S19" s="80" t="str">
        <f t="shared" si="3"/>
        <v xml:space="preserve"> </v>
      </c>
      <c r="T19" s="541" t="str">
        <f t="shared" si="5"/>
        <v xml:space="preserve"> </v>
      </c>
      <c r="U19" s="463"/>
      <c r="AG19" s="422" t="s">
        <v>4617</v>
      </c>
      <c r="AH19" s="1014">
        <v>0</v>
      </c>
      <c r="AI19" s="908">
        <f>IF(AI$11="ANO",0,-9)</f>
        <v>-9</v>
      </c>
      <c r="AJ19" s="1014">
        <v>0</v>
      </c>
      <c r="AK19" s="1014">
        <v>0</v>
      </c>
      <c r="AL19" s="1014">
        <v>0</v>
      </c>
      <c r="AM19" s="1014">
        <v>0</v>
      </c>
      <c r="AN19" s="749">
        <f t="shared" si="6"/>
        <v>-9</v>
      </c>
    </row>
    <row r="20" spans="1:40" ht="12.9" customHeight="1" x14ac:dyDescent="0.3">
      <c r="A20" s="872"/>
      <c r="B20" s="985"/>
      <c r="C20" s="888"/>
      <c r="D20" s="880"/>
      <c r="E20" s="880"/>
      <c r="F20" s="880"/>
      <c r="G20" s="80" t="str">
        <f t="shared" si="0"/>
        <v xml:space="preserve"> </v>
      </c>
      <c r="H20" s="80" t="str">
        <f t="shared" si="1"/>
        <v xml:space="preserve"> </v>
      </c>
      <c r="I20" s="541" t="str">
        <f t="shared" si="4"/>
        <v xml:space="preserve"> </v>
      </c>
      <c r="J20" s="463"/>
      <c r="L20" s="872"/>
      <c r="M20" s="985"/>
      <c r="N20" s="888"/>
      <c r="O20" s="885"/>
      <c r="P20" s="885"/>
      <c r="Q20" s="885"/>
      <c r="R20" s="80" t="str">
        <f t="shared" si="2"/>
        <v xml:space="preserve"> </v>
      </c>
      <c r="S20" s="80" t="str">
        <f t="shared" si="3"/>
        <v xml:space="preserve"> </v>
      </c>
      <c r="T20" s="541" t="str">
        <f t="shared" si="5"/>
        <v xml:space="preserve"> </v>
      </c>
      <c r="U20" s="463"/>
      <c r="AG20" s="422" t="s">
        <v>4618</v>
      </c>
      <c r="AH20" s="1014">
        <v>0</v>
      </c>
      <c r="AI20" s="1014">
        <v>0</v>
      </c>
      <c r="AJ20" s="908">
        <f>IF(AJ$11="ANO",0,-9)</f>
        <v>-9</v>
      </c>
      <c r="AK20" s="1014">
        <v>0</v>
      </c>
      <c r="AL20" s="908">
        <f t="shared" si="7"/>
        <v>0</v>
      </c>
      <c r="AM20" s="1014">
        <v>0</v>
      </c>
      <c r="AN20" s="749">
        <f t="shared" si="6"/>
        <v>-9</v>
      </c>
    </row>
    <row r="21" spans="1:40" ht="12.9" customHeight="1" x14ac:dyDescent="0.3">
      <c r="A21" s="872"/>
      <c r="B21" s="985"/>
      <c r="C21" s="888"/>
      <c r="D21" s="880"/>
      <c r="E21" s="880"/>
      <c r="F21" s="880"/>
      <c r="G21" s="80" t="str">
        <f t="shared" si="0"/>
        <v xml:space="preserve"> </v>
      </c>
      <c r="H21" s="80" t="str">
        <f t="shared" si="1"/>
        <v xml:space="preserve"> </v>
      </c>
      <c r="I21" s="541" t="str">
        <f t="shared" si="4"/>
        <v xml:space="preserve"> </v>
      </c>
      <c r="J21" s="463"/>
      <c r="L21" s="872"/>
      <c r="M21" s="985"/>
      <c r="N21" s="888"/>
      <c r="O21" s="885"/>
      <c r="P21" s="885"/>
      <c r="Q21" s="885"/>
      <c r="R21" s="80" t="str">
        <f t="shared" si="2"/>
        <v xml:space="preserve"> </v>
      </c>
      <c r="S21" s="80" t="str">
        <f t="shared" si="3"/>
        <v xml:space="preserve"> </v>
      </c>
      <c r="T21" s="541" t="str">
        <f t="shared" si="5"/>
        <v xml:space="preserve"> </v>
      </c>
      <c r="U21" s="463"/>
    </row>
    <row r="22" spans="1:40" ht="12.9" customHeight="1" x14ac:dyDescent="0.3">
      <c r="A22" s="872"/>
      <c r="B22" s="985"/>
      <c r="C22" s="888"/>
      <c r="D22" s="880"/>
      <c r="E22" s="880"/>
      <c r="F22" s="880"/>
      <c r="G22" s="80" t="str">
        <f t="shared" si="0"/>
        <v xml:space="preserve"> </v>
      </c>
      <c r="H22" s="80" t="str">
        <f t="shared" si="1"/>
        <v xml:space="preserve"> </v>
      </c>
      <c r="I22" s="541" t="str">
        <f t="shared" si="4"/>
        <v xml:space="preserve"> </v>
      </c>
      <c r="J22" s="463"/>
      <c r="L22" s="872"/>
      <c r="M22" s="985"/>
      <c r="N22" s="888"/>
      <c r="O22" s="885"/>
      <c r="P22" s="885"/>
      <c r="Q22" s="885"/>
      <c r="R22" s="80" t="str">
        <f t="shared" si="2"/>
        <v xml:space="preserve"> </v>
      </c>
      <c r="S22" s="80" t="str">
        <f t="shared" si="3"/>
        <v xml:space="preserve"> </v>
      </c>
      <c r="T22" s="541" t="str">
        <f t="shared" si="5"/>
        <v xml:space="preserve"> </v>
      </c>
      <c r="U22" s="463"/>
    </row>
    <row r="23" spans="1:40" ht="12.9" customHeight="1" x14ac:dyDescent="0.3">
      <c r="A23" s="872"/>
      <c r="B23" s="985"/>
      <c r="C23" s="888"/>
      <c r="D23" s="880"/>
      <c r="E23" s="880"/>
      <c r="F23" s="880"/>
      <c r="G23" s="80" t="str">
        <f t="shared" si="0"/>
        <v xml:space="preserve"> </v>
      </c>
      <c r="H23" s="80" t="str">
        <f t="shared" si="1"/>
        <v xml:space="preserve"> </v>
      </c>
      <c r="I23" s="541" t="str">
        <f t="shared" si="4"/>
        <v xml:space="preserve"> </v>
      </c>
      <c r="J23" s="463"/>
      <c r="L23" s="872"/>
      <c r="M23" s="985"/>
      <c r="N23" s="888"/>
      <c r="O23" s="885"/>
      <c r="P23" s="885"/>
      <c r="Q23" s="885"/>
      <c r="R23" s="80" t="str">
        <f t="shared" si="2"/>
        <v xml:space="preserve"> </v>
      </c>
      <c r="S23" s="80" t="str">
        <f t="shared" si="3"/>
        <v xml:space="preserve"> </v>
      </c>
      <c r="T23" s="541" t="str">
        <f t="shared" si="5"/>
        <v xml:space="preserve"> </v>
      </c>
      <c r="U23" s="463"/>
      <c r="X23" s="1" t="s">
        <v>4404</v>
      </c>
    </row>
    <row r="24" spans="1:40" ht="12.9" customHeight="1" x14ac:dyDescent="0.3">
      <c r="A24" s="872"/>
      <c r="B24" s="985"/>
      <c r="C24" s="888"/>
      <c r="D24" s="880"/>
      <c r="E24" s="880"/>
      <c r="F24" s="880"/>
      <c r="G24" s="80" t="str">
        <f t="shared" si="0"/>
        <v xml:space="preserve"> </v>
      </c>
      <c r="H24" s="80" t="str">
        <f t="shared" si="1"/>
        <v xml:space="preserve"> </v>
      </c>
      <c r="I24" s="541" t="str">
        <f t="shared" si="4"/>
        <v xml:space="preserve"> </v>
      </c>
      <c r="J24" s="463"/>
      <c r="L24" s="872"/>
      <c r="M24" s="985"/>
      <c r="N24" s="888"/>
      <c r="O24" s="885"/>
      <c r="P24" s="885"/>
      <c r="Q24" s="885"/>
      <c r="R24" s="80" t="str">
        <f t="shared" si="2"/>
        <v xml:space="preserve"> </v>
      </c>
      <c r="S24" s="80" t="str">
        <f t="shared" si="3"/>
        <v xml:space="preserve"> </v>
      </c>
      <c r="T24" s="541" t="str">
        <f t="shared" si="5"/>
        <v xml:space="preserve"> </v>
      </c>
      <c r="U24" s="463"/>
      <c r="Z24" s="981" t="s">
        <v>4247</v>
      </c>
      <c r="AA24" s="981" t="s">
        <v>153</v>
      </c>
      <c r="AB24" s="981" t="s">
        <v>3</v>
      </c>
      <c r="AD24" s="63">
        <v>0</v>
      </c>
      <c r="AE24" s="63">
        <v>0</v>
      </c>
    </row>
    <row r="25" spans="1:40" ht="12.9" customHeight="1" x14ac:dyDescent="0.3">
      <c r="A25" s="872"/>
      <c r="B25" s="985"/>
      <c r="C25" s="888"/>
      <c r="D25" s="880"/>
      <c r="E25" s="880"/>
      <c r="F25" s="880"/>
      <c r="G25" s="80" t="str">
        <f t="shared" si="0"/>
        <v xml:space="preserve"> </v>
      </c>
      <c r="H25" s="80" t="str">
        <f t="shared" si="1"/>
        <v xml:space="preserve"> </v>
      </c>
      <c r="I25" s="541" t="str">
        <f t="shared" si="4"/>
        <v xml:space="preserve"> </v>
      </c>
      <c r="J25" s="463"/>
      <c r="L25" s="872"/>
      <c r="M25" s="985"/>
      <c r="N25" s="888"/>
      <c r="O25" s="885"/>
      <c r="P25" s="885"/>
      <c r="Q25" s="885"/>
      <c r="R25" s="80" t="str">
        <f t="shared" si="2"/>
        <v xml:space="preserve"> </v>
      </c>
      <c r="S25" s="80" t="str">
        <f t="shared" si="3"/>
        <v xml:space="preserve"> </v>
      </c>
      <c r="T25" s="541" t="str">
        <f t="shared" si="5"/>
        <v xml:space="preserve"> </v>
      </c>
      <c r="U25" s="463"/>
      <c r="X25" s="970" t="s">
        <v>4379</v>
      </c>
      <c r="Y25" s="970"/>
      <c r="Z25" s="164" t="str">
        <f>IFERROR(LOOKUP(AA25,$AA$31:$AA$38,$Z$31:$Z$38)," ")</f>
        <v xml:space="preserve"> </v>
      </c>
      <c r="AA25" s="970"/>
      <c r="AB25" s="164">
        <f>MAX($AF$31:$AF$32)</f>
        <v>0</v>
      </c>
      <c r="AD25" s="63" t="s">
        <v>402</v>
      </c>
      <c r="AE25" s="63">
        <v>1</v>
      </c>
    </row>
    <row r="26" spans="1:40" ht="12.9" customHeight="1" x14ac:dyDescent="0.3">
      <c r="A26" s="872"/>
      <c r="B26" s="985"/>
      <c r="C26" s="888"/>
      <c r="D26" s="880"/>
      <c r="E26" s="880"/>
      <c r="F26" s="880"/>
      <c r="G26" s="80" t="str">
        <f t="shared" si="0"/>
        <v xml:space="preserve"> </v>
      </c>
      <c r="H26" s="80" t="str">
        <f t="shared" si="1"/>
        <v xml:space="preserve"> </v>
      </c>
      <c r="I26" s="541" t="str">
        <f t="shared" si="4"/>
        <v xml:space="preserve"> </v>
      </c>
      <c r="J26" s="463"/>
      <c r="L26" s="872"/>
      <c r="M26" s="985"/>
      <c r="N26" s="888"/>
      <c r="O26" s="885"/>
      <c r="P26" s="885"/>
      <c r="Q26" s="885"/>
      <c r="R26" s="80" t="str">
        <f t="shared" si="2"/>
        <v xml:space="preserve"> </v>
      </c>
      <c r="S26" s="80" t="str">
        <f t="shared" si="3"/>
        <v xml:space="preserve"> </v>
      </c>
      <c r="T26" s="541" t="str">
        <f t="shared" si="5"/>
        <v xml:space="preserve"> </v>
      </c>
      <c r="U26" s="463"/>
      <c r="X26" s="970" t="s">
        <v>4380</v>
      </c>
      <c r="Y26" s="970"/>
      <c r="Z26" s="164" t="str">
        <f>IFERROR(LOOKUP(AA26,$AA$31:$AA$38,$Z$31:$Z$38)," ")</f>
        <v xml:space="preserve"> </v>
      </c>
      <c r="AA26" s="970"/>
      <c r="AB26" s="164">
        <f>MAX($AF$34:$AF$35)</f>
        <v>0</v>
      </c>
      <c r="AD26" s="63" t="s">
        <v>403</v>
      </c>
      <c r="AE26" s="63">
        <v>2</v>
      </c>
    </row>
    <row r="27" spans="1:40" ht="12.9" customHeight="1" x14ac:dyDescent="0.3">
      <c r="A27" s="872"/>
      <c r="B27" s="985"/>
      <c r="C27" s="888"/>
      <c r="D27" s="880"/>
      <c r="E27" s="880"/>
      <c r="F27" s="880"/>
      <c r="G27" s="80" t="str">
        <f t="shared" si="0"/>
        <v xml:space="preserve"> </v>
      </c>
      <c r="H27" s="80" t="str">
        <f t="shared" si="1"/>
        <v xml:space="preserve"> </v>
      </c>
      <c r="I27" s="541" t="str">
        <f t="shared" si="4"/>
        <v xml:space="preserve"> </v>
      </c>
      <c r="J27" s="463"/>
      <c r="L27" s="872"/>
      <c r="M27" s="985"/>
      <c r="N27" s="888"/>
      <c r="O27" s="885"/>
      <c r="P27" s="885"/>
      <c r="Q27" s="885"/>
      <c r="R27" s="80" t="str">
        <f t="shared" si="2"/>
        <v xml:space="preserve"> </v>
      </c>
      <c r="S27" s="80" t="str">
        <f t="shared" si="3"/>
        <v xml:space="preserve"> </v>
      </c>
      <c r="T27" s="541" t="str">
        <f t="shared" si="5"/>
        <v xml:space="preserve"> </v>
      </c>
      <c r="U27" s="463"/>
      <c r="X27" s="970" t="s">
        <v>4381</v>
      </c>
      <c r="Y27" s="970"/>
      <c r="Z27" s="164" t="str">
        <f>IFERROR(LOOKUP(AA27,$AA$31:$AA$38,$Z$31:$Z$38)," ")</f>
        <v xml:space="preserve"> </v>
      </c>
      <c r="AA27" s="970"/>
      <c r="AB27" s="164">
        <f>MAX($AF$37:$AF$38)</f>
        <v>0</v>
      </c>
      <c r="AD27" s="63" t="s">
        <v>404</v>
      </c>
      <c r="AE27" s="63">
        <v>3</v>
      </c>
    </row>
    <row r="28" spans="1:40" ht="12.9" customHeight="1" x14ac:dyDescent="0.3">
      <c r="A28" s="872"/>
      <c r="B28" s="985"/>
      <c r="C28" s="888"/>
      <c r="D28" s="880"/>
      <c r="E28" s="880"/>
      <c r="F28" s="880"/>
      <c r="G28" s="80" t="str">
        <f t="shared" si="0"/>
        <v xml:space="preserve"> </v>
      </c>
      <c r="H28" s="80" t="str">
        <f t="shared" si="1"/>
        <v xml:space="preserve"> </v>
      </c>
      <c r="I28" s="541" t="str">
        <f t="shared" si="4"/>
        <v xml:space="preserve"> </v>
      </c>
      <c r="J28" s="463"/>
      <c r="L28" s="872"/>
      <c r="M28" s="985"/>
      <c r="N28" s="888"/>
      <c r="O28" s="885"/>
      <c r="P28" s="885"/>
      <c r="Q28" s="885"/>
      <c r="R28" s="80" t="str">
        <f t="shared" si="2"/>
        <v xml:space="preserve"> </v>
      </c>
      <c r="S28" s="80" t="str">
        <f t="shared" si="3"/>
        <v xml:space="preserve"> </v>
      </c>
      <c r="T28" s="541" t="str">
        <f t="shared" si="5"/>
        <v xml:space="preserve"> </v>
      </c>
      <c r="U28" s="463"/>
      <c r="AD28" s="63" t="s">
        <v>405</v>
      </c>
      <c r="AE28" s="63">
        <v>4</v>
      </c>
    </row>
    <row r="29" spans="1:40" ht="12.9" customHeight="1" x14ac:dyDescent="0.3">
      <c r="A29" s="872"/>
      <c r="B29" s="985"/>
      <c r="C29" s="888"/>
      <c r="D29" s="880"/>
      <c r="E29" s="880"/>
      <c r="F29" s="880"/>
      <c r="G29" s="80" t="str">
        <f t="shared" si="0"/>
        <v xml:space="preserve"> </v>
      </c>
      <c r="H29" s="80" t="str">
        <f t="shared" si="1"/>
        <v xml:space="preserve"> </v>
      </c>
      <c r="I29" s="541" t="str">
        <f t="shared" si="4"/>
        <v xml:space="preserve"> </v>
      </c>
      <c r="J29" s="463"/>
      <c r="L29" s="872"/>
      <c r="M29" s="985"/>
      <c r="N29" s="888"/>
      <c r="O29" s="885"/>
      <c r="P29" s="885"/>
      <c r="Q29" s="885"/>
      <c r="R29" s="80" t="str">
        <f t="shared" si="2"/>
        <v xml:space="preserve"> </v>
      </c>
      <c r="S29" s="80" t="str">
        <f t="shared" si="3"/>
        <v xml:space="preserve"> </v>
      </c>
      <c r="T29" s="541" t="str">
        <f t="shared" si="5"/>
        <v xml:space="preserve"> </v>
      </c>
      <c r="U29" s="463"/>
      <c r="Z29" t="s">
        <v>4388</v>
      </c>
      <c r="AD29" s="63" t="s">
        <v>278</v>
      </c>
      <c r="AE29" s="63">
        <v>5</v>
      </c>
    </row>
    <row r="30" spans="1:40" ht="12.9" customHeight="1" x14ac:dyDescent="0.3">
      <c r="A30" s="872"/>
      <c r="B30" s="985"/>
      <c r="C30" s="888"/>
      <c r="D30" s="880"/>
      <c r="E30" s="880"/>
      <c r="F30" s="880"/>
      <c r="G30" s="80" t="str">
        <f t="shared" si="0"/>
        <v xml:space="preserve"> </v>
      </c>
      <c r="H30" s="80" t="str">
        <f t="shared" si="1"/>
        <v xml:space="preserve"> </v>
      </c>
      <c r="I30" s="541" t="str">
        <f t="shared" si="4"/>
        <v xml:space="preserve"> </v>
      </c>
      <c r="J30" s="463"/>
      <c r="L30" s="872"/>
      <c r="M30" s="985"/>
      <c r="N30" s="888"/>
      <c r="O30" s="885"/>
      <c r="P30" s="885"/>
      <c r="Q30" s="885"/>
      <c r="R30" s="80" t="str">
        <f t="shared" si="2"/>
        <v xml:space="preserve"> </v>
      </c>
      <c r="S30" s="80" t="str">
        <f t="shared" si="3"/>
        <v xml:space="preserve"> </v>
      </c>
      <c r="T30" s="541" t="str">
        <f t="shared" si="5"/>
        <v xml:space="preserve"> </v>
      </c>
      <c r="U30" s="463"/>
      <c r="Z30" s="981" t="s">
        <v>4247</v>
      </c>
      <c r="AA30" s="981" t="s">
        <v>153</v>
      </c>
      <c r="AD30" s="982" t="s">
        <v>4405</v>
      </c>
    </row>
    <row r="31" spans="1:40" ht="12.9" customHeight="1" x14ac:dyDescent="0.3">
      <c r="A31" s="872"/>
      <c r="B31" s="985"/>
      <c r="C31" s="888"/>
      <c r="D31" s="880"/>
      <c r="E31" s="880"/>
      <c r="F31" s="880"/>
      <c r="G31" s="80" t="str">
        <f t="shared" si="0"/>
        <v xml:space="preserve"> </v>
      </c>
      <c r="H31" s="80" t="str">
        <f t="shared" si="1"/>
        <v xml:space="preserve"> </v>
      </c>
      <c r="I31" s="541" t="str">
        <f t="shared" si="4"/>
        <v xml:space="preserve"> </v>
      </c>
      <c r="J31" s="463"/>
      <c r="L31" s="872"/>
      <c r="M31" s="985"/>
      <c r="N31" s="888"/>
      <c r="O31" s="885"/>
      <c r="P31" s="885"/>
      <c r="Q31" s="885"/>
      <c r="R31" s="80" t="str">
        <f t="shared" si="2"/>
        <v xml:space="preserve"> </v>
      </c>
      <c r="S31" s="80" t="str">
        <f t="shared" si="3"/>
        <v xml:space="preserve"> </v>
      </c>
      <c r="T31" s="541" t="str">
        <f t="shared" si="5"/>
        <v xml:space="preserve"> </v>
      </c>
      <c r="U31" s="463"/>
      <c r="Z31" s="980" t="s">
        <v>4397</v>
      </c>
      <c r="AA31" s="980" t="s">
        <v>4389</v>
      </c>
      <c r="AD31" s="972" t="s">
        <v>988</v>
      </c>
      <c r="AE31" s="974">
        <f>IFERROR(HLOOKUP('3-Schopnosti'!$B$2,'3-Schopnosti'!$A$2:$C$68,MATCH("Specializace I",'3-Schopnosti'!$A$2:$A$68,0),FALSE),0)</f>
        <v>0</v>
      </c>
      <c r="AF31" s="973">
        <f>LOOKUP(AE31,$AD$24:$AD$29,$AE$24:$AE$29)</f>
        <v>0</v>
      </c>
    </row>
    <row r="32" spans="1:40" ht="12.9" customHeight="1" x14ac:dyDescent="0.3">
      <c r="A32" s="872"/>
      <c r="B32" s="985"/>
      <c r="C32" s="888"/>
      <c r="D32" s="880"/>
      <c r="E32" s="880"/>
      <c r="F32" s="880"/>
      <c r="G32" s="80" t="str">
        <f t="shared" si="0"/>
        <v xml:space="preserve"> </v>
      </c>
      <c r="H32" s="80" t="str">
        <f t="shared" si="1"/>
        <v xml:space="preserve"> </v>
      </c>
      <c r="I32" s="541" t="str">
        <f t="shared" si="4"/>
        <v xml:space="preserve"> </v>
      </c>
      <c r="J32" s="463"/>
      <c r="L32" s="872"/>
      <c r="M32" s="985"/>
      <c r="N32" s="888"/>
      <c r="O32" s="885"/>
      <c r="P32" s="885"/>
      <c r="Q32" s="885"/>
      <c r="R32" s="80" t="str">
        <f t="shared" si="2"/>
        <v xml:space="preserve"> </v>
      </c>
      <c r="S32" s="80" t="str">
        <f t="shared" si="3"/>
        <v xml:space="preserve"> </v>
      </c>
      <c r="T32" s="541" t="str">
        <f t="shared" si="5"/>
        <v xml:space="preserve"> </v>
      </c>
      <c r="U32" s="463"/>
      <c r="Z32" s="980" t="s">
        <v>4398</v>
      </c>
      <c r="AA32" s="980" t="s">
        <v>4390</v>
      </c>
      <c r="AD32" s="972" t="s">
        <v>97</v>
      </c>
      <c r="AE32" s="974">
        <f>IFERROR(HLOOKUP('3-Schopnosti'!$G$3,'3-Schopnosti'!$F$3:$J$59,MATCH("Specializace I",'3-Schopnosti'!$F$3:$F$59,0),FALSE),0)</f>
        <v>0</v>
      </c>
      <c r="AF32" s="973">
        <f>LOOKUP(AE32,$AD$24:$AD$29,$AE$24:$AE$29)</f>
        <v>0</v>
      </c>
    </row>
    <row r="33" spans="1:32" ht="12.9" customHeight="1" x14ac:dyDescent="0.3">
      <c r="A33" s="872"/>
      <c r="B33" s="985"/>
      <c r="C33" s="888"/>
      <c r="D33" s="880"/>
      <c r="E33" s="880"/>
      <c r="F33" s="880"/>
      <c r="G33" s="80" t="str">
        <f t="shared" si="0"/>
        <v xml:space="preserve"> </v>
      </c>
      <c r="H33" s="80" t="str">
        <f t="shared" si="1"/>
        <v xml:space="preserve"> </v>
      </c>
      <c r="I33" s="541" t="str">
        <f t="shared" si="4"/>
        <v xml:space="preserve"> </v>
      </c>
      <c r="J33" s="463"/>
      <c r="L33" s="872"/>
      <c r="M33" s="985"/>
      <c r="N33" s="888"/>
      <c r="O33" s="885"/>
      <c r="P33" s="885"/>
      <c r="Q33" s="885"/>
      <c r="R33" s="80" t="str">
        <f t="shared" si="2"/>
        <v xml:space="preserve"> </v>
      </c>
      <c r="S33" s="80" t="str">
        <f t="shared" si="3"/>
        <v xml:space="preserve"> </v>
      </c>
      <c r="T33" s="541" t="str">
        <f t="shared" si="5"/>
        <v xml:space="preserve"> </v>
      </c>
      <c r="U33" s="463"/>
      <c r="Z33" s="980" t="s">
        <v>4399</v>
      </c>
      <c r="AA33" s="980" t="s">
        <v>4391</v>
      </c>
      <c r="AD33" s="982" t="s">
        <v>4406</v>
      </c>
    </row>
    <row r="34" spans="1:32" ht="12.9" customHeight="1" x14ac:dyDescent="0.3">
      <c r="A34" s="872"/>
      <c r="B34" s="985"/>
      <c r="C34" s="888"/>
      <c r="D34" s="880"/>
      <c r="E34" s="880"/>
      <c r="F34" s="880"/>
      <c r="G34" s="80" t="str">
        <f t="shared" si="0"/>
        <v xml:space="preserve"> </v>
      </c>
      <c r="H34" s="80" t="str">
        <f t="shared" si="1"/>
        <v xml:space="preserve"> </v>
      </c>
      <c r="I34" s="541" t="str">
        <f t="shared" si="4"/>
        <v xml:space="preserve"> </v>
      </c>
      <c r="J34" s="463"/>
      <c r="L34" s="872"/>
      <c r="M34" s="985"/>
      <c r="N34" s="888"/>
      <c r="O34" s="885"/>
      <c r="P34" s="885"/>
      <c r="Q34" s="885"/>
      <c r="R34" s="80" t="str">
        <f t="shared" si="2"/>
        <v xml:space="preserve"> </v>
      </c>
      <c r="S34" s="80" t="str">
        <f t="shared" si="3"/>
        <v xml:space="preserve"> </v>
      </c>
      <c r="T34" s="541" t="str">
        <f t="shared" si="5"/>
        <v xml:space="preserve"> </v>
      </c>
      <c r="U34" s="463"/>
      <c r="Z34" s="980" t="s">
        <v>4401</v>
      </c>
      <c r="AA34" s="980" t="s">
        <v>4393</v>
      </c>
      <c r="AD34" s="972" t="s">
        <v>988</v>
      </c>
      <c r="AE34" s="974">
        <f>IFERROR(HLOOKUP('3-Schopnosti'!$B$2,'3-Schopnosti'!$A$2:$C$68,MATCH("Specializace II",'3-Schopnosti'!$A$2:$A$68,0),FALSE),0)</f>
        <v>0</v>
      </c>
      <c r="AF34" s="973">
        <f>LOOKUP(AE34,$AD$24:$AD$29,$AE$24:$AE$29)</f>
        <v>0</v>
      </c>
    </row>
    <row r="35" spans="1:32" ht="12.9" customHeight="1" x14ac:dyDescent="0.3">
      <c r="A35" s="872"/>
      <c r="B35" s="985"/>
      <c r="C35" s="888"/>
      <c r="D35" s="880"/>
      <c r="E35" s="880"/>
      <c r="F35" s="880"/>
      <c r="G35" s="80" t="str">
        <f t="shared" si="0"/>
        <v xml:space="preserve"> </v>
      </c>
      <c r="H35" s="80" t="str">
        <f t="shared" si="1"/>
        <v xml:space="preserve"> </v>
      </c>
      <c r="I35" s="541" t="str">
        <f t="shared" si="4"/>
        <v xml:space="preserve"> </v>
      </c>
      <c r="J35" s="463"/>
      <c r="L35" s="872"/>
      <c r="M35" s="985"/>
      <c r="N35" s="888"/>
      <c r="O35" s="885"/>
      <c r="P35" s="885"/>
      <c r="Q35" s="885"/>
      <c r="R35" s="80" t="str">
        <f t="shared" si="2"/>
        <v xml:space="preserve"> </v>
      </c>
      <c r="S35" s="80" t="str">
        <f t="shared" si="3"/>
        <v xml:space="preserve"> </v>
      </c>
      <c r="T35" s="541" t="str">
        <f t="shared" si="5"/>
        <v xml:space="preserve"> </v>
      </c>
      <c r="U35" s="463"/>
      <c r="Z35" s="980" t="s">
        <v>4403</v>
      </c>
      <c r="AA35" s="980" t="s">
        <v>4396</v>
      </c>
      <c r="AD35" s="972" t="s">
        <v>97</v>
      </c>
      <c r="AE35" s="974">
        <f>IFERROR(HLOOKUP('3-Schopnosti'!$G$3,'3-Schopnosti'!$F$3:$J$59,MATCH("Specializace II",'3-Schopnosti'!$F$3:$F$59,0),FALSE),0)</f>
        <v>0</v>
      </c>
      <c r="AF35" s="973">
        <f>LOOKUP(AE35,$AD$24:$AD$29,$AE$24:$AE$29)</f>
        <v>0</v>
      </c>
    </row>
    <row r="36" spans="1:32" ht="12.9" customHeight="1" x14ac:dyDescent="0.3">
      <c r="A36" s="872"/>
      <c r="B36" s="985"/>
      <c r="C36" s="888"/>
      <c r="D36" s="880"/>
      <c r="E36" s="880"/>
      <c r="F36" s="880"/>
      <c r="G36" s="80" t="str">
        <f t="shared" ref="G36:G67" si="9">IF(A36=0," ",IF(COPY_Typ_magie1="Alchymie:",IFERROR(HLOOKUP($AN$12,$AG$12:$AN$20,MATCH(B36,$AG$12:$AG$20,0),FALSE),0),IFERROR(HLOOKUP($AB$24,$Z$24:$AB$27,MATCH(B36,$Z$24:$Z$27,0),FALSE),0)))</f>
        <v xml:space="preserve"> </v>
      </c>
      <c r="H36" s="80" t="str">
        <f t="shared" ref="H36:H67" si="10">IF(A36=0," ",IF(OR(COPY_Typ_magie1="Alchymie:",COPY_Typ_magie1="Hudba:"),0,3-C36))</f>
        <v xml:space="preserve"> </v>
      </c>
      <c r="I36" s="541" t="str">
        <f t="shared" ref="I36:I67" si="11">IF(A36=0," ",LOOKUP($G$2,$A$74:$A$78,$T$74:$T$78)+G36+H36)</f>
        <v xml:space="preserve"> </v>
      </c>
      <c r="J36" s="463"/>
      <c r="L36" s="872"/>
      <c r="M36" s="985"/>
      <c r="N36" s="888"/>
      <c r="O36" s="885"/>
      <c r="P36" s="885"/>
      <c r="Q36" s="885"/>
      <c r="R36" s="80" t="str">
        <f t="shared" ref="R36:R67" si="12">IF(L36=0," ",IF(COPY_Typ_magie2="Alchymie:",IFERROR(HLOOKUP($AN$12,$AG$12:$AN$20,MATCH(M36,$AG$12:$AG$20,0),FALSE),0),IFERROR(HLOOKUP($AB$24,$Z$24:$AB$27,MATCH(M36,$Z$24:$Z$27,0),FALSE),0)))</f>
        <v xml:space="preserve"> </v>
      </c>
      <c r="S36" s="80" t="str">
        <f t="shared" ref="S36:S67" si="13">IF(L36=0," ",IF(OR(COPY_Typ_magie2="Alchymie:",COPY_Typ_magie2="Hudba:"),0,3-N36))</f>
        <v xml:space="preserve"> </v>
      </c>
      <c r="T36" s="541" t="str">
        <f t="shared" ref="T36:T67" si="14">IF(L36=0," ",LOOKUP($Q$2,$A$74:$A$78,$T$74:$T$78)+R36+S36)</f>
        <v xml:space="preserve"> </v>
      </c>
      <c r="U36" s="463"/>
      <c r="Z36" s="980" t="s">
        <v>4402</v>
      </c>
      <c r="AA36" s="980" t="s">
        <v>4395</v>
      </c>
      <c r="AD36" s="982" t="s">
        <v>4407</v>
      </c>
    </row>
    <row r="37" spans="1:32" ht="12.9" customHeight="1" x14ac:dyDescent="0.3">
      <c r="A37" s="872"/>
      <c r="B37" s="985"/>
      <c r="C37" s="888"/>
      <c r="D37" s="880"/>
      <c r="E37" s="880"/>
      <c r="F37" s="880"/>
      <c r="G37" s="80" t="str">
        <f t="shared" si="9"/>
        <v xml:space="preserve"> </v>
      </c>
      <c r="H37" s="80" t="str">
        <f t="shared" si="10"/>
        <v xml:space="preserve"> </v>
      </c>
      <c r="I37" s="541" t="str">
        <f t="shared" si="11"/>
        <v xml:space="preserve"> </v>
      </c>
      <c r="J37" s="463"/>
      <c r="L37" s="872"/>
      <c r="M37" s="985"/>
      <c r="N37" s="888"/>
      <c r="O37" s="885"/>
      <c r="P37" s="885"/>
      <c r="Q37" s="885"/>
      <c r="R37" s="80" t="str">
        <f t="shared" si="12"/>
        <v xml:space="preserve"> </v>
      </c>
      <c r="S37" s="80" t="str">
        <f t="shared" si="13"/>
        <v xml:space="preserve"> </v>
      </c>
      <c r="T37" s="541" t="str">
        <f t="shared" si="14"/>
        <v xml:space="preserve"> </v>
      </c>
      <c r="U37" s="463"/>
      <c r="Z37" s="980" t="s">
        <v>4400</v>
      </c>
      <c r="AA37" s="980" t="s">
        <v>4392</v>
      </c>
      <c r="AD37" s="972" t="s">
        <v>988</v>
      </c>
      <c r="AE37" s="974">
        <f>IFERROR(HLOOKUP('3-Schopnosti'!$B$2,'3-Schopnosti'!$A$2:$C$68,MATCH("Specializace III",'3-Schopnosti'!$A$2:$A$68,0),FALSE),0)</f>
        <v>0</v>
      </c>
      <c r="AF37" s="973">
        <f>LOOKUP(AE37,$AD$24:$AD$29,$AE$24:$AE$29)</f>
        <v>0</v>
      </c>
    </row>
    <row r="38" spans="1:32" ht="12.9" customHeight="1" x14ac:dyDescent="0.3">
      <c r="A38" s="872"/>
      <c r="B38" s="985"/>
      <c r="C38" s="888"/>
      <c r="D38" s="880"/>
      <c r="E38" s="880"/>
      <c r="F38" s="880"/>
      <c r="G38" s="80" t="str">
        <f t="shared" si="9"/>
        <v xml:space="preserve"> </v>
      </c>
      <c r="H38" s="80" t="str">
        <f t="shared" si="10"/>
        <v xml:space="preserve"> </v>
      </c>
      <c r="I38" s="541" t="str">
        <f t="shared" si="11"/>
        <v xml:space="preserve"> </v>
      </c>
      <c r="J38" s="463"/>
      <c r="L38" s="872"/>
      <c r="M38" s="985"/>
      <c r="N38" s="888"/>
      <c r="O38" s="885"/>
      <c r="P38" s="885"/>
      <c r="Q38" s="885"/>
      <c r="R38" s="80" t="str">
        <f t="shared" si="12"/>
        <v xml:space="preserve"> </v>
      </c>
      <c r="S38" s="80" t="str">
        <f t="shared" si="13"/>
        <v xml:space="preserve"> </v>
      </c>
      <c r="T38" s="541" t="str">
        <f t="shared" si="14"/>
        <v xml:space="preserve"> </v>
      </c>
      <c r="U38" s="463"/>
      <c r="Z38" s="980" t="s">
        <v>406</v>
      </c>
      <c r="AA38" s="980" t="s">
        <v>4394</v>
      </c>
      <c r="AD38" s="972" t="s">
        <v>97</v>
      </c>
      <c r="AE38" s="974">
        <f>IFERROR(HLOOKUP('3-Schopnosti'!$G$3,'3-Schopnosti'!$F$3:$J$59,MATCH("Specializace III",'3-Schopnosti'!$F$3:$F$59,0),FALSE),0)</f>
        <v>0</v>
      </c>
      <c r="AF38" s="973">
        <f>LOOKUP(AE38,$AD$24:$AD$29,$AE$24:$AE$29)</f>
        <v>0</v>
      </c>
    </row>
    <row r="39" spans="1:32" ht="12.9" customHeight="1" x14ac:dyDescent="0.3">
      <c r="A39" s="872"/>
      <c r="B39" s="985"/>
      <c r="C39" s="888"/>
      <c r="D39" s="880"/>
      <c r="E39" s="880"/>
      <c r="F39" s="880"/>
      <c r="G39" s="80" t="str">
        <f t="shared" si="9"/>
        <v xml:space="preserve"> </v>
      </c>
      <c r="H39" s="80" t="str">
        <f t="shared" si="10"/>
        <v xml:space="preserve"> </v>
      </c>
      <c r="I39" s="541" t="str">
        <f t="shared" si="11"/>
        <v xml:space="preserve"> </v>
      </c>
      <c r="J39" s="463"/>
      <c r="L39" s="872"/>
      <c r="M39" s="985"/>
      <c r="N39" s="888"/>
      <c r="O39" s="885"/>
      <c r="P39" s="885"/>
      <c r="Q39" s="885"/>
      <c r="R39" s="80" t="str">
        <f t="shared" si="12"/>
        <v xml:space="preserve"> </v>
      </c>
      <c r="S39" s="80" t="str">
        <f t="shared" si="13"/>
        <v xml:space="preserve"> </v>
      </c>
      <c r="T39" s="541" t="str">
        <f t="shared" si="14"/>
        <v xml:space="preserve"> </v>
      </c>
      <c r="U39" s="463"/>
    </row>
    <row r="40" spans="1:32" ht="12.9" customHeight="1" x14ac:dyDescent="0.3">
      <c r="A40" s="872"/>
      <c r="B40" s="985"/>
      <c r="C40" s="888"/>
      <c r="D40" s="880"/>
      <c r="E40" s="880"/>
      <c r="F40" s="880"/>
      <c r="G40" s="80" t="str">
        <f t="shared" si="9"/>
        <v xml:space="preserve"> </v>
      </c>
      <c r="H40" s="80" t="str">
        <f t="shared" si="10"/>
        <v xml:space="preserve"> </v>
      </c>
      <c r="I40" s="541" t="str">
        <f t="shared" si="11"/>
        <v xml:space="preserve"> </v>
      </c>
      <c r="J40" s="463"/>
      <c r="L40" s="872"/>
      <c r="M40" s="985"/>
      <c r="N40" s="888"/>
      <c r="O40" s="885"/>
      <c r="P40" s="885"/>
      <c r="Q40" s="885"/>
      <c r="R40" s="80" t="str">
        <f t="shared" si="12"/>
        <v xml:space="preserve"> </v>
      </c>
      <c r="S40" s="80" t="str">
        <f t="shared" si="13"/>
        <v xml:space="preserve"> </v>
      </c>
      <c r="T40" s="541" t="str">
        <f t="shared" si="14"/>
        <v xml:space="preserve"> </v>
      </c>
      <c r="U40" s="463"/>
    </row>
    <row r="41" spans="1:32" ht="12.9" customHeight="1" x14ac:dyDescent="0.3">
      <c r="A41" s="872"/>
      <c r="B41" s="985"/>
      <c r="C41" s="888"/>
      <c r="D41" s="880"/>
      <c r="E41" s="880"/>
      <c r="F41" s="880"/>
      <c r="G41" s="80" t="str">
        <f t="shared" si="9"/>
        <v xml:space="preserve"> </v>
      </c>
      <c r="H41" s="80" t="str">
        <f t="shared" si="10"/>
        <v xml:space="preserve"> </v>
      </c>
      <c r="I41" s="541" t="str">
        <f t="shared" si="11"/>
        <v xml:space="preserve"> </v>
      </c>
      <c r="J41" s="463"/>
      <c r="L41" s="872"/>
      <c r="M41" s="985"/>
      <c r="N41" s="888"/>
      <c r="O41" s="885"/>
      <c r="P41" s="885"/>
      <c r="Q41" s="885"/>
      <c r="R41" s="80" t="str">
        <f t="shared" si="12"/>
        <v xml:space="preserve"> </v>
      </c>
      <c r="S41" s="80" t="str">
        <f t="shared" si="13"/>
        <v xml:space="preserve"> </v>
      </c>
      <c r="T41" s="541" t="str">
        <f t="shared" si="14"/>
        <v xml:space="preserve"> </v>
      </c>
      <c r="U41" s="463"/>
    </row>
    <row r="42" spans="1:32" ht="12.9" customHeight="1" x14ac:dyDescent="0.3">
      <c r="A42" s="870"/>
      <c r="B42" s="986"/>
      <c r="C42" s="888"/>
      <c r="D42" s="880"/>
      <c r="E42" s="880"/>
      <c r="F42" s="880"/>
      <c r="G42" s="80" t="str">
        <f t="shared" si="9"/>
        <v xml:space="preserve"> </v>
      </c>
      <c r="H42" s="80" t="str">
        <f t="shared" si="10"/>
        <v xml:space="preserve"> </v>
      </c>
      <c r="I42" s="541" t="str">
        <f t="shared" si="11"/>
        <v xml:space="preserve"> </v>
      </c>
      <c r="J42" s="463"/>
      <c r="L42" s="870"/>
      <c r="M42" s="986"/>
      <c r="N42" s="888"/>
      <c r="O42" s="885"/>
      <c r="P42" s="885"/>
      <c r="Q42" s="885"/>
      <c r="R42" s="80" t="str">
        <f t="shared" si="12"/>
        <v xml:space="preserve"> </v>
      </c>
      <c r="S42" s="80" t="str">
        <f t="shared" si="13"/>
        <v xml:space="preserve"> </v>
      </c>
      <c r="T42" s="541" t="str">
        <f t="shared" si="14"/>
        <v xml:space="preserve"> </v>
      </c>
      <c r="U42" s="463"/>
    </row>
    <row r="43" spans="1:32" ht="12.9" customHeight="1" x14ac:dyDescent="0.3">
      <c r="A43" s="870"/>
      <c r="B43" s="986"/>
      <c r="C43" s="888"/>
      <c r="D43" s="880"/>
      <c r="E43" s="880"/>
      <c r="F43" s="880"/>
      <c r="G43" s="80" t="str">
        <f t="shared" si="9"/>
        <v xml:space="preserve"> </v>
      </c>
      <c r="H43" s="80" t="str">
        <f t="shared" si="10"/>
        <v xml:space="preserve"> </v>
      </c>
      <c r="I43" s="541" t="str">
        <f t="shared" si="11"/>
        <v xml:space="preserve"> </v>
      </c>
      <c r="J43" s="463"/>
      <c r="L43" s="870"/>
      <c r="M43" s="986"/>
      <c r="N43" s="888"/>
      <c r="O43" s="885"/>
      <c r="P43" s="885"/>
      <c r="Q43" s="885"/>
      <c r="R43" s="80" t="str">
        <f t="shared" si="12"/>
        <v xml:space="preserve"> </v>
      </c>
      <c r="S43" s="80" t="str">
        <f t="shared" si="13"/>
        <v xml:space="preserve"> </v>
      </c>
      <c r="T43" s="541" t="str">
        <f t="shared" si="14"/>
        <v xml:space="preserve"> </v>
      </c>
      <c r="U43" s="463"/>
    </row>
    <row r="44" spans="1:32" ht="12.9" customHeight="1" x14ac:dyDescent="0.3">
      <c r="A44" s="870"/>
      <c r="B44" s="986"/>
      <c r="C44" s="888"/>
      <c r="D44" s="880"/>
      <c r="E44" s="880"/>
      <c r="F44" s="880"/>
      <c r="G44" s="80" t="str">
        <f t="shared" si="9"/>
        <v xml:space="preserve"> </v>
      </c>
      <c r="H44" s="80" t="str">
        <f t="shared" si="10"/>
        <v xml:space="preserve"> </v>
      </c>
      <c r="I44" s="541" t="str">
        <f t="shared" si="11"/>
        <v xml:space="preserve"> </v>
      </c>
      <c r="J44" s="463"/>
      <c r="L44" s="870"/>
      <c r="M44" s="986"/>
      <c r="N44" s="888"/>
      <c r="O44" s="885"/>
      <c r="P44" s="885"/>
      <c r="Q44" s="885"/>
      <c r="R44" s="80" t="str">
        <f t="shared" si="12"/>
        <v xml:space="preserve"> </v>
      </c>
      <c r="S44" s="80" t="str">
        <f t="shared" si="13"/>
        <v xml:space="preserve"> </v>
      </c>
      <c r="T44" s="541" t="str">
        <f t="shared" si="14"/>
        <v xml:space="preserve"> </v>
      </c>
      <c r="U44" s="463"/>
    </row>
    <row r="45" spans="1:32" ht="12.9" customHeight="1" x14ac:dyDescent="0.3">
      <c r="A45" s="870"/>
      <c r="B45" s="986"/>
      <c r="C45" s="888"/>
      <c r="D45" s="880"/>
      <c r="E45" s="880"/>
      <c r="F45" s="880"/>
      <c r="G45" s="80" t="str">
        <f t="shared" si="9"/>
        <v xml:space="preserve"> </v>
      </c>
      <c r="H45" s="80" t="str">
        <f t="shared" si="10"/>
        <v xml:space="preserve"> </v>
      </c>
      <c r="I45" s="541" t="str">
        <f t="shared" si="11"/>
        <v xml:space="preserve"> </v>
      </c>
      <c r="J45" s="463"/>
      <c r="L45" s="870"/>
      <c r="M45" s="986"/>
      <c r="N45" s="888"/>
      <c r="O45" s="885"/>
      <c r="P45" s="885"/>
      <c r="Q45" s="885"/>
      <c r="R45" s="80" t="str">
        <f t="shared" si="12"/>
        <v xml:space="preserve"> </v>
      </c>
      <c r="S45" s="80" t="str">
        <f t="shared" si="13"/>
        <v xml:space="preserve"> </v>
      </c>
      <c r="T45" s="541" t="str">
        <f t="shared" si="14"/>
        <v xml:space="preserve"> </v>
      </c>
      <c r="U45" s="463"/>
    </row>
    <row r="46" spans="1:32" ht="12.9" customHeight="1" x14ac:dyDescent="0.3">
      <c r="A46" s="870"/>
      <c r="B46" s="986"/>
      <c r="C46" s="888"/>
      <c r="D46" s="880"/>
      <c r="E46" s="880"/>
      <c r="F46" s="880"/>
      <c r="G46" s="80" t="str">
        <f t="shared" si="9"/>
        <v xml:space="preserve"> </v>
      </c>
      <c r="H46" s="80" t="str">
        <f t="shared" si="10"/>
        <v xml:space="preserve"> </v>
      </c>
      <c r="I46" s="541" t="str">
        <f t="shared" si="11"/>
        <v xml:space="preserve"> </v>
      </c>
      <c r="J46" s="463"/>
      <c r="L46" s="870"/>
      <c r="M46" s="986"/>
      <c r="N46" s="888"/>
      <c r="O46" s="885"/>
      <c r="P46" s="885"/>
      <c r="Q46" s="885"/>
      <c r="R46" s="80" t="str">
        <f t="shared" si="12"/>
        <v xml:space="preserve"> </v>
      </c>
      <c r="S46" s="80" t="str">
        <f t="shared" si="13"/>
        <v xml:space="preserve"> </v>
      </c>
      <c r="T46" s="541" t="str">
        <f t="shared" si="14"/>
        <v xml:space="preserve"> </v>
      </c>
      <c r="U46" s="463"/>
    </row>
    <row r="47" spans="1:32" ht="12.9" customHeight="1" x14ac:dyDescent="0.3">
      <c r="A47" s="870"/>
      <c r="B47" s="986"/>
      <c r="C47" s="888"/>
      <c r="D47" s="880"/>
      <c r="E47" s="880"/>
      <c r="F47" s="880"/>
      <c r="G47" s="80" t="str">
        <f t="shared" si="9"/>
        <v xml:space="preserve"> </v>
      </c>
      <c r="H47" s="80" t="str">
        <f t="shared" si="10"/>
        <v xml:space="preserve"> </v>
      </c>
      <c r="I47" s="541" t="str">
        <f t="shared" si="11"/>
        <v xml:space="preserve"> </v>
      </c>
      <c r="J47" s="463"/>
      <c r="L47" s="870"/>
      <c r="M47" s="986"/>
      <c r="N47" s="888"/>
      <c r="O47" s="885"/>
      <c r="P47" s="885"/>
      <c r="Q47" s="885"/>
      <c r="R47" s="80" t="str">
        <f t="shared" si="12"/>
        <v xml:space="preserve"> </v>
      </c>
      <c r="S47" s="80" t="str">
        <f t="shared" si="13"/>
        <v xml:space="preserve"> </v>
      </c>
      <c r="T47" s="541" t="str">
        <f t="shared" si="14"/>
        <v xml:space="preserve"> </v>
      </c>
      <c r="U47" s="463"/>
    </row>
    <row r="48" spans="1:32" ht="12.9" customHeight="1" x14ac:dyDescent="0.3">
      <c r="A48" s="870"/>
      <c r="B48" s="986"/>
      <c r="C48" s="888"/>
      <c r="D48" s="880"/>
      <c r="E48" s="880"/>
      <c r="F48" s="880"/>
      <c r="G48" s="80" t="str">
        <f t="shared" si="9"/>
        <v xml:space="preserve"> </v>
      </c>
      <c r="H48" s="80" t="str">
        <f t="shared" si="10"/>
        <v xml:space="preserve"> </v>
      </c>
      <c r="I48" s="541" t="str">
        <f t="shared" si="11"/>
        <v xml:space="preserve"> </v>
      </c>
      <c r="J48" s="463"/>
      <c r="L48" s="870"/>
      <c r="M48" s="986"/>
      <c r="N48" s="888"/>
      <c r="O48" s="885"/>
      <c r="P48" s="885"/>
      <c r="Q48" s="885"/>
      <c r="R48" s="80" t="str">
        <f t="shared" si="12"/>
        <v xml:space="preserve"> </v>
      </c>
      <c r="S48" s="80" t="str">
        <f t="shared" si="13"/>
        <v xml:space="preserve"> </v>
      </c>
      <c r="T48" s="541" t="str">
        <f t="shared" si="14"/>
        <v xml:space="preserve"> </v>
      </c>
      <c r="U48" s="463"/>
    </row>
    <row r="49" spans="1:21" ht="12.9" customHeight="1" x14ac:dyDescent="0.3">
      <c r="A49" s="870"/>
      <c r="B49" s="986"/>
      <c r="C49" s="888"/>
      <c r="D49" s="880"/>
      <c r="E49" s="880"/>
      <c r="F49" s="880"/>
      <c r="G49" s="80" t="str">
        <f t="shared" si="9"/>
        <v xml:space="preserve"> </v>
      </c>
      <c r="H49" s="80" t="str">
        <f t="shared" si="10"/>
        <v xml:space="preserve"> </v>
      </c>
      <c r="I49" s="541" t="str">
        <f t="shared" si="11"/>
        <v xml:space="preserve"> </v>
      </c>
      <c r="J49" s="463"/>
      <c r="L49" s="870"/>
      <c r="M49" s="986"/>
      <c r="N49" s="888"/>
      <c r="O49" s="885"/>
      <c r="P49" s="885"/>
      <c r="Q49" s="885"/>
      <c r="R49" s="80" t="str">
        <f t="shared" si="12"/>
        <v xml:space="preserve"> </v>
      </c>
      <c r="S49" s="80" t="str">
        <f t="shared" si="13"/>
        <v xml:space="preserve"> </v>
      </c>
      <c r="T49" s="541" t="str">
        <f t="shared" si="14"/>
        <v xml:space="preserve"> </v>
      </c>
      <c r="U49" s="463"/>
    </row>
    <row r="50" spans="1:21" ht="12.9" customHeight="1" x14ac:dyDescent="0.3">
      <c r="A50" s="870"/>
      <c r="B50" s="986"/>
      <c r="C50" s="888"/>
      <c r="D50" s="880"/>
      <c r="E50" s="880"/>
      <c r="F50" s="880"/>
      <c r="G50" s="80" t="str">
        <f t="shared" si="9"/>
        <v xml:space="preserve"> </v>
      </c>
      <c r="H50" s="80" t="str">
        <f t="shared" si="10"/>
        <v xml:space="preserve"> </v>
      </c>
      <c r="I50" s="541" t="str">
        <f t="shared" si="11"/>
        <v xml:space="preserve"> </v>
      </c>
      <c r="J50" s="463"/>
      <c r="L50" s="870"/>
      <c r="M50" s="986"/>
      <c r="N50" s="888"/>
      <c r="O50" s="885"/>
      <c r="P50" s="885"/>
      <c r="Q50" s="885"/>
      <c r="R50" s="80" t="str">
        <f t="shared" si="12"/>
        <v xml:space="preserve"> </v>
      </c>
      <c r="S50" s="80" t="str">
        <f t="shared" si="13"/>
        <v xml:space="preserve"> </v>
      </c>
      <c r="T50" s="541" t="str">
        <f t="shared" si="14"/>
        <v xml:space="preserve"> </v>
      </c>
      <c r="U50" s="463"/>
    </row>
    <row r="51" spans="1:21" ht="12.9" customHeight="1" x14ac:dyDescent="0.3">
      <c r="A51" s="872"/>
      <c r="B51" s="985"/>
      <c r="C51" s="888"/>
      <c r="D51" s="880"/>
      <c r="E51" s="880"/>
      <c r="F51" s="880"/>
      <c r="G51" s="80" t="str">
        <f t="shared" si="9"/>
        <v xml:space="preserve"> </v>
      </c>
      <c r="H51" s="80" t="str">
        <f t="shared" si="10"/>
        <v xml:space="preserve"> </v>
      </c>
      <c r="I51" s="541" t="str">
        <f t="shared" si="11"/>
        <v xml:space="preserve"> </v>
      </c>
      <c r="J51" s="463"/>
      <c r="L51" s="872"/>
      <c r="M51" s="985"/>
      <c r="N51" s="888"/>
      <c r="O51" s="885"/>
      <c r="P51" s="885"/>
      <c r="Q51" s="885"/>
      <c r="R51" s="80" t="str">
        <f t="shared" si="12"/>
        <v xml:space="preserve"> </v>
      </c>
      <c r="S51" s="80" t="str">
        <f t="shared" si="13"/>
        <v xml:space="preserve"> </v>
      </c>
      <c r="T51" s="541" t="str">
        <f t="shared" si="14"/>
        <v xml:space="preserve"> </v>
      </c>
      <c r="U51" s="463"/>
    </row>
    <row r="52" spans="1:21" ht="12.9" customHeight="1" x14ac:dyDescent="0.3">
      <c r="A52" s="872"/>
      <c r="B52" s="985"/>
      <c r="C52" s="888"/>
      <c r="D52" s="880"/>
      <c r="E52" s="880"/>
      <c r="F52" s="880"/>
      <c r="G52" s="80" t="str">
        <f t="shared" si="9"/>
        <v xml:space="preserve"> </v>
      </c>
      <c r="H52" s="80" t="str">
        <f t="shared" si="10"/>
        <v xml:space="preserve"> </v>
      </c>
      <c r="I52" s="541" t="str">
        <f t="shared" si="11"/>
        <v xml:space="preserve"> </v>
      </c>
      <c r="J52" s="463"/>
      <c r="L52" s="872"/>
      <c r="M52" s="985"/>
      <c r="N52" s="888"/>
      <c r="O52" s="885"/>
      <c r="P52" s="885"/>
      <c r="Q52" s="885"/>
      <c r="R52" s="80" t="str">
        <f t="shared" si="12"/>
        <v xml:space="preserve"> </v>
      </c>
      <c r="S52" s="80" t="str">
        <f t="shared" si="13"/>
        <v xml:space="preserve"> </v>
      </c>
      <c r="T52" s="541" t="str">
        <f t="shared" si="14"/>
        <v xml:space="preserve"> </v>
      </c>
      <c r="U52" s="463"/>
    </row>
    <row r="53" spans="1:21" ht="12.9" customHeight="1" x14ac:dyDescent="0.3">
      <c r="A53" s="872"/>
      <c r="B53" s="985"/>
      <c r="C53" s="888"/>
      <c r="D53" s="880"/>
      <c r="E53" s="880"/>
      <c r="F53" s="880"/>
      <c r="G53" s="80" t="str">
        <f t="shared" si="9"/>
        <v xml:space="preserve"> </v>
      </c>
      <c r="H53" s="80" t="str">
        <f t="shared" si="10"/>
        <v xml:space="preserve"> </v>
      </c>
      <c r="I53" s="541" t="str">
        <f t="shared" si="11"/>
        <v xml:space="preserve"> </v>
      </c>
      <c r="J53" s="463"/>
      <c r="L53" s="872"/>
      <c r="M53" s="985"/>
      <c r="N53" s="888"/>
      <c r="O53" s="885"/>
      <c r="P53" s="885"/>
      <c r="Q53" s="885"/>
      <c r="R53" s="80" t="str">
        <f t="shared" si="12"/>
        <v xml:space="preserve"> </v>
      </c>
      <c r="S53" s="80" t="str">
        <f t="shared" si="13"/>
        <v xml:space="preserve"> </v>
      </c>
      <c r="T53" s="541" t="str">
        <f t="shared" si="14"/>
        <v xml:space="preserve"> </v>
      </c>
      <c r="U53" s="463"/>
    </row>
    <row r="54" spans="1:21" ht="12.9" customHeight="1" x14ac:dyDescent="0.3">
      <c r="A54" s="872"/>
      <c r="B54" s="985"/>
      <c r="C54" s="888"/>
      <c r="D54" s="880"/>
      <c r="E54" s="880"/>
      <c r="F54" s="880"/>
      <c r="G54" s="80" t="str">
        <f t="shared" si="9"/>
        <v xml:space="preserve"> </v>
      </c>
      <c r="H54" s="80" t="str">
        <f t="shared" si="10"/>
        <v xml:space="preserve"> </v>
      </c>
      <c r="I54" s="541" t="str">
        <f t="shared" si="11"/>
        <v xml:space="preserve"> </v>
      </c>
      <c r="J54" s="463"/>
      <c r="L54" s="872"/>
      <c r="M54" s="985"/>
      <c r="N54" s="888"/>
      <c r="O54" s="885"/>
      <c r="P54" s="885"/>
      <c r="Q54" s="885"/>
      <c r="R54" s="80" t="str">
        <f t="shared" si="12"/>
        <v xml:space="preserve"> </v>
      </c>
      <c r="S54" s="80" t="str">
        <f t="shared" si="13"/>
        <v xml:space="preserve"> </v>
      </c>
      <c r="T54" s="541" t="str">
        <f t="shared" si="14"/>
        <v xml:space="preserve"> </v>
      </c>
      <c r="U54" s="463"/>
    </row>
    <row r="55" spans="1:21" ht="12.9" customHeight="1" x14ac:dyDescent="0.3">
      <c r="A55" s="872"/>
      <c r="B55" s="985"/>
      <c r="C55" s="888"/>
      <c r="D55" s="880"/>
      <c r="E55" s="880"/>
      <c r="F55" s="880"/>
      <c r="G55" s="80" t="str">
        <f t="shared" si="9"/>
        <v xml:space="preserve"> </v>
      </c>
      <c r="H55" s="80" t="str">
        <f t="shared" si="10"/>
        <v xml:space="preserve"> </v>
      </c>
      <c r="I55" s="541" t="str">
        <f t="shared" si="11"/>
        <v xml:space="preserve"> </v>
      </c>
      <c r="J55" s="463"/>
      <c r="L55" s="872"/>
      <c r="M55" s="985"/>
      <c r="N55" s="888"/>
      <c r="O55" s="885"/>
      <c r="P55" s="885"/>
      <c r="Q55" s="885"/>
      <c r="R55" s="80" t="str">
        <f t="shared" si="12"/>
        <v xml:space="preserve"> </v>
      </c>
      <c r="S55" s="80" t="str">
        <f t="shared" si="13"/>
        <v xml:space="preserve"> </v>
      </c>
      <c r="T55" s="541" t="str">
        <f t="shared" si="14"/>
        <v xml:space="preserve"> </v>
      </c>
      <c r="U55" s="463"/>
    </row>
    <row r="56" spans="1:21" ht="12.9" customHeight="1" x14ac:dyDescent="0.3">
      <c r="A56" s="872"/>
      <c r="B56" s="985"/>
      <c r="C56" s="888"/>
      <c r="D56" s="880"/>
      <c r="E56" s="880"/>
      <c r="F56" s="880"/>
      <c r="G56" s="80" t="str">
        <f t="shared" si="9"/>
        <v xml:space="preserve"> </v>
      </c>
      <c r="H56" s="80" t="str">
        <f t="shared" si="10"/>
        <v xml:space="preserve"> </v>
      </c>
      <c r="I56" s="541" t="str">
        <f t="shared" si="11"/>
        <v xml:space="preserve"> </v>
      </c>
      <c r="J56" s="463"/>
      <c r="L56" s="872"/>
      <c r="M56" s="985"/>
      <c r="N56" s="888"/>
      <c r="O56" s="885"/>
      <c r="P56" s="885"/>
      <c r="Q56" s="885"/>
      <c r="R56" s="80" t="str">
        <f t="shared" si="12"/>
        <v xml:space="preserve"> </v>
      </c>
      <c r="S56" s="80" t="str">
        <f t="shared" si="13"/>
        <v xml:space="preserve"> </v>
      </c>
      <c r="T56" s="541" t="str">
        <f t="shared" si="14"/>
        <v xml:space="preserve"> </v>
      </c>
      <c r="U56" s="463"/>
    </row>
    <row r="57" spans="1:21" ht="12.9" customHeight="1" x14ac:dyDescent="0.3">
      <c r="A57" s="872"/>
      <c r="B57" s="985"/>
      <c r="C57" s="888"/>
      <c r="D57" s="880"/>
      <c r="E57" s="880"/>
      <c r="F57" s="880"/>
      <c r="G57" s="80" t="str">
        <f t="shared" si="9"/>
        <v xml:space="preserve"> </v>
      </c>
      <c r="H57" s="80" t="str">
        <f t="shared" si="10"/>
        <v xml:space="preserve"> </v>
      </c>
      <c r="I57" s="541" t="str">
        <f t="shared" si="11"/>
        <v xml:space="preserve"> </v>
      </c>
      <c r="J57" s="463"/>
      <c r="L57" s="872"/>
      <c r="M57" s="985"/>
      <c r="N57" s="888"/>
      <c r="O57" s="885"/>
      <c r="P57" s="885"/>
      <c r="Q57" s="885"/>
      <c r="R57" s="80" t="str">
        <f t="shared" si="12"/>
        <v xml:space="preserve"> </v>
      </c>
      <c r="S57" s="80" t="str">
        <f t="shared" si="13"/>
        <v xml:space="preserve"> </v>
      </c>
      <c r="T57" s="541" t="str">
        <f t="shared" si="14"/>
        <v xml:space="preserve"> </v>
      </c>
      <c r="U57" s="463"/>
    </row>
    <row r="58" spans="1:21" ht="12.9" customHeight="1" x14ac:dyDescent="0.3">
      <c r="A58" s="872"/>
      <c r="B58" s="985"/>
      <c r="C58" s="888"/>
      <c r="D58" s="880"/>
      <c r="E58" s="880"/>
      <c r="F58" s="880"/>
      <c r="G58" s="80" t="str">
        <f t="shared" si="9"/>
        <v xml:space="preserve"> </v>
      </c>
      <c r="H58" s="80" t="str">
        <f t="shared" si="10"/>
        <v xml:space="preserve"> </v>
      </c>
      <c r="I58" s="541" t="str">
        <f t="shared" si="11"/>
        <v xml:space="preserve"> </v>
      </c>
      <c r="J58" s="463"/>
      <c r="L58" s="872"/>
      <c r="M58" s="985"/>
      <c r="N58" s="888"/>
      <c r="O58" s="885"/>
      <c r="P58" s="885"/>
      <c r="Q58" s="885"/>
      <c r="R58" s="80" t="str">
        <f t="shared" si="12"/>
        <v xml:space="preserve"> </v>
      </c>
      <c r="S58" s="80" t="str">
        <f t="shared" si="13"/>
        <v xml:space="preserve"> </v>
      </c>
      <c r="T58" s="541" t="str">
        <f t="shared" si="14"/>
        <v xml:space="preserve"> </v>
      </c>
      <c r="U58" s="463"/>
    </row>
    <row r="59" spans="1:21" ht="12.9" customHeight="1" x14ac:dyDescent="0.3">
      <c r="A59" s="872"/>
      <c r="B59" s="985"/>
      <c r="C59" s="888"/>
      <c r="D59" s="880"/>
      <c r="E59" s="880"/>
      <c r="F59" s="880"/>
      <c r="G59" s="80" t="str">
        <f t="shared" si="9"/>
        <v xml:space="preserve"> </v>
      </c>
      <c r="H59" s="80" t="str">
        <f t="shared" si="10"/>
        <v xml:space="preserve"> </v>
      </c>
      <c r="I59" s="541" t="str">
        <f t="shared" si="11"/>
        <v xml:space="preserve"> </v>
      </c>
      <c r="J59" s="463"/>
      <c r="L59" s="872"/>
      <c r="M59" s="985"/>
      <c r="N59" s="888"/>
      <c r="O59" s="885"/>
      <c r="P59" s="885"/>
      <c r="Q59" s="885"/>
      <c r="R59" s="80" t="str">
        <f t="shared" si="12"/>
        <v xml:space="preserve"> </v>
      </c>
      <c r="S59" s="80" t="str">
        <f t="shared" si="13"/>
        <v xml:space="preserve"> </v>
      </c>
      <c r="T59" s="541" t="str">
        <f t="shared" si="14"/>
        <v xml:space="preserve"> </v>
      </c>
      <c r="U59" s="463"/>
    </row>
    <row r="60" spans="1:21" ht="12.9" customHeight="1" x14ac:dyDescent="0.3">
      <c r="A60" s="872"/>
      <c r="B60" s="985"/>
      <c r="C60" s="888"/>
      <c r="D60" s="880"/>
      <c r="E60" s="880"/>
      <c r="F60" s="880"/>
      <c r="G60" s="80" t="str">
        <f t="shared" si="9"/>
        <v xml:space="preserve"> </v>
      </c>
      <c r="H60" s="80" t="str">
        <f t="shared" si="10"/>
        <v xml:space="preserve"> </v>
      </c>
      <c r="I60" s="541" t="str">
        <f t="shared" si="11"/>
        <v xml:space="preserve"> </v>
      </c>
      <c r="J60" s="463"/>
      <c r="L60" s="872"/>
      <c r="M60" s="985"/>
      <c r="N60" s="888"/>
      <c r="O60" s="885"/>
      <c r="P60" s="885"/>
      <c r="Q60" s="885"/>
      <c r="R60" s="80" t="str">
        <f t="shared" si="12"/>
        <v xml:space="preserve"> </v>
      </c>
      <c r="S60" s="80" t="str">
        <f t="shared" si="13"/>
        <v xml:space="preserve"> </v>
      </c>
      <c r="T60" s="541" t="str">
        <f t="shared" si="14"/>
        <v xml:space="preserve"> </v>
      </c>
      <c r="U60" s="463"/>
    </row>
    <row r="61" spans="1:21" ht="12.9" customHeight="1" x14ac:dyDescent="0.3">
      <c r="A61" s="872"/>
      <c r="B61" s="985"/>
      <c r="C61" s="888"/>
      <c r="D61" s="880"/>
      <c r="E61" s="880"/>
      <c r="F61" s="880"/>
      <c r="G61" s="80" t="str">
        <f t="shared" si="9"/>
        <v xml:space="preserve"> </v>
      </c>
      <c r="H61" s="80" t="str">
        <f t="shared" si="10"/>
        <v xml:space="preserve"> </v>
      </c>
      <c r="I61" s="541" t="str">
        <f t="shared" si="11"/>
        <v xml:space="preserve"> </v>
      </c>
      <c r="J61" s="463"/>
      <c r="L61" s="872"/>
      <c r="M61" s="985"/>
      <c r="N61" s="888"/>
      <c r="O61" s="885"/>
      <c r="P61" s="885"/>
      <c r="Q61" s="885"/>
      <c r="R61" s="80" t="str">
        <f t="shared" si="12"/>
        <v xml:space="preserve"> </v>
      </c>
      <c r="S61" s="80" t="str">
        <f t="shared" si="13"/>
        <v xml:space="preserve"> </v>
      </c>
      <c r="T61" s="541" t="str">
        <f t="shared" si="14"/>
        <v xml:space="preserve"> </v>
      </c>
      <c r="U61" s="463"/>
    </row>
    <row r="62" spans="1:21" ht="12.9" customHeight="1" x14ac:dyDescent="0.3">
      <c r="A62" s="872"/>
      <c r="B62" s="985"/>
      <c r="C62" s="888"/>
      <c r="D62" s="880"/>
      <c r="E62" s="880"/>
      <c r="F62" s="880"/>
      <c r="G62" s="80" t="str">
        <f t="shared" si="9"/>
        <v xml:space="preserve"> </v>
      </c>
      <c r="H62" s="80" t="str">
        <f t="shared" si="10"/>
        <v xml:space="preserve"> </v>
      </c>
      <c r="I62" s="541" t="str">
        <f t="shared" si="11"/>
        <v xml:space="preserve"> </v>
      </c>
      <c r="J62" s="463"/>
      <c r="L62" s="872"/>
      <c r="M62" s="985"/>
      <c r="N62" s="888"/>
      <c r="O62" s="885"/>
      <c r="P62" s="885"/>
      <c r="Q62" s="885"/>
      <c r="R62" s="80" t="str">
        <f t="shared" si="12"/>
        <v xml:space="preserve"> </v>
      </c>
      <c r="S62" s="80" t="str">
        <f t="shared" si="13"/>
        <v xml:space="preserve"> </v>
      </c>
      <c r="T62" s="541" t="str">
        <f t="shared" si="14"/>
        <v xml:space="preserve"> </v>
      </c>
      <c r="U62" s="463"/>
    </row>
    <row r="63" spans="1:21" ht="12.9" customHeight="1" x14ac:dyDescent="0.3">
      <c r="A63" s="872"/>
      <c r="B63" s="985"/>
      <c r="C63" s="888"/>
      <c r="D63" s="880"/>
      <c r="E63" s="880"/>
      <c r="F63" s="880"/>
      <c r="G63" s="80" t="str">
        <f t="shared" si="9"/>
        <v xml:space="preserve"> </v>
      </c>
      <c r="H63" s="80" t="str">
        <f t="shared" si="10"/>
        <v xml:space="preserve"> </v>
      </c>
      <c r="I63" s="541" t="str">
        <f t="shared" si="11"/>
        <v xml:space="preserve"> </v>
      </c>
      <c r="J63" s="463"/>
      <c r="L63" s="872"/>
      <c r="M63" s="985"/>
      <c r="N63" s="888"/>
      <c r="O63" s="885"/>
      <c r="P63" s="885"/>
      <c r="Q63" s="885"/>
      <c r="R63" s="80" t="str">
        <f t="shared" si="12"/>
        <v xml:space="preserve"> </v>
      </c>
      <c r="S63" s="80" t="str">
        <f t="shared" si="13"/>
        <v xml:space="preserve"> </v>
      </c>
      <c r="T63" s="541" t="str">
        <f t="shared" si="14"/>
        <v xml:space="preserve"> </v>
      </c>
      <c r="U63" s="463"/>
    </row>
    <row r="64" spans="1:21" ht="12.9" customHeight="1" x14ac:dyDescent="0.3">
      <c r="A64" s="872"/>
      <c r="B64" s="985"/>
      <c r="C64" s="888"/>
      <c r="D64" s="880"/>
      <c r="E64" s="880"/>
      <c r="F64" s="880"/>
      <c r="G64" s="80" t="str">
        <f t="shared" si="9"/>
        <v xml:space="preserve"> </v>
      </c>
      <c r="H64" s="80" t="str">
        <f t="shared" si="10"/>
        <v xml:space="preserve"> </v>
      </c>
      <c r="I64" s="541" t="str">
        <f t="shared" si="11"/>
        <v xml:space="preserve"> </v>
      </c>
      <c r="J64" s="463"/>
      <c r="L64" s="872"/>
      <c r="M64" s="985"/>
      <c r="N64" s="888"/>
      <c r="O64" s="885"/>
      <c r="P64" s="885"/>
      <c r="Q64" s="885"/>
      <c r="R64" s="80" t="str">
        <f t="shared" si="12"/>
        <v xml:space="preserve"> </v>
      </c>
      <c r="S64" s="80" t="str">
        <f t="shared" si="13"/>
        <v xml:space="preserve"> </v>
      </c>
      <c r="T64" s="541" t="str">
        <f t="shared" si="14"/>
        <v xml:space="preserve"> </v>
      </c>
      <c r="U64" s="463"/>
    </row>
    <row r="65" spans="1:21" ht="12.9" customHeight="1" x14ac:dyDescent="0.3">
      <c r="A65" s="872"/>
      <c r="B65" s="985"/>
      <c r="C65" s="888"/>
      <c r="D65" s="880"/>
      <c r="E65" s="880"/>
      <c r="F65" s="880"/>
      <c r="G65" s="80" t="str">
        <f t="shared" si="9"/>
        <v xml:space="preserve"> </v>
      </c>
      <c r="H65" s="80" t="str">
        <f t="shared" si="10"/>
        <v xml:space="preserve"> </v>
      </c>
      <c r="I65" s="541" t="str">
        <f t="shared" si="11"/>
        <v xml:space="preserve"> </v>
      </c>
      <c r="J65" s="463"/>
      <c r="L65" s="872"/>
      <c r="M65" s="985"/>
      <c r="N65" s="888"/>
      <c r="O65" s="885"/>
      <c r="P65" s="885"/>
      <c r="Q65" s="885"/>
      <c r="R65" s="80" t="str">
        <f t="shared" si="12"/>
        <v xml:space="preserve"> </v>
      </c>
      <c r="S65" s="80" t="str">
        <f t="shared" si="13"/>
        <v xml:space="preserve"> </v>
      </c>
      <c r="T65" s="541" t="str">
        <f t="shared" si="14"/>
        <v xml:space="preserve"> </v>
      </c>
      <c r="U65" s="463"/>
    </row>
    <row r="66" spans="1:21" ht="12.9" customHeight="1" x14ac:dyDescent="0.3">
      <c r="A66" s="872"/>
      <c r="B66" s="985"/>
      <c r="C66" s="888"/>
      <c r="D66" s="880"/>
      <c r="E66" s="880"/>
      <c r="F66" s="880"/>
      <c r="G66" s="80" t="str">
        <f t="shared" si="9"/>
        <v xml:space="preserve"> </v>
      </c>
      <c r="H66" s="80" t="str">
        <f t="shared" si="10"/>
        <v xml:space="preserve"> </v>
      </c>
      <c r="I66" s="541" t="str">
        <f t="shared" si="11"/>
        <v xml:space="preserve"> </v>
      </c>
      <c r="J66" s="463"/>
      <c r="L66" s="872"/>
      <c r="M66" s="985"/>
      <c r="N66" s="888"/>
      <c r="O66" s="885"/>
      <c r="P66" s="885"/>
      <c r="Q66" s="885"/>
      <c r="R66" s="80" t="str">
        <f t="shared" si="12"/>
        <v xml:space="preserve"> </v>
      </c>
      <c r="S66" s="80" t="str">
        <f t="shared" si="13"/>
        <v xml:space="preserve"> </v>
      </c>
      <c r="T66" s="541" t="str">
        <f t="shared" si="14"/>
        <v xml:space="preserve"> </v>
      </c>
      <c r="U66" s="463"/>
    </row>
    <row r="67" spans="1:21" ht="12.9" customHeight="1" x14ac:dyDescent="0.3">
      <c r="A67" s="872"/>
      <c r="B67" s="985"/>
      <c r="C67" s="888"/>
      <c r="D67" s="880"/>
      <c r="E67" s="880"/>
      <c r="F67" s="880"/>
      <c r="G67" s="80" t="str">
        <f t="shared" si="9"/>
        <v xml:space="preserve"> </v>
      </c>
      <c r="H67" s="80" t="str">
        <f t="shared" si="10"/>
        <v xml:space="preserve"> </v>
      </c>
      <c r="I67" s="541" t="str">
        <f t="shared" si="11"/>
        <v xml:space="preserve"> </v>
      </c>
      <c r="J67" s="463"/>
      <c r="L67" s="872"/>
      <c r="M67" s="985"/>
      <c r="N67" s="888"/>
      <c r="O67" s="885"/>
      <c r="P67" s="885"/>
      <c r="Q67" s="885"/>
      <c r="R67" s="80" t="str">
        <f t="shared" si="12"/>
        <v xml:space="preserve"> </v>
      </c>
      <c r="S67" s="80" t="str">
        <f t="shared" si="13"/>
        <v xml:space="preserve"> </v>
      </c>
      <c r="T67" s="541" t="str">
        <f t="shared" si="14"/>
        <v xml:space="preserve"> </v>
      </c>
      <c r="U67" s="463"/>
    </row>
    <row r="68" spans="1:21" ht="12.9" customHeight="1" x14ac:dyDescent="0.3">
      <c r="A68" s="872"/>
      <c r="B68" s="985"/>
      <c r="C68" s="888"/>
      <c r="D68" s="880"/>
      <c r="E68" s="880"/>
      <c r="F68" s="880"/>
      <c r="G68" s="80" t="str">
        <f t="shared" ref="G68:G73" si="15">IF(A68=0," ",IF(COPY_Typ_magie1="Alchymie:",IFERROR(HLOOKUP($AN$12,$AG$12:$AN$20,MATCH(B68,$AG$12:$AG$20,0),FALSE),0),IFERROR(HLOOKUP($AB$24,$Z$24:$AB$27,MATCH(B68,$Z$24:$Z$27,0),FALSE),0)))</f>
        <v xml:space="preserve"> </v>
      </c>
      <c r="H68" s="80" t="str">
        <f t="shared" ref="H68:H73" si="16">IF(A68=0," ",IF(OR(COPY_Typ_magie1="Alchymie:",COPY_Typ_magie1="Hudba:"),0,3-C68))</f>
        <v xml:space="preserve"> </v>
      </c>
      <c r="I68" s="541" t="str">
        <f t="shared" ref="I68:I73" si="17">IF(A68=0," ",LOOKUP($G$2,$A$74:$A$78,$T$74:$T$78)+G68+H68)</f>
        <v xml:space="preserve"> </v>
      </c>
      <c r="J68" s="463"/>
      <c r="L68" s="872"/>
      <c r="M68" s="985"/>
      <c r="N68" s="888"/>
      <c r="O68" s="885"/>
      <c r="P68" s="885"/>
      <c r="Q68" s="885"/>
      <c r="R68" s="80" t="str">
        <f t="shared" ref="R68:R73" si="18">IF(L68=0," ",IF(COPY_Typ_magie2="Alchymie:",IFERROR(HLOOKUP($AN$12,$AG$12:$AN$20,MATCH(M68,$AG$12:$AG$20,0),FALSE),0),IFERROR(HLOOKUP($AB$24,$Z$24:$AB$27,MATCH(M68,$Z$24:$Z$27,0),FALSE),0)))</f>
        <v xml:space="preserve"> </v>
      </c>
      <c r="S68" s="80" t="str">
        <f t="shared" ref="S68:S73" si="19">IF(L68=0," ",IF(OR(COPY_Typ_magie2="Alchymie:",COPY_Typ_magie2="Hudba:"),0,3-N68))</f>
        <v xml:space="preserve"> </v>
      </c>
      <c r="T68" s="541" t="str">
        <f t="shared" ref="T68:T73" si="20">IF(L68=0," ",LOOKUP($Q$2,$A$74:$A$78,$T$74:$T$78)+R68+S68)</f>
        <v xml:space="preserve"> </v>
      </c>
      <c r="U68" s="463"/>
    </row>
    <row r="69" spans="1:21" ht="12.9" customHeight="1" x14ac:dyDescent="0.3">
      <c r="A69" s="872"/>
      <c r="B69" s="985"/>
      <c r="C69" s="888"/>
      <c r="D69" s="880"/>
      <c r="E69" s="880"/>
      <c r="F69" s="880"/>
      <c r="G69" s="80" t="str">
        <f t="shared" si="15"/>
        <v xml:space="preserve"> </v>
      </c>
      <c r="H69" s="80" t="str">
        <f t="shared" si="16"/>
        <v xml:space="preserve"> </v>
      </c>
      <c r="I69" s="541" t="str">
        <f t="shared" si="17"/>
        <v xml:space="preserve"> </v>
      </c>
      <c r="J69" s="463"/>
      <c r="L69" s="872"/>
      <c r="M69" s="985"/>
      <c r="N69" s="888"/>
      <c r="O69" s="885"/>
      <c r="P69" s="885"/>
      <c r="Q69" s="885"/>
      <c r="R69" s="80" t="str">
        <f t="shared" si="18"/>
        <v xml:space="preserve"> </v>
      </c>
      <c r="S69" s="80" t="str">
        <f t="shared" si="19"/>
        <v xml:space="preserve"> </v>
      </c>
      <c r="T69" s="541" t="str">
        <f t="shared" si="20"/>
        <v xml:space="preserve"> </v>
      </c>
      <c r="U69" s="463"/>
    </row>
    <row r="70" spans="1:21" ht="12.9" customHeight="1" x14ac:dyDescent="0.3">
      <c r="A70" s="872"/>
      <c r="B70" s="985"/>
      <c r="C70" s="888"/>
      <c r="D70" s="880"/>
      <c r="E70" s="880"/>
      <c r="F70" s="880"/>
      <c r="G70" s="80" t="str">
        <f t="shared" si="15"/>
        <v xml:space="preserve"> </v>
      </c>
      <c r="H70" s="80" t="str">
        <f t="shared" si="16"/>
        <v xml:space="preserve"> </v>
      </c>
      <c r="I70" s="541" t="str">
        <f t="shared" si="17"/>
        <v xml:space="preserve"> </v>
      </c>
      <c r="J70" s="463"/>
      <c r="L70" s="872"/>
      <c r="M70" s="985"/>
      <c r="N70" s="888"/>
      <c r="O70" s="885"/>
      <c r="P70" s="885"/>
      <c r="Q70" s="885"/>
      <c r="R70" s="80" t="str">
        <f t="shared" si="18"/>
        <v xml:space="preserve"> </v>
      </c>
      <c r="S70" s="80" t="str">
        <f t="shared" si="19"/>
        <v xml:space="preserve"> </v>
      </c>
      <c r="T70" s="541" t="str">
        <f t="shared" si="20"/>
        <v xml:space="preserve"> </v>
      </c>
      <c r="U70" s="463"/>
    </row>
    <row r="71" spans="1:21" ht="12.9" customHeight="1" x14ac:dyDescent="0.3">
      <c r="A71" s="872"/>
      <c r="B71" s="985"/>
      <c r="C71" s="888"/>
      <c r="D71" s="880"/>
      <c r="E71" s="880"/>
      <c r="F71" s="880"/>
      <c r="G71" s="80" t="str">
        <f t="shared" si="15"/>
        <v xml:space="preserve"> </v>
      </c>
      <c r="H71" s="80" t="str">
        <f t="shared" si="16"/>
        <v xml:space="preserve"> </v>
      </c>
      <c r="I71" s="541" t="str">
        <f t="shared" si="17"/>
        <v xml:space="preserve"> </v>
      </c>
      <c r="J71" s="463"/>
      <c r="L71" s="872"/>
      <c r="M71" s="985"/>
      <c r="N71" s="888"/>
      <c r="O71" s="885"/>
      <c r="P71" s="885"/>
      <c r="Q71" s="885"/>
      <c r="R71" s="80" t="str">
        <f t="shared" si="18"/>
        <v xml:space="preserve"> </v>
      </c>
      <c r="S71" s="80" t="str">
        <f t="shared" si="19"/>
        <v xml:space="preserve"> </v>
      </c>
      <c r="T71" s="541" t="str">
        <f t="shared" si="20"/>
        <v xml:space="preserve"> </v>
      </c>
      <c r="U71" s="463"/>
    </row>
    <row r="72" spans="1:21" ht="12.9" customHeight="1" x14ac:dyDescent="0.3">
      <c r="A72" s="872"/>
      <c r="B72" s="985"/>
      <c r="C72" s="888"/>
      <c r="D72" s="880"/>
      <c r="E72" s="880"/>
      <c r="F72" s="880"/>
      <c r="G72" s="80" t="str">
        <f t="shared" si="15"/>
        <v xml:space="preserve"> </v>
      </c>
      <c r="H72" s="80" t="str">
        <f t="shared" si="16"/>
        <v xml:space="preserve"> </v>
      </c>
      <c r="I72" s="541" t="str">
        <f t="shared" si="17"/>
        <v xml:space="preserve"> </v>
      </c>
      <c r="J72" s="463"/>
      <c r="L72" s="872"/>
      <c r="M72" s="985"/>
      <c r="N72" s="888"/>
      <c r="O72" s="885"/>
      <c r="P72" s="885"/>
      <c r="Q72" s="885"/>
      <c r="R72" s="80" t="str">
        <f t="shared" si="18"/>
        <v xml:space="preserve"> </v>
      </c>
      <c r="S72" s="80" t="str">
        <f t="shared" si="19"/>
        <v xml:space="preserve"> </v>
      </c>
      <c r="T72" s="541" t="str">
        <f t="shared" si="20"/>
        <v xml:space="preserve"> </v>
      </c>
      <c r="U72" s="463"/>
    </row>
    <row r="73" spans="1:21" ht="12.9" customHeight="1" x14ac:dyDescent="0.3">
      <c r="A73" s="875"/>
      <c r="B73" s="987"/>
      <c r="C73" s="891"/>
      <c r="D73" s="883"/>
      <c r="E73" s="883"/>
      <c r="F73" s="883"/>
      <c r="G73" s="543" t="str">
        <f t="shared" si="15"/>
        <v xml:space="preserve"> </v>
      </c>
      <c r="H73" s="543" t="str">
        <f t="shared" si="16"/>
        <v xml:space="preserve"> </v>
      </c>
      <c r="I73" s="542" t="str">
        <f t="shared" si="17"/>
        <v xml:space="preserve"> </v>
      </c>
      <c r="J73" s="464"/>
      <c r="L73" s="875"/>
      <c r="M73" s="987"/>
      <c r="N73" s="891"/>
      <c r="O73" s="886"/>
      <c r="P73" s="886"/>
      <c r="Q73" s="886"/>
      <c r="R73" s="543" t="str">
        <f t="shared" si="18"/>
        <v xml:space="preserve"> </v>
      </c>
      <c r="S73" s="543" t="str">
        <f t="shared" si="19"/>
        <v xml:space="preserve"> </v>
      </c>
      <c r="T73" s="542" t="str">
        <f t="shared" si="20"/>
        <v xml:space="preserve"> </v>
      </c>
      <c r="U73" s="464"/>
    </row>
    <row r="74" spans="1:21" ht="12.9" customHeight="1" x14ac:dyDescent="0.3">
      <c r="A74" s="536" t="s">
        <v>2910</v>
      </c>
      <c r="B74" s="317" t="s">
        <v>2483</v>
      </c>
      <c r="C74" s="324">
        <f>IF((ZRČ+INT)&gt;=0,CEILING((ZRČ+INT)/2,1),CEILING((ZRČ+INT)/2,-1))</f>
        <v>-3</v>
      </c>
      <c r="D74" t="s">
        <v>2484</v>
      </c>
      <c r="E74" s="197"/>
      <c r="F74" s="455">
        <f>Fortel</f>
        <v>-5</v>
      </c>
      <c r="G74" s="1123"/>
      <c r="J74" s="33"/>
      <c r="L74" s="3" t="s">
        <v>587</v>
      </c>
      <c r="M74" s="455">
        <f>$I$81</f>
        <v>0</v>
      </c>
      <c r="N74" s="1386" t="s">
        <v>584</v>
      </c>
      <c r="P74" t="s">
        <v>2486</v>
      </c>
      <c r="T74" s="325">
        <f>C74+J74+F74+G74+M74</f>
        <v>-8</v>
      </c>
    </row>
    <row r="75" spans="1:21" ht="12.9" customHeight="1" x14ac:dyDescent="0.3">
      <c r="A75" s="473" t="s">
        <v>2490</v>
      </c>
      <c r="B75" s="317" t="s">
        <v>2483</v>
      </c>
      <c r="C75" s="324">
        <f>IF((ZRČ+CHR)&gt;=0,CEILING((ZRČ+CHR)/2,1),CEILING((ZRČ+CHR)/2,-1))</f>
        <v>-4</v>
      </c>
      <c r="D75" t="s">
        <v>2484</v>
      </c>
      <c r="F75" s="455">
        <f>Hudba-2</f>
        <v>-7</v>
      </c>
      <c r="G75" s="164"/>
      <c r="H75" t="s">
        <v>2916</v>
      </c>
      <c r="J75" s="163">
        <v>1</v>
      </c>
      <c r="L75" s="3" t="s">
        <v>587</v>
      </c>
      <c r="M75" s="455">
        <f>$I$81</f>
        <v>0</v>
      </c>
      <c r="N75" s="1387"/>
      <c r="P75" t="s">
        <v>2486</v>
      </c>
      <c r="T75" s="325">
        <f>C75+J75+F75+G75+M75</f>
        <v>-10</v>
      </c>
    </row>
    <row r="76" spans="1:21" ht="12.9" customHeight="1" x14ac:dyDescent="0.3">
      <c r="A76" s="473" t="s">
        <v>2911</v>
      </c>
      <c r="B76" s="317" t="s">
        <v>2483</v>
      </c>
      <c r="C76" s="324">
        <f>IF((INT+VOL)&gt;=0,CEILING((INT+VOL)/2,1),CEILING((INT+VOL)/2,-1))</f>
        <v>-3</v>
      </c>
      <c r="D76" t="s">
        <v>2484</v>
      </c>
      <c r="F76" s="455">
        <f>Kouzleni+IF(F83=0,G84,G83)</f>
        <v>-5</v>
      </c>
      <c r="G76" s="115"/>
      <c r="H76" t="s">
        <v>2485</v>
      </c>
      <c r="J76" s="33">
        <f>LOOKUP('2-Vzhled a charakter'!B2,Rasy!$B$4:$B$125,Rasy!$AJ$4:$AJ$125)</f>
        <v>-1</v>
      </c>
      <c r="L76" s="3" t="s">
        <v>587</v>
      </c>
      <c r="M76" s="455">
        <f>$I$81</f>
        <v>0</v>
      </c>
      <c r="N76" s="1387"/>
      <c r="P76" t="s">
        <v>2486</v>
      </c>
      <c r="T76" s="325">
        <f>C76+J76+F76+M76</f>
        <v>-9</v>
      </c>
    </row>
    <row r="77" spans="1:21" ht="12.9" customHeight="1" x14ac:dyDescent="0.3">
      <c r="A77" s="536" t="s">
        <v>4995</v>
      </c>
      <c r="B77" s="317" t="s">
        <v>2483</v>
      </c>
      <c r="C77" s="324">
        <f>IF((ZRČ+INT)&gt;=0,CEILING((ZRČ+INT)/2,1),CEILING((ZRČ+INT)/2,-1))</f>
        <v>-3</v>
      </c>
      <c r="D77" t="s">
        <v>2484</v>
      </c>
      <c r="F77" s="455">
        <f>Kouzleni</f>
        <v>-5</v>
      </c>
      <c r="G77" s="164"/>
      <c r="H77" t="s">
        <v>2485</v>
      </c>
      <c r="J77" s="33">
        <f>LOOKUP('2-Vzhled a charakter'!B2,Rasy!$B$4:$B$125,Rasy!$AJ$4:$AJ$125)</f>
        <v>-1</v>
      </c>
      <c r="L77" s="3" t="s">
        <v>587</v>
      </c>
      <c r="M77" s="455">
        <f>$I$81</f>
        <v>0</v>
      </c>
      <c r="N77" s="1387"/>
      <c r="P77" t="s">
        <v>2486</v>
      </c>
      <c r="T77" s="325">
        <f>C77+J77+F77+G77+M77</f>
        <v>-9</v>
      </c>
    </row>
    <row r="78" spans="1:21" ht="12.9" customHeight="1" x14ac:dyDescent="0.3">
      <c r="A78" s="536" t="s">
        <v>2318</v>
      </c>
      <c r="B78" s="317" t="s">
        <v>2483</v>
      </c>
      <c r="C78" s="324">
        <f>IF((CHR+VOL)&gt;=0,CEILING((CHR+VOL)/2,1),CEILING((CHR+VOL)/2,-1))</f>
        <v>-4</v>
      </c>
      <c r="D78" t="s">
        <v>2484</v>
      </c>
      <c r="F78" s="455">
        <f>ROUND((Kouzleni+'4-Dovednosti'!$F$21)/2,0)</f>
        <v>-5</v>
      </c>
      <c r="G78" s="164"/>
      <c r="H78" t="s">
        <v>2912</v>
      </c>
      <c r="J78" s="33">
        <f>IF('2-Vzhled a charakter'!$B$7="Uctívač",0,IF('2-Vzhled a charakter'!$B$7="Fanatik",1,IF('2-Vzhled a charakter'!$B$7="Uctivý",-1,IF('2-Vzhled a charakter'!$B$7="Laxní",-3,-5))))</f>
        <v>-5</v>
      </c>
      <c r="L78" s="3" t="s">
        <v>587</v>
      </c>
      <c r="M78" s="455">
        <f>$I$81</f>
        <v>0</v>
      </c>
      <c r="N78" s="1388"/>
      <c r="P78" t="s">
        <v>2486</v>
      </c>
      <c r="T78" s="325">
        <f>C78+J78+F78+G78+M78</f>
        <v>-14</v>
      </c>
    </row>
    <row r="80" spans="1:21" x14ac:dyDescent="0.3">
      <c r="C80" t="s">
        <v>2892</v>
      </c>
      <c r="D80" t="s">
        <v>2893</v>
      </c>
      <c r="E80" t="s">
        <v>2894</v>
      </c>
      <c r="F80" t="s">
        <v>2895</v>
      </c>
      <c r="G80" t="s">
        <v>2896</v>
      </c>
      <c r="H80" t="s">
        <v>2897</v>
      </c>
      <c r="I80" t="s">
        <v>2087</v>
      </c>
    </row>
    <row r="81" spans="1:9" x14ac:dyDescent="0.3">
      <c r="B81" t="s">
        <v>1129</v>
      </c>
      <c r="C81" s="164">
        <f>HLOOKUP($B81,Veverka!$A$2:$AR$204,MATCH(ZV_1,Veverka!$A$2:$A$204,0),FALSE)</f>
        <v>0</v>
      </c>
      <c r="D81" s="164">
        <f>HLOOKUP($B81,Veverka!$A$2:$AR$204,MATCH(ZV_2,Veverka!$A$2:$A$204,0),FALSE)</f>
        <v>0</v>
      </c>
      <c r="E81" s="164">
        <f>HLOOKUP($B81,Veverka!$A$2:$AR$204,MATCH(ZV_3,Veverka!$A$2:$A$204,0),FALSE)</f>
        <v>0</v>
      </c>
      <c r="F81" s="164">
        <f>HLOOKUP($B81,Veverka!$A$2:$AR$204,MATCH(KV_1,Veverka!$A$2:$A$204,0),FALSE)</f>
        <v>0</v>
      </c>
      <c r="G81" s="164">
        <f>HLOOKUP($B81,Veverka!$A$2:$AR$204,MATCH(KV_2,Veverka!$A$2:$A$204,0),FALSE)</f>
        <v>0</v>
      </c>
      <c r="H81" s="164">
        <f>HLOOKUP($B81,Veverka!$A$2:$AR$204,MATCH(KV_3,Veverka!$A$2:$A$204,0),FALSE)</f>
        <v>0</v>
      </c>
      <c r="I81" s="530">
        <f>SUM(C81:H81)</f>
        <v>0</v>
      </c>
    </row>
    <row r="83" spans="1:9" x14ac:dyDescent="0.3">
      <c r="B83" t="s">
        <v>3333</v>
      </c>
      <c r="E83" s="617" t="s">
        <v>988</v>
      </c>
      <c r="F83" s="619">
        <f>IFERROR(HLOOKUP('3-Schopnosti'!$B$2,'3-Schopnosti'!$A$2:$C$68,MATCH("Arkána",'3-Schopnosti'!$A$2:$A$68,0),FALSE),0)</f>
        <v>0</v>
      </c>
      <c r="G83" s="618">
        <f>LOOKUP(F83,$C$84:$C$88,$D$84:$D$88)</f>
        <v>0</v>
      </c>
    </row>
    <row r="84" spans="1:9" x14ac:dyDescent="0.3">
      <c r="C84" s="63">
        <v>0</v>
      </c>
      <c r="D84" s="63">
        <v>0</v>
      </c>
      <c r="E84" s="617" t="s">
        <v>97</v>
      </c>
      <c r="F84" s="619">
        <f>IFERROR(HLOOKUP('3-Schopnosti'!$G$3,'3-Schopnosti'!$F$3:$J$59,MATCH("Arkána",'3-Schopnosti'!$F$3:$F$59,0),FALSE),0)</f>
        <v>0</v>
      </c>
      <c r="G84" s="618">
        <f>LOOKUP(F84,$C$84:$C$88,$D$84:$D$88)</f>
        <v>0</v>
      </c>
    </row>
    <row r="85" spans="1:9" x14ac:dyDescent="0.3">
      <c r="C85" s="63" t="s">
        <v>402</v>
      </c>
      <c r="D85" s="63">
        <v>1</v>
      </c>
    </row>
    <row r="86" spans="1:9" x14ac:dyDescent="0.3">
      <c r="C86" s="63" t="s">
        <v>403</v>
      </c>
      <c r="D86" s="63">
        <v>2</v>
      </c>
    </row>
    <row r="87" spans="1:9" x14ac:dyDescent="0.3">
      <c r="C87" s="63" t="s">
        <v>404</v>
      </c>
      <c r="D87" s="63">
        <v>3</v>
      </c>
    </row>
    <row r="88" spans="1:9" x14ac:dyDescent="0.3">
      <c r="C88" s="63" t="s">
        <v>405</v>
      </c>
      <c r="D88" s="63">
        <v>4</v>
      </c>
    </row>
    <row r="90" spans="1:9" x14ac:dyDescent="0.3">
      <c r="C90" s="767" t="s">
        <v>1935</v>
      </c>
      <c r="E90" s="1113" t="s">
        <v>988</v>
      </c>
      <c r="F90" s="1115">
        <f>IFERROR(HLOOKUP('3-Schopnosti'!$B$2,'3-Schopnosti'!$A$2:$C$68,MATCH("Učení se kouzlům",'3-Schopnosti'!$A$2:$A$68,0),FALSE),0)</f>
        <v>0</v>
      </c>
      <c r="G90" s="1114">
        <f>LOOKUP(F90,$C$84:$C$88,$D$84:$D$88)</f>
        <v>0</v>
      </c>
    </row>
    <row r="91" spans="1:9" x14ac:dyDescent="0.3">
      <c r="E91" s="1113" t="s">
        <v>97</v>
      </c>
      <c r="F91" s="1115">
        <f>IFERROR(HLOOKUP('3-Schopnosti'!$G$3,'3-Schopnosti'!$F$3:$J$59,MATCH("Učení se kouzlům",'3-Schopnosti'!$F$3:$F$59,0),FALSE),0)</f>
        <v>0</v>
      </c>
      <c r="G91" s="1114">
        <f>LOOKUP(F91,$C$84:$C$88,$D$84:$D$88)</f>
        <v>0</v>
      </c>
    </row>
    <row r="94" spans="1:9" ht="18" x14ac:dyDescent="0.35">
      <c r="A94" s="1015" t="s">
        <v>4606</v>
      </c>
    </row>
    <row r="95" spans="1:9" x14ac:dyDescent="0.3">
      <c r="B95" t="s">
        <v>4610</v>
      </c>
    </row>
    <row r="96" spans="1:9" x14ac:dyDescent="0.3">
      <c r="A96" s="1" t="s">
        <v>3794</v>
      </c>
      <c r="B96" s="250" t="s">
        <v>1564</v>
      </c>
    </row>
    <row r="97" spans="1:2" x14ac:dyDescent="0.3">
      <c r="A97" s="1" t="s">
        <v>2386</v>
      </c>
      <c r="B97" s="250" t="s">
        <v>1256</v>
      </c>
    </row>
    <row r="98" spans="1:2" x14ac:dyDescent="0.3">
      <c r="A98" s="1" t="s">
        <v>4607</v>
      </c>
      <c r="B98" s="250" t="s">
        <v>1256</v>
      </c>
    </row>
    <row r="99" spans="1:2" x14ac:dyDescent="0.3">
      <c r="A99" s="1" t="s">
        <v>4608</v>
      </c>
      <c r="B99" s="250" t="s">
        <v>1564</v>
      </c>
    </row>
    <row r="100" spans="1:2" x14ac:dyDescent="0.3">
      <c r="A100" s="1" t="s">
        <v>4609</v>
      </c>
      <c r="B100" s="250" t="s">
        <v>1256</v>
      </c>
    </row>
    <row r="101" spans="1:2" x14ac:dyDescent="0.3">
      <c r="A101" s="1" t="s">
        <v>530</v>
      </c>
      <c r="B101" s="250" t="s">
        <v>1564</v>
      </c>
    </row>
  </sheetData>
  <sortState ref="Z31:AA38">
    <sortCondition ref="AA42:AA49"/>
  </sortState>
  <mergeCells count="3">
    <mergeCell ref="Q2:T2"/>
    <mergeCell ref="N74:N78"/>
    <mergeCell ref="G2:J2"/>
  </mergeCells>
  <conditionalFormatting sqref="O2">
    <cfRule type="containsBlanks" dxfId="372" priority="2">
      <formula>LEN(TRIM(O2))=0</formula>
    </cfRule>
  </conditionalFormatting>
  <conditionalFormatting sqref="AC4">
    <cfRule type="cellIs" dxfId="371" priority="1" operator="lessThan">
      <formula>0</formula>
    </cfRule>
  </conditionalFormatting>
  <dataValidations count="4">
    <dataValidation type="list" allowBlank="1" showInputMessage="1" showErrorMessage="1" sqref="G2:J2 Q2:T2">
      <formula1>$A$74:$A$78</formula1>
    </dataValidation>
    <dataValidation type="whole" allowBlank="1" showInputMessage="1" showErrorMessage="1" sqref="J4:J73 U4:U73">
      <formula1>1</formula1>
      <formula2>29</formula2>
    </dataValidation>
    <dataValidation type="list" allowBlank="1" showInputMessage="1" showErrorMessage="1" sqref="AA25:AA27">
      <formula1>$AA$31:$AA$38</formula1>
    </dataValidation>
    <dataValidation type="list" allowBlank="1" showInputMessage="1" showErrorMessage="1" sqref="B96:B101">
      <formula1>$X$17:$X$18</formula1>
    </dataValidation>
  </dataValidations>
  <pageMargins left="0.31496062992125984" right="0.31496062992125984" top="0.19685039370078741" bottom="0.39370078740157483" header="0.31496062992125984" footer="0.31496062992125984"/>
  <pageSetup paperSize="9" scale="75" orientation="portrait" horizontalDpi="0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0">
    <tabColor rgb="FFFFFF00"/>
  </sheetPr>
  <dimension ref="A1:AI72"/>
  <sheetViews>
    <sheetView topLeftCell="A3" workbookViewId="0">
      <selection activeCell="O25" sqref="O25"/>
    </sheetView>
  </sheetViews>
  <sheetFormatPr defaultRowHeight="14.4" x14ac:dyDescent="0.3"/>
  <cols>
    <col min="1" max="1" width="7" customWidth="1"/>
    <col min="2" max="2" width="5.5546875" customWidth="1"/>
    <col min="3" max="3" width="5.6640625" customWidth="1"/>
    <col min="4" max="4" width="6.33203125" customWidth="1"/>
    <col min="5" max="5" width="5.44140625" customWidth="1"/>
    <col min="6" max="6" width="5.33203125" customWidth="1"/>
    <col min="7" max="7" width="5" customWidth="1"/>
    <col min="8" max="8" width="4.44140625" customWidth="1"/>
    <col min="9" max="10" width="3.5546875" customWidth="1"/>
    <col min="11" max="11" width="4.33203125" customWidth="1"/>
    <col min="12" max="12" width="5.44140625" customWidth="1"/>
    <col min="13" max="13" width="4.6640625" customWidth="1"/>
    <col min="14" max="14" width="5.6640625" customWidth="1"/>
    <col min="15" max="15" width="4.44140625" customWidth="1"/>
    <col min="16" max="16" width="3.44140625" customWidth="1"/>
    <col min="17" max="17" width="5.109375" customWidth="1"/>
    <col min="18" max="18" width="3.88671875" customWidth="1"/>
    <col min="19" max="19" width="5.5546875" customWidth="1"/>
    <col min="20" max="20" width="4.109375" customWidth="1"/>
    <col min="21" max="21" width="0.88671875" customWidth="1"/>
    <col min="25" max="25" width="4.33203125" customWidth="1"/>
    <col min="26" max="26" width="4" customWidth="1"/>
    <col min="27" max="27" width="5.109375" bestFit="1" customWidth="1"/>
    <col min="29" max="29" width="4" customWidth="1"/>
    <col min="30" max="30" width="4.109375" bestFit="1" customWidth="1"/>
    <col min="31" max="31" width="5.44140625" customWidth="1"/>
    <col min="32" max="32" width="5.109375" bestFit="1" customWidth="1"/>
    <col min="33" max="33" width="3.5546875" bestFit="1" customWidth="1"/>
    <col min="34" max="34" width="5.109375" bestFit="1" customWidth="1"/>
  </cols>
  <sheetData>
    <row r="1" spans="1:31" ht="25.8" x14ac:dyDescent="0.5">
      <c r="A1" s="754"/>
      <c r="B1" s="755"/>
      <c r="C1" s="833" t="s">
        <v>662</v>
      </c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5"/>
      <c r="R1" s="755"/>
      <c r="S1" s="755" t="s">
        <v>586</v>
      </c>
      <c r="T1" s="755"/>
      <c r="U1" s="758"/>
    </row>
    <row r="2" spans="1:31" ht="15" customHeight="1" thickBot="1" x14ac:dyDescent="0.35">
      <c r="A2" s="766" t="s">
        <v>52</v>
      </c>
      <c r="B2" s="197"/>
      <c r="C2" s="197"/>
      <c r="D2" s="197"/>
      <c r="E2" s="197"/>
      <c r="F2" s="765" t="s">
        <v>88</v>
      </c>
      <c r="G2" s="197"/>
      <c r="H2" s="197"/>
      <c r="I2" s="197"/>
      <c r="J2" s="197"/>
      <c r="K2" s="197"/>
      <c r="L2" s="197"/>
      <c r="M2" s="197"/>
      <c r="N2" s="197"/>
      <c r="O2" s="834" t="s">
        <v>1094</v>
      </c>
      <c r="P2" s="197"/>
      <c r="Q2" s="197"/>
      <c r="R2" s="197"/>
      <c r="S2" s="197"/>
      <c r="T2" s="197"/>
      <c r="U2" s="761"/>
    </row>
    <row r="3" spans="1:31" ht="15" customHeight="1" x14ac:dyDescent="0.3">
      <c r="A3" s="13" t="s">
        <v>60</v>
      </c>
      <c r="B3" s="14" t="s">
        <v>3</v>
      </c>
      <c r="C3" s="13" t="s">
        <v>60</v>
      </c>
      <c r="D3" s="15" t="s">
        <v>3</v>
      </c>
      <c r="E3" s="413"/>
      <c r="F3" s="1391" t="s">
        <v>45</v>
      </c>
      <c r="G3" s="1392"/>
      <c r="H3" s="1393"/>
      <c r="I3" s="22" t="s">
        <v>33</v>
      </c>
      <c r="J3" s="20" t="s">
        <v>81</v>
      </c>
      <c r="K3" s="21" t="s">
        <v>314</v>
      </c>
      <c r="L3" s="197"/>
      <c r="M3" s="568" t="s">
        <v>2480</v>
      </c>
      <c r="N3" s="413"/>
      <c r="O3" s="256" t="s">
        <v>33</v>
      </c>
      <c r="P3" s="27" t="s">
        <v>260</v>
      </c>
      <c r="Q3" s="27" t="s">
        <v>33</v>
      </c>
      <c r="R3" s="27" t="s">
        <v>260</v>
      </c>
      <c r="S3" s="27" t="s">
        <v>33</v>
      </c>
      <c r="T3" s="27" t="s">
        <v>260</v>
      </c>
      <c r="U3" s="761"/>
    </row>
    <row r="4" spans="1:31" ht="15" customHeight="1" x14ac:dyDescent="0.3">
      <c r="A4" s="12">
        <v>1</v>
      </c>
      <c r="B4" s="287" t="s">
        <v>61</v>
      </c>
      <c r="C4" s="12" t="s">
        <v>59</v>
      </c>
      <c r="D4" s="16" t="s">
        <v>68</v>
      </c>
      <c r="E4" s="413"/>
      <c r="F4" s="1397" t="s">
        <v>82</v>
      </c>
      <c r="G4" s="1398"/>
      <c r="H4" s="1399"/>
      <c r="I4" s="150" t="s">
        <v>65</v>
      </c>
      <c r="J4" s="151" t="s">
        <v>64</v>
      </c>
      <c r="K4" s="299" t="s">
        <v>65</v>
      </c>
      <c r="L4" s="197"/>
      <c r="M4" s="23" t="s">
        <v>64</v>
      </c>
      <c r="N4" s="413"/>
      <c r="O4" s="256" t="s">
        <v>1107</v>
      </c>
      <c r="P4" s="26" t="s">
        <v>66</v>
      </c>
      <c r="Q4" s="256" t="s">
        <v>1111</v>
      </c>
      <c r="R4" s="26" t="s">
        <v>101</v>
      </c>
      <c r="S4" s="26" t="s">
        <v>1116</v>
      </c>
      <c r="T4" s="27" t="s">
        <v>107</v>
      </c>
      <c r="U4" s="761"/>
    </row>
    <row r="5" spans="1:31" ht="15" customHeight="1" x14ac:dyDescent="0.3">
      <c r="A5" s="12" t="s">
        <v>53</v>
      </c>
      <c r="B5" s="287" t="s">
        <v>62</v>
      </c>
      <c r="C5" s="12" t="s">
        <v>69</v>
      </c>
      <c r="D5" s="16" t="s">
        <v>70</v>
      </c>
      <c r="E5" s="413"/>
      <c r="F5" s="1394" t="s">
        <v>83</v>
      </c>
      <c r="G5" s="1395"/>
      <c r="H5" s="1396"/>
      <c r="I5" s="152" t="s">
        <v>66</v>
      </c>
      <c r="J5" s="166" t="s">
        <v>65</v>
      </c>
      <c r="K5" s="300" t="s">
        <v>66</v>
      </c>
      <c r="L5" s="197"/>
      <c r="M5" s="24" t="s">
        <v>65</v>
      </c>
      <c r="N5" s="413"/>
      <c r="O5" s="256" t="s">
        <v>1108</v>
      </c>
      <c r="P5" s="26" t="s">
        <v>90</v>
      </c>
      <c r="Q5" s="27" t="s">
        <v>57</v>
      </c>
      <c r="R5" s="27" t="s">
        <v>102</v>
      </c>
      <c r="S5" s="26" t="s">
        <v>1117</v>
      </c>
      <c r="T5" s="27" t="s">
        <v>109</v>
      </c>
      <c r="U5" s="761"/>
    </row>
    <row r="6" spans="1:31" ht="15" customHeight="1" x14ac:dyDescent="0.3">
      <c r="A6" s="12" t="s">
        <v>54</v>
      </c>
      <c r="B6" s="287" t="s">
        <v>63</v>
      </c>
      <c r="C6" s="12" t="s">
        <v>71</v>
      </c>
      <c r="D6" s="16" t="s">
        <v>72</v>
      </c>
      <c r="E6" s="413"/>
      <c r="F6" s="1394" t="s">
        <v>84</v>
      </c>
      <c r="G6" s="1395"/>
      <c r="H6" s="1396"/>
      <c r="I6" s="152" t="s">
        <v>66</v>
      </c>
      <c r="J6" s="166" t="s">
        <v>66</v>
      </c>
      <c r="K6" s="300" t="s">
        <v>66</v>
      </c>
      <c r="L6" s="197"/>
      <c r="M6" s="24" t="s">
        <v>66</v>
      </c>
      <c r="N6" s="413"/>
      <c r="O6" s="256" t="s">
        <v>1109</v>
      </c>
      <c r="P6" s="26" t="s">
        <v>91</v>
      </c>
      <c r="Q6" s="27" t="s">
        <v>1112</v>
      </c>
      <c r="R6" s="27" t="s">
        <v>103</v>
      </c>
      <c r="S6" s="26" t="s">
        <v>1118</v>
      </c>
      <c r="T6" s="27" t="s">
        <v>108</v>
      </c>
      <c r="U6" s="761"/>
    </row>
    <row r="7" spans="1:31" ht="15" customHeight="1" x14ac:dyDescent="0.3">
      <c r="A7" s="12" t="s">
        <v>55</v>
      </c>
      <c r="B7" s="287" t="s">
        <v>64</v>
      </c>
      <c r="C7" s="12" t="s">
        <v>73</v>
      </c>
      <c r="D7" s="16" t="s">
        <v>74</v>
      </c>
      <c r="E7" s="413"/>
      <c r="F7" s="1394" t="s">
        <v>85</v>
      </c>
      <c r="G7" s="1395"/>
      <c r="H7" s="1396"/>
      <c r="I7" s="152" t="s">
        <v>66</v>
      </c>
      <c r="J7" s="166" t="s">
        <v>67</v>
      </c>
      <c r="K7" s="300" t="s">
        <v>66</v>
      </c>
      <c r="L7" s="197"/>
      <c r="M7" s="24" t="s">
        <v>67</v>
      </c>
      <c r="N7" s="413"/>
      <c r="O7" s="256" t="s">
        <v>1110</v>
      </c>
      <c r="P7" s="26" t="s">
        <v>92</v>
      </c>
      <c r="Q7" s="27" t="s">
        <v>1114</v>
      </c>
      <c r="R7" s="27" t="s">
        <v>104</v>
      </c>
      <c r="S7" s="26" t="s">
        <v>1119</v>
      </c>
      <c r="T7" s="27" t="s">
        <v>106</v>
      </c>
      <c r="U7" s="761"/>
    </row>
    <row r="8" spans="1:31" ht="15" customHeight="1" x14ac:dyDescent="0.3">
      <c r="A8" s="12" t="s">
        <v>56</v>
      </c>
      <c r="B8" s="287" t="s">
        <v>65</v>
      </c>
      <c r="C8" s="12" t="s">
        <v>78</v>
      </c>
      <c r="D8" s="16" t="s">
        <v>75</v>
      </c>
      <c r="E8" s="413"/>
      <c r="F8" s="1394" t="s">
        <v>1104</v>
      </c>
      <c r="G8" s="1395"/>
      <c r="H8" s="1396"/>
      <c r="I8" s="152" t="s">
        <v>67</v>
      </c>
      <c r="J8" s="166" t="s">
        <v>67</v>
      </c>
      <c r="K8" s="300" t="s">
        <v>67</v>
      </c>
      <c r="L8" s="197"/>
      <c r="M8" s="24" t="s">
        <v>68</v>
      </c>
      <c r="N8" s="413"/>
      <c r="O8" s="256" t="s">
        <v>1113</v>
      </c>
      <c r="P8" s="26" t="s">
        <v>100</v>
      </c>
      <c r="Q8" s="27" t="s">
        <v>1115</v>
      </c>
      <c r="R8" s="27" t="s">
        <v>105</v>
      </c>
      <c r="S8" s="26" t="s">
        <v>1120</v>
      </c>
      <c r="T8" s="27" t="s">
        <v>110</v>
      </c>
      <c r="U8" s="761"/>
    </row>
    <row r="9" spans="1:31" ht="15" customHeight="1" x14ac:dyDescent="0.3">
      <c r="A9" s="12" t="s">
        <v>57</v>
      </c>
      <c r="B9" s="287" t="s">
        <v>66</v>
      </c>
      <c r="C9" s="12" t="s">
        <v>79</v>
      </c>
      <c r="D9" s="16" t="s">
        <v>76</v>
      </c>
      <c r="E9" s="413"/>
      <c r="F9" s="1400" t="s">
        <v>87</v>
      </c>
      <c r="G9" s="1401"/>
      <c r="H9" s="1402"/>
      <c r="I9" s="154" t="s">
        <v>67</v>
      </c>
      <c r="J9" s="153" t="s">
        <v>68</v>
      </c>
      <c r="K9" s="301" t="s">
        <v>68</v>
      </c>
      <c r="L9" s="197"/>
      <c r="M9" s="192" t="s">
        <v>70</v>
      </c>
      <c r="N9" s="413"/>
      <c r="O9" s="835" t="s">
        <v>418</v>
      </c>
      <c r="P9" s="197"/>
      <c r="Q9" s="197"/>
      <c r="R9" s="197"/>
      <c r="S9" s="197"/>
      <c r="T9" s="197"/>
      <c r="U9" s="761"/>
    </row>
    <row r="10" spans="1:31" ht="15" customHeight="1" thickBot="1" x14ac:dyDescent="0.35">
      <c r="A10" s="17" t="s">
        <v>58</v>
      </c>
      <c r="B10" s="18" t="s">
        <v>67</v>
      </c>
      <c r="C10" s="17" t="s">
        <v>80</v>
      </c>
      <c r="D10" s="19" t="s">
        <v>77</v>
      </c>
      <c r="E10" s="413"/>
      <c r="F10" s="836" t="s">
        <v>716</v>
      </c>
      <c r="G10" s="413"/>
      <c r="H10" s="413"/>
      <c r="I10" s="413"/>
      <c r="J10" s="413"/>
      <c r="K10" s="413"/>
      <c r="L10" s="413"/>
      <c r="M10" s="413"/>
      <c r="N10" s="413"/>
      <c r="O10" s="197"/>
      <c r="P10" s="197"/>
      <c r="Q10" s="197"/>
      <c r="R10" s="197"/>
      <c r="S10" s="197"/>
      <c r="T10" s="197"/>
      <c r="U10" s="761"/>
    </row>
    <row r="11" spans="1:31" ht="15" customHeight="1" x14ac:dyDescent="0.3">
      <c r="A11" s="766" t="s">
        <v>709</v>
      </c>
      <c r="B11" s="197"/>
      <c r="C11" s="197"/>
      <c r="D11" s="197"/>
      <c r="E11" s="197"/>
      <c r="F11" s="197"/>
      <c r="G11" s="197"/>
      <c r="H11" s="197"/>
      <c r="I11" s="197"/>
      <c r="J11" s="197"/>
      <c r="K11" s="197" t="s">
        <v>1134</v>
      </c>
      <c r="L11" s="197"/>
      <c r="M11" s="197"/>
      <c r="N11" s="197"/>
      <c r="O11" s="197"/>
      <c r="P11" s="197"/>
      <c r="Q11" s="197"/>
      <c r="R11" s="197"/>
      <c r="S11" s="197"/>
      <c r="T11" s="197"/>
      <c r="U11" s="761"/>
      <c r="W11" t="s">
        <v>1097</v>
      </c>
    </row>
    <row r="12" spans="1:31" ht="15" customHeight="1" x14ac:dyDescent="0.3">
      <c r="A12" s="1403" t="s">
        <v>699</v>
      </c>
      <c r="B12" s="1407" t="s">
        <v>708</v>
      </c>
      <c r="C12" s="1405" t="s">
        <v>31</v>
      </c>
      <c r="D12" s="1406"/>
      <c r="E12" s="1405" t="s">
        <v>2438</v>
      </c>
      <c r="F12" s="1413"/>
      <c r="G12" s="1413"/>
      <c r="H12" s="1406"/>
      <c r="I12" s="197"/>
      <c r="J12" s="1018" t="s">
        <v>4597</v>
      </c>
      <c r="K12" s="1018"/>
      <c r="L12" s="1018"/>
      <c r="P12" s="1196" t="str">
        <f>'1-Vlastnosti'!AA50</f>
        <v>0 nebo I</v>
      </c>
      <c r="Q12" s="1260"/>
      <c r="R12" s="1260"/>
      <c r="S12" s="1260"/>
      <c r="T12" s="1197"/>
      <c r="U12" s="761"/>
      <c r="W12" s="297" t="s">
        <v>701</v>
      </c>
      <c r="X12" s="298">
        <f>RCH+17</f>
        <v>14</v>
      </c>
      <c r="Y12" s="465"/>
      <c r="Z12" s="465"/>
      <c r="AA12" s="465"/>
      <c r="AB12" s="1405" t="s">
        <v>701</v>
      </c>
      <c r="AC12" s="1406"/>
      <c r="AD12" s="1405" t="s">
        <v>32</v>
      </c>
      <c r="AE12" s="1406"/>
    </row>
    <row r="13" spans="1:31" ht="15" customHeight="1" x14ac:dyDescent="0.3">
      <c r="A13" s="1404"/>
      <c r="B13" s="1408"/>
      <c r="C13" s="33" t="s">
        <v>702</v>
      </c>
      <c r="D13" s="33" t="s">
        <v>49</v>
      </c>
      <c r="E13" s="168" t="s">
        <v>2439</v>
      </c>
      <c r="F13" s="33" t="s">
        <v>2440</v>
      </c>
      <c r="G13" s="33" t="s">
        <v>49</v>
      </c>
      <c r="H13" s="33"/>
      <c r="I13" s="197"/>
      <c r="J13" s="155" t="s">
        <v>517</v>
      </c>
      <c r="K13" s="30"/>
      <c r="L13" s="30"/>
      <c r="M13" s="876"/>
      <c r="N13" s="155" t="s">
        <v>1098</v>
      </c>
      <c r="O13" s="155" t="s">
        <v>1099</v>
      </c>
      <c r="P13" s="155" t="s">
        <v>1100</v>
      </c>
      <c r="Q13" s="713" t="s">
        <v>1103</v>
      </c>
      <c r="R13" s="713" t="s">
        <v>1101</v>
      </c>
      <c r="S13" s="713" t="s">
        <v>1102</v>
      </c>
      <c r="T13" s="713" t="s">
        <v>2471</v>
      </c>
      <c r="U13" s="761"/>
      <c r="W13" s="297" t="s">
        <v>31</v>
      </c>
      <c r="X13" s="298">
        <f>RCH+22</f>
        <v>19</v>
      </c>
      <c r="Y13" s="465"/>
      <c r="Z13" s="465"/>
      <c r="AA13" s="465"/>
      <c r="AB13" s="33" t="s">
        <v>702</v>
      </c>
      <c r="AC13" s="33" t="s">
        <v>49</v>
      </c>
      <c r="AD13" s="33" t="s">
        <v>702</v>
      </c>
      <c r="AE13" s="33" t="s">
        <v>49</v>
      </c>
    </row>
    <row r="14" spans="1:31" ht="15" customHeight="1" x14ac:dyDescent="0.3">
      <c r="A14" s="486" t="s">
        <v>704</v>
      </c>
      <c r="B14" s="155">
        <v>0</v>
      </c>
      <c r="C14" s="155">
        <f>LOOKUP($B14+$X$13,'2-Vzhled a charakter'!$AE$3:$AE$52,'2-Vzhled a charakter'!$AG$3:$AG$52)</f>
        <v>3.2</v>
      </c>
      <c r="D14" s="33" t="e">
        <f>ROUND(1.5*HLOOKUP('1-Vlastnosti'!$AJ$23,'1-Vlastnosti'!$AH$23:$AK$27,MATCH('7-Tabulky'!$W$17,'1-Vlastnosti'!$AL$23:$AL$27,0),FALSE),2)</f>
        <v>#REF!</v>
      </c>
      <c r="E14" s="33" t="e">
        <f>IF(FLOOR('1-Vlastnosti'!$C$14/D14,1)&gt;15,15,FLOOR('1-Vlastnosti'!$C$14/D14,1))</f>
        <v>#REF!</v>
      </c>
      <c r="F14" s="33" t="e">
        <f>C14*E14</f>
        <v>#REF!</v>
      </c>
      <c r="G14" s="254" t="e">
        <f>CEILING(E14*D14,1)</f>
        <v>#REF!</v>
      </c>
      <c r="H14" s="468" t="s">
        <v>2441</v>
      </c>
      <c r="I14" s="197"/>
      <c r="J14" s="168" t="s">
        <v>3891</v>
      </c>
      <c r="K14" s="877"/>
      <c r="L14" s="877"/>
      <c r="M14" s="878"/>
      <c r="N14" s="1012">
        <f>'1-Vlastnosti'!Y52</f>
        <v>-1</v>
      </c>
      <c r="O14" s="1012" t="str">
        <f>'1-Vlastnosti'!AA52</f>
        <v>0</v>
      </c>
      <c r="P14" s="1012">
        <f>'1-Vlastnosti'!AB52</f>
        <v>0</v>
      </c>
      <c r="Q14" s="1012">
        <f>'1-Vlastnosti'!AC52</f>
        <v>0</v>
      </c>
      <c r="R14" s="1012">
        <f>'1-Vlastnosti'!AD52</f>
        <v>0</v>
      </c>
      <c r="S14" s="1012" t="str">
        <f>'1-Vlastnosti'!AE52</f>
        <v>0</v>
      </c>
      <c r="T14" s="1012" t="str">
        <f>'1-Vlastnosti'!AF52</f>
        <v>0</v>
      </c>
      <c r="U14" s="761"/>
      <c r="W14" s="297" t="s">
        <v>32</v>
      </c>
      <c r="X14" s="298">
        <f>RCH+26</f>
        <v>23</v>
      </c>
      <c r="Y14" s="465"/>
      <c r="Z14" s="465"/>
      <c r="AA14" s="465"/>
      <c r="AB14" s="155">
        <f>LOOKUP($B14+$X$12,'2-Vzhled a charakter'!$AE$3:$AE$52,'2-Vzhled a charakter'!$AG$3:$AG$52)</f>
        <v>1.8</v>
      </c>
      <c r="AC14" s="33" t="e">
        <f>ROUND(0.5*HLOOKUP('1-Vlastnosti'!$AJ$23,'1-Vlastnosti'!$AH$23:$AK$27,MATCH('7-Tabulky'!$W$17,'1-Vlastnosti'!$AL$23:$AL$27,0),FALSE),2)</f>
        <v>#REF!</v>
      </c>
      <c r="AD14" s="155">
        <f>LOOKUP($B14+$X$14,'2-Vzhled a charakter'!$AE$3:$AE$52,'2-Vzhled a charakter'!$AG$3:$AG$52)</f>
        <v>5</v>
      </c>
      <c r="AE14" s="33" t="e">
        <f>ROUND(2*HLOOKUP('1-Vlastnosti'!$AJ$23,'1-Vlastnosti'!$AH$23:$AK$27,MATCH('7-Tabulky'!$W$17,'1-Vlastnosti'!$AL$23:$AL$27,0),FALSE),2)</f>
        <v>#REF!</v>
      </c>
    </row>
    <row r="15" spans="1:31" ht="15" customHeight="1" x14ac:dyDescent="0.3">
      <c r="A15" s="486" t="s">
        <v>705</v>
      </c>
      <c r="B15" s="155">
        <v>-1</v>
      </c>
      <c r="C15" s="155">
        <f>LOOKUP($B15+$X$13,'2-Vzhled a charakter'!$AE$3:$AE$52,'2-Vzhled a charakter'!$AG$3:$AG$52)</f>
        <v>2.8</v>
      </c>
      <c r="D15" s="33" t="e">
        <f>ROUND(1.5*HLOOKUP('1-Vlastnosti'!$AJ$23,'1-Vlastnosti'!$AH$23:$AK$27,MATCH('7-Tabulky'!$W$17,'1-Vlastnosti'!$AL$23:$AL$27,0),FALSE),2)</f>
        <v>#REF!</v>
      </c>
      <c r="E15" s="33" t="e">
        <f>IF(FLOOR('1-Vlastnosti'!$C$14/D15,1)&gt;15,15,FLOOR('1-Vlastnosti'!$C$14/D15,1))</f>
        <v>#REF!</v>
      </c>
      <c r="F15" s="33" t="e">
        <f>C15*E15</f>
        <v>#REF!</v>
      </c>
      <c r="G15" s="254" t="e">
        <f>CEILING(E15*D15,1)</f>
        <v>#REF!</v>
      </c>
      <c r="H15" s="468" t="s">
        <v>2441</v>
      </c>
      <c r="I15" s="197"/>
      <c r="J15" s="168" t="s">
        <v>3892</v>
      </c>
      <c r="K15" s="877"/>
      <c r="L15" s="877"/>
      <c r="M15" s="878"/>
      <c r="N15" s="1012">
        <f>'1-Vlastnosti'!Y53</f>
        <v>-2</v>
      </c>
      <c r="O15" s="1012" t="str">
        <f>'1-Vlastnosti'!AA53</f>
        <v>0</v>
      </c>
      <c r="P15" s="1012">
        <f>'1-Vlastnosti'!AB53</f>
        <v>0</v>
      </c>
      <c r="Q15" s="1012">
        <f>'1-Vlastnosti'!AC53</f>
        <v>0</v>
      </c>
      <c r="R15" s="1012">
        <f>'1-Vlastnosti'!AD53</f>
        <v>0</v>
      </c>
      <c r="S15" s="1012" t="str">
        <f>'1-Vlastnosti'!AE53</f>
        <v>0</v>
      </c>
      <c r="T15" s="1012" t="str">
        <f>'1-Vlastnosti'!AF53</f>
        <v>0</v>
      </c>
      <c r="U15" s="761"/>
      <c r="AB15" s="155">
        <f>LOOKUP($B15+$X$12,'2-Vzhled a charakter'!$AE$3:$AE$52,'2-Vzhled a charakter'!$AG$3:$AG$52)</f>
        <v>1.6</v>
      </c>
      <c r="AC15" s="33" t="e">
        <f>ROUND(0.6*HLOOKUP('1-Vlastnosti'!$AJ$23,'1-Vlastnosti'!$AH$23:$AK$27,MATCH('7-Tabulky'!$W$17,'1-Vlastnosti'!$AL$23:$AL$27,0),FALSE),2)</f>
        <v>#REF!</v>
      </c>
      <c r="AD15" s="155">
        <f>LOOKUP($B15+$X$14,'2-Vzhled a charakter'!$AE$3:$AE$52,'2-Vzhled a charakter'!$AG$3:$AG$52)</f>
        <v>4.5</v>
      </c>
      <c r="AE15" s="33" t="e">
        <f>ROUND(2.5*HLOOKUP('1-Vlastnosti'!$AJ$23,'1-Vlastnosti'!$AH$23:$AK$27,MATCH('7-Tabulky'!$W$17,'1-Vlastnosti'!$AL$23:$AL$27,0),FALSE),2)</f>
        <v>#REF!</v>
      </c>
    </row>
    <row r="16" spans="1:31" ht="15" customHeight="1" x14ac:dyDescent="0.3">
      <c r="A16" s="486" t="s">
        <v>706</v>
      </c>
      <c r="B16" s="155">
        <v>-3</v>
      </c>
      <c r="C16" s="155">
        <f>LOOKUP($B16+$X$13,'2-Vzhled a charakter'!$AE$3:$AE$52,'2-Vzhled a charakter'!$AG$3:$AG$52)</f>
        <v>2.2000000000000002</v>
      </c>
      <c r="D16" s="33" t="e">
        <f>ROUND(2*HLOOKUP('1-Vlastnosti'!$AJ$23,'1-Vlastnosti'!$AH$23:$AK$27,MATCH('7-Tabulky'!$W$17,'1-Vlastnosti'!$AL$23:$AL$27,0),FALSE),2)</f>
        <v>#REF!</v>
      </c>
      <c r="E16" s="33" t="e">
        <f>IF(FLOOR('1-Vlastnosti'!$C$14/D16,1)&gt;15,15,FLOOR('1-Vlastnosti'!$C$14/D16,1))</f>
        <v>#REF!</v>
      </c>
      <c r="F16" s="33" t="e">
        <f>C16*E16</f>
        <v>#REF!</v>
      </c>
      <c r="G16" s="254" t="e">
        <f>CEILING(E16*D16,1)</f>
        <v>#REF!</v>
      </c>
      <c r="H16" s="468" t="s">
        <v>2441</v>
      </c>
      <c r="I16" s="197"/>
      <c r="J16" s="168" t="s">
        <v>2470</v>
      </c>
      <c r="K16" s="877"/>
      <c r="L16" s="877"/>
      <c r="M16" s="878"/>
      <c r="N16" s="1012">
        <f>'1-Vlastnosti'!Y54</f>
        <v>-3</v>
      </c>
      <c r="O16" s="1012">
        <f>'1-Vlastnosti'!AA54</f>
        <v>-1</v>
      </c>
      <c r="P16" s="1012" t="str">
        <f>'1-Vlastnosti'!AB54</f>
        <v>0</v>
      </c>
      <c r="Q16" s="1012" t="str">
        <f>'1-Vlastnosti'!AC54</f>
        <v>0</v>
      </c>
      <c r="R16" s="1012" t="str">
        <f>'1-Vlastnosti'!AD54</f>
        <v>0</v>
      </c>
      <c r="S16" s="1012" t="str">
        <f>'1-Vlastnosti'!AE54</f>
        <v>0</v>
      </c>
      <c r="T16" s="1012" t="str">
        <f>'1-Vlastnosti'!AF54</f>
        <v>0</v>
      </c>
      <c r="U16" s="761"/>
      <c r="W16" s="1415" t="s">
        <v>947</v>
      </c>
      <c r="X16" s="1416"/>
      <c r="AB16" s="155">
        <f>LOOKUP($B16+$X$12,'2-Vzhled a charakter'!$AE$3:$AE$52,'2-Vzhled a charakter'!$AG$3:$AG$52)</f>
        <v>1.2</v>
      </c>
      <c r="AC16" s="33" t="e">
        <f>ROUND(0.75*HLOOKUP('1-Vlastnosti'!$AJ$23,'1-Vlastnosti'!$AH$23:$AK$27,MATCH('7-Tabulky'!$W$17,'1-Vlastnosti'!$AL$23:$AL$27,0),FALSE),2)</f>
        <v>#REF!</v>
      </c>
      <c r="AD16" s="155">
        <f>LOOKUP($B16+$X$14,'2-Vzhled a charakter'!$AE$3:$AE$52,'2-Vzhled a charakter'!$AG$3:$AG$52)</f>
        <v>3.6</v>
      </c>
      <c r="AE16" s="33" t="e">
        <f>ROUND(3*HLOOKUP('1-Vlastnosti'!$AJ$23,'1-Vlastnosti'!$AH$23:$AK$27,MATCH('7-Tabulky'!$W$17,'1-Vlastnosti'!$AL$23:$AL$27,0),FALSE),2)</f>
        <v>#REF!</v>
      </c>
    </row>
    <row r="17" spans="1:35" ht="15" customHeight="1" x14ac:dyDescent="0.3">
      <c r="A17" s="486" t="s">
        <v>707</v>
      </c>
      <c r="B17" s="155">
        <v>-4</v>
      </c>
      <c r="C17" s="155">
        <f>LOOKUP($B17+$X$13,'2-Vzhled a charakter'!$AE$3:$AE$52,'2-Vzhled a charakter'!$AG$3:$AG$52)</f>
        <v>2</v>
      </c>
      <c r="D17" s="33" t="e">
        <f>ROUND(3*HLOOKUP('1-Vlastnosti'!$AJ$23,'1-Vlastnosti'!$AH$23:$AK$27,MATCH('7-Tabulky'!$W$17,'1-Vlastnosti'!$AL$23:$AL$27,0),FALSE),2)</f>
        <v>#REF!</v>
      </c>
      <c r="E17" s="33" t="e">
        <f>IF(FLOOR('1-Vlastnosti'!$C$14/D17,1)&gt;15,15,FLOOR('1-Vlastnosti'!$C$14/D17,1))</f>
        <v>#REF!</v>
      </c>
      <c r="F17" s="33" t="e">
        <f>C17*E17</f>
        <v>#REF!</v>
      </c>
      <c r="G17" s="254" t="e">
        <f>CEILING(E17*D17,1)</f>
        <v>#REF!</v>
      </c>
      <c r="H17" s="468" t="s">
        <v>2441</v>
      </c>
      <c r="I17" s="197"/>
      <c r="J17" s="168" t="s">
        <v>1105</v>
      </c>
      <c r="K17" s="877"/>
      <c r="L17" s="877"/>
      <c r="M17" s="878"/>
      <c r="N17" s="1012">
        <f>'1-Vlastnosti'!Y55</f>
        <v>-4</v>
      </c>
      <c r="O17" s="1012">
        <f>'1-Vlastnosti'!AA55</f>
        <v>-2</v>
      </c>
      <c r="P17" s="1012">
        <f>'1-Vlastnosti'!AB55</f>
        <v>-1</v>
      </c>
      <c r="Q17" s="1012" t="str">
        <f>'1-Vlastnosti'!AC55</f>
        <v>0</v>
      </c>
      <c r="R17" s="1012" t="str">
        <f>'1-Vlastnosti'!AD55</f>
        <v>0</v>
      </c>
      <c r="S17" s="1012" t="str">
        <f>'1-Vlastnosti'!AE55</f>
        <v>0</v>
      </c>
      <c r="T17" s="1012" t="str">
        <f>'1-Vlastnosti'!AF55</f>
        <v>0</v>
      </c>
      <c r="U17" s="761"/>
      <c r="W17" s="1157" t="e">
        <f>IF('7-Tabulky'!AF23&lt;'7-Tabulky'!X37,'7-Tabulky'!W37,IF('7-Tabulky'!AF23&lt;'7-Tabulky'!X38,'7-Tabulky'!W38,IF('7-Tabulky'!AF23&lt;'7-Tabulky'!X39,'7-Tabulky'!W39,'7-Tabulky'!W40)))</f>
        <v>#REF!</v>
      </c>
      <c r="AB17" s="155">
        <f>LOOKUP($B17+$X$12,'2-Vzhled a charakter'!$AE$3:$AE$52,'2-Vzhled a charakter'!$AG$3:$AG$52)</f>
        <v>1.1000000000000001</v>
      </c>
      <c r="AC17" s="33" t="e">
        <f>ROUND(1*HLOOKUP('1-Vlastnosti'!$AJ$23,'1-Vlastnosti'!$AH$23:$AK$27,MATCH('7-Tabulky'!$W$17,'1-Vlastnosti'!$AL$23:$AL$27,0),FALSE),2)</f>
        <v>#REF!</v>
      </c>
      <c r="AD17" s="155">
        <f>LOOKUP($B17+$X$14,'2-Vzhled a charakter'!$AE$3:$AE$52,'2-Vzhled a charakter'!$AG$3:$AG$52)</f>
        <v>3.2</v>
      </c>
      <c r="AE17" s="33" t="e">
        <f>ROUND(4*HLOOKUP('1-Vlastnosti'!$AJ$23,'1-Vlastnosti'!$AH$23:$AK$27,MATCH('7-Tabulky'!$W$17,'1-Vlastnosti'!$AL$23:$AL$27,0),FALSE),2)</f>
        <v>#REF!</v>
      </c>
    </row>
    <row r="18" spans="1:35" ht="15" customHeight="1" x14ac:dyDescent="0.3">
      <c r="B18" s="197"/>
      <c r="C18" s="197"/>
      <c r="D18" s="197"/>
      <c r="E18" s="197"/>
      <c r="F18" s="197"/>
      <c r="G18" s="197"/>
      <c r="H18" s="197"/>
      <c r="I18" s="197"/>
      <c r="J18" s="168" t="s">
        <v>563</v>
      </c>
      <c r="K18" s="877"/>
      <c r="L18" s="877"/>
      <c r="M18" s="878"/>
      <c r="N18" s="1012">
        <f>'1-Vlastnosti'!Y56</f>
        <v>-5</v>
      </c>
      <c r="O18" s="1012">
        <f>'1-Vlastnosti'!AA56</f>
        <v>-3</v>
      </c>
      <c r="P18" s="1012">
        <f>'1-Vlastnosti'!AB56</f>
        <v>-2</v>
      </c>
      <c r="Q18" s="1012">
        <f>'1-Vlastnosti'!AC56</f>
        <v>-1</v>
      </c>
      <c r="R18" s="1012" t="str">
        <f>'1-Vlastnosti'!AD56</f>
        <v>0</v>
      </c>
      <c r="S18" s="1012" t="str">
        <f>'1-Vlastnosti'!AE56</f>
        <v>0</v>
      </c>
      <c r="T18" s="1012" t="str">
        <f>'1-Vlastnosti'!AF56</f>
        <v>0</v>
      </c>
      <c r="U18" s="761"/>
    </row>
    <row r="19" spans="1:35" ht="15" customHeight="1" x14ac:dyDescent="0.3">
      <c r="B19" s="197"/>
      <c r="C19" s="197"/>
      <c r="D19" s="197"/>
      <c r="E19" s="197"/>
      <c r="F19" s="197"/>
      <c r="G19" s="197"/>
      <c r="H19" s="197"/>
      <c r="I19" s="197"/>
      <c r="J19" s="168" t="s">
        <v>564</v>
      </c>
      <c r="K19" s="877"/>
      <c r="L19" s="877"/>
      <c r="M19" s="878"/>
      <c r="N19" s="1012">
        <f>'1-Vlastnosti'!Y57</f>
        <v>-6</v>
      </c>
      <c r="O19" s="1012">
        <f>'1-Vlastnosti'!AA57</f>
        <v>-4</v>
      </c>
      <c r="P19" s="1012">
        <f>'1-Vlastnosti'!AB57</f>
        <v>-3</v>
      </c>
      <c r="Q19" s="1012">
        <f>'1-Vlastnosti'!AC57</f>
        <v>-2</v>
      </c>
      <c r="R19" s="1012">
        <f>'1-Vlastnosti'!AD57</f>
        <v>-1</v>
      </c>
      <c r="S19" s="1012" t="str">
        <f>'1-Vlastnosti'!AE57</f>
        <v>0</v>
      </c>
      <c r="T19" s="1012" t="str">
        <f>'1-Vlastnosti'!AF57</f>
        <v>0</v>
      </c>
      <c r="U19" s="761"/>
      <c r="AB19" s="1134"/>
      <c r="AC19" s="1134"/>
      <c r="AD19" s="1134"/>
      <c r="AE19" s="1134"/>
      <c r="AF19" s="994"/>
      <c r="AG19" s="1135" t="s">
        <v>116</v>
      </c>
      <c r="AH19" s="1136">
        <f>IFERROR(LOOKUP('1-Vlastnosti'!D4,'1-Vlastnosti'!BA4:BA30,'1-Vlastnosti'!BB4:BB30),0)*IF(OR('2-Vzhled a charakter'!$B$2="Kentaur",'2-Vzhled a charakter'!$B$2="Kentaurka"),4,1)</f>
        <v>6</v>
      </c>
      <c r="AI19" s="1134"/>
    </row>
    <row r="20" spans="1:35" ht="15" customHeight="1" x14ac:dyDescent="0.3">
      <c r="B20" s="197"/>
      <c r="C20" s="197"/>
      <c r="D20" s="197"/>
      <c r="E20" s="197"/>
      <c r="F20" s="197"/>
      <c r="G20" s="197"/>
      <c r="H20" s="197"/>
      <c r="I20" s="197"/>
      <c r="J20" s="168" t="s">
        <v>949</v>
      </c>
      <c r="K20" s="877"/>
      <c r="L20" s="877"/>
      <c r="M20" s="878"/>
      <c r="N20" s="1012">
        <f>'1-Vlastnosti'!Y58</f>
        <v>-7</v>
      </c>
      <c r="O20" s="1012">
        <f>'1-Vlastnosti'!AA58</f>
        <v>-5</v>
      </c>
      <c r="P20" s="1012">
        <f>'1-Vlastnosti'!AB58</f>
        <v>-4</v>
      </c>
      <c r="Q20" s="1012">
        <f>'1-Vlastnosti'!AC58</f>
        <v>-3</v>
      </c>
      <c r="R20" s="1012">
        <f>'1-Vlastnosti'!AD58</f>
        <v>-2</v>
      </c>
      <c r="S20" s="1012">
        <f>'1-Vlastnosti'!AE58</f>
        <v>-1</v>
      </c>
      <c r="T20" s="1012" t="str">
        <f>'1-Vlastnosti'!AF58</f>
        <v>0</v>
      </c>
      <c r="U20" s="761"/>
      <c r="AB20" s="1137" t="s">
        <v>465</v>
      </c>
      <c r="AC20" s="1138"/>
      <c r="AD20" s="1138"/>
      <c r="AE20" s="1138"/>
      <c r="AF20" s="1139"/>
      <c r="AG20" s="1139"/>
      <c r="AH20" s="1139"/>
      <c r="AI20" s="1139"/>
    </row>
    <row r="21" spans="1:35" ht="15" customHeight="1" x14ac:dyDescent="0.3">
      <c r="A21" s="837" t="s">
        <v>4158</v>
      </c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761"/>
      <c r="AB21" s="1140" t="s">
        <v>466</v>
      </c>
      <c r="AC21" s="1141"/>
      <c r="AD21" s="1141"/>
      <c r="AE21" s="1142"/>
      <c r="AF21" s="1409">
        <f>'2-Vzhled a charakter'!K36+'1-Vlastnosti'!H34</f>
        <v>5</v>
      </c>
      <c r="AG21" s="1409"/>
      <c r="AH21" s="1143" t="s">
        <v>15</v>
      </c>
      <c r="AI21" s="1139"/>
    </row>
    <row r="22" spans="1:35" ht="15" customHeight="1" x14ac:dyDescent="0.3">
      <c r="A22" s="1389" t="s">
        <v>4154</v>
      </c>
      <c r="B22" s="1390"/>
      <c r="C22" s="1155" t="s">
        <v>93</v>
      </c>
      <c r="D22" s="1155" t="s">
        <v>260</v>
      </c>
      <c r="E22" s="1155" t="s">
        <v>95</v>
      </c>
      <c r="F22" s="1155" t="s">
        <v>96</v>
      </c>
      <c r="G22" s="1155" t="s">
        <v>97</v>
      </c>
      <c r="H22" s="1155" t="s">
        <v>98</v>
      </c>
      <c r="I22" s="1155" t="s">
        <v>99</v>
      </c>
      <c r="U22" s="761"/>
      <c r="AB22" s="1140" t="s">
        <v>467</v>
      </c>
      <c r="AC22" s="1141"/>
      <c r="AD22" s="1141"/>
      <c r="AE22" s="1142"/>
      <c r="AF22" s="1409" t="e">
        <f>SUM('5-Majetek'!G4:G7,'5-Majetek'!#REF!,'5-Majetek'!G10:G15,'5-Majetek'!G18:G20,'5-Majetek'!N4:N24,'5-Majetek'!G59:G65,'5-Majetek'!G23:G56)+SUM('5-Majetek'!N70:N72,'5-Majetek'!N68)*0.01</f>
        <v>#REF!</v>
      </c>
      <c r="AG22" s="1409"/>
      <c r="AH22" s="1143" t="s">
        <v>15</v>
      </c>
      <c r="AI22" s="1139"/>
    </row>
    <row r="23" spans="1:35" ht="15" customHeight="1" x14ac:dyDescent="0.3">
      <c r="A23" s="1389" t="s">
        <v>4155</v>
      </c>
      <c r="B23" s="1390"/>
      <c r="C23" s="1156" t="s">
        <v>68</v>
      </c>
      <c r="D23" s="1156" t="s">
        <v>67</v>
      </c>
      <c r="E23" s="1156" t="s">
        <v>66</v>
      </c>
      <c r="F23" s="1156" t="s">
        <v>65</v>
      </c>
      <c r="G23" s="1156" t="s">
        <v>64</v>
      </c>
      <c r="H23" s="1156" t="s">
        <v>63</v>
      </c>
      <c r="I23" s="1156" t="s">
        <v>62</v>
      </c>
      <c r="P23" s="197"/>
      <c r="T23" s="197"/>
      <c r="U23" s="761"/>
      <c r="AB23" s="1144"/>
      <c r="AC23" s="1139"/>
      <c r="AD23" s="992"/>
      <c r="AE23" s="1145" t="s">
        <v>321</v>
      </c>
      <c r="AF23" s="1410" t="e">
        <f>SUM(AF21:AG22)</f>
        <v>#REF!</v>
      </c>
      <c r="AG23" s="1411"/>
      <c r="AH23" s="1143" t="s">
        <v>15</v>
      </c>
      <c r="AI23" s="1139"/>
    </row>
    <row r="24" spans="1:35" ht="15" customHeight="1" x14ac:dyDescent="0.3">
      <c r="A24" s="1389" t="s">
        <v>4156</v>
      </c>
      <c r="B24" s="1390"/>
      <c r="C24" s="1156" t="s">
        <v>64</v>
      </c>
      <c r="D24" s="1156" t="s">
        <v>65</v>
      </c>
      <c r="E24" s="1156" t="s">
        <v>66</v>
      </c>
      <c r="F24" s="1156" t="s">
        <v>67</v>
      </c>
      <c r="G24" s="1156" t="s">
        <v>68</v>
      </c>
      <c r="H24" s="1156" t="s">
        <v>70</v>
      </c>
      <c r="I24" s="1156" t="s">
        <v>72</v>
      </c>
      <c r="P24" s="197"/>
      <c r="T24" s="197"/>
      <c r="U24" s="761"/>
      <c r="V24" s="291"/>
      <c r="AB24" s="1144"/>
      <c r="AC24" s="1139"/>
      <c r="AD24" s="1139"/>
      <c r="AE24" s="1146"/>
      <c r="AF24" s="369"/>
      <c r="AG24" s="369"/>
      <c r="AH24" s="369"/>
      <c r="AI24" s="1139"/>
    </row>
    <row r="25" spans="1:35" ht="15" customHeight="1" x14ac:dyDescent="0.3">
      <c r="A25" s="1389" t="s">
        <v>1354</v>
      </c>
      <c r="B25" s="1390"/>
      <c r="C25" s="1156" t="s">
        <v>68</v>
      </c>
      <c r="D25" s="1156" t="s">
        <v>67</v>
      </c>
      <c r="E25" s="1156" t="s">
        <v>66</v>
      </c>
      <c r="F25" s="1156" t="s">
        <v>65</v>
      </c>
      <c r="G25" s="1156" t="s">
        <v>64</v>
      </c>
      <c r="H25" s="1156" t="s">
        <v>63</v>
      </c>
      <c r="I25" s="1156" t="s">
        <v>62</v>
      </c>
      <c r="P25" s="197"/>
      <c r="T25" s="197"/>
      <c r="U25" s="761"/>
      <c r="V25" s="292"/>
      <c r="AB25" s="1147"/>
      <c r="AC25" s="1139"/>
      <c r="AD25" s="1139"/>
      <c r="AE25" s="1139"/>
      <c r="AF25" s="1139"/>
      <c r="AG25" s="1145" t="s">
        <v>305</v>
      </c>
      <c r="AH25" s="1148">
        <f>'7-Tabulky'!X37</f>
        <v>6</v>
      </c>
      <c r="AI25" s="1149" t="s">
        <v>15</v>
      </c>
    </row>
    <row r="26" spans="1:35" ht="15" customHeight="1" x14ac:dyDescent="0.3">
      <c r="A26" s="1389" t="s">
        <v>4157</v>
      </c>
      <c r="B26" s="1390"/>
      <c r="C26" s="1156" t="s">
        <v>68</v>
      </c>
      <c r="D26" s="1156" t="s">
        <v>67</v>
      </c>
      <c r="E26" s="1156" t="s">
        <v>66</v>
      </c>
      <c r="F26" s="1156" t="s">
        <v>65</v>
      </c>
      <c r="G26" s="1156" t="s">
        <v>64</v>
      </c>
      <c r="H26" s="1156" t="s">
        <v>63</v>
      </c>
      <c r="I26" s="1156" t="s">
        <v>62</v>
      </c>
      <c r="P26" s="197"/>
      <c r="T26" s="197"/>
      <c r="U26" s="761"/>
      <c r="V26" s="292"/>
      <c r="AB26" s="1144"/>
      <c r="AC26" s="992"/>
      <c r="AD26" s="992"/>
      <c r="AE26" s="992"/>
      <c r="AF26" s="992"/>
      <c r="AG26" s="1145" t="s">
        <v>1132</v>
      </c>
      <c r="AH26" s="1148">
        <f>'7-Tabulky'!X39</f>
        <v>18</v>
      </c>
      <c r="AI26" s="1149" t="s">
        <v>15</v>
      </c>
    </row>
    <row r="27" spans="1:35" ht="15" customHeight="1" thickBot="1" x14ac:dyDescent="0.35">
      <c r="A27" s="1389" t="s">
        <v>4076</v>
      </c>
      <c r="B27" s="1390"/>
      <c r="C27" s="1156" t="s">
        <v>64</v>
      </c>
      <c r="D27" s="1156" t="s">
        <v>65</v>
      </c>
      <c r="E27" s="1156" t="s">
        <v>66</v>
      </c>
      <c r="F27" s="1156" t="s">
        <v>67</v>
      </c>
      <c r="G27" s="1156" t="s">
        <v>68</v>
      </c>
      <c r="H27" s="1156" t="s">
        <v>70</v>
      </c>
      <c r="I27" s="1156" t="s">
        <v>72</v>
      </c>
      <c r="P27" s="197"/>
      <c r="T27" s="197"/>
      <c r="U27" s="761"/>
      <c r="AB27" s="1150"/>
      <c r="AC27" s="1151"/>
      <c r="AD27" s="1151"/>
      <c r="AE27" s="1151"/>
      <c r="AF27" s="1151"/>
      <c r="AG27" s="1152" t="s">
        <v>1133</v>
      </c>
      <c r="AH27" s="1153">
        <f>'7-Tabulky'!X40</f>
        <v>30</v>
      </c>
      <c r="AI27" s="1154" t="s">
        <v>15</v>
      </c>
    </row>
    <row r="28" spans="1:35" ht="15" customHeight="1" x14ac:dyDescent="0.3"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761"/>
      <c r="W28" s="765" t="s">
        <v>947</v>
      </c>
      <c r="X28" s="197"/>
      <c r="Y28" s="197"/>
    </row>
    <row r="29" spans="1:35" ht="15" customHeight="1" x14ac:dyDescent="0.3">
      <c r="U29" s="761"/>
      <c r="W29" s="290" t="s">
        <v>1069</v>
      </c>
      <c r="X29" s="1414" t="s">
        <v>2</v>
      </c>
      <c r="Y29" s="1414"/>
    </row>
    <row r="30" spans="1:35" ht="15" customHeight="1" x14ac:dyDescent="0.3">
      <c r="I30" s="197"/>
      <c r="U30" s="840"/>
      <c r="W30" s="288">
        <f>'7-Tabulky'!X37</f>
        <v>6</v>
      </c>
      <c r="X30" s="1412" t="s">
        <v>1067</v>
      </c>
      <c r="Y30" s="1412"/>
    </row>
    <row r="31" spans="1:35" ht="15" customHeight="1" x14ac:dyDescent="0.3">
      <c r="I31" s="197"/>
      <c r="U31" s="761"/>
      <c r="W31" s="288">
        <f>'7-Tabulky'!X38</f>
        <v>12</v>
      </c>
      <c r="X31" s="1412" t="s">
        <v>113</v>
      </c>
      <c r="Y31" s="1412"/>
    </row>
    <row r="32" spans="1:35" ht="15" customHeight="1" x14ac:dyDescent="0.3">
      <c r="I32" s="197"/>
      <c r="U32" s="761"/>
      <c r="W32" s="288">
        <f>'7-Tabulky'!X39</f>
        <v>18</v>
      </c>
      <c r="X32" s="1412" t="s">
        <v>946</v>
      </c>
      <c r="Y32" s="1412"/>
    </row>
    <row r="33" spans="9:34" ht="15" customHeight="1" x14ac:dyDescent="0.3">
      <c r="I33" s="197"/>
      <c r="U33" s="761"/>
      <c r="W33" s="289">
        <f>'7-Tabulky'!X40</f>
        <v>30</v>
      </c>
      <c r="X33" s="1412" t="s">
        <v>1068</v>
      </c>
      <c r="Y33" s="1412"/>
    </row>
    <row r="34" spans="9:34" ht="15" customHeight="1" x14ac:dyDescent="0.3">
      <c r="I34" s="197"/>
      <c r="U34" s="761"/>
    </row>
    <row r="35" spans="9:34" ht="15" customHeight="1" x14ac:dyDescent="0.3">
      <c r="I35" s="197"/>
      <c r="U35" s="761"/>
      <c r="W35" s="369"/>
      <c r="X35" s="369"/>
    </row>
    <row r="36" spans="9:34" ht="15" customHeight="1" x14ac:dyDescent="0.3">
      <c r="U36" s="761"/>
      <c r="W36" s="384" t="s">
        <v>947</v>
      </c>
      <c r="X36" s="369"/>
    </row>
    <row r="37" spans="9:34" ht="15" customHeight="1" x14ac:dyDescent="0.3">
      <c r="U37" s="761"/>
      <c r="W37" s="385" t="s">
        <v>1067</v>
      </c>
      <c r="X37" s="386">
        <f>1*'7-Tabulky'!AH19</f>
        <v>6</v>
      </c>
    </row>
    <row r="38" spans="9:34" ht="15" customHeight="1" x14ac:dyDescent="0.3">
      <c r="U38" s="761"/>
      <c r="W38" s="385" t="s">
        <v>113</v>
      </c>
      <c r="X38" s="386">
        <f>2*'7-Tabulky'!AH19</f>
        <v>12</v>
      </c>
    </row>
    <row r="39" spans="9:34" ht="15" customHeight="1" x14ac:dyDescent="0.3">
      <c r="U39" s="761"/>
      <c r="W39" s="385" t="s">
        <v>946</v>
      </c>
      <c r="X39" s="386">
        <f>3*'7-Tabulky'!AH19</f>
        <v>18</v>
      </c>
    </row>
    <row r="40" spans="9:34" ht="15" customHeight="1" x14ac:dyDescent="0.3">
      <c r="U40" s="761"/>
      <c r="W40" s="385" t="s">
        <v>1068</v>
      </c>
      <c r="X40" s="386">
        <f>5*'7-Tabulky'!AH19</f>
        <v>30</v>
      </c>
    </row>
    <row r="41" spans="9:34" ht="15" customHeight="1" x14ac:dyDescent="0.3">
      <c r="U41" s="761"/>
    </row>
    <row r="42" spans="9:34" ht="15" customHeight="1" x14ac:dyDescent="0.3">
      <c r="O42" s="125" t="s">
        <v>117</v>
      </c>
      <c r="P42" s="125"/>
      <c r="Q42" s="125"/>
      <c r="R42" s="125"/>
      <c r="S42" s="125"/>
      <c r="T42" s="125"/>
      <c r="U42" s="761"/>
      <c r="AC42" s="326" t="s">
        <v>117</v>
      </c>
      <c r="AD42" s="326"/>
      <c r="AE42" s="326"/>
      <c r="AF42" s="326"/>
      <c r="AG42" s="326"/>
      <c r="AH42" s="326"/>
    </row>
    <row r="43" spans="9:34" ht="15" customHeight="1" x14ac:dyDescent="0.3">
      <c r="O43" s="126" t="s">
        <v>118</v>
      </c>
      <c r="P43" s="126" t="s">
        <v>1095</v>
      </c>
      <c r="Q43" s="126" t="s">
        <v>118</v>
      </c>
      <c r="R43" s="126" t="s">
        <v>1095</v>
      </c>
      <c r="S43" s="126" t="s">
        <v>118</v>
      </c>
      <c r="T43" s="127" t="s">
        <v>1095</v>
      </c>
      <c r="U43" s="761"/>
      <c r="Y43" s="466" t="s">
        <v>118</v>
      </c>
      <c r="Z43" s="466" t="s">
        <v>1095</v>
      </c>
      <c r="AA43" s="628" t="s">
        <v>183</v>
      </c>
      <c r="AC43" s="327" t="s">
        <v>118</v>
      </c>
      <c r="AD43" s="327" t="s">
        <v>1095</v>
      </c>
      <c r="AE43" s="327" t="s">
        <v>118</v>
      </c>
      <c r="AF43" s="327" t="s">
        <v>1095</v>
      </c>
      <c r="AG43" s="327" t="s">
        <v>118</v>
      </c>
      <c r="AH43" s="318" t="s">
        <v>1095</v>
      </c>
    </row>
    <row r="44" spans="9:34" ht="15" customHeight="1" x14ac:dyDescent="0.3">
      <c r="O44" s="712" t="s">
        <v>2079</v>
      </c>
      <c r="P44" s="715">
        <v>0</v>
      </c>
      <c r="Q44" s="712" t="s">
        <v>128</v>
      </c>
      <c r="R44" s="715">
        <f>IF(OR('2-Vzhled a charakter'!$D$10="61",'2-Vzhled a charakter'!$D$11="61",'2-Vzhled a charakter'!$D$12="61"),FLOOR(AF44*0.9,1),AF44)</f>
        <v>43</v>
      </c>
      <c r="S44" s="712" t="s">
        <v>138</v>
      </c>
      <c r="T44" s="714">
        <f>IF(OR('2-Vzhled a charakter'!$D$10="61",'2-Vzhled a charakter'!$D$11="61",'2-Vzhled a charakter'!$D$12="61"),FLOOR(AH44*0.9,1),AH44)</f>
        <v>70</v>
      </c>
      <c r="U44" s="761"/>
      <c r="Y44" s="627">
        <v>2</v>
      </c>
      <c r="Z44" s="467">
        <f>P45</f>
        <v>20</v>
      </c>
      <c r="AA44" s="467">
        <f>SUM($Z$44:Z44)</f>
        <v>20</v>
      </c>
      <c r="AC44" s="622" t="s">
        <v>2079</v>
      </c>
      <c r="AD44" s="624">
        <v>0</v>
      </c>
      <c r="AE44" s="622" t="s">
        <v>128</v>
      </c>
      <c r="AF44" s="328">
        <v>43</v>
      </c>
      <c r="AG44" s="622" t="s">
        <v>138</v>
      </c>
      <c r="AH44" s="329">
        <v>70</v>
      </c>
    </row>
    <row r="45" spans="9:34" ht="15" customHeight="1" x14ac:dyDescent="0.3">
      <c r="O45" s="712" t="s">
        <v>119</v>
      </c>
      <c r="P45" s="715">
        <f>IF(OR('2-Vzhled a charakter'!$D$10="61",'2-Vzhled a charakter'!$D$11="61",'2-Vzhled a charakter'!$D$12="61"),FLOOR(AD45*0.9,1),AD45)</f>
        <v>20</v>
      </c>
      <c r="Q45" s="712" t="s">
        <v>129</v>
      </c>
      <c r="R45" s="715">
        <f>IF(OR('2-Vzhled a charakter'!$D$10="61",'2-Vzhled a charakter'!$D$11="61",'2-Vzhled a charakter'!$D$12="61"),FLOOR(AF45*0.9,1),AF45)</f>
        <v>46</v>
      </c>
      <c r="S45" s="712" t="s">
        <v>139</v>
      </c>
      <c r="T45" s="714">
        <f>IF(OR('2-Vzhled a charakter'!$D$10="61",'2-Vzhled a charakter'!$D$11="61",'2-Vzhled a charakter'!$D$12="61"),FLOOR(AH45*0.9,1),AH45)</f>
        <v>74</v>
      </c>
      <c r="U45" s="761"/>
      <c r="Y45" s="627">
        <v>3</v>
      </c>
      <c r="Z45" s="467">
        <f t="shared" ref="Z45:Z52" si="0">P46</f>
        <v>22</v>
      </c>
      <c r="AA45" s="467">
        <f>SUM($Z$44:Z45)</f>
        <v>42</v>
      </c>
      <c r="AC45" s="622" t="s">
        <v>119</v>
      </c>
      <c r="AD45" s="624">
        <v>20</v>
      </c>
      <c r="AE45" s="622" t="s">
        <v>129</v>
      </c>
      <c r="AF45" s="328">
        <v>46</v>
      </c>
      <c r="AG45" s="622" t="s">
        <v>139</v>
      </c>
      <c r="AH45" s="329">
        <v>74</v>
      </c>
    </row>
    <row r="46" spans="9:34" ht="15" customHeight="1" x14ac:dyDescent="0.3">
      <c r="O46" s="712" t="s">
        <v>120</v>
      </c>
      <c r="P46" s="715">
        <f>IF(OR('2-Vzhled a charakter'!$D$10="61",'2-Vzhled a charakter'!$D$11="61",'2-Vzhled a charakter'!$D$12="61"),FLOOR(AD46*0.9,1),AD46)</f>
        <v>22</v>
      </c>
      <c r="Q46" s="712" t="s">
        <v>130</v>
      </c>
      <c r="R46" s="715">
        <f>IF(OR('2-Vzhled a charakter'!$D$10="61",'2-Vzhled a charakter'!$D$11="61",'2-Vzhled a charakter'!$D$12="61"),FLOOR(AF46*0.9,1),AF46)</f>
        <v>49</v>
      </c>
      <c r="S46" s="712" t="s">
        <v>140</v>
      </c>
      <c r="T46" s="714">
        <f>IF(OR('2-Vzhled a charakter'!$D$10="61",'2-Vzhled a charakter'!$D$11="61",'2-Vzhled a charakter'!$D$12="61"),FLOOR(AH46*0.9,1),AH46)</f>
        <v>78</v>
      </c>
      <c r="U46" s="761"/>
      <c r="Y46" s="627">
        <v>4</v>
      </c>
      <c r="Z46" s="467">
        <f t="shared" si="0"/>
        <v>24</v>
      </c>
      <c r="AA46" s="467">
        <f>SUM($Z$44:Z46)</f>
        <v>66</v>
      </c>
      <c r="AC46" s="622" t="s">
        <v>120</v>
      </c>
      <c r="AD46" s="624">
        <v>22</v>
      </c>
      <c r="AE46" s="622" t="s">
        <v>130</v>
      </c>
      <c r="AF46" s="328">
        <v>49</v>
      </c>
      <c r="AG46" s="622" t="s">
        <v>140</v>
      </c>
      <c r="AH46" s="329">
        <v>78</v>
      </c>
    </row>
    <row r="47" spans="9:34" ht="15" customHeight="1" x14ac:dyDescent="0.3">
      <c r="O47" s="712" t="s">
        <v>121</v>
      </c>
      <c r="P47" s="715">
        <f>IF(OR('2-Vzhled a charakter'!$D$10="61",'2-Vzhled a charakter'!$D$11="61",'2-Vzhled a charakter'!$D$12="61"),FLOOR(AD47*0.9,1),AD47)</f>
        <v>24</v>
      </c>
      <c r="Q47" s="712" t="s">
        <v>131</v>
      </c>
      <c r="R47" s="715">
        <f>IF(OR('2-Vzhled a charakter'!$D$10="61",'2-Vzhled a charakter'!$D$11="61",'2-Vzhled a charakter'!$D$12="61"),FLOOR(AF47*0.9,1),AF47)</f>
        <v>52</v>
      </c>
      <c r="S47" s="712" t="s">
        <v>141</v>
      </c>
      <c r="T47" s="714">
        <f>IF(OR('2-Vzhled a charakter'!$D$10="61",'2-Vzhled a charakter'!$D$11="61",'2-Vzhled a charakter'!$D$12="61"),FLOOR(AH47*0.9,1),AH47)</f>
        <v>82</v>
      </c>
      <c r="U47" s="761"/>
      <c r="Y47" s="627">
        <v>5</v>
      </c>
      <c r="Z47" s="467">
        <f t="shared" si="0"/>
        <v>26</v>
      </c>
      <c r="AA47" s="467">
        <f>SUM($Z$44:Z47)</f>
        <v>92</v>
      </c>
      <c r="AC47" s="622" t="s">
        <v>121</v>
      </c>
      <c r="AD47" s="624">
        <v>24</v>
      </c>
      <c r="AE47" s="622" t="s">
        <v>131</v>
      </c>
      <c r="AF47" s="328">
        <v>52</v>
      </c>
      <c r="AG47" s="622" t="s">
        <v>141</v>
      </c>
      <c r="AH47" s="329">
        <v>82</v>
      </c>
    </row>
    <row r="48" spans="9:34" ht="15" customHeight="1" x14ac:dyDescent="0.3">
      <c r="O48" s="712" t="s">
        <v>122</v>
      </c>
      <c r="P48" s="715">
        <f>IF(OR('2-Vzhled a charakter'!$D$10="61",'2-Vzhled a charakter'!$D$11="61",'2-Vzhled a charakter'!$D$12="61"),FLOOR(AD48*0.9,1),AD48)</f>
        <v>26</v>
      </c>
      <c r="Q48" s="712" t="s">
        <v>132</v>
      </c>
      <c r="R48" s="715">
        <f>IF(OR('2-Vzhled a charakter'!$D$10="61",'2-Vzhled a charakter'!$D$11="61",'2-Vzhled a charakter'!$D$12="61"),FLOOR(AF48*0.9,1),AF48)</f>
        <v>56</v>
      </c>
      <c r="S48" s="712" t="s">
        <v>142</v>
      </c>
      <c r="T48" s="714">
        <f>IF(OR('2-Vzhled a charakter'!$D$10="61",'2-Vzhled a charakter'!$D$11="61",'2-Vzhled a charakter'!$D$12="61"),FLOOR(AH48*0.9,1),AH48)</f>
        <v>86</v>
      </c>
      <c r="U48" s="761"/>
      <c r="Y48" s="627">
        <v>6</v>
      </c>
      <c r="Z48" s="467">
        <f t="shared" si="0"/>
        <v>28</v>
      </c>
      <c r="AA48" s="467">
        <f>SUM($Z$44:Z48)</f>
        <v>120</v>
      </c>
      <c r="AC48" s="622" t="s">
        <v>122</v>
      </c>
      <c r="AD48" s="624">
        <v>26</v>
      </c>
      <c r="AE48" s="622" t="s">
        <v>132</v>
      </c>
      <c r="AF48" s="328">
        <v>56</v>
      </c>
      <c r="AG48" s="622" t="s">
        <v>142</v>
      </c>
      <c r="AH48" s="329">
        <v>86</v>
      </c>
    </row>
    <row r="49" spans="1:34" ht="15" customHeight="1" x14ac:dyDescent="0.3">
      <c r="O49" s="712" t="s">
        <v>123</v>
      </c>
      <c r="P49" s="715">
        <f>IF(OR('2-Vzhled a charakter'!$D$10="61",'2-Vzhled a charakter'!$D$11="61",'2-Vzhled a charakter'!$D$12="61"),FLOOR(AD49*0.9,1),AD49)</f>
        <v>28</v>
      </c>
      <c r="Q49" s="712" t="s">
        <v>133</v>
      </c>
      <c r="R49" s="715">
        <f>IF(OR('2-Vzhled a charakter'!$D$10="61",'2-Vzhled a charakter'!$D$11="61",'2-Vzhled a charakter'!$D$12="61"),FLOOR(AF49*0.9,1),AF49)</f>
        <v>58</v>
      </c>
      <c r="S49" s="712" t="s">
        <v>3641</v>
      </c>
      <c r="T49" s="714">
        <f>IF(OR('2-Vzhled a charakter'!$D$10="61",'2-Vzhled a charakter'!$D$11="61",'2-Vzhled a charakter'!$D$12="61"),FLOOR(AH49*0.9,1),AH49)</f>
        <v>90</v>
      </c>
      <c r="U49" s="761"/>
      <c r="Y49" s="627">
        <v>7</v>
      </c>
      <c r="Z49" s="467">
        <f t="shared" si="0"/>
        <v>31</v>
      </c>
      <c r="AA49" s="467">
        <f>SUM($Z$44:Z49)</f>
        <v>151</v>
      </c>
      <c r="AC49" s="622" t="s">
        <v>123</v>
      </c>
      <c r="AD49" s="624">
        <v>28</v>
      </c>
      <c r="AE49" s="622" t="s">
        <v>133</v>
      </c>
      <c r="AF49" s="328">
        <v>58</v>
      </c>
      <c r="AG49" s="622" t="s">
        <v>3641</v>
      </c>
      <c r="AH49" s="329">
        <v>90</v>
      </c>
    </row>
    <row r="50" spans="1:34" ht="15" customHeight="1" x14ac:dyDescent="0.3">
      <c r="O50" s="712" t="s">
        <v>124</v>
      </c>
      <c r="P50" s="715">
        <f>IF(OR('2-Vzhled a charakter'!$D$10="61",'2-Vzhled a charakter'!$D$11="61",'2-Vzhled a charakter'!$D$12="61"),FLOOR(AD50*0.9,1),AD50)</f>
        <v>31</v>
      </c>
      <c r="Q50" s="712" t="s">
        <v>134</v>
      </c>
      <c r="R50" s="715">
        <f>IF(OR('2-Vzhled a charakter'!$D$10="61",'2-Vzhled a charakter'!$D$11="61",'2-Vzhled a charakter'!$D$12="61"),FLOOR(AF50*0.9,1),AF50)</f>
        <v>60</v>
      </c>
      <c r="S50" s="712" t="s">
        <v>3642</v>
      </c>
      <c r="T50" s="714">
        <f>IF(OR('2-Vzhled a charakter'!$D$10="61",'2-Vzhled a charakter'!$D$11="61",'2-Vzhled a charakter'!$D$12="61"),FLOOR(AH50*0.9,1),AH50)</f>
        <v>94</v>
      </c>
      <c r="U50" s="761"/>
      <c r="Y50" s="627">
        <v>8</v>
      </c>
      <c r="Z50" s="467">
        <f t="shared" si="0"/>
        <v>34</v>
      </c>
      <c r="AA50" s="467">
        <f>SUM($Z$44:Z50)</f>
        <v>185</v>
      </c>
      <c r="AC50" s="622" t="s">
        <v>124</v>
      </c>
      <c r="AD50" s="624">
        <v>31</v>
      </c>
      <c r="AE50" s="622" t="s">
        <v>134</v>
      </c>
      <c r="AF50" s="328">
        <v>60</v>
      </c>
      <c r="AG50" s="622" t="s">
        <v>3642</v>
      </c>
      <c r="AH50" s="329">
        <v>94</v>
      </c>
    </row>
    <row r="51" spans="1:34" ht="15" customHeight="1" x14ac:dyDescent="0.3">
      <c r="O51" s="712" t="s">
        <v>125</v>
      </c>
      <c r="P51" s="715">
        <f>IF(OR('2-Vzhled a charakter'!$D$10="61",'2-Vzhled a charakter'!$D$11="61",'2-Vzhled a charakter'!$D$12="61"),FLOOR(AD51*0.9,1),AD51)</f>
        <v>34</v>
      </c>
      <c r="Q51" s="712" t="s">
        <v>135</v>
      </c>
      <c r="R51" s="714">
        <f>IF(OR('2-Vzhled a charakter'!$D$10="61",'2-Vzhled a charakter'!$D$11="61",'2-Vzhled a charakter'!$D$12="61"),FLOOR(AF51*0.9,1),AF51)</f>
        <v>62</v>
      </c>
      <c r="S51" s="712" t="s">
        <v>3643</v>
      </c>
      <c r="T51" s="714">
        <f>IF(OR('2-Vzhled a charakter'!$D$10="61",'2-Vzhled a charakter'!$D$11="61",'2-Vzhled a charakter'!$D$12="61"),FLOOR(AH51*0.9,1),AH51)</f>
        <v>98</v>
      </c>
      <c r="U51" s="761"/>
      <c r="Y51" s="627">
        <v>9</v>
      </c>
      <c r="Z51" s="467">
        <f t="shared" si="0"/>
        <v>37</v>
      </c>
      <c r="AA51" s="467">
        <f>SUM($Z$44:Z51)</f>
        <v>222</v>
      </c>
      <c r="AC51" s="622" t="s">
        <v>125</v>
      </c>
      <c r="AD51" s="624">
        <v>34</v>
      </c>
      <c r="AE51" s="622" t="s">
        <v>135</v>
      </c>
      <c r="AF51" s="329">
        <v>62</v>
      </c>
      <c r="AG51" s="622" t="s">
        <v>3643</v>
      </c>
      <c r="AH51" s="329">
        <v>98</v>
      </c>
    </row>
    <row r="52" spans="1:34" ht="15" customHeight="1" x14ac:dyDescent="0.3">
      <c r="O52" s="712" t="s">
        <v>126</v>
      </c>
      <c r="P52" s="715">
        <f>IF(OR('2-Vzhled a charakter'!$D$10="61",'2-Vzhled a charakter'!$D$11="61",'2-Vzhled a charakter'!$D$12="61"),FLOOR(AD52*0.9,1),AD52)</f>
        <v>37</v>
      </c>
      <c r="Q52" s="712" t="s">
        <v>136</v>
      </c>
      <c r="R52" s="714">
        <f>IF(OR('2-Vzhled a charakter'!$D$10="61",'2-Vzhled a charakter'!$D$11="61",'2-Vzhled a charakter'!$D$12="61"),FLOOR(AF52*0.9,1),AF52)</f>
        <v>64</v>
      </c>
      <c r="S52" s="712" t="s">
        <v>3644</v>
      </c>
      <c r="T52" s="714">
        <f>IF(OR('2-Vzhled a charakter'!$D$10="61",'2-Vzhled a charakter'!$D$11="61",'2-Vzhled a charakter'!$D$12="61"),FLOOR(AH52*0.9,1),AH52)</f>
        <v>102</v>
      </c>
      <c r="U52" s="761"/>
      <c r="Y52" s="627">
        <v>10</v>
      </c>
      <c r="Z52" s="467">
        <f t="shared" si="0"/>
        <v>40</v>
      </c>
      <c r="AA52" s="467">
        <f>SUM($Z$44:Z52)</f>
        <v>262</v>
      </c>
      <c r="AC52" s="622" t="s">
        <v>126</v>
      </c>
      <c r="AD52" s="624">
        <v>37</v>
      </c>
      <c r="AE52" s="622" t="s">
        <v>136</v>
      </c>
      <c r="AF52" s="329">
        <v>64</v>
      </c>
      <c r="AG52" s="622" t="s">
        <v>3644</v>
      </c>
      <c r="AH52" s="329">
        <v>102</v>
      </c>
    </row>
    <row r="53" spans="1:34" ht="15" customHeight="1" thickBot="1" x14ac:dyDescent="0.35">
      <c r="O53" s="841" t="s">
        <v>127</v>
      </c>
      <c r="P53" s="842">
        <f>IF(OR('2-Vzhled a charakter'!$D$10="61",'2-Vzhled a charakter'!$D$11="61",'2-Vzhled a charakter'!$D$12="61"),FLOOR(AD53*0.9,1),AD53)</f>
        <v>40</v>
      </c>
      <c r="Q53" s="841" t="s">
        <v>137</v>
      </c>
      <c r="R53" s="843">
        <f>IF(OR('2-Vzhled a charakter'!$D$10="61",'2-Vzhled a charakter'!$D$11="61",'2-Vzhled a charakter'!$D$12="61"),FLOOR(AF53*0.9,1),AF53)</f>
        <v>67</v>
      </c>
      <c r="S53" s="841" t="s">
        <v>3645</v>
      </c>
      <c r="T53" s="843">
        <f>IF(OR('2-Vzhled a charakter'!$D$10="61",'2-Vzhled a charakter'!$D$11="61",'2-Vzhled a charakter'!$D$12="61"),FLOOR(AH53*0.9,1),AH53)</f>
        <v>107</v>
      </c>
      <c r="U53" s="770"/>
      <c r="Y53" s="627">
        <v>11</v>
      </c>
      <c r="Z53" s="467">
        <f t="shared" ref="Z53:Z62" si="1">R44</f>
        <v>43</v>
      </c>
      <c r="AA53" s="467">
        <f>SUM($Z$44:Z53)</f>
        <v>305</v>
      </c>
      <c r="AC53" s="622" t="s">
        <v>127</v>
      </c>
      <c r="AD53" s="624">
        <v>40</v>
      </c>
      <c r="AE53" s="622" t="s">
        <v>137</v>
      </c>
      <c r="AF53" s="329">
        <v>67</v>
      </c>
      <c r="AG53" s="622" t="s">
        <v>3645</v>
      </c>
      <c r="AH53" s="329">
        <v>107</v>
      </c>
    </row>
    <row r="54" spans="1:34" ht="15" customHeight="1" x14ac:dyDescent="0.3">
      <c r="Y54" s="627">
        <v>12</v>
      </c>
      <c r="Z54" s="467">
        <f t="shared" si="1"/>
        <v>46</v>
      </c>
      <c r="AA54" s="467">
        <f>SUM($Z$44:Z54)</f>
        <v>351</v>
      </c>
    </row>
    <row r="55" spans="1:34" ht="15" customHeight="1" x14ac:dyDescent="0.3">
      <c r="O55" s="337" t="s">
        <v>1149</v>
      </c>
      <c r="P55" s="337"/>
      <c r="Q55" s="337"/>
      <c r="R55" s="337"/>
      <c r="S55" s="337"/>
      <c r="T55" s="337"/>
      <c r="Y55" s="627">
        <v>13</v>
      </c>
      <c r="Z55" s="467">
        <f t="shared" si="1"/>
        <v>49</v>
      </c>
      <c r="AA55" s="467">
        <f>SUM($Z$44:Z55)</f>
        <v>400</v>
      </c>
      <c r="AC55" s="326" t="s">
        <v>1149</v>
      </c>
      <c r="AD55" s="326"/>
      <c r="AE55" s="326"/>
      <c r="AF55" s="326"/>
      <c r="AG55" s="326"/>
      <c r="AH55" s="326"/>
    </row>
    <row r="56" spans="1:34" ht="15" customHeight="1" x14ac:dyDescent="0.3">
      <c r="O56" s="336" t="s">
        <v>118</v>
      </c>
      <c r="P56" s="336" t="s">
        <v>1095</v>
      </c>
      <c r="Q56" s="336" t="s">
        <v>118</v>
      </c>
      <c r="R56" s="336" t="s">
        <v>1095</v>
      </c>
      <c r="S56" s="336" t="s">
        <v>118</v>
      </c>
      <c r="T56" s="334" t="s">
        <v>1095</v>
      </c>
      <c r="Y56" s="627">
        <v>14</v>
      </c>
      <c r="Z56" s="467">
        <f t="shared" si="1"/>
        <v>52</v>
      </c>
      <c r="AA56" s="467">
        <f>SUM($Z$44:Z56)</f>
        <v>452</v>
      </c>
      <c r="AC56" s="327" t="s">
        <v>118</v>
      </c>
      <c r="AD56" s="327" t="s">
        <v>1095</v>
      </c>
      <c r="AE56" s="327" t="s">
        <v>118</v>
      </c>
      <c r="AF56" s="327" t="s">
        <v>1095</v>
      </c>
      <c r="AG56" s="327" t="s">
        <v>118</v>
      </c>
      <c r="AH56" s="335" t="s">
        <v>1095</v>
      </c>
    </row>
    <row r="57" spans="1:34" ht="15" customHeight="1" x14ac:dyDescent="0.3">
      <c r="O57" s="623" t="s">
        <v>2079</v>
      </c>
      <c r="P57" s="625">
        <v>0</v>
      </c>
      <c r="Q57" s="623" t="s">
        <v>128</v>
      </c>
      <c r="R57" s="625">
        <f>P66+R44</f>
        <v>305</v>
      </c>
      <c r="S57" s="623" t="s">
        <v>138</v>
      </c>
      <c r="T57" s="626">
        <f>R66+T44</f>
        <v>889</v>
      </c>
      <c r="Y57" s="627">
        <v>15</v>
      </c>
      <c r="Z57" s="467">
        <f t="shared" si="1"/>
        <v>56</v>
      </c>
      <c r="AA57" s="467">
        <f>SUM($Z$44:Z57)</f>
        <v>508</v>
      </c>
      <c r="AC57" s="622" t="s">
        <v>2079</v>
      </c>
      <c r="AD57" s="624">
        <v>0</v>
      </c>
      <c r="AE57" s="622" t="s">
        <v>128</v>
      </c>
      <c r="AF57" s="328">
        <f>AD66+AF44</f>
        <v>305</v>
      </c>
      <c r="AG57" s="622" t="s">
        <v>138</v>
      </c>
      <c r="AH57" s="329">
        <f>AF66+AH44</f>
        <v>889</v>
      </c>
    </row>
    <row r="58" spans="1:34" ht="15" customHeight="1" x14ac:dyDescent="0.3">
      <c r="O58" s="623" t="s">
        <v>119</v>
      </c>
      <c r="P58" s="625">
        <f>P45</f>
        <v>20</v>
      </c>
      <c r="Q58" s="623" t="s">
        <v>129</v>
      </c>
      <c r="R58" s="625">
        <f t="shared" ref="R58:R66" si="2">R57+R45</f>
        <v>351</v>
      </c>
      <c r="S58" s="623" t="s">
        <v>139</v>
      </c>
      <c r="T58" s="626">
        <f>T57+T45</f>
        <v>963</v>
      </c>
      <c r="Y58" s="627">
        <v>16</v>
      </c>
      <c r="Z58" s="467">
        <f t="shared" si="1"/>
        <v>58</v>
      </c>
      <c r="AA58" s="467">
        <f>SUM($Z$44:Z58)</f>
        <v>566</v>
      </c>
      <c r="AC58" s="622" t="s">
        <v>119</v>
      </c>
      <c r="AD58" s="328">
        <f t="shared" ref="AD58:AD66" si="3">AD57+AD45</f>
        <v>20</v>
      </c>
      <c r="AE58" s="622" t="s">
        <v>129</v>
      </c>
      <c r="AF58" s="328">
        <f t="shared" ref="AF58:AF66" si="4">AF57+AF45</f>
        <v>351</v>
      </c>
      <c r="AG58" s="622" t="s">
        <v>139</v>
      </c>
      <c r="AH58" s="329">
        <f t="shared" ref="AH58:AH66" si="5">AH57+AH45</f>
        <v>963</v>
      </c>
    </row>
    <row r="59" spans="1:34" ht="15" customHeight="1" x14ac:dyDescent="0.3">
      <c r="O59" s="623" t="s">
        <v>120</v>
      </c>
      <c r="P59" s="625">
        <f t="shared" ref="P59:P65" si="6">P46+P58</f>
        <v>42</v>
      </c>
      <c r="Q59" s="623" t="s">
        <v>130</v>
      </c>
      <c r="R59" s="625">
        <f t="shared" si="2"/>
        <v>400</v>
      </c>
      <c r="S59" s="623" t="s">
        <v>140</v>
      </c>
      <c r="T59" s="626">
        <f>T58+T46</f>
        <v>1041</v>
      </c>
      <c r="Y59" s="627">
        <v>17</v>
      </c>
      <c r="Z59" s="467">
        <f t="shared" si="1"/>
        <v>60</v>
      </c>
      <c r="AA59" s="467">
        <f>SUM($Z$44:Z59)</f>
        <v>626</v>
      </c>
      <c r="AC59" s="622" t="s">
        <v>120</v>
      </c>
      <c r="AD59" s="328">
        <f t="shared" si="3"/>
        <v>42</v>
      </c>
      <c r="AE59" s="622" t="s">
        <v>130</v>
      </c>
      <c r="AF59" s="328">
        <f t="shared" si="4"/>
        <v>400</v>
      </c>
      <c r="AG59" s="622" t="s">
        <v>140</v>
      </c>
      <c r="AH59" s="329">
        <f t="shared" si="5"/>
        <v>1041</v>
      </c>
    </row>
    <row r="60" spans="1:34" ht="15" customHeight="1" x14ac:dyDescent="0.3">
      <c r="O60" s="623" t="s">
        <v>121</v>
      </c>
      <c r="P60" s="625">
        <f t="shared" si="6"/>
        <v>66</v>
      </c>
      <c r="Q60" s="623" t="s">
        <v>131</v>
      </c>
      <c r="R60" s="625">
        <f t="shared" si="2"/>
        <v>452</v>
      </c>
      <c r="S60" s="623" t="s">
        <v>141</v>
      </c>
      <c r="T60" s="626">
        <f>T59+T47</f>
        <v>1123</v>
      </c>
      <c r="Y60" s="627">
        <v>18</v>
      </c>
      <c r="Z60" s="467">
        <f t="shared" si="1"/>
        <v>62</v>
      </c>
      <c r="AA60" s="467">
        <f>SUM($Z$44:Z60)</f>
        <v>688</v>
      </c>
      <c r="AC60" s="622" t="s">
        <v>121</v>
      </c>
      <c r="AD60" s="328">
        <f t="shared" si="3"/>
        <v>66</v>
      </c>
      <c r="AE60" s="622" t="s">
        <v>131</v>
      </c>
      <c r="AF60" s="328">
        <f t="shared" si="4"/>
        <v>452</v>
      </c>
      <c r="AG60" s="622" t="s">
        <v>141</v>
      </c>
      <c r="AH60" s="329">
        <f t="shared" si="5"/>
        <v>1123</v>
      </c>
    </row>
    <row r="61" spans="1:34" ht="15" customHeight="1" x14ac:dyDescent="0.3">
      <c r="O61" s="623" t="s">
        <v>122</v>
      </c>
      <c r="P61" s="625">
        <f t="shared" si="6"/>
        <v>92</v>
      </c>
      <c r="Q61" s="623" t="s">
        <v>132</v>
      </c>
      <c r="R61" s="625">
        <f t="shared" si="2"/>
        <v>508</v>
      </c>
      <c r="S61" s="623" t="s">
        <v>142</v>
      </c>
      <c r="T61" s="626">
        <f>T60+T48</f>
        <v>1209</v>
      </c>
      <c r="Y61" s="627">
        <v>19</v>
      </c>
      <c r="Z61" s="467">
        <f t="shared" si="1"/>
        <v>64</v>
      </c>
      <c r="AA61" s="467">
        <f>SUM($Z$44:Z61)</f>
        <v>752</v>
      </c>
      <c r="AC61" s="622" t="s">
        <v>122</v>
      </c>
      <c r="AD61" s="328">
        <f t="shared" si="3"/>
        <v>92</v>
      </c>
      <c r="AE61" s="622" t="s">
        <v>132</v>
      </c>
      <c r="AF61" s="328">
        <f t="shared" si="4"/>
        <v>508</v>
      </c>
      <c r="AG61" s="622" t="s">
        <v>142</v>
      </c>
      <c r="AH61" s="329">
        <f t="shared" si="5"/>
        <v>1209</v>
      </c>
    </row>
    <row r="62" spans="1:34" x14ac:dyDescent="0.3">
      <c r="O62" s="623" t="s">
        <v>123</v>
      </c>
      <c r="P62" s="625">
        <f t="shared" si="6"/>
        <v>120</v>
      </c>
      <c r="Q62" s="623" t="s">
        <v>133</v>
      </c>
      <c r="R62" s="625">
        <f t="shared" si="2"/>
        <v>566</v>
      </c>
      <c r="S62" s="623" t="s">
        <v>3641</v>
      </c>
      <c r="T62" s="626">
        <f t="shared" ref="T62:T66" si="7">T61+T49</f>
        <v>1299</v>
      </c>
      <c r="Y62" s="627">
        <v>20</v>
      </c>
      <c r="Z62" s="467">
        <f t="shared" si="1"/>
        <v>67</v>
      </c>
      <c r="AA62" s="467">
        <f>SUM($Z$44:Z62)</f>
        <v>819</v>
      </c>
      <c r="AC62" s="622" t="s">
        <v>123</v>
      </c>
      <c r="AD62" s="328">
        <f t="shared" si="3"/>
        <v>120</v>
      </c>
      <c r="AE62" s="622" t="s">
        <v>133</v>
      </c>
      <c r="AF62" s="328">
        <f t="shared" si="4"/>
        <v>566</v>
      </c>
      <c r="AG62" s="622" t="s">
        <v>3641</v>
      </c>
      <c r="AH62" s="329">
        <f t="shared" si="5"/>
        <v>1299</v>
      </c>
    </row>
    <row r="63" spans="1:34" x14ac:dyDescent="0.3">
      <c r="O63" s="623" t="s">
        <v>124</v>
      </c>
      <c r="P63" s="625">
        <f t="shared" si="6"/>
        <v>151</v>
      </c>
      <c r="Q63" s="623" t="s">
        <v>134</v>
      </c>
      <c r="R63" s="625">
        <f t="shared" si="2"/>
        <v>626</v>
      </c>
      <c r="S63" s="623" t="s">
        <v>3642</v>
      </c>
      <c r="T63" s="626">
        <f t="shared" si="7"/>
        <v>1393</v>
      </c>
      <c r="Y63" s="627">
        <v>21</v>
      </c>
      <c r="Z63" s="467">
        <f t="shared" ref="Z63:Z72" si="8">T44</f>
        <v>70</v>
      </c>
      <c r="AA63" s="467">
        <f>SUM($Z$44:Z63)</f>
        <v>889</v>
      </c>
      <c r="AC63" s="622" t="s">
        <v>124</v>
      </c>
      <c r="AD63" s="328">
        <f t="shared" si="3"/>
        <v>151</v>
      </c>
      <c r="AE63" s="622" t="s">
        <v>134</v>
      </c>
      <c r="AF63" s="328">
        <f t="shared" si="4"/>
        <v>626</v>
      </c>
      <c r="AG63" s="622" t="s">
        <v>3642</v>
      </c>
      <c r="AH63" s="329">
        <f t="shared" si="5"/>
        <v>1393</v>
      </c>
    </row>
    <row r="64" spans="1:34" x14ac:dyDescent="0.3">
      <c r="A64" s="37"/>
      <c r="O64" s="623" t="s">
        <v>125</v>
      </c>
      <c r="P64" s="625">
        <f t="shared" si="6"/>
        <v>185</v>
      </c>
      <c r="Q64" s="623" t="s">
        <v>135</v>
      </c>
      <c r="R64" s="626">
        <f t="shared" si="2"/>
        <v>688</v>
      </c>
      <c r="S64" s="623" t="s">
        <v>3643</v>
      </c>
      <c r="T64" s="626">
        <f t="shared" si="7"/>
        <v>1491</v>
      </c>
      <c r="Y64" s="627">
        <v>22</v>
      </c>
      <c r="Z64" s="467">
        <f t="shared" si="8"/>
        <v>74</v>
      </c>
      <c r="AA64" s="467">
        <f>SUM($Z$44:Z64)</f>
        <v>963</v>
      </c>
      <c r="AC64" s="622" t="s">
        <v>125</v>
      </c>
      <c r="AD64" s="328">
        <f t="shared" si="3"/>
        <v>185</v>
      </c>
      <c r="AE64" s="622" t="s">
        <v>135</v>
      </c>
      <c r="AF64" s="329">
        <f t="shared" si="4"/>
        <v>688</v>
      </c>
      <c r="AG64" s="622" t="s">
        <v>3643</v>
      </c>
      <c r="AH64" s="329">
        <f t="shared" si="5"/>
        <v>1491</v>
      </c>
    </row>
    <row r="65" spans="1:34" x14ac:dyDescent="0.3">
      <c r="A65" s="37"/>
      <c r="O65" s="623" t="s">
        <v>126</v>
      </c>
      <c r="P65" s="625">
        <f t="shared" si="6"/>
        <v>222</v>
      </c>
      <c r="Q65" s="623" t="s">
        <v>136</v>
      </c>
      <c r="R65" s="626">
        <f t="shared" si="2"/>
        <v>752</v>
      </c>
      <c r="S65" s="623" t="s">
        <v>3644</v>
      </c>
      <c r="T65" s="626">
        <f t="shared" si="7"/>
        <v>1593</v>
      </c>
      <c r="Y65" s="627">
        <v>23</v>
      </c>
      <c r="Z65" s="467">
        <f t="shared" si="8"/>
        <v>78</v>
      </c>
      <c r="AA65" s="467">
        <f>SUM($Z$44:Z65)</f>
        <v>1041</v>
      </c>
      <c r="AC65" s="622" t="s">
        <v>126</v>
      </c>
      <c r="AD65" s="328">
        <f t="shared" si="3"/>
        <v>222</v>
      </c>
      <c r="AE65" s="622" t="s">
        <v>136</v>
      </c>
      <c r="AF65" s="329">
        <f t="shared" si="4"/>
        <v>752</v>
      </c>
      <c r="AG65" s="622" t="s">
        <v>3644</v>
      </c>
      <c r="AH65" s="329">
        <f t="shared" si="5"/>
        <v>1593</v>
      </c>
    </row>
    <row r="66" spans="1:34" x14ac:dyDescent="0.3">
      <c r="O66" s="623" t="s">
        <v>127</v>
      </c>
      <c r="P66" s="625">
        <f>P65+P53</f>
        <v>262</v>
      </c>
      <c r="Q66" s="623" t="s">
        <v>137</v>
      </c>
      <c r="R66" s="626">
        <f t="shared" si="2"/>
        <v>819</v>
      </c>
      <c r="S66" s="623" t="s">
        <v>3645</v>
      </c>
      <c r="T66" s="626">
        <f t="shared" si="7"/>
        <v>1700</v>
      </c>
      <c r="Y66" s="627">
        <v>24</v>
      </c>
      <c r="Z66" s="467">
        <f t="shared" si="8"/>
        <v>82</v>
      </c>
      <c r="AA66" s="467">
        <f>SUM($Z$44:Z66)</f>
        <v>1123</v>
      </c>
      <c r="AC66" s="622" t="s">
        <v>127</v>
      </c>
      <c r="AD66" s="328">
        <f t="shared" si="3"/>
        <v>262</v>
      </c>
      <c r="AE66" s="622" t="s">
        <v>137</v>
      </c>
      <c r="AF66" s="329">
        <f t="shared" si="4"/>
        <v>819</v>
      </c>
      <c r="AG66" s="622" t="s">
        <v>3645</v>
      </c>
      <c r="AH66" s="329">
        <f t="shared" si="5"/>
        <v>1700</v>
      </c>
    </row>
    <row r="67" spans="1:34" x14ac:dyDescent="0.3">
      <c r="Y67" s="627">
        <v>25</v>
      </c>
      <c r="Z67" s="467">
        <f t="shared" si="8"/>
        <v>86</v>
      </c>
      <c r="AA67" s="467">
        <f>SUM($Z$44:Z67)</f>
        <v>1209</v>
      </c>
    </row>
    <row r="68" spans="1:34" x14ac:dyDescent="0.3">
      <c r="Y68" s="627">
        <v>26</v>
      </c>
      <c r="Z68" s="467">
        <f t="shared" si="8"/>
        <v>90</v>
      </c>
      <c r="AA68" s="467">
        <f>SUM($Z$44:Z68)</f>
        <v>1299</v>
      </c>
    </row>
    <row r="69" spans="1:34" x14ac:dyDescent="0.3">
      <c r="Y69" s="627">
        <v>27</v>
      </c>
      <c r="Z69" s="467">
        <f t="shared" si="8"/>
        <v>94</v>
      </c>
      <c r="AA69" s="467">
        <f>SUM($Z$44:Z69)</f>
        <v>1393</v>
      </c>
    </row>
    <row r="70" spans="1:34" x14ac:dyDescent="0.3">
      <c r="Y70" s="627">
        <v>28</v>
      </c>
      <c r="Z70" s="467">
        <f t="shared" si="8"/>
        <v>98</v>
      </c>
      <c r="AA70" s="467">
        <f>SUM($Z$44:Z70)</f>
        <v>1491</v>
      </c>
    </row>
    <row r="71" spans="1:34" x14ac:dyDescent="0.3">
      <c r="Y71" s="627">
        <v>29</v>
      </c>
      <c r="Z71" s="467">
        <f t="shared" si="8"/>
        <v>102</v>
      </c>
      <c r="AA71" s="467">
        <f>SUM($Z$44:Z71)</f>
        <v>1593</v>
      </c>
    </row>
    <row r="72" spans="1:34" x14ac:dyDescent="0.3">
      <c r="Y72" s="627">
        <v>30</v>
      </c>
      <c r="Z72" s="467">
        <f t="shared" si="8"/>
        <v>107</v>
      </c>
      <c r="AA72" s="467">
        <f>SUM($Z$44:Z72)</f>
        <v>1700</v>
      </c>
    </row>
  </sheetData>
  <mergeCells count="29">
    <mergeCell ref="AF21:AG21"/>
    <mergeCell ref="AF22:AG22"/>
    <mergeCell ref="AF23:AG23"/>
    <mergeCell ref="X33:Y33"/>
    <mergeCell ref="E12:H12"/>
    <mergeCell ref="AD12:AE12"/>
    <mergeCell ref="AB12:AC12"/>
    <mergeCell ref="X32:Y32"/>
    <mergeCell ref="X29:Y29"/>
    <mergeCell ref="X30:Y30"/>
    <mergeCell ref="X31:Y31"/>
    <mergeCell ref="W16:X16"/>
    <mergeCell ref="P12:T12"/>
    <mergeCell ref="A27:B27"/>
    <mergeCell ref="A22:B22"/>
    <mergeCell ref="A23:B23"/>
    <mergeCell ref="F3:H3"/>
    <mergeCell ref="F5:H5"/>
    <mergeCell ref="F4:H4"/>
    <mergeCell ref="F8:H8"/>
    <mergeCell ref="F7:H7"/>
    <mergeCell ref="F6:H6"/>
    <mergeCell ref="F9:H9"/>
    <mergeCell ref="A24:B24"/>
    <mergeCell ref="A25:B25"/>
    <mergeCell ref="A26:B26"/>
    <mergeCell ref="A12:A13"/>
    <mergeCell ref="C12:D12"/>
    <mergeCell ref="B12:B13"/>
  </mergeCells>
  <conditionalFormatting sqref="X12:AA14">
    <cfRule type="cellIs" dxfId="370" priority="2" operator="notEqual">
      <formula>" "</formula>
    </cfRule>
  </conditionalFormatting>
  <conditionalFormatting sqref="AH19">
    <cfRule type="cellIs" dxfId="369" priority="1" operator="notEqual">
      <formula>" "</formula>
    </cfRule>
  </conditionalFormatting>
  <pageMargins left="0.51181102362204722" right="0.31496062992125984" top="0.31496062992125984" bottom="0.39370078740157483" header="0.31496062992125984" footer="0.31496062992125984"/>
  <pageSetup paperSize="9" scale="95" orientation="portrait" horizontalDpi="0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4">
    <tabColor rgb="FF00B050"/>
  </sheetPr>
  <dimension ref="A1:AJ136"/>
  <sheetViews>
    <sheetView topLeftCell="A4" zoomScaleNormal="100" workbookViewId="0">
      <selection activeCell="X19" sqref="X19"/>
    </sheetView>
  </sheetViews>
  <sheetFormatPr defaultRowHeight="14.4" x14ac:dyDescent="0.3"/>
  <cols>
    <col min="1" max="1" width="10.21875" style="34" customWidth="1"/>
    <col min="2" max="2" width="5" style="34" customWidth="1"/>
    <col min="3" max="3" width="5.33203125" style="34" customWidth="1"/>
    <col min="4" max="4" width="3.109375" style="34" customWidth="1"/>
    <col min="5" max="5" width="15" style="34" customWidth="1"/>
    <col min="6" max="6" width="5.109375" style="34" customWidth="1"/>
    <col min="7" max="7" width="4" style="34" customWidth="1"/>
    <col min="8" max="8" width="4.44140625" style="34" customWidth="1"/>
    <col min="9" max="9" width="6.88671875" style="34" customWidth="1"/>
    <col min="10" max="10" width="6.5546875" style="34" customWidth="1"/>
    <col min="11" max="11" width="3.33203125" style="34" customWidth="1"/>
    <col min="12" max="12" width="6.109375" style="34" customWidth="1"/>
    <col min="13" max="13" width="3.6640625" style="34" customWidth="1"/>
    <col min="14" max="14" width="3.33203125" style="34" customWidth="1"/>
    <col min="15" max="15" width="5.5546875" style="34" customWidth="1"/>
    <col min="16" max="16" width="9" style="34" bestFit="1" customWidth="1"/>
    <col min="17" max="17" width="6" style="34" customWidth="1"/>
    <col min="18" max="18" width="0.6640625" customWidth="1"/>
    <col min="19" max="19" width="43.109375" style="34" hidden="1" customWidth="1"/>
    <col min="20" max="20" width="7" style="34" hidden="1" customWidth="1"/>
    <col min="21" max="21" width="40.88671875" style="34" hidden="1" customWidth="1"/>
    <col min="22" max="22" width="7.109375" style="34" hidden="1" customWidth="1"/>
    <col min="23" max="23" width="0.6640625" customWidth="1"/>
    <col min="28" max="28" width="13" customWidth="1"/>
    <col min="29" max="29" width="5.5546875" customWidth="1"/>
    <col min="30" max="30" width="8.109375" customWidth="1"/>
    <col min="31" max="31" width="14.33203125" customWidth="1"/>
    <col min="33" max="33" width="11.109375" bestFit="1" customWidth="1"/>
    <col min="36" max="36" width="10.109375" customWidth="1"/>
  </cols>
  <sheetData>
    <row r="1" spans="1:36" ht="31.2" customHeight="1" thickBot="1" x14ac:dyDescent="0.35">
      <c r="Y1" s="1" t="s">
        <v>2908</v>
      </c>
    </row>
    <row r="2" spans="1:36" ht="15.75" customHeight="1" thickTop="1" x14ac:dyDescent="0.3">
      <c r="A2" s="1042" t="s">
        <v>585</v>
      </c>
      <c r="B2" s="1474">
        <f>'2-Vzhled a charakter'!B3</f>
        <v>0</v>
      </c>
      <c r="C2" s="1474"/>
      <c r="D2" s="1474"/>
      <c r="E2" s="1474"/>
      <c r="F2" s="1474"/>
      <c r="G2" s="1474"/>
      <c r="H2" s="1474"/>
      <c r="I2" s="1050" t="s">
        <v>25</v>
      </c>
      <c r="J2" s="1041"/>
      <c r="K2" s="1475" t="str">
        <f>'2-Vzhled a charakter'!H4</f>
        <v>Tulák</v>
      </c>
      <c r="L2" s="1475"/>
      <c r="M2" s="1475"/>
      <c r="N2" s="1072">
        <f>'2-Vzhled a charakter'!L4</f>
        <v>4</v>
      </c>
      <c r="O2" s="1043" t="s">
        <v>234</v>
      </c>
      <c r="P2" s="1044"/>
      <c r="Q2" s="1045">
        <f>'1-Vlastnosti'!S2</f>
        <v>4</v>
      </c>
      <c r="S2" s="1469" t="s">
        <v>565</v>
      </c>
      <c r="T2" s="1469"/>
      <c r="U2" s="1469"/>
      <c r="V2" s="1469"/>
      <c r="W2" s="55"/>
      <c r="AB2" s="29" t="s">
        <v>46</v>
      </c>
      <c r="AC2" s="29"/>
      <c r="AD2" s="29"/>
      <c r="AE2" s="29"/>
      <c r="AG2" s="29" t="s">
        <v>46</v>
      </c>
    </row>
    <row r="3" spans="1:36" ht="16.8" customHeight="1" thickBot="1" x14ac:dyDescent="0.35">
      <c r="A3" s="1046" t="s">
        <v>24</v>
      </c>
      <c r="B3" s="1473" t="str">
        <f>'2-Vzhled a charakter'!B2</f>
        <v>Trpaslík</v>
      </c>
      <c r="C3" s="1473"/>
      <c r="D3" s="1473"/>
      <c r="E3" s="1051" t="s">
        <v>40</v>
      </c>
      <c r="F3" s="1473" t="str">
        <f>'2-Vzhled a charakter'!B5</f>
        <v>Neutrál</v>
      </c>
      <c r="G3" s="1473"/>
      <c r="H3" s="1473"/>
      <c r="I3" s="1477"/>
      <c r="J3" s="1073" t="s">
        <v>1065</v>
      </c>
      <c r="K3" s="1476">
        <f>'2-Vzhled a charakter'!H5</f>
        <v>0</v>
      </c>
      <c r="L3" s="1476"/>
      <c r="M3" s="1476"/>
      <c r="N3" s="1074">
        <f>'2-Vzhled a charakter'!L5</f>
        <v>0</v>
      </c>
      <c r="O3" s="1047" t="s">
        <v>420</v>
      </c>
      <c r="P3" s="1048"/>
      <c r="Q3" s="1049">
        <f>'2-Vzhled a charakter'!E6</f>
        <v>0</v>
      </c>
      <c r="AB3" s="424" t="s">
        <v>194</v>
      </c>
      <c r="AG3" s="424" t="s">
        <v>194</v>
      </c>
    </row>
    <row r="4" spans="1:36" ht="5.4" customHeight="1" thickTop="1" x14ac:dyDescent="0.3">
      <c r="A4" s="189"/>
      <c r="B4" s="1038"/>
      <c r="C4" s="1038"/>
      <c r="D4" s="1038"/>
      <c r="E4" s="189"/>
      <c r="F4" s="1038"/>
      <c r="G4" s="1038"/>
      <c r="H4" s="1038"/>
      <c r="I4" s="189"/>
      <c r="K4" s="1039"/>
      <c r="L4" s="1039"/>
      <c r="M4" s="1039"/>
      <c r="N4" s="1040"/>
      <c r="O4" s="183"/>
      <c r="P4"/>
      <c r="Q4"/>
      <c r="AB4" s="424" t="s">
        <v>158</v>
      </c>
      <c r="AG4" s="424" t="s">
        <v>158</v>
      </c>
    </row>
    <row r="5" spans="1:36" ht="12" customHeight="1" x14ac:dyDescent="0.3">
      <c r="A5" s="1052" t="s">
        <v>4987</v>
      </c>
      <c r="B5" s="1052" t="s">
        <v>2</v>
      </c>
      <c r="C5" s="1052" t="s">
        <v>4984</v>
      </c>
      <c r="E5" s="1052" t="s">
        <v>566</v>
      </c>
      <c r="F5" s="1054" t="s">
        <v>4984</v>
      </c>
      <c r="H5" s="1054" t="s">
        <v>1354</v>
      </c>
      <c r="M5"/>
      <c r="P5" s="1052" t="s">
        <v>4986</v>
      </c>
      <c r="Q5" s="1052" t="s">
        <v>1156</v>
      </c>
      <c r="S5" s="1450" t="s">
        <v>567</v>
      </c>
      <c r="T5" s="1450"/>
      <c r="U5" s="1450"/>
      <c r="V5" s="1450"/>
      <c r="AB5" s="424" t="s">
        <v>86</v>
      </c>
      <c r="AG5" s="424" t="s">
        <v>86</v>
      </c>
      <c r="AH5" s="29"/>
      <c r="AI5" s="29"/>
      <c r="AJ5" s="29"/>
    </row>
    <row r="6" spans="1:36" ht="12" customHeight="1" x14ac:dyDescent="0.3">
      <c r="A6" s="1053" t="s">
        <v>0</v>
      </c>
      <c r="B6" s="170">
        <f>'1-Vlastnosti'!C4</f>
        <v>7</v>
      </c>
      <c r="C6" s="1066">
        <f>'1-Vlastnosti'!D4</f>
        <v>-2</v>
      </c>
      <c r="E6" s="167" t="s">
        <v>21</v>
      </c>
      <c r="F6" s="169">
        <f>'1-Vlastnosti'!D20</f>
        <v>-5</v>
      </c>
      <c r="H6" s="1062">
        <f>'1-Vlastnosti'!N23</f>
        <v>-6</v>
      </c>
      <c r="P6" s="1058" t="s">
        <v>4985</v>
      </c>
      <c r="Q6" s="1061">
        <f>'1-Vlastnosti'!S3</f>
        <v>16</v>
      </c>
      <c r="S6" s="167"/>
      <c r="T6" s="170"/>
      <c r="U6" s="167"/>
      <c r="V6" s="170"/>
      <c r="AB6" s="424" t="s">
        <v>85</v>
      </c>
      <c r="AG6" s="424" t="s">
        <v>85</v>
      </c>
    </row>
    <row r="7" spans="1:36" ht="12" customHeight="1" x14ac:dyDescent="0.3">
      <c r="A7" s="1053" t="s">
        <v>4</v>
      </c>
      <c r="B7" s="170">
        <f>'1-Vlastnosti'!C5</f>
        <v>3</v>
      </c>
      <c r="C7" s="1069">
        <f>'1-Vlastnosti'!F5</f>
        <v>-6</v>
      </c>
      <c r="E7" s="167" t="s">
        <v>22</v>
      </c>
      <c r="F7" s="169">
        <f>'1-Vlastnosti'!D21</f>
        <v>-2</v>
      </c>
      <c r="H7" s="1054" t="s">
        <v>301</v>
      </c>
      <c r="P7" s="1055" t="s">
        <v>306</v>
      </c>
      <c r="Q7" s="555">
        <f>'1-Vlastnosti'!U3</f>
        <v>3</v>
      </c>
      <c r="S7" s="167"/>
      <c r="T7" s="170"/>
      <c r="U7" s="167"/>
      <c r="V7" s="170"/>
      <c r="AB7" s="424" t="s">
        <v>84</v>
      </c>
      <c r="AG7" s="424" t="s">
        <v>84</v>
      </c>
    </row>
    <row r="8" spans="1:36" ht="12" customHeight="1" x14ac:dyDescent="0.3">
      <c r="A8" s="1053" t="s">
        <v>5</v>
      </c>
      <c r="B8" s="170">
        <f>'1-Vlastnosti'!C6</f>
        <v>6</v>
      </c>
      <c r="C8" s="1068">
        <f>'1-Vlastnosti'!D6</f>
        <v>-2</v>
      </c>
      <c r="E8" s="167" t="s">
        <v>23</v>
      </c>
      <c r="F8" s="169">
        <f>'1-Vlastnosti'!D22</f>
        <v>-2</v>
      </c>
      <c r="H8" s="1063">
        <f>'1-Vlastnosti'!C16</f>
        <v>-1</v>
      </c>
      <c r="P8" s="1059" t="s">
        <v>568</v>
      </c>
      <c r="Q8" s="1060">
        <f>IF('1-Vlastnosti'!T6=0,'1-Vlastnosti'!T8,'1-Vlastnosti'!T6)</f>
        <v>0</v>
      </c>
      <c r="S8" s="167"/>
      <c r="T8" s="170"/>
      <c r="U8" s="167"/>
      <c r="V8" s="170"/>
      <c r="AB8" s="424" t="s">
        <v>83</v>
      </c>
      <c r="AG8" s="424" t="s">
        <v>83</v>
      </c>
    </row>
    <row r="9" spans="1:36" ht="12" customHeight="1" x14ac:dyDescent="0.3">
      <c r="A9" s="1053" t="s">
        <v>6</v>
      </c>
      <c r="B9" s="170">
        <f>'1-Vlastnosti'!C7</f>
        <v>7</v>
      </c>
      <c r="C9" s="1070">
        <f>'1-Vlastnosti'!D7</f>
        <v>-2</v>
      </c>
      <c r="M9"/>
      <c r="N9"/>
      <c r="P9" s="1056" t="s">
        <v>3093</v>
      </c>
      <c r="Q9" s="1057">
        <f>IF('1-Vlastnosti'!T6=0,'1-Vlastnosti'!T7,'1-Vlastnosti'!T8)</f>
        <v>0</v>
      </c>
      <c r="T9" s="170"/>
      <c r="U9" s="167"/>
      <c r="V9" s="170"/>
      <c r="AB9" s="424" t="s">
        <v>4892</v>
      </c>
      <c r="AG9" s="424" t="s">
        <v>4892</v>
      </c>
    </row>
    <row r="10" spans="1:36" ht="12" customHeight="1" x14ac:dyDescent="0.3">
      <c r="A10" s="1053" t="s">
        <v>7</v>
      </c>
      <c r="B10" s="170">
        <f>'1-Vlastnosti'!C8</f>
        <v>2</v>
      </c>
      <c r="C10" s="1067">
        <f>'1-Vlastnosti'!D8</f>
        <v>-4</v>
      </c>
      <c r="E10" s="1052" t="s">
        <v>4989</v>
      </c>
      <c r="F10" s="1054" t="s">
        <v>81</v>
      </c>
      <c r="G10" s="1054" t="s">
        <v>570</v>
      </c>
      <c r="H10" s="1054" t="s">
        <v>33</v>
      </c>
      <c r="M10"/>
      <c r="N10"/>
      <c r="S10" s="167"/>
      <c r="T10" s="170"/>
      <c r="U10" s="167"/>
      <c r="V10" s="170"/>
    </row>
    <row r="11" spans="1:36" ht="12" customHeight="1" x14ac:dyDescent="0.3">
      <c r="A11" s="1053" t="s">
        <v>8</v>
      </c>
      <c r="B11" s="170">
        <f>'1-Vlastnosti'!C9</f>
        <v>1</v>
      </c>
      <c r="C11" s="1071">
        <f>'1-Vlastnosti'!D9</f>
        <v>-5</v>
      </c>
      <c r="E11" s="167">
        <f>'1-Vlastnosti'!C39</f>
        <v>0</v>
      </c>
      <c r="F11" s="415" t="str">
        <f>CONCATENATE(TEXT('1-Vlastnosti'!D48,"0"),"/",TEXT('1-Vlastnosti'!E48,0))</f>
        <v>-6/-2</v>
      </c>
      <c r="G11" s="169">
        <f>'1-Vlastnosti'!F48</f>
        <v>-8</v>
      </c>
      <c r="H11" s="415">
        <f>'1-Vlastnosti'!C48</f>
        <v>-5</v>
      </c>
      <c r="J11" s="1065" t="s">
        <v>4996</v>
      </c>
      <c r="P11" s="1052" t="s">
        <v>4986</v>
      </c>
      <c r="Q11" s="1052" t="s">
        <v>246</v>
      </c>
      <c r="S11" s="167"/>
      <c r="T11" s="170"/>
      <c r="U11" s="167"/>
      <c r="V11" s="170"/>
      <c r="AB11" s="807" t="s">
        <v>1201</v>
      </c>
      <c r="AC11" s="359" t="s">
        <v>1196</v>
      </c>
      <c r="AD11" s="359" t="s">
        <v>46</v>
      </c>
      <c r="AE11" s="359" t="s">
        <v>3002</v>
      </c>
      <c r="AG11" s="915" t="s">
        <v>1201</v>
      </c>
      <c r="AH11" s="359" t="s">
        <v>1196</v>
      </c>
      <c r="AI11" s="359" t="s">
        <v>46</v>
      </c>
      <c r="AJ11" s="359" t="s">
        <v>3002</v>
      </c>
    </row>
    <row r="12" spans="1:36" ht="12" customHeight="1" x14ac:dyDescent="0.3">
      <c r="E12" s="167" t="str">
        <f>CONCATENATE(COPY_Zbran2A," a ",COPY_Zbran2B)</f>
        <v xml:space="preserve"> a </v>
      </c>
      <c r="F12" s="415" t="str">
        <f>CONCATENATE(TEXT('1-Vlastnosti'!K48,0)," / ",TEXT('1-Vlastnosti'!L48,0))</f>
        <v>-6 / -2</v>
      </c>
      <c r="G12" s="169">
        <f>'1-Vlastnosti'!M48</f>
        <v>-8</v>
      </c>
      <c r="H12" s="415">
        <f>'1-Vlastnosti'!J48</f>
        <v>-5</v>
      </c>
      <c r="I12"/>
      <c r="J12"/>
      <c r="K12"/>
      <c r="L12"/>
      <c r="M12"/>
      <c r="N12"/>
      <c r="O12"/>
      <c r="P12" s="167" t="s">
        <v>4990</v>
      </c>
      <c r="Q12" s="169">
        <f>'1-Vlastnosti'!O3</f>
        <v>-5</v>
      </c>
      <c r="S12" s="167"/>
      <c r="T12" s="170"/>
      <c r="U12" s="167"/>
      <c r="V12" s="170"/>
      <c r="AB12" s="537"/>
      <c r="AC12" s="920"/>
      <c r="AD12" s="157"/>
      <c r="AE12" s="446"/>
      <c r="AG12" s="1036" t="s">
        <v>1207</v>
      </c>
      <c r="AH12" s="364" t="s">
        <v>175</v>
      </c>
      <c r="AI12" s="157" t="s">
        <v>84</v>
      </c>
      <c r="AJ12" s="809">
        <v>-2</v>
      </c>
    </row>
    <row r="13" spans="1:36" ht="12" customHeight="1" x14ac:dyDescent="0.3">
      <c r="A13" s="1052" t="s">
        <v>4988</v>
      </c>
      <c r="B13" s="1052" t="s">
        <v>2</v>
      </c>
      <c r="C13" s="1052" t="s">
        <v>4984</v>
      </c>
      <c r="E13" s="167">
        <f>COPY_Zbran3</f>
        <v>0</v>
      </c>
      <c r="F13" s="415" t="str">
        <f>CONCATENATE(TEXT('1-Vlastnosti'!R48,0)," / ",TEXT('1-Vlastnosti'!S48,0))</f>
        <v>-6 / -2</v>
      </c>
      <c r="G13" s="169">
        <f>'1-Vlastnosti'!T48</f>
        <v>-8</v>
      </c>
      <c r="H13" s="415">
        <f>'1-Vlastnosti'!Q48</f>
        <v>-5</v>
      </c>
      <c r="I13"/>
      <c r="J13"/>
      <c r="K13"/>
      <c r="L13"/>
      <c r="M13"/>
      <c r="N13"/>
      <c r="O13"/>
      <c r="P13" s="167" t="s">
        <v>4991</v>
      </c>
      <c r="Q13" s="169">
        <f>'6-Kouzla'!O2</f>
        <v>-5</v>
      </c>
      <c r="S13" s="171"/>
      <c r="T13" s="172"/>
      <c r="U13" s="171"/>
      <c r="V13" s="172"/>
      <c r="AB13" s="537"/>
      <c r="AC13" s="920"/>
      <c r="AD13" s="157"/>
      <c r="AE13" s="446"/>
      <c r="AG13" s="1035"/>
      <c r="AH13" s="229"/>
      <c r="AI13" s="157"/>
      <c r="AJ13" s="914"/>
    </row>
    <row r="14" spans="1:36" ht="12" customHeight="1" x14ac:dyDescent="0.3">
      <c r="A14" s="167" t="s">
        <v>9</v>
      </c>
      <c r="B14" s="169">
        <f>'1-Vlastnosti'!C12</f>
        <v>8</v>
      </c>
      <c r="C14" s="169">
        <f>'1-Vlastnosti'!D12</f>
        <v>-1</v>
      </c>
      <c r="I14"/>
      <c r="J14"/>
      <c r="K14"/>
      <c r="L14"/>
      <c r="M14"/>
      <c r="N14"/>
      <c r="O14"/>
      <c r="P14" s="167" t="s">
        <v>4993</v>
      </c>
      <c r="Q14" s="567">
        <f>'1-Vlastnosti'!F13</f>
        <v>-1</v>
      </c>
      <c r="S14" s="173" t="s">
        <v>572</v>
      </c>
      <c r="T14" s="174"/>
      <c r="U14" s="173" t="s">
        <v>466</v>
      </c>
      <c r="V14" s="174"/>
      <c r="AB14" s="537"/>
      <c r="AC14" s="814"/>
      <c r="AD14" s="229"/>
      <c r="AE14" s="157"/>
      <c r="AG14" s="1035"/>
      <c r="AH14" s="229"/>
      <c r="AI14" s="157"/>
      <c r="AJ14" s="914"/>
    </row>
    <row r="15" spans="1:36" ht="12" customHeight="1" x14ac:dyDescent="0.3">
      <c r="A15" s="167" t="s">
        <v>10</v>
      </c>
      <c r="B15" s="169">
        <f>'1-Vlastnosti'!C14</f>
        <v>6</v>
      </c>
      <c r="C15" s="169">
        <f>'1-Vlastnosti'!D14</f>
        <v>-2</v>
      </c>
      <c r="E15" s="1471" t="s">
        <v>517</v>
      </c>
      <c r="F15" s="1472"/>
      <c r="G15" s="1472"/>
      <c r="I15"/>
      <c r="J15"/>
      <c r="K15"/>
      <c r="L15"/>
      <c r="M15"/>
      <c r="N15"/>
      <c r="O15"/>
      <c r="P15" s="167" t="s">
        <v>4994</v>
      </c>
      <c r="Q15" s="169">
        <f>'1-Vlastnosti'!D13</f>
        <v>-5</v>
      </c>
      <c r="S15" s="167"/>
      <c r="T15" s="170"/>
      <c r="U15" s="167"/>
      <c r="V15" s="170"/>
      <c r="AB15" s="537"/>
      <c r="AC15" s="815"/>
      <c r="AD15" s="229"/>
      <c r="AE15" s="157"/>
      <c r="AG15" s="1036"/>
      <c r="AH15" s="364"/>
      <c r="AI15" s="157"/>
      <c r="AJ15" s="809"/>
    </row>
    <row r="16" spans="1:36" ht="12" customHeight="1" x14ac:dyDescent="0.3">
      <c r="A16" s="167" t="s">
        <v>11</v>
      </c>
      <c r="B16" s="169">
        <f>'1-Vlastnosti'!C15</f>
        <v>5</v>
      </c>
      <c r="C16" s="169">
        <f>'1-Vlastnosti'!D15</f>
        <v>-3</v>
      </c>
      <c r="E16" s="167" t="str">
        <f>'2-Vzhled a charakter'!A25</f>
        <v>Zbroj kožená</v>
      </c>
      <c r="F16" s="167" t="s">
        <v>18</v>
      </c>
      <c r="G16" s="169">
        <f>'1-Vlastnosti'!M11</f>
        <v>3</v>
      </c>
      <c r="I16"/>
      <c r="J16"/>
      <c r="K16"/>
      <c r="L16"/>
      <c r="M16"/>
      <c r="N16"/>
      <c r="O16"/>
      <c r="P16" s="1064" t="s">
        <v>2911</v>
      </c>
      <c r="Q16" s="567">
        <f>LOOKUP($P$16,'6-Kouzla'!$A$74:$A$78,'6-Kouzla'!$T$74:$T$78)</f>
        <v>-9</v>
      </c>
      <c r="S16" s="167"/>
      <c r="T16" s="170"/>
      <c r="U16" s="167"/>
      <c r="V16" s="170"/>
      <c r="AB16" s="537"/>
      <c r="AC16" s="815"/>
      <c r="AD16" s="229"/>
      <c r="AE16" s="157"/>
      <c r="AG16" s="537"/>
      <c r="AH16" s="815"/>
      <c r="AI16" s="229"/>
      <c r="AJ16" s="157"/>
    </row>
    <row r="17" spans="1:36" ht="12" customHeight="1" x14ac:dyDescent="0.3">
      <c r="A17" s="167" t="s">
        <v>12</v>
      </c>
      <c r="B17" s="169">
        <f>'1-Vlastnosti'!C17</f>
        <v>5</v>
      </c>
      <c r="C17" s="169">
        <f>'1-Vlastnosti'!D17</f>
        <v>-3</v>
      </c>
      <c r="E17" s="167">
        <f>'2-Vzhled a charakter'!A27</f>
        <v>0</v>
      </c>
      <c r="F17" s="167" t="s">
        <v>17</v>
      </c>
      <c r="G17" s="169">
        <f>'1-Vlastnosti'!M12</f>
        <v>0</v>
      </c>
      <c r="I17"/>
      <c r="J17"/>
      <c r="K17"/>
      <c r="L17"/>
      <c r="M17"/>
      <c r="N17"/>
      <c r="O17"/>
      <c r="P17" s="167" t="s">
        <v>1125</v>
      </c>
      <c r="Q17" s="169">
        <f>'1-Vlastnosti'!H12</f>
        <v>0</v>
      </c>
      <c r="S17" s="167"/>
      <c r="T17" s="170"/>
      <c r="U17" s="167"/>
      <c r="V17" s="170"/>
      <c r="AB17" s="537"/>
      <c r="AC17" s="815"/>
      <c r="AD17" s="229"/>
      <c r="AE17" s="157"/>
      <c r="AG17" s="537"/>
      <c r="AH17" s="815"/>
      <c r="AI17" s="229"/>
      <c r="AJ17" s="157"/>
    </row>
    <row r="18" spans="1:36" ht="12" customHeight="1" x14ac:dyDescent="0.3">
      <c r="A18" s="1470" t="str">
        <f>CONCATENATE('1-Vlastnosti'!H22," +1")</f>
        <v>Hmat +1</v>
      </c>
      <c r="B18" s="1470"/>
      <c r="C18" s="1470"/>
      <c r="E18" s="167">
        <f>'2-Vzhled a charakter'!A28</f>
        <v>0</v>
      </c>
      <c r="F18" s="167" t="s">
        <v>20</v>
      </c>
      <c r="G18" s="169">
        <f>'1-Vlastnosti'!M13</f>
        <v>0</v>
      </c>
      <c r="I18"/>
      <c r="J18"/>
      <c r="K18"/>
      <c r="L18"/>
      <c r="M18"/>
      <c r="N18"/>
      <c r="O18"/>
      <c r="P18" s="167" t="s">
        <v>1126</v>
      </c>
      <c r="Q18" s="169">
        <f>'1-Vlastnosti'!H13</f>
        <v>-3</v>
      </c>
      <c r="S18" s="167"/>
      <c r="T18" s="170"/>
      <c r="U18" s="167"/>
      <c r="V18" s="170"/>
      <c r="AB18" s="537"/>
      <c r="AC18" s="814"/>
      <c r="AD18" s="229"/>
      <c r="AE18" s="157"/>
      <c r="AG18" s="537"/>
      <c r="AH18" s="814"/>
      <c r="AI18" s="229"/>
      <c r="AJ18" s="157"/>
    </row>
    <row r="19" spans="1:36" ht="12" customHeight="1" x14ac:dyDescent="0.3">
      <c r="A19" s="1439" t="s">
        <v>4992</v>
      </c>
      <c r="B19" s="1441"/>
      <c r="C19" s="169">
        <f>'1-Vlastnosti'!D19</f>
        <v>4</v>
      </c>
      <c r="E19" s="167">
        <f>'2-Vzhled a charakter'!A29</f>
        <v>0</v>
      </c>
      <c r="F19" s="167" t="s">
        <v>19</v>
      </c>
      <c r="G19" s="169">
        <f>'1-Vlastnosti'!M14</f>
        <v>0</v>
      </c>
      <c r="I19"/>
      <c r="J19"/>
      <c r="K19"/>
      <c r="L19"/>
      <c r="M19"/>
      <c r="N19"/>
      <c r="O19"/>
      <c r="P19" s="1037" t="s">
        <v>1264</v>
      </c>
      <c r="Q19" s="170" t="str">
        <f>'2-Vzhled a charakter'!P16</f>
        <v>B</v>
      </c>
      <c r="S19" s="167"/>
      <c r="T19" s="170"/>
      <c r="U19" s="167"/>
      <c r="V19" s="170"/>
      <c r="AB19" s="537"/>
      <c r="AC19" s="814"/>
      <c r="AD19" s="229"/>
      <c r="AE19" s="157"/>
      <c r="AG19" s="537"/>
      <c r="AH19" s="816"/>
      <c r="AI19" s="229"/>
      <c r="AJ19" s="157"/>
    </row>
    <row r="20" spans="1:36" ht="5.4" customHeight="1" x14ac:dyDescent="0.3">
      <c r="H20" s="171"/>
      <c r="S20" s="167"/>
      <c r="T20" s="170"/>
      <c r="U20" s="167"/>
      <c r="V20" s="170"/>
      <c r="AB20" s="537"/>
      <c r="AC20" s="814"/>
      <c r="AD20" s="229"/>
      <c r="AE20" s="157"/>
      <c r="AG20" s="537"/>
      <c r="AH20" s="817"/>
      <c r="AI20" s="229"/>
      <c r="AJ20" s="157"/>
    </row>
    <row r="21" spans="1:36" ht="12" customHeight="1" x14ac:dyDescent="0.3">
      <c r="A21" s="1478" t="s">
        <v>1355</v>
      </c>
      <c r="B21" s="1479"/>
      <c r="C21" s="1479"/>
      <c r="D21" s="1479"/>
      <c r="E21" s="1054" t="s">
        <v>319</v>
      </c>
      <c r="F21" s="1480" t="s">
        <v>700</v>
      </c>
      <c r="G21" s="1472"/>
      <c r="H21" s="175"/>
      <c r="I21" s="1471" t="s">
        <v>290</v>
      </c>
      <c r="J21" s="1472"/>
      <c r="K21" s="1472"/>
      <c r="L21" s="1472"/>
      <c r="M21" s="1472"/>
      <c r="N21" s="1472"/>
      <c r="O21" s="1052" t="s">
        <v>708</v>
      </c>
      <c r="P21" s="1052" t="s">
        <v>46</v>
      </c>
      <c r="Q21" s="1052" t="s">
        <v>163</v>
      </c>
      <c r="S21" s="167"/>
      <c r="T21" s="170"/>
      <c r="U21" s="167"/>
      <c r="V21" s="170"/>
      <c r="AB21" s="537"/>
      <c r="AC21" s="814"/>
      <c r="AD21" s="229"/>
      <c r="AE21" s="157"/>
      <c r="AG21" s="537"/>
      <c r="AH21" s="229"/>
      <c r="AI21" s="229"/>
      <c r="AJ21" s="157"/>
    </row>
    <row r="22" spans="1:36" ht="12" customHeight="1" x14ac:dyDescent="0.3">
      <c r="A22" s="1446" t="str">
        <f>IF('3-Schopnosti'!A3=0," ",'3-Schopnosti'!A3)</f>
        <v>BM: Střeh</v>
      </c>
      <c r="B22" s="1447"/>
      <c r="C22" s="1447"/>
      <c r="D22" s="1447"/>
      <c r="E22" s="414" t="str">
        <f>IF('3-Schopnosti'!C3=0," ",'3-Schopnosti'!C3)</f>
        <v>X</v>
      </c>
      <c r="F22" s="1452" t="str">
        <f>IF('3-Schopnosti'!B3=0," ",'3-Schopnosti'!B3)</f>
        <v xml:space="preserve"> </v>
      </c>
      <c r="G22" s="1453"/>
      <c r="H22" s="175"/>
      <c r="I22" s="1443" t="str">
        <f>IF(AB12=0," ",AB12)</f>
        <v xml:space="preserve"> </v>
      </c>
      <c r="J22" s="1444"/>
      <c r="K22" s="1444"/>
      <c r="L22" s="1444"/>
      <c r="M22" s="1444"/>
      <c r="N22" s="1445"/>
      <c r="O22" s="534" t="str">
        <f>IF(AE12=0," ",AE12)</f>
        <v xml:space="preserve"> </v>
      </c>
      <c r="P22" s="534" t="str">
        <f>IF(AD12=0," ",AD12)</f>
        <v xml:space="preserve"> </v>
      </c>
      <c r="Q22" s="180" t="str">
        <f>IF(AC12=0," ",AC12)</f>
        <v xml:space="preserve"> </v>
      </c>
      <c r="S22" s="167"/>
      <c r="T22" s="170"/>
      <c r="U22" s="167"/>
      <c r="V22" s="170"/>
      <c r="AB22" s="537"/>
      <c r="AC22" s="814"/>
      <c r="AD22" s="229"/>
      <c r="AE22" s="157"/>
      <c r="AG22" s="537"/>
      <c r="AH22" s="816"/>
      <c r="AI22" s="229"/>
      <c r="AJ22" s="157"/>
    </row>
    <row r="23" spans="1:36" ht="12" customHeight="1" x14ac:dyDescent="0.3">
      <c r="A23" s="1446" t="str">
        <f>IF('3-Schopnosti'!A4=0," ",'3-Schopnosti'!A4)</f>
        <v>BM: Cílený výpad</v>
      </c>
      <c r="B23" s="1447"/>
      <c r="C23" s="1447"/>
      <c r="D23" s="1447"/>
      <c r="E23" s="532" t="str">
        <f>IF('3-Schopnosti'!C4=0," ",'3-Schopnosti'!C4)</f>
        <v>X</v>
      </c>
      <c r="F23" s="1452" t="str">
        <f>IF('3-Schopnosti'!B4=0," ",'3-Schopnosti'!B4)</f>
        <v xml:space="preserve"> </v>
      </c>
      <c r="G23" s="1453"/>
      <c r="H23" s="175"/>
      <c r="I23" s="1443" t="str">
        <f>IF(AB13=0," ",AB13)</f>
        <v xml:space="preserve"> </v>
      </c>
      <c r="J23" s="1444"/>
      <c r="K23" s="1444"/>
      <c r="L23" s="1444"/>
      <c r="M23" s="1444"/>
      <c r="N23" s="1445"/>
      <c r="O23" s="534" t="str">
        <f>IF(AE13=0," ",AE13)</f>
        <v xml:space="preserve"> </v>
      </c>
      <c r="P23" s="534" t="str">
        <f>IF(AD13=0," ",AD13)</f>
        <v xml:space="preserve"> </v>
      </c>
      <c r="Q23" s="180" t="str">
        <f>IF(AC13=0," ",AC13)</f>
        <v xml:space="preserve"> </v>
      </c>
      <c r="S23" s="167"/>
      <c r="T23" s="170"/>
      <c r="U23" s="167"/>
      <c r="V23" s="170"/>
      <c r="AB23" s="537"/>
      <c r="AC23" s="229"/>
      <c r="AD23" s="229"/>
      <c r="AE23" s="157"/>
      <c r="AG23" s="537"/>
      <c r="AH23" s="229"/>
      <c r="AI23" s="229"/>
      <c r="AJ23" s="157"/>
    </row>
    <row r="24" spans="1:36" ht="12" customHeight="1" x14ac:dyDescent="0.3">
      <c r="A24" s="1446" t="str">
        <f>IF('3-Schopnosti'!A5=0," ",'3-Schopnosti'!A5)</f>
        <v>BM: Kryt</v>
      </c>
      <c r="B24" s="1447"/>
      <c r="C24" s="1447"/>
      <c r="D24" s="1447"/>
      <c r="E24" s="532" t="str">
        <f>IF('3-Schopnosti'!C5=0," ",'3-Schopnosti'!C5)</f>
        <v>X</v>
      </c>
      <c r="F24" s="1452" t="str">
        <f>IF('3-Schopnosti'!B5=0," ",'3-Schopnosti'!B5)</f>
        <v xml:space="preserve"> </v>
      </c>
      <c r="G24" s="1453"/>
      <c r="H24" s="175"/>
      <c r="I24" s="1443" t="str">
        <f>IF(AB14=0," ",AB14)</f>
        <v xml:space="preserve"> </v>
      </c>
      <c r="J24" s="1444"/>
      <c r="K24" s="1444"/>
      <c r="L24" s="1444"/>
      <c r="M24" s="1444"/>
      <c r="N24" s="1445"/>
      <c r="O24" s="534" t="str">
        <f>IF(AE14=0," ",AE14)</f>
        <v xml:space="preserve"> </v>
      </c>
      <c r="P24" s="534" t="str">
        <f>IF(AD14=0," ",AD14)</f>
        <v xml:space="preserve"> </v>
      </c>
      <c r="Q24" s="180" t="str">
        <f>IF(AC14=0," ",AC14)</f>
        <v xml:space="preserve"> </v>
      </c>
      <c r="S24" s="167"/>
      <c r="T24" s="170"/>
      <c r="U24" s="167"/>
      <c r="V24" s="170"/>
      <c r="AB24" s="537"/>
      <c r="AC24" s="816"/>
      <c r="AD24" s="229"/>
      <c r="AE24" s="157"/>
      <c r="AG24" s="537"/>
      <c r="AH24" s="814"/>
      <c r="AI24" s="229"/>
      <c r="AJ24" s="157"/>
    </row>
    <row r="25" spans="1:36" ht="12" customHeight="1" x14ac:dyDescent="0.3">
      <c r="A25" s="1446" t="str">
        <f>IF('3-Schopnosti'!A6=0," ",'3-Schopnosti'!A6)</f>
        <v>Čerpání z lesů</v>
      </c>
      <c r="B25" s="1447"/>
      <c r="C25" s="1447"/>
      <c r="D25" s="1447"/>
      <c r="E25" s="532" t="str">
        <f>IF('3-Schopnosti'!C6=0," ",'3-Schopnosti'!C6)</f>
        <v>X</v>
      </c>
      <c r="F25" s="1452" t="str">
        <f>IF('3-Schopnosti'!B6=0," ",'3-Schopnosti'!B6)</f>
        <v xml:space="preserve"> </v>
      </c>
      <c r="G25" s="1453"/>
      <c r="H25" s="175"/>
      <c r="I25" s="1443" t="str">
        <f>IF(AB15=0," ",AB15)</f>
        <v xml:space="preserve"> </v>
      </c>
      <c r="J25" s="1444"/>
      <c r="K25" s="1444"/>
      <c r="L25" s="1444"/>
      <c r="M25" s="1444"/>
      <c r="N25" s="1445"/>
      <c r="O25" s="534" t="str">
        <f>IF(AE15=0," ",AE15)</f>
        <v xml:space="preserve"> </v>
      </c>
      <c r="P25" s="534" t="str">
        <f>IF(AD15=0," ",AD15)</f>
        <v xml:space="preserve"> </v>
      </c>
      <c r="Q25" s="180" t="str">
        <f>IF(AC15=0," ",AC15)</f>
        <v xml:space="preserve"> </v>
      </c>
      <c r="S25" s="167"/>
      <c r="T25" s="170"/>
      <c r="U25" s="167"/>
      <c r="V25" s="170"/>
      <c r="AB25" s="537"/>
      <c r="AC25" s="816"/>
      <c r="AD25" s="229"/>
      <c r="AE25" s="157"/>
      <c r="AG25" s="537"/>
      <c r="AH25" s="815"/>
      <c r="AI25" s="229"/>
      <c r="AJ25" s="157"/>
    </row>
    <row r="26" spans="1:36" ht="12" customHeight="1" x14ac:dyDescent="0.3">
      <c r="A26" s="1446" t="str">
        <f>IF('3-Schopnosti'!A7=0," ",'3-Schopnosti'!A7)</f>
        <v>Čerpání z rostlin</v>
      </c>
      <c r="B26" s="1447"/>
      <c r="C26" s="1447"/>
      <c r="D26" s="1447"/>
      <c r="E26" s="532" t="str">
        <f>IF('3-Schopnosti'!C7=0," ",'3-Schopnosti'!C7)</f>
        <v>X</v>
      </c>
      <c r="F26" s="1452" t="str">
        <f>IF('3-Schopnosti'!B7=0," ",'3-Schopnosti'!B7)</f>
        <v xml:space="preserve"> </v>
      </c>
      <c r="G26" s="1453"/>
      <c r="H26" s="175"/>
      <c r="I26" s="1443" t="str">
        <f>IF(AB16=0," ",AB16)</f>
        <v xml:space="preserve"> </v>
      </c>
      <c r="J26" s="1444"/>
      <c r="K26" s="1444"/>
      <c r="L26" s="1444"/>
      <c r="M26" s="1444"/>
      <c r="N26" s="1445"/>
      <c r="O26" s="534" t="str">
        <f>IF(AE16=0," ",AE16)</f>
        <v xml:space="preserve"> </v>
      </c>
      <c r="P26" s="534" t="str">
        <f>IF(AD16=0," ",AD16)</f>
        <v xml:space="preserve"> </v>
      </c>
      <c r="Q26" s="180" t="str">
        <f>IF(AC16=0," ",AC16)</f>
        <v xml:space="preserve"> </v>
      </c>
      <c r="T26" s="176"/>
      <c r="V26" s="176"/>
      <c r="AB26" s="537"/>
      <c r="AC26" s="815"/>
      <c r="AD26" s="229"/>
      <c r="AE26" s="157"/>
    </row>
    <row r="27" spans="1:36" ht="12" customHeight="1" x14ac:dyDescent="0.3">
      <c r="A27" s="1446" t="str">
        <f>IF('3-Schopnosti'!A8=0," ",'3-Schopnosti'!A8)</f>
        <v>Čerpání z talismanu</v>
      </c>
      <c r="B27" s="1447"/>
      <c r="C27" s="1447"/>
      <c r="D27" s="1447"/>
      <c r="E27" s="532" t="str">
        <f>IF('3-Schopnosti'!C8=0," ",'3-Schopnosti'!C8)</f>
        <v>X</v>
      </c>
      <c r="F27" s="1452" t="str">
        <f>IF('3-Schopnosti'!B8=0," ",'3-Schopnosti'!B8)</f>
        <v xml:space="preserve"> </v>
      </c>
      <c r="G27" s="1453"/>
      <c r="H27" s="175"/>
      <c r="I27" s="1443" t="str">
        <f t="shared" ref="I27:I50" si="0">IF(AB18=0," ",AB18)</f>
        <v xml:space="preserve"> </v>
      </c>
      <c r="J27" s="1444"/>
      <c r="K27" s="1444"/>
      <c r="L27" s="1444"/>
      <c r="M27" s="1444"/>
      <c r="N27" s="1445"/>
      <c r="O27" s="534" t="str">
        <f t="shared" ref="O27:O50" si="1">IF(AE18=0," ",AE18)</f>
        <v xml:space="preserve"> </v>
      </c>
      <c r="P27" s="534" t="str">
        <f t="shared" ref="P27:P50" si="2">IF(AD18=0," ",AD18)</f>
        <v xml:space="preserve"> </v>
      </c>
      <c r="Q27" s="180" t="str">
        <f t="shared" ref="Q27:Q50" si="3">IF(AC18=0," ",AC18)</f>
        <v xml:space="preserve"> </v>
      </c>
      <c r="S27" s="177" t="s">
        <v>573</v>
      </c>
      <c r="T27" s="178"/>
      <c r="U27" s="178"/>
      <c r="V27" s="179"/>
      <c r="AB27" s="537"/>
      <c r="AC27" s="813"/>
      <c r="AD27" s="229"/>
      <c r="AE27" s="157"/>
    </row>
    <row r="28" spans="1:36" ht="12" customHeight="1" x14ac:dyDescent="0.3">
      <c r="A28" s="1446" t="str">
        <f>IF('3-Schopnosti'!A9=0," ",'3-Schopnosti'!A9)</f>
        <v>Čerpání z živočichů</v>
      </c>
      <c r="B28" s="1447"/>
      <c r="C28" s="1447"/>
      <c r="D28" s="1447"/>
      <c r="E28" s="532" t="str">
        <f>IF('3-Schopnosti'!C9=0," ",'3-Schopnosti'!C9)</f>
        <v>X</v>
      </c>
      <c r="F28" s="1452" t="str">
        <f>IF('3-Schopnosti'!B9=0," ",'3-Schopnosti'!B9)</f>
        <v xml:space="preserve"> </v>
      </c>
      <c r="G28" s="1453"/>
      <c r="H28" s="175"/>
      <c r="I28" s="1443" t="str">
        <f t="shared" si="0"/>
        <v xml:space="preserve"> </v>
      </c>
      <c r="J28" s="1444"/>
      <c r="K28" s="1444"/>
      <c r="L28" s="1444"/>
      <c r="M28" s="1444"/>
      <c r="N28" s="1445"/>
      <c r="O28" s="534" t="str">
        <f t="shared" si="1"/>
        <v xml:space="preserve"> </v>
      </c>
      <c r="P28" s="534" t="str">
        <f t="shared" si="2"/>
        <v xml:space="preserve"> </v>
      </c>
      <c r="Q28" s="180" t="str">
        <f t="shared" si="3"/>
        <v xml:space="preserve"> </v>
      </c>
      <c r="S28" s="167"/>
      <c r="T28" s="170"/>
      <c r="U28" s="167"/>
      <c r="V28" s="170"/>
      <c r="AB28" s="537"/>
      <c r="AC28" s="816"/>
      <c r="AD28" s="229"/>
      <c r="AE28" s="157"/>
    </row>
    <row r="29" spans="1:36" ht="12" customHeight="1" x14ac:dyDescent="0.3">
      <c r="A29" s="1446" t="str">
        <f>IF('3-Schopnosti'!A10=0," ",'3-Schopnosti'!A10)</f>
        <v>Extrakce přírodních jedů</v>
      </c>
      <c r="B29" s="1447"/>
      <c r="C29" s="1447"/>
      <c r="D29" s="1447"/>
      <c r="E29" s="532" t="str">
        <f>IF('3-Schopnosti'!C10=0," ",'3-Schopnosti'!C10)</f>
        <v>X</v>
      </c>
      <c r="F29" s="1452" t="str">
        <f>IF('3-Schopnosti'!B10=0," ",'3-Schopnosti'!B10)</f>
        <v xml:space="preserve"> </v>
      </c>
      <c r="G29" s="1453"/>
      <c r="H29" s="175"/>
      <c r="I29" s="1443" t="str">
        <f t="shared" si="0"/>
        <v xml:space="preserve"> </v>
      </c>
      <c r="J29" s="1444"/>
      <c r="K29" s="1444"/>
      <c r="L29" s="1444"/>
      <c r="M29" s="1444"/>
      <c r="N29" s="1445"/>
      <c r="O29" s="534" t="str">
        <f t="shared" si="1"/>
        <v xml:space="preserve"> </v>
      </c>
      <c r="P29" s="534" t="str">
        <f t="shared" si="2"/>
        <v xml:space="preserve"> </v>
      </c>
      <c r="Q29" s="180" t="str">
        <f t="shared" si="3"/>
        <v xml:space="preserve"> </v>
      </c>
      <c r="S29" s="167"/>
      <c r="T29" s="170"/>
      <c r="U29" s="167"/>
      <c r="V29" s="170"/>
      <c r="AB29" s="537"/>
      <c r="AC29" s="816"/>
      <c r="AD29" s="229"/>
      <c r="AE29" s="157"/>
    </row>
    <row r="30" spans="1:36" ht="12" customHeight="1" x14ac:dyDescent="0.3">
      <c r="A30" s="1446" t="str">
        <f>IF('3-Schopnosti'!A11=0," ",'3-Schopnosti'!A11)</f>
        <v>Léčitelství</v>
      </c>
      <c r="B30" s="1447"/>
      <c r="C30" s="1447"/>
      <c r="D30" s="1447"/>
      <c r="E30" s="532" t="str">
        <f>IF('3-Schopnosti'!C11=0," ",'3-Schopnosti'!C11)</f>
        <v>X</v>
      </c>
      <c r="F30" s="1452" t="str">
        <f>IF('3-Schopnosti'!B11=0," ",'3-Schopnosti'!B11)</f>
        <v xml:space="preserve"> </v>
      </c>
      <c r="G30" s="1453"/>
      <c r="H30" s="175"/>
      <c r="I30" s="1443" t="str">
        <f t="shared" si="0"/>
        <v xml:space="preserve"> </v>
      </c>
      <c r="J30" s="1444"/>
      <c r="K30" s="1444"/>
      <c r="L30" s="1444"/>
      <c r="M30" s="1444"/>
      <c r="N30" s="1445"/>
      <c r="O30" s="534" t="str">
        <f t="shared" si="1"/>
        <v xml:space="preserve"> </v>
      </c>
      <c r="P30" s="534" t="str">
        <f t="shared" si="2"/>
        <v xml:space="preserve"> </v>
      </c>
      <c r="Q30" s="180" t="str">
        <f t="shared" si="3"/>
        <v xml:space="preserve"> </v>
      </c>
      <c r="S30" s="167"/>
      <c r="T30" s="170"/>
      <c r="U30" s="167"/>
      <c r="V30" s="170"/>
      <c r="AB30" s="537"/>
      <c r="AC30" s="816"/>
      <c r="AD30" s="229"/>
      <c r="AE30" s="157"/>
    </row>
    <row r="31" spans="1:36" ht="12" customHeight="1" x14ac:dyDescent="0.3">
      <c r="A31" s="1446" t="str">
        <f>IF('3-Schopnosti'!A12=0," ",'3-Schopnosti'!A12)</f>
        <v>Magická znalost</v>
      </c>
      <c r="B31" s="1447"/>
      <c r="C31" s="1447"/>
      <c r="D31" s="1447"/>
      <c r="E31" s="532" t="str">
        <f>IF('3-Schopnosti'!C12=0," ",'3-Schopnosti'!C12)</f>
        <v>X</v>
      </c>
      <c r="F31" s="1452" t="str">
        <f>IF('3-Schopnosti'!B12=0," ",'3-Schopnosti'!B12)</f>
        <v xml:space="preserve"> </v>
      </c>
      <c r="G31" s="1453"/>
      <c r="H31" s="175"/>
      <c r="I31" s="1443" t="str">
        <f t="shared" si="0"/>
        <v xml:space="preserve"> </v>
      </c>
      <c r="J31" s="1444"/>
      <c r="K31" s="1444"/>
      <c r="L31" s="1444"/>
      <c r="M31" s="1444"/>
      <c r="N31" s="1445"/>
      <c r="O31" s="534" t="str">
        <f t="shared" si="1"/>
        <v xml:space="preserve"> </v>
      </c>
      <c r="P31" s="534" t="str">
        <f t="shared" si="2"/>
        <v xml:space="preserve"> </v>
      </c>
      <c r="Q31" s="180" t="str">
        <f t="shared" si="3"/>
        <v xml:space="preserve"> </v>
      </c>
      <c r="S31" s="167"/>
      <c r="T31" s="170"/>
      <c r="U31" s="167"/>
      <c r="V31" s="170"/>
      <c r="AB31" s="537"/>
      <c r="AC31" s="229"/>
      <c r="AD31" s="229"/>
      <c r="AE31" s="157"/>
    </row>
    <row r="32" spans="1:36" ht="12" customHeight="1" x14ac:dyDescent="0.3">
      <c r="A32" s="1446" t="str">
        <f>IF('3-Schopnosti'!A13=0," ",'3-Schopnosti'!A13)</f>
        <v>Povely</v>
      </c>
      <c r="B32" s="1447"/>
      <c r="C32" s="1447"/>
      <c r="D32" s="1447"/>
      <c r="E32" s="532" t="str">
        <f>IF('3-Schopnosti'!C13=0," ",'3-Schopnosti'!C13)</f>
        <v>Hodný!</v>
      </c>
      <c r="F32" s="1452" t="str">
        <f>IF('3-Schopnosti'!B13=0," ",'3-Schopnosti'!B13)</f>
        <v xml:space="preserve"> </v>
      </c>
      <c r="G32" s="1453"/>
      <c r="H32" s="175"/>
      <c r="I32" s="1443" t="str">
        <f t="shared" si="0"/>
        <v xml:space="preserve"> </v>
      </c>
      <c r="J32" s="1444"/>
      <c r="K32" s="1444"/>
      <c r="L32" s="1444"/>
      <c r="M32" s="1444"/>
      <c r="N32" s="1445"/>
      <c r="O32" s="534" t="str">
        <f t="shared" si="1"/>
        <v xml:space="preserve"> </v>
      </c>
      <c r="P32" s="534" t="str">
        <f t="shared" si="2"/>
        <v xml:space="preserve"> </v>
      </c>
      <c r="Q32" s="180" t="str">
        <f t="shared" si="3"/>
        <v xml:space="preserve"> </v>
      </c>
      <c r="S32" s="167"/>
      <c r="T32" s="170"/>
      <c r="U32" s="167"/>
      <c r="V32" s="170"/>
      <c r="AB32" s="537"/>
      <c r="AC32" s="817"/>
      <c r="AD32" s="229"/>
      <c r="AE32" s="157"/>
    </row>
    <row r="33" spans="1:31" ht="12" customHeight="1" x14ac:dyDescent="0.3">
      <c r="A33" s="1446" t="str">
        <f>IF('3-Schopnosti'!A14=0," ",'3-Schopnosti'!A14)</f>
        <v>Přežití v přírodě</v>
      </c>
      <c r="B33" s="1447"/>
      <c r="C33" s="1447"/>
      <c r="D33" s="1447"/>
      <c r="E33" s="532" t="str">
        <f>IF('3-Schopnosti'!C14=0," ",'3-Schopnosti'!C14)</f>
        <v>Nalezení vody</v>
      </c>
      <c r="F33" s="1452" t="str">
        <f>IF('3-Schopnosti'!B14=0," ",'3-Schopnosti'!B14)</f>
        <v xml:space="preserve"> </v>
      </c>
      <c r="G33" s="1453"/>
      <c r="H33" s="175"/>
      <c r="I33" s="1443" t="str">
        <f t="shared" si="0"/>
        <v xml:space="preserve"> </v>
      </c>
      <c r="J33" s="1444"/>
      <c r="K33" s="1444"/>
      <c r="L33" s="1444"/>
      <c r="M33" s="1444"/>
      <c r="N33" s="1445"/>
      <c r="O33" s="534" t="str">
        <f t="shared" si="1"/>
        <v xml:space="preserve"> </v>
      </c>
      <c r="P33" s="534" t="str">
        <f t="shared" si="2"/>
        <v xml:space="preserve"> </v>
      </c>
      <c r="Q33" s="180" t="str">
        <f t="shared" si="3"/>
        <v xml:space="preserve"> </v>
      </c>
      <c r="S33" s="167"/>
      <c r="T33" s="170"/>
      <c r="U33" s="167"/>
      <c r="V33" s="170"/>
      <c r="AB33" s="537"/>
      <c r="AC33" s="229"/>
      <c r="AD33" s="229"/>
      <c r="AE33" s="157"/>
    </row>
    <row r="34" spans="1:31" ht="12" customHeight="1" x14ac:dyDescent="0.3">
      <c r="A34" s="1446" t="str">
        <f>IF('3-Schopnosti'!A15=0," ",'3-Schopnosti'!A15)</f>
        <v>Stopování</v>
      </c>
      <c r="B34" s="1447"/>
      <c r="C34" s="1447"/>
      <c r="D34" s="1447"/>
      <c r="E34" s="532" t="str">
        <f>IF('3-Schopnosti'!C15=0," ",'3-Schopnosti'!C15)</f>
        <v>Nález 0, Rozez. 0</v>
      </c>
      <c r="F34" s="1452" t="str">
        <f>IF('3-Schopnosti'!B15=0," ",'3-Schopnosti'!B15)</f>
        <v xml:space="preserve"> </v>
      </c>
      <c r="G34" s="1453"/>
      <c r="H34" s="175"/>
      <c r="I34" s="1443" t="str">
        <f t="shared" si="0"/>
        <v xml:space="preserve"> </v>
      </c>
      <c r="J34" s="1444"/>
      <c r="K34" s="1444"/>
      <c r="L34" s="1444"/>
      <c r="M34" s="1444"/>
      <c r="N34" s="1445"/>
      <c r="O34" s="534" t="str">
        <f t="shared" si="1"/>
        <v xml:space="preserve"> </v>
      </c>
      <c r="P34" s="534" t="str">
        <f t="shared" si="2"/>
        <v xml:space="preserve"> </v>
      </c>
      <c r="Q34" s="180" t="str">
        <f t="shared" si="3"/>
        <v xml:space="preserve"> </v>
      </c>
      <c r="S34" s="167"/>
      <c r="T34" s="170"/>
      <c r="U34" s="167"/>
      <c r="V34" s="170"/>
      <c r="AB34" s="537"/>
      <c r="AC34" s="229"/>
      <c r="AD34" s="229"/>
      <c r="AE34" s="157"/>
    </row>
    <row r="35" spans="1:31" ht="12" customHeight="1" x14ac:dyDescent="0.3">
      <c r="A35" s="1446" t="str">
        <f>IF('3-Schopnosti'!A16=0," ",'3-Schopnosti'!A16)</f>
        <v>Zaklínačská magie</v>
      </c>
      <c r="B35" s="1447"/>
      <c r="C35" s="1447"/>
      <c r="D35" s="1447"/>
      <c r="E35" s="532" t="str">
        <f>IF('3-Schopnosti'!C16=0," ",'3-Schopnosti'!C16)</f>
        <v>X</v>
      </c>
      <c r="F35" s="1452" t="str">
        <f>IF('3-Schopnosti'!B16=0," ",'3-Schopnosti'!B16)</f>
        <v xml:space="preserve"> </v>
      </c>
      <c r="G35" s="1453"/>
      <c r="H35" s="175"/>
      <c r="I35" s="1443" t="str">
        <f t="shared" si="0"/>
        <v xml:space="preserve"> </v>
      </c>
      <c r="J35" s="1444"/>
      <c r="K35" s="1444"/>
      <c r="L35" s="1444"/>
      <c r="M35" s="1444"/>
      <c r="N35" s="1445"/>
      <c r="O35" s="534" t="str">
        <f t="shared" si="1"/>
        <v xml:space="preserve"> </v>
      </c>
      <c r="P35" s="534" t="str">
        <f t="shared" si="2"/>
        <v xml:space="preserve"> </v>
      </c>
      <c r="Q35" s="180" t="str">
        <f t="shared" si="3"/>
        <v xml:space="preserve"> </v>
      </c>
      <c r="S35" s="167"/>
      <c r="T35" s="170"/>
      <c r="U35" s="167"/>
      <c r="V35" s="170"/>
      <c r="AB35" s="537"/>
      <c r="AC35" s="229"/>
      <c r="AD35" s="229"/>
      <c r="AE35" s="157"/>
    </row>
    <row r="36" spans="1:31" ht="12" customHeight="1" x14ac:dyDescent="0.3">
      <c r="A36" s="1446" t="str">
        <f>IF('3-Schopnosti'!A17=0," ",'3-Schopnosti'!A17)</f>
        <v>Zvířecí společník</v>
      </c>
      <c r="B36" s="1447"/>
      <c r="C36" s="1447"/>
      <c r="D36" s="1447"/>
      <c r="E36" s="532" t="str">
        <f>IF('3-Schopnosti'!C17=0," ",'3-Schopnosti'!C17)</f>
        <v>X</v>
      </c>
      <c r="F36" s="1452" t="str">
        <f>IF('3-Schopnosti'!B17=0," ",'3-Schopnosti'!B17)</f>
        <v xml:space="preserve"> </v>
      </c>
      <c r="G36" s="1453"/>
      <c r="H36" s="175"/>
      <c r="I36" s="1443" t="str">
        <f t="shared" si="0"/>
        <v xml:space="preserve"> </v>
      </c>
      <c r="J36" s="1444"/>
      <c r="K36" s="1444"/>
      <c r="L36" s="1444"/>
      <c r="M36" s="1444"/>
      <c r="N36" s="1445"/>
      <c r="O36" s="534" t="str">
        <f t="shared" si="1"/>
        <v xml:space="preserve"> </v>
      </c>
      <c r="P36" s="534" t="str">
        <f t="shared" si="2"/>
        <v xml:space="preserve"> </v>
      </c>
      <c r="Q36" s="180" t="str">
        <f t="shared" si="3"/>
        <v xml:space="preserve"> </v>
      </c>
      <c r="S36" s="167"/>
      <c r="T36" s="170"/>
      <c r="U36" s="167"/>
      <c r="V36" s="170"/>
      <c r="AB36" s="537"/>
      <c r="AC36" s="229"/>
      <c r="AD36" s="229"/>
      <c r="AE36" s="157"/>
    </row>
    <row r="37" spans="1:31" ht="12" customHeight="1" x14ac:dyDescent="0.3">
      <c r="A37" s="1446" t="str">
        <f>IF('3-Schopnosti'!A18=0," ",'3-Schopnosti'!A18)</f>
        <v>Bleskové reakce</v>
      </c>
      <c r="B37" s="1447"/>
      <c r="C37" s="1447"/>
      <c r="D37" s="1447"/>
      <c r="E37" s="532" t="str">
        <f>IF('3-Schopnosti'!C18=0," ",'3-Schopnosti'!C18)</f>
        <v>X</v>
      </c>
      <c r="F37" s="1452" t="str">
        <f>IF('3-Schopnosti'!B18=0," ",'3-Schopnosti'!B18)</f>
        <v xml:space="preserve"> </v>
      </c>
      <c r="G37" s="1453"/>
      <c r="H37" s="175"/>
      <c r="I37" s="1443" t="str">
        <f t="shared" si="0"/>
        <v xml:space="preserve"> </v>
      </c>
      <c r="J37" s="1444"/>
      <c r="K37" s="1444"/>
      <c r="L37" s="1444"/>
      <c r="M37" s="1444"/>
      <c r="N37" s="1445"/>
      <c r="O37" s="534" t="str">
        <f t="shared" si="1"/>
        <v xml:space="preserve"> </v>
      </c>
      <c r="P37" s="534" t="str">
        <f t="shared" si="2"/>
        <v xml:space="preserve"> </v>
      </c>
      <c r="Q37" s="180" t="str">
        <f t="shared" si="3"/>
        <v xml:space="preserve"> </v>
      </c>
      <c r="AB37" s="537"/>
      <c r="AC37" s="817"/>
      <c r="AD37" s="229"/>
      <c r="AE37" s="157"/>
    </row>
    <row r="38" spans="1:31" ht="12" customHeight="1" x14ac:dyDescent="0.3">
      <c r="A38" s="1446" t="str">
        <f>IF('3-Schopnosti'!A19=0," ",'3-Schopnosti'!A19)</f>
        <v>Úsporné kouzlení</v>
      </c>
      <c r="B38" s="1447"/>
      <c r="C38" s="1447"/>
      <c r="D38" s="1447"/>
      <c r="E38" s="532" t="str">
        <f>IF('3-Schopnosti'!C19=0," ",'3-Schopnosti'!C19)</f>
        <v>3A / 10 k</v>
      </c>
      <c r="F38" s="1452" t="str">
        <f>IF('3-Schopnosti'!B19=0," ",'3-Schopnosti'!B19)</f>
        <v xml:space="preserve"> </v>
      </c>
      <c r="G38" s="1453"/>
      <c r="H38" s="175"/>
      <c r="I38" s="1443" t="str">
        <f t="shared" si="0"/>
        <v xml:space="preserve"> </v>
      </c>
      <c r="J38" s="1444"/>
      <c r="K38" s="1444"/>
      <c r="L38" s="1444"/>
      <c r="M38" s="1444"/>
      <c r="N38" s="1445"/>
      <c r="O38" s="534" t="str">
        <f t="shared" si="1"/>
        <v xml:space="preserve"> </v>
      </c>
      <c r="P38" s="534" t="str">
        <f t="shared" si="2"/>
        <v xml:space="preserve"> </v>
      </c>
      <c r="Q38" s="180" t="str">
        <f t="shared" si="3"/>
        <v xml:space="preserve"> </v>
      </c>
      <c r="S38" s="173" t="s">
        <v>574</v>
      </c>
      <c r="T38" s="174"/>
      <c r="U38" s="174"/>
      <c r="V38" s="174"/>
      <c r="AB38" s="537"/>
      <c r="AC38" s="229"/>
      <c r="AD38" s="229"/>
      <c r="AE38" s="157"/>
    </row>
    <row r="39" spans="1:31" ht="12" customHeight="1" x14ac:dyDescent="0.3">
      <c r="A39" s="1446" t="str">
        <f>IF('3-Schopnosti'!A20=0," ",'3-Schopnosti'!A20)</f>
        <v>Zkouška trav</v>
      </c>
      <c r="B39" s="1447"/>
      <c r="C39" s="1447"/>
      <c r="D39" s="1447"/>
      <c r="E39" s="532" t="str">
        <f>IF('3-Schopnosti'!C20=0," ",'3-Schopnosti'!C20)</f>
        <v>X</v>
      </c>
      <c r="F39" s="1452" t="str">
        <f>IF('3-Schopnosti'!B20=0," ",'3-Schopnosti'!B20)</f>
        <v xml:space="preserve"> </v>
      </c>
      <c r="G39" s="1453"/>
      <c r="H39" s="175"/>
      <c r="I39" s="1443" t="str">
        <f t="shared" si="0"/>
        <v xml:space="preserve"> </v>
      </c>
      <c r="J39" s="1444"/>
      <c r="K39" s="1444"/>
      <c r="L39" s="1444"/>
      <c r="M39" s="1444"/>
      <c r="N39" s="1445"/>
      <c r="O39" s="534" t="str">
        <f t="shared" si="1"/>
        <v xml:space="preserve"> </v>
      </c>
      <c r="P39" s="534" t="str">
        <f t="shared" si="2"/>
        <v xml:space="preserve"> </v>
      </c>
      <c r="Q39" s="180" t="str">
        <f t="shared" si="3"/>
        <v xml:space="preserve"> </v>
      </c>
      <c r="S39" s="167"/>
      <c r="T39" s="170"/>
      <c r="U39" s="167"/>
      <c r="V39" s="170"/>
      <c r="AB39" s="537"/>
      <c r="AC39" s="817"/>
      <c r="AD39" s="229"/>
      <c r="AE39" s="157"/>
    </row>
    <row r="40" spans="1:31" ht="12" customHeight="1" x14ac:dyDescent="0.3">
      <c r="A40" s="1446" t="str">
        <f>IF('3-Schopnosti'!A21=0," ",'3-Schopnosti'!A21)</f>
        <v>Boj proti zvířatům</v>
      </c>
      <c r="B40" s="1447"/>
      <c r="C40" s="1447"/>
      <c r="D40" s="1447"/>
      <c r="E40" s="532" t="str">
        <f>IF('3-Schopnosti'!C21=0," ",'3-Schopnosti'!C21)</f>
        <v>X</v>
      </c>
      <c r="F40" s="1452" t="str">
        <f>IF('3-Schopnosti'!B21=0," ",'3-Schopnosti'!B21)</f>
        <v xml:space="preserve"> </v>
      </c>
      <c r="G40" s="1453"/>
      <c r="H40" s="175"/>
      <c r="I40" s="1443" t="str">
        <f t="shared" si="0"/>
        <v xml:space="preserve"> </v>
      </c>
      <c r="J40" s="1444"/>
      <c r="K40" s="1444"/>
      <c r="L40" s="1444"/>
      <c r="M40" s="1444"/>
      <c r="N40" s="1445"/>
      <c r="O40" s="534" t="str">
        <f t="shared" si="1"/>
        <v xml:space="preserve"> </v>
      </c>
      <c r="P40" s="534" t="str">
        <f t="shared" si="2"/>
        <v xml:space="preserve"> </v>
      </c>
      <c r="Q40" s="180" t="str">
        <f t="shared" si="3"/>
        <v xml:space="preserve"> </v>
      </c>
      <c r="S40" s="167"/>
      <c r="T40" s="170"/>
      <c r="U40" s="167"/>
      <c r="V40" s="170"/>
      <c r="AB40" s="537"/>
      <c r="AC40" s="815"/>
      <c r="AD40" s="229"/>
      <c r="AE40" s="157"/>
    </row>
    <row r="41" spans="1:31" ht="12" customHeight="1" x14ac:dyDescent="0.3">
      <c r="A41" s="1446" t="str">
        <f>IF('3-Schopnosti'!A22=0," ",'3-Schopnosti'!A22)</f>
        <v>Odolnost vůči jedům</v>
      </c>
      <c r="B41" s="1447"/>
      <c r="C41" s="1447"/>
      <c r="D41" s="1447"/>
      <c r="E41" s="532" t="str">
        <f>IF('3-Schopnosti'!C22=0," ",'3-Schopnosti'!C22)</f>
        <v>X</v>
      </c>
      <c r="F41" s="1452" t="str">
        <f>IF('3-Schopnosti'!B22=0," ",'3-Schopnosti'!B22)</f>
        <v xml:space="preserve"> </v>
      </c>
      <c r="G41" s="1453"/>
      <c r="H41" s="175"/>
      <c r="I41" s="1443" t="str">
        <f t="shared" si="0"/>
        <v xml:space="preserve"> </v>
      </c>
      <c r="J41" s="1444"/>
      <c r="K41" s="1444"/>
      <c r="L41" s="1444"/>
      <c r="M41" s="1444"/>
      <c r="N41" s="1445"/>
      <c r="O41" s="534" t="str">
        <f t="shared" si="1"/>
        <v xml:space="preserve"> </v>
      </c>
      <c r="P41" s="534" t="str">
        <f t="shared" si="2"/>
        <v xml:space="preserve"> </v>
      </c>
      <c r="Q41" s="180" t="str">
        <f t="shared" si="3"/>
        <v xml:space="preserve"> </v>
      </c>
      <c r="S41" s="167"/>
      <c r="T41" s="170"/>
      <c r="U41" s="167"/>
      <c r="V41" s="170"/>
      <c r="AB41" s="537"/>
      <c r="AC41" s="229"/>
      <c r="AD41" s="229"/>
      <c r="AE41" s="157"/>
    </row>
    <row r="42" spans="1:31" ht="12" customHeight="1" x14ac:dyDescent="0.3">
      <c r="A42" s="1446" t="str">
        <f>IF('3-Schopnosti'!A23=0," ",'3-Schopnosti'!A23)</f>
        <v>Pokr.boj s jednoruč. meči</v>
      </c>
      <c r="B42" s="1447"/>
      <c r="C42" s="1447"/>
      <c r="D42" s="1447"/>
      <c r="E42" s="532" t="str">
        <f>IF('3-Schopnosti'!C23=0," ",'3-Schopnosti'!C23)</f>
        <v>X</v>
      </c>
      <c r="F42" s="1452" t="str">
        <f>IF('3-Schopnosti'!B23=0," ",'3-Schopnosti'!B23)</f>
        <v xml:space="preserve"> </v>
      </c>
      <c r="G42" s="1453"/>
      <c r="H42" s="175"/>
      <c r="I42" s="1443" t="str">
        <f t="shared" si="0"/>
        <v xml:space="preserve"> </v>
      </c>
      <c r="J42" s="1444"/>
      <c r="K42" s="1444"/>
      <c r="L42" s="1444"/>
      <c r="M42" s="1444"/>
      <c r="N42" s="1445"/>
      <c r="O42" s="534" t="str">
        <f t="shared" si="1"/>
        <v xml:space="preserve"> </v>
      </c>
      <c r="P42" s="534" t="str">
        <f t="shared" si="2"/>
        <v xml:space="preserve"> </v>
      </c>
      <c r="Q42" s="180" t="str">
        <f t="shared" si="3"/>
        <v xml:space="preserve"> </v>
      </c>
      <c r="S42" s="167"/>
      <c r="T42" s="170"/>
      <c r="U42" s="167"/>
      <c r="V42" s="170"/>
    </row>
    <row r="43" spans="1:31" ht="12" customHeight="1" x14ac:dyDescent="0.3">
      <c r="A43" s="1446" t="str">
        <f>IF('3-Schopnosti'!A24=0," ",'3-Schopnosti'!A24)</f>
        <v>Pokročilá lukostřelba</v>
      </c>
      <c r="B43" s="1447"/>
      <c r="C43" s="1447"/>
      <c r="D43" s="1447"/>
      <c r="E43" s="532" t="str">
        <f>IF('3-Schopnosti'!C24=0," ",'3-Schopnosti'!C24)</f>
        <v>X</v>
      </c>
      <c r="F43" s="1452" t="str">
        <f>IF('3-Schopnosti'!B24=0," ",'3-Schopnosti'!B24)</f>
        <v xml:space="preserve"> </v>
      </c>
      <c r="G43" s="1453"/>
      <c r="H43" s="175"/>
      <c r="I43" s="1443" t="str">
        <f t="shared" si="0"/>
        <v xml:space="preserve"> </v>
      </c>
      <c r="J43" s="1444"/>
      <c r="K43" s="1444"/>
      <c r="L43" s="1444"/>
      <c r="M43" s="1444"/>
      <c r="N43" s="1445"/>
      <c r="O43" s="534" t="str">
        <f t="shared" si="1"/>
        <v xml:space="preserve"> </v>
      </c>
      <c r="P43" s="534" t="str">
        <f t="shared" si="2"/>
        <v xml:space="preserve"> </v>
      </c>
      <c r="Q43" s="180" t="str">
        <f t="shared" si="3"/>
        <v xml:space="preserve"> </v>
      </c>
      <c r="S43" s="167"/>
      <c r="T43" s="170"/>
      <c r="U43" s="167"/>
      <c r="V43" s="170"/>
    </row>
    <row r="44" spans="1:31" ht="12" customHeight="1" x14ac:dyDescent="0.3">
      <c r="A44" s="1446" t="str">
        <f>IF('3-Schopnosti'!A25=0," ",'3-Schopnosti'!A25)</f>
        <v>Telekineze</v>
      </c>
      <c r="B44" s="1447"/>
      <c r="C44" s="1447"/>
      <c r="D44" s="1447"/>
      <c r="E44" s="532" t="str">
        <f>IF('3-Schopnosti'!C25=0," ",'3-Schopnosti'!C25)</f>
        <v>X</v>
      </c>
      <c r="F44" s="1452" t="str">
        <f>IF('3-Schopnosti'!B25=0," ",'3-Schopnosti'!B25)</f>
        <v xml:space="preserve"> </v>
      </c>
      <c r="G44" s="1453"/>
      <c r="H44" s="175"/>
      <c r="I44" s="1443" t="str">
        <f t="shared" si="0"/>
        <v xml:space="preserve"> </v>
      </c>
      <c r="J44" s="1444"/>
      <c r="K44" s="1444"/>
      <c r="L44" s="1444"/>
      <c r="M44" s="1444"/>
      <c r="N44" s="1445"/>
      <c r="O44" s="534" t="str">
        <f t="shared" si="1"/>
        <v xml:space="preserve"> </v>
      </c>
      <c r="P44" s="534" t="str">
        <f t="shared" si="2"/>
        <v xml:space="preserve"> </v>
      </c>
      <c r="Q44" s="180" t="str">
        <f t="shared" si="3"/>
        <v xml:space="preserve"> </v>
      </c>
      <c r="S44" s="167"/>
      <c r="T44" s="170"/>
      <c r="U44" s="167"/>
      <c r="V44" s="170"/>
    </row>
    <row r="45" spans="1:31" ht="12" customHeight="1" x14ac:dyDescent="0.3">
      <c r="A45" s="1446" t="str">
        <f>IF('3-Schopnosti'!A26=0," ",'3-Schopnosti'!A26)</f>
        <v>Telepatie</v>
      </c>
      <c r="B45" s="1447"/>
      <c r="C45" s="1447"/>
      <c r="D45" s="1447"/>
      <c r="E45" s="532" t="str">
        <f>IF('3-Schopnosti'!C26=0," ",'3-Schopnosti'!C26)</f>
        <v>X</v>
      </c>
      <c r="F45" s="1452" t="str">
        <f>IF('3-Schopnosti'!B26=0," ",'3-Schopnosti'!B26)</f>
        <v xml:space="preserve"> </v>
      </c>
      <c r="G45" s="1453"/>
      <c r="H45" s="175"/>
      <c r="I45" s="1443" t="str">
        <f t="shared" si="0"/>
        <v xml:space="preserve"> </v>
      </c>
      <c r="J45" s="1444"/>
      <c r="K45" s="1444"/>
      <c r="L45" s="1444"/>
      <c r="M45" s="1444"/>
      <c r="N45" s="1445"/>
      <c r="O45" s="534" t="str">
        <f t="shared" si="1"/>
        <v xml:space="preserve"> </v>
      </c>
      <c r="P45" s="534" t="str">
        <f t="shared" si="2"/>
        <v xml:space="preserve"> </v>
      </c>
      <c r="Q45" s="180" t="str">
        <f t="shared" si="3"/>
        <v xml:space="preserve"> </v>
      </c>
      <c r="S45" s="167"/>
      <c r="T45" s="170"/>
      <c r="U45" s="167"/>
      <c r="V45" s="170"/>
    </row>
    <row r="46" spans="1:31" ht="12" customHeight="1" x14ac:dyDescent="0.3">
      <c r="A46" s="1446" t="str">
        <f>IF('3-Schopnosti'!A27=0," ",'3-Schopnosti'!A27)</f>
        <v>Zaklínačské elixíry</v>
      </c>
      <c r="B46" s="1447"/>
      <c r="C46" s="1447"/>
      <c r="D46" s="1447"/>
      <c r="E46" s="532" t="str">
        <f>IF('3-Schopnosti'!C27=0," ",'3-Schopnosti'!C27)</f>
        <v>X</v>
      </c>
      <c r="F46" s="1452" t="str">
        <f>IF('3-Schopnosti'!B27=0," ",'3-Schopnosti'!B27)</f>
        <v xml:space="preserve"> </v>
      </c>
      <c r="G46" s="1453"/>
      <c r="H46" s="175"/>
      <c r="I46" s="1443" t="str">
        <f t="shared" si="0"/>
        <v xml:space="preserve"> </v>
      </c>
      <c r="J46" s="1444"/>
      <c r="K46" s="1444"/>
      <c r="L46" s="1444"/>
      <c r="M46" s="1444"/>
      <c r="N46" s="1445"/>
      <c r="O46" s="534" t="str">
        <f t="shared" si="1"/>
        <v xml:space="preserve"> </v>
      </c>
      <c r="P46" s="534" t="str">
        <f t="shared" si="2"/>
        <v xml:space="preserve"> </v>
      </c>
      <c r="Q46" s="180" t="str">
        <f t="shared" si="3"/>
        <v xml:space="preserve"> </v>
      </c>
      <c r="S46" s="167"/>
      <c r="T46" s="170"/>
      <c r="U46" s="167"/>
      <c r="V46" s="170"/>
    </row>
    <row r="47" spans="1:31" ht="12" customHeight="1" x14ac:dyDescent="0.3">
      <c r="A47" s="1446" t="str">
        <f>IF('3-Schopnosti'!A28=0," ",'3-Schopnosti'!A28)</f>
        <v>Zostřené smysly</v>
      </c>
      <c r="B47" s="1447"/>
      <c r="C47" s="1447"/>
      <c r="D47" s="1447"/>
      <c r="E47" s="532" t="str">
        <f>IF('3-Schopnosti'!C28=0," ",'3-Schopnosti'!C28)</f>
        <v>X</v>
      </c>
      <c r="F47" s="1452" t="str">
        <f>IF('3-Schopnosti'!B28=0," ",'3-Schopnosti'!B28)</f>
        <v xml:space="preserve"> </v>
      </c>
      <c r="G47" s="1453"/>
      <c r="H47" s="175"/>
      <c r="I47" s="1443" t="str">
        <f t="shared" si="0"/>
        <v xml:space="preserve"> </v>
      </c>
      <c r="J47" s="1444"/>
      <c r="K47" s="1444"/>
      <c r="L47" s="1444"/>
      <c r="M47" s="1444"/>
      <c r="N47" s="1445"/>
      <c r="O47" s="534" t="str">
        <f t="shared" si="1"/>
        <v xml:space="preserve"> </v>
      </c>
      <c r="P47" s="534" t="str">
        <f t="shared" si="2"/>
        <v xml:space="preserve"> </v>
      </c>
      <c r="Q47" s="180" t="str">
        <f t="shared" si="3"/>
        <v xml:space="preserve"> </v>
      </c>
      <c r="S47" s="167"/>
      <c r="T47" s="170"/>
      <c r="U47" s="167"/>
      <c r="V47" s="170"/>
    </row>
    <row r="48" spans="1:31" ht="12" customHeight="1" x14ac:dyDescent="0.3">
      <c r="A48" s="1446" t="str">
        <f>IF('3-Schopnosti'!A29=0," ",'3-Schopnosti'!A29)</f>
        <v>Boj s netvory</v>
      </c>
      <c r="B48" s="1447"/>
      <c r="C48" s="1447"/>
      <c r="D48" s="1447"/>
      <c r="E48" s="532" t="str">
        <f>IF('3-Schopnosti'!C29=0," ",'3-Schopnosti'!C29)</f>
        <v>X</v>
      </c>
      <c r="F48" s="1452" t="str">
        <f>IF('3-Schopnosti'!B29=0," ",'3-Schopnosti'!B29)</f>
        <v xml:space="preserve"> </v>
      </c>
      <c r="G48" s="1453"/>
      <c r="H48" s="175"/>
      <c r="I48" s="1443" t="str">
        <f t="shared" si="0"/>
        <v xml:space="preserve"> </v>
      </c>
      <c r="J48" s="1444"/>
      <c r="K48" s="1444"/>
      <c r="L48" s="1444"/>
      <c r="M48" s="1444"/>
      <c r="N48" s="1445"/>
      <c r="O48" s="534" t="str">
        <f t="shared" si="1"/>
        <v xml:space="preserve"> </v>
      </c>
      <c r="P48" s="534" t="str">
        <f t="shared" si="2"/>
        <v xml:space="preserve"> </v>
      </c>
      <c r="Q48" s="180" t="str">
        <f t="shared" si="3"/>
        <v xml:space="preserve"> </v>
      </c>
      <c r="S48" s="167"/>
      <c r="T48" s="170"/>
      <c r="U48" s="167"/>
      <c r="V48" s="170"/>
    </row>
    <row r="49" spans="1:22" ht="12" customHeight="1" x14ac:dyDescent="0.3">
      <c r="A49" s="1446" t="str">
        <f>IF('3-Schopnosti'!A30=0," ",'3-Schopnosti'!A30)</f>
        <v>Komunikace se zvířaty</v>
      </c>
      <c r="B49" s="1447"/>
      <c r="C49" s="1447"/>
      <c r="D49" s="1447"/>
      <c r="E49" s="532" t="str">
        <f>IF('3-Schopnosti'!C30=0," ",'3-Schopnosti'!C30)</f>
        <v>X</v>
      </c>
      <c r="F49" s="1452" t="str">
        <f>IF('3-Schopnosti'!B30=0," ",'3-Schopnosti'!B30)</f>
        <v xml:space="preserve"> </v>
      </c>
      <c r="G49" s="1453"/>
      <c r="H49" s="175"/>
      <c r="I49" s="1443" t="str">
        <f t="shared" si="0"/>
        <v xml:space="preserve"> </v>
      </c>
      <c r="J49" s="1444"/>
      <c r="K49" s="1444"/>
      <c r="L49" s="1444"/>
      <c r="M49" s="1444"/>
      <c r="N49" s="1445"/>
      <c r="O49" s="534" t="str">
        <f t="shared" si="1"/>
        <v xml:space="preserve"> </v>
      </c>
      <c r="P49" s="534" t="str">
        <f t="shared" si="2"/>
        <v xml:space="preserve"> </v>
      </c>
      <c r="Q49" s="180" t="str">
        <f t="shared" si="3"/>
        <v xml:space="preserve"> </v>
      </c>
    </row>
    <row r="50" spans="1:22" ht="12" customHeight="1" thickBot="1" x14ac:dyDescent="0.35">
      <c r="A50" s="1446" t="str">
        <f>IF('3-Schopnosti'!A31=0," ",'3-Schopnosti'!A31)</f>
        <v>Odhad povahy</v>
      </c>
      <c r="B50" s="1447"/>
      <c r="C50" s="1447"/>
      <c r="D50" s="1447"/>
      <c r="E50" s="532" t="str">
        <f>IF('3-Schopnosti'!C31=0," ",'3-Schopnosti'!C31)</f>
        <v>X</v>
      </c>
      <c r="F50" s="1452" t="str">
        <f>IF('3-Schopnosti'!B31=0," ",'3-Schopnosti'!B31)</f>
        <v xml:space="preserve"> </v>
      </c>
      <c r="G50" s="1453"/>
      <c r="H50" s="175"/>
      <c r="I50" s="1443" t="str">
        <f t="shared" si="0"/>
        <v xml:space="preserve"> </v>
      </c>
      <c r="J50" s="1444"/>
      <c r="K50" s="1444"/>
      <c r="L50" s="1444"/>
      <c r="M50" s="1444"/>
      <c r="N50" s="1445"/>
      <c r="O50" s="534" t="str">
        <f t="shared" si="1"/>
        <v xml:space="preserve"> </v>
      </c>
      <c r="P50" s="534" t="str">
        <f t="shared" si="2"/>
        <v xml:space="preserve"> </v>
      </c>
      <c r="Q50" s="180" t="str">
        <f t="shared" si="3"/>
        <v xml:space="preserve"> </v>
      </c>
      <c r="S50" s="1454" t="s">
        <v>575</v>
      </c>
      <c r="T50" s="1455"/>
      <c r="U50" s="1455"/>
      <c r="V50" s="1456"/>
    </row>
    <row r="51" spans="1:22" ht="12" customHeight="1" x14ac:dyDescent="0.3">
      <c r="A51" s="1446" t="str">
        <f>IF('3-Schopnosti'!A32=0," ",'3-Schopnosti'!A32)</f>
        <v>Rychlý pochod</v>
      </c>
      <c r="B51" s="1447"/>
      <c r="C51" s="1447"/>
      <c r="D51" s="1447"/>
      <c r="E51" s="532" t="str">
        <f>IF('3-Schopnosti'!C32=0," ",'3-Schopnosti'!C32)</f>
        <v>X</v>
      </c>
      <c r="F51" s="1452" t="str">
        <f>IF('3-Schopnosti'!B32=0," ",'3-Schopnosti'!B32)</f>
        <v xml:space="preserve"> </v>
      </c>
      <c r="G51" s="1453"/>
      <c r="H51" s="175"/>
      <c r="I51" s="1460" t="str">
        <f>IF(AG12=0," ",AG12)</f>
        <v>Jazyk - Obecná řeč</v>
      </c>
      <c r="J51" s="1461"/>
      <c r="K51" s="1461"/>
      <c r="L51" s="1461"/>
      <c r="M51" s="1461"/>
      <c r="N51" s="1462"/>
      <c r="O51" s="539">
        <f>IF(AJ12=0," ",AJ12)</f>
        <v>-2</v>
      </c>
      <c r="P51" s="539" t="str">
        <f>IF(AI12=0," ",AI12)</f>
        <v>Průměrně</v>
      </c>
      <c r="Q51" s="538" t="str">
        <f>IF(AH12=0," ",AH12)</f>
        <v>INT</v>
      </c>
      <c r="S51" s="1463" t="s">
        <v>576</v>
      </c>
      <c r="T51" s="1464"/>
      <c r="U51" s="1463" t="s">
        <v>577</v>
      </c>
      <c r="V51" s="1467"/>
    </row>
    <row r="52" spans="1:22" ht="12" customHeight="1" x14ac:dyDescent="0.3">
      <c r="A52" s="1446" t="str">
        <f>IF('3-Schopnosti'!A33=0," ",'3-Schopnosti'!A33)</f>
        <v>Život na cestách</v>
      </c>
      <c r="B52" s="1447"/>
      <c r="C52" s="1447"/>
      <c r="D52" s="1447"/>
      <c r="E52" s="532" t="str">
        <f>IF('3-Schopnosti'!C33=0," ",'3-Schopnosti'!C33)</f>
        <v>X</v>
      </c>
      <c r="F52" s="1452" t="str">
        <f>IF('3-Schopnosti'!B33=0," ",'3-Schopnosti'!B33)</f>
        <v xml:space="preserve"> </v>
      </c>
      <c r="G52" s="1453"/>
      <c r="H52" s="175"/>
      <c r="I52" s="1443" t="str">
        <f>IF(AG13=0," ",AG13)</f>
        <v xml:space="preserve"> </v>
      </c>
      <c r="J52" s="1444"/>
      <c r="K52" s="1444"/>
      <c r="L52" s="1444"/>
      <c r="M52" s="1444"/>
      <c r="N52" s="1445"/>
      <c r="O52" s="534" t="str">
        <f>IF(AJ13=0," ",AJ13)</f>
        <v xml:space="preserve"> </v>
      </c>
      <c r="P52" s="534" t="str">
        <f>IF(AI13=0," ",AI13)</f>
        <v xml:space="preserve"> </v>
      </c>
      <c r="Q52" s="416" t="str">
        <f>IF(AH13=0," ",AH13)</f>
        <v xml:space="preserve"> </v>
      </c>
      <c r="S52" s="1465"/>
      <c r="T52" s="1466"/>
      <c r="U52" s="1465"/>
      <c r="V52" s="1468"/>
    </row>
    <row r="53" spans="1:22" ht="12" customHeight="1" x14ac:dyDescent="0.3">
      <c r="A53" s="1446" t="str">
        <f>IF('3-Schopnosti'!A34=0," ",'3-Schopnosti'!A34)</f>
        <v>Mistrovský boj s dl.meči</v>
      </c>
      <c r="B53" s="1447"/>
      <c r="C53" s="1447"/>
      <c r="D53" s="1447"/>
      <c r="E53" s="532" t="str">
        <f>IF('3-Schopnosti'!C34=0," ",'3-Schopnosti'!C34)</f>
        <v>X</v>
      </c>
      <c r="F53" s="1452" t="str">
        <f>IF('3-Schopnosti'!B34=0," ",'3-Schopnosti'!B34)</f>
        <v xml:space="preserve"> </v>
      </c>
      <c r="G53" s="1453"/>
      <c r="H53" s="175"/>
      <c r="I53" s="1443" t="str">
        <f>IF(AG14=0," ",AG14)</f>
        <v xml:space="preserve"> </v>
      </c>
      <c r="J53" s="1444"/>
      <c r="K53" s="1444"/>
      <c r="L53" s="1444"/>
      <c r="M53" s="1444"/>
      <c r="N53" s="1445"/>
      <c r="O53" s="534" t="str">
        <f>IF(AJ14=0," ",AJ14)</f>
        <v xml:space="preserve"> </v>
      </c>
      <c r="P53" s="534" t="str">
        <f>IF(AI14=0," ",AI14)</f>
        <v xml:space="preserve"> </v>
      </c>
      <c r="Q53" s="416" t="str">
        <f>IF(AH14=0," ",AH14)</f>
        <v xml:space="preserve"> </v>
      </c>
    </row>
    <row r="54" spans="1:22" ht="12" customHeight="1" x14ac:dyDescent="0.3">
      <c r="A54" s="1446" t="str">
        <f>IF('3-Schopnosti'!A35=0," ",'3-Schopnosti'!A35)</f>
        <v>Neovlivnitelnost</v>
      </c>
      <c r="B54" s="1447"/>
      <c r="C54" s="1447"/>
      <c r="D54" s="1447"/>
      <c r="E54" s="532" t="str">
        <f>IF('3-Schopnosti'!C35=0," ",'3-Schopnosti'!C35)</f>
        <v>X</v>
      </c>
      <c r="F54" s="1452" t="str">
        <f>IF('3-Schopnosti'!B35=0," ",'3-Schopnosti'!B35)</f>
        <v xml:space="preserve"> </v>
      </c>
      <c r="G54" s="1453"/>
      <c r="H54" s="175"/>
      <c r="I54" s="1443" t="str">
        <f>IF(AG15=0," ",AG15)</f>
        <v xml:space="preserve"> </v>
      </c>
      <c r="J54" s="1444"/>
      <c r="K54" s="1444"/>
      <c r="L54" s="1444"/>
      <c r="M54" s="1444"/>
      <c r="N54" s="1445"/>
      <c r="O54" s="534" t="str">
        <f>IF(AJ15=0," ",AJ15)</f>
        <v xml:space="preserve"> </v>
      </c>
      <c r="P54" s="534" t="str">
        <f>IF(AI15=0," ",AI15)</f>
        <v xml:space="preserve"> </v>
      </c>
      <c r="Q54" s="416" t="str">
        <f>IF(AH15=0," ",AH15)</f>
        <v xml:space="preserve"> </v>
      </c>
      <c r="S54" s="1454" t="s">
        <v>48</v>
      </c>
      <c r="T54" s="1455"/>
      <c r="U54" s="1455"/>
      <c r="V54" s="1456"/>
    </row>
    <row r="55" spans="1:22" ht="12" customHeight="1" x14ac:dyDescent="0.3">
      <c r="A55" s="1446" t="str">
        <f>IF('3-Schopnosti'!A36=0," ",'3-Schopnosti'!A36)</f>
        <v>Bylinkaření</v>
      </c>
      <c r="B55" s="1447"/>
      <c r="C55" s="1447"/>
      <c r="D55" s="1447"/>
      <c r="E55" s="532" t="str">
        <f>IF('3-Schopnosti'!C36=0," ",'3-Schopnosti'!C36)</f>
        <v xml:space="preserve"> </v>
      </c>
      <c r="F55" s="1452" t="str">
        <f>IF('3-Schopnosti'!B36=0," ",'3-Schopnosti'!B36)</f>
        <v xml:space="preserve"> </v>
      </c>
      <c r="G55" s="1453"/>
      <c r="H55" s="175"/>
      <c r="I55" s="1443" t="str">
        <f>IF(AG16=0," ",AG16)</f>
        <v xml:space="preserve"> </v>
      </c>
      <c r="J55" s="1444"/>
      <c r="K55" s="1444"/>
      <c r="L55" s="1444"/>
      <c r="M55" s="1444"/>
      <c r="N55" s="1445"/>
      <c r="O55" s="534" t="str">
        <f>IF(AJ16=0," ",AJ16)</f>
        <v xml:space="preserve"> </v>
      </c>
      <c r="P55" s="534" t="str">
        <f>IF(AI16=0," ",AI16)</f>
        <v xml:space="preserve"> </v>
      </c>
      <c r="Q55" s="416" t="str">
        <f>IF(AH16=0," ",AH16)</f>
        <v xml:space="preserve"> </v>
      </c>
      <c r="S55" s="1457" t="s">
        <v>578</v>
      </c>
      <c r="T55" s="1458"/>
      <c r="U55" s="1458"/>
      <c r="V55" s="1459"/>
    </row>
    <row r="56" spans="1:22" ht="12" customHeight="1" x14ac:dyDescent="0.3">
      <c r="A56" s="1446" t="str">
        <f>IF('3-Schopnosti'!A37=0," ",'3-Schopnosti'!A37)</f>
        <v>Ochočování zvířat</v>
      </c>
      <c r="B56" s="1447"/>
      <c r="C56" s="1447"/>
      <c r="D56" s="1447"/>
      <c r="E56" s="532" t="str">
        <f>IF('3-Schopnosti'!C37=0," ",'3-Schopnosti'!C37)</f>
        <v xml:space="preserve"> </v>
      </c>
      <c r="F56" s="1452" t="str">
        <f>IF('3-Schopnosti'!B37=0," ",'3-Schopnosti'!B37)</f>
        <v xml:space="preserve"> </v>
      </c>
      <c r="G56" s="1453"/>
      <c r="H56" s="175"/>
      <c r="I56" s="1443" t="str">
        <f t="shared" ref="I56:I70" si="4">IF(AG18=0," ",AG18)</f>
        <v xml:space="preserve"> </v>
      </c>
      <c r="J56" s="1444"/>
      <c r="K56" s="1444"/>
      <c r="L56" s="1444"/>
      <c r="M56" s="1444"/>
      <c r="N56" s="1445"/>
      <c r="O56" s="534" t="str">
        <f t="shared" ref="O56:O70" si="5">IF(AJ18=0," ",AJ18)</f>
        <v xml:space="preserve"> </v>
      </c>
      <c r="P56" s="534" t="str">
        <f t="shared" ref="P56:P70" si="6">IF(AI18=0," ",AI18)</f>
        <v xml:space="preserve"> </v>
      </c>
      <c r="Q56" s="535" t="str">
        <f t="shared" ref="Q56:Q70" si="7">IF(AH18=0," ",AH18)</f>
        <v xml:space="preserve"> </v>
      </c>
      <c r="S56" s="1457"/>
      <c r="T56" s="1458"/>
      <c r="U56" s="1458"/>
      <c r="V56" s="1459"/>
    </row>
    <row r="57" spans="1:22" ht="12" customHeight="1" x14ac:dyDescent="0.3">
      <c r="A57" s="1446" t="str">
        <f>IF('3-Schopnosti'!A38=0," ",'3-Schopnosti'!A38)</f>
        <v>Kouzla pocestných</v>
      </c>
      <c r="B57" s="1447"/>
      <c r="C57" s="1447"/>
      <c r="D57" s="1447"/>
      <c r="E57" s="532" t="str">
        <f>IF('3-Schopnosti'!C38=0," ",'3-Schopnosti'!C38)</f>
        <v>X</v>
      </c>
      <c r="F57" s="1452" t="str">
        <f>IF('3-Schopnosti'!B38=0," ",'3-Schopnosti'!B38)</f>
        <v xml:space="preserve"> </v>
      </c>
      <c r="G57" s="1453"/>
      <c r="H57" s="175"/>
      <c r="I57" s="1443" t="str">
        <f t="shared" si="4"/>
        <v xml:space="preserve"> </v>
      </c>
      <c r="J57" s="1444"/>
      <c r="K57" s="1444"/>
      <c r="L57" s="1444"/>
      <c r="M57" s="1444"/>
      <c r="N57" s="1445"/>
      <c r="O57" s="534" t="str">
        <f t="shared" si="5"/>
        <v xml:space="preserve"> </v>
      </c>
      <c r="P57" s="534" t="str">
        <f t="shared" si="6"/>
        <v xml:space="preserve"> </v>
      </c>
      <c r="Q57" s="416" t="str">
        <f t="shared" si="7"/>
        <v xml:space="preserve"> </v>
      </c>
      <c r="S57" s="1457" t="s">
        <v>579</v>
      </c>
      <c r="T57" s="1458"/>
      <c r="U57" s="1458"/>
      <c r="V57" s="1459"/>
    </row>
    <row r="58" spans="1:22" ht="12" customHeight="1" x14ac:dyDescent="0.3">
      <c r="A58" s="1446" t="str">
        <f>IF('3-Schopnosti'!A39=0," ",'3-Schopnosti'!A39)</f>
        <v>L: Ošetři lehká zranění</v>
      </c>
      <c r="B58" s="1447"/>
      <c r="C58" s="1447"/>
      <c r="D58" s="1447"/>
      <c r="E58" s="532" t="str">
        <f>IF('3-Schopnosti'!C39=0," ",'3-Schopnosti'!C39)</f>
        <v>X</v>
      </c>
      <c r="F58" s="1452" t="str">
        <f>IF('3-Schopnosti'!B39=0," ",'3-Schopnosti'!B39)</f>
        <v xml:space="preserve"> </v>
      </c>
      <c r="G58" s="1453"/>
      <c r="H58" s="175"/>
      <c r="I58" s="1443" t="str">
        <f t="shared" si="4"/>
        <v xml:space="preserve"> </v>
      </c>
      <c r="J58" s="1444"/>
      <c r="K58" s="1444"/>
      <c r="L58" s="1444"/>
      <c r="M58" s="1444"/>
      <c r="N58" s="1445"/>
      <c r="O58" s="534" t="str">
        <f t="shared" si="5"/>
        <v xml:space="preserve"> </v>
      </c>
      <c r="P58" s="534" t="str">
        <f t="shared" si="6"/>
        <v xml:space="preserve"> </v>
      </c>
      <c r="Q58" s="416" t="str">
        <f t="shared" si="7"/>
        <v xml:space="preserve"> </v>
      </c>
      <c r="S58" s="1457"/>
      <c r="T58" s="1458"/>
      <c r="U58" s="1458"/>
      <c r="V58" s="1459"/>
    </row>
    <row r="59" spans="1:22" ht="12" customHeight="1" x14ac:dyDescent="0.3">
      <c r="A59" s="1446" t="str">
        <f>IF('3-Schopnosti'!A40=0," ",'3-Schopnosti'!A40)</f>
        <v>Meditace</v>
      </c>
      <c r="B59" s="1447"/>
      <c r="C59" s="1447"/>
      <c r="D59" s="1447"/>
      <c r="E59" s="532" t="str">
        <f>IF('3-Schopnosti'!C40=0," ",'3-Schopnosti'!C40)</f>
        <v>1sm.+1sm./zdroj</v>
      </c>
      <c r="F59" s="1452" t="str">
        <f>IF('3-Schopnosti'!B40=0," ",'3-Schopnosti'!B40)</f>
        <v xml:space="preserve"> </v>
      </c>
      <c r="G59" s="1453"/>
      <c r="H59" s="175"/>
      <c r="I59" s="1443" t="str">
        <f t="shared" si="4"/>
        <v xml:space="preserve"> </v>
      </c>
      <c r="J59" s="1444"/>
      <c r="K59" s="1444"/>
      <c r="L59" s="1444"/>
      <c r="M59" s="1444"/>
      <c r="N59" s="1445"/>
      <c r="O59" s="534" t="str">
        <f t="shared" si="5"/>
        <v xml:space="preserve"> </v>
      </c>
      <c r="P59" s="534" t="str">
        <f t="shared" si="6"/>
        <v xml:space="preserve"> </v>
      </c>
      <c r="Q59" s="535" t="str">
        <f t="shared" si="7"/>
        <v xml:space="preserve"> </v>
      </c>
      <c r="S59" s="1457" t="s">
        <v>580</v>
      </c>
      <c r="T59" s="1458"/>
      <c r="U59" s="1458"/>
      <c r="V59" s="1459"/>
    </row>
    <row r="60" spans="1:22" ht="12" customHeight="1" x14ac:dyDescent="0.3">
      <c r="A60" s="1" t="s">
        <v>5017</v>
      </c>
      <c r="B60" s="1"/>
      <c r="C60" s="1"/>
      <c r="D60" s="1"/>
      <c r="E60" s="1"/>
      <c r="F60" s="1"/>
      <c r="G60" s="1"/>
      <c r="H60" s="175"/>
      <c r="I60" s="1443" t="str">
        <f t="shared" si="4"/>
        <v xml:space="preserve"> </v>
      </c>
      <c r="J60" s="1444"/>
      <c r="K60" s="1444"/>
      <c r="L60" s="1444"/>
      <c r="M60" s="1444"/>
      <c r="N60" s="1445"/>
      <c r="O60" s="534" t="str">
        <f t="shared" si="5"/>
        <v xml:space="preserve"> </v>
      </c>
      <c r="P60" s="534" t="str">
        <f t="shared" si="6"/>
        <v xml:space="preserve"> </v>
      </c>
      <c r="Q60" s="416" t="str">
        <f t="shared" si="7"/>
        <v xml:space="preserve"> </v>
      </c>
      <c r="S60" s="1457"/>
      <c r="T60" s="1458"/>
      <c r="U60" s="1458"/>
      <c r="V60" s="1459"/>
    </row>
    <row r="61" spans="1:22" ht="12" customHeight="1" x14ac:dyDescent="0.3">
      <c r="A61" s="1446" t="str">
        <f>IF('6-Kouzla'!A4=0," ",'6-Kouzla'!A4)</f>
        <v xml:space="preserve"> </v>
      </c>
      <c r="B61" s="1447"/>
      <c r="C61" s="1447"/>
      <c r="D61" s="1447"/>
      <c r="E61" s="532" t="str">
        <f>IF('6-Kouzla'!A4=0," ",CONCATENATE('6-Kouzla'!D4," mg; ",'6-Kouzla'!E4,"; Prof. ",'6-Kouzla'!I4))</f>
        <v xml:space="preserve"> </v>
      </c>
      <c r="F61" s="1446" t="str">
        <f>IF('6-Kouzla'!A4=0," ",CONCATENATE("Znal. ",'6-Kouzla'!G4))</f>
        <v xml:space="preserve"> </v>
      </c>
      <c r="G61" s="1448"/>
      <c r="H61" s="175"/>
      <c r="I61" s="1443" t="str">
        <f t="shared" si="4"/>
        <v xml:space="preserve"> </v>
      </c>
      <c r="J61" s="1444"/>
      <c r="K61" s="1444"/>
      <c r="L61" s="1444"/>
      <c r="M61" s="1444"/>
      <c r="N61" s="1445"/>
      <c r="O61" s="534" t="str">
        <f t="shared" si="5"/>
        <v xml:space="preserve"> </v>
      </c>
      <c r="P61" s="534" t="str">
        <f t="shared" si="6"/>
        <v xml:space="preserve"> </v>
      </c>
      <c r="Q61" s="416" t="str">
        <f t="shared" si="7"/>
        <v xml:space="preserve"> </v>
      </c>
    </row>
    <row r="62" spans="1:22" ht="12" customHeight="1" x14ac:dyDescent="0.3">
      <c r="A62" s="1446" t="str">
        <f>IF('6-Kouzla'!A5=0," ",'6-Kouzla'!A5)</f>
        <v xml:space="preserve"> </v>
      </c>
      <c r="B62" s="1447"/>
      <c r="C62" s="1447"/>
      <c r="D62" s="1447"/>
      <c r="E62" s="566" t="str">
        <f>IF('6-Kouzla'!A5=0," ",CONCATENATE('6-Kouzla'!D5," mg; ",'6-Kouzla'!E5,"; Prof. ",'6-Kouzla'!I5))</f>
        <v xml:space="preserve"> </v>
      </c>
      <c r="F62" s="1446" t="str">
        <f>IF('6-Kouzla'!A5=0," ",CONCATENATE("Znal. ",'6-Kouzla'!G5))</f>
        <v xml:space="preserve"> </v>
      </c>
      <c r="G62" s="1448"/>
      <c r="H62" s="175"/>
      <c r="I62" s="1443" t="str">
        <f t="shared" si="4"/>
        <v xml:space="preserve"> </v>
      </c>
      <c r="J62" s="1444"/>
      <c r="K62" s="1444"/>
      <c r="L62" s="1444"/>
      <c r="M62" s="1444"/>
      <c r="N62" s="1445"/>
      <c r="O62" s="534" t="str">
        <f t="shared" si="5"/>
        <v xml:space="preserve"> </v>
      </c>
      <c r="P62" s="534" t="str">
        <f t="shared" si="6"/>
        <v xml:space="preserve"> </v>
      </c>
      <c r="Q62" s="416" t="str">
        <f t="shared" si="7"/>
        <v xml:space="preserve"> </v>
      </c>
      <c r="S62" s="1450" t="s">
        <v>50</v>
      </c>
      <c r="T62" s="1451"/>
      <c r="U62" s="1451"/>
      <c r="V62" s="1451"/>
    </row>
    <row r="63" spans="1:22" ht="12" customHeight="1" x14ac:dyDescent="0.3">
      <c r="A63" s="1446" t="str">
        <f>IF('6-Kouzla'!A6=0," ",'6-Kouzla'!A6)</f>
        <v xml:space="preserve"> </v>
      </c>
      <c r="B63" s="1447"/>
      <c r="C63" s="1447"/>
      <c r="D63" s="1447"/>
      <c r="E63" s="566" t="str">
        <f>IF('6-Kouzla'!A6=0," ",CONCATENATE('6-Kouzla'!D6," mg; ",'6-Kouzla'!E6,"; Prof. ",'6-Kouzla'!I6))</f>
        <v xml:space="preserve"> </v>
      </c>
      <c r="F63" s="1446" t="str">
        <f>IF('6-Kouzla'!A6=0," ",CONCATENATE("Znal. ",'6-Kouzla'!G6))</f>
        <v xml:space="preserve"> </v>
      </c>
      <c r="G63" s="1448"/>
      <c r="H63" s="175"/>
      <c r="I63" s="1443" t="str">
        <f t="shared" si="4"/>
        <v xml:space="preserve"> </v>
      </c>
      <c r="J63" s="1444"/>
      <c r="K63" s="1444"/>
      <c r="L63" s="1444"/>
      <c r="M63" s="1444"/>
      <c r="N63" s="1445"/>
      <c r="O63" s="534" t="str">
        <f t="shared" si="5"/>
        <v xml:space="preserve"> </v>
      </c>
      <c r="P63" s="534" t="str">
        <f t="shared" si="6"/>
        <v xml:space="preserve"> </v>
      </c>
      <c r="Q63" s="416" t="str">
        <f t="shared" si="7"/>
        <v xml:space="preserve"> </v>
      </c>
      <c r="S63" s="1449" t="s">
        <v>581</v>
      </c>
      <c r="T63" s="1449"/>
      <c r="U63" s="1449"/>
      <c r="V63" s="1449"/>
    </row>
    <row r="64" spans="1:22" ht="12" customHeight="1" x14ac:dyDescent="0.3">
      <c r="A64" s="1446" t="str">
        <f>IF('6-Kouzla'!A7=0," ",'6-Kouzla'!A7)</f>
        <v xml:space="preserve"> </v>
      </c>
      <c r="B64" s="1447"/>
      <c r="C64" s="1447"/>
      <c r="D64" s="1447"/>
      <c r="E64" s="566" t="str">
        <f>IF('6-Kouzla'!A7=0," ",CONCATENATE('6-Kouzla'!D7," mg; ",'6-Kouzla'!E7,"; Prof. ",'6-Kouzla'!I7))</f>
        <v xml:space="preserve"> </v>
      </c>
      <c r="F64" s="1446" t="str">
        <f>IF('6-Kouzla'!A7=0," ",CONCATENATE("Znal. ",'6-Kouzla'!G7))</f>
        <v xml:space="preserve"> </v>
      </c>
      <c r="G64" s="1448"/>
      <c r="H64" s="175"/>
      <c r="I64" s="1443" t="str">
        <f t="shared" si="4"/>
        <v xml:space="preserve"> </v>
      </c>
      <c r="J64" s="1444"/>
      <c r="K64" s="1444"/>
      <c r="L64" s="1444"/>
      <c r="M64" s="1444"/>
      <c r="N64" s="1445"/>
      <c r="O64" s="534" t="str">
        <f t="shared" si="5"/>
        <v xml:space="preserve"> </v>
      </c>
      <c r="P64" s="534" t="str">
        <f t="shared" si="6"/>
        <v xml:space="preserve"> </v>
      </c>
      <c r="Q64" s="416" t="str">
        <f t="shared" si="7"/>
        <v xml:space="preserve"> </v>
      </c>
      <c r="S64" s="1449"/>
      <c r="T64" s="1449"/>
      <c r="U64" s="1449"/>
      <c r="V64" s="1449"/>
    </row>
    <row r="65" spans="1:36" ht="12" customHeight="1" x14ac:dyDescent="0.3">
      <c r="A65" s="1446" t="str">
        <f>IF('6-Kouzla'!A8=0," ",'6-Kouzla'!A8)</f>
        <v xml:space="preserve"> </v>
      </c>
      <c r="B65" s="1447"/>
      <c r="C65" s="1447"/>
      <c r="D65" s="1447"/>
      <c r="E65" s="566" t="str">
        <f>IF('6-Kouzla'!A8=0," ",CONCATENATE('6-Kouzla'!D8," mg; ",'6-Kouzla'!E8,"; Prof. ",'6-Kouzla'!I8))</f>
        <v xml:space="preserve"> </v>
      </c>
      <c r="F65" s="1446" t="str">
        <f>IF('6-Kouzla'!A8=0," ",CONCATENATE("Znal. ",'6-Kouzla'!G8))</f>
        <v xml:space="preserve"> </v>
      </c>
      <c r="G65" s="1448"/>
      <c r="H65" s="175"/>
      <c r="I65" s="1443" t="str">
        <f t="shared" si="4"/>
        <v xml:space="preserve"> </v>
      </c>
      <c r="J65" s="1444"/>
      <c r="K65" s="1444"/>
      <c r="L65" s="1444"/>
      <c r="M65" s="1444"/>
      <c r="N65" s="1445"/>
      <c r="O65" s="534" t="str">
        <f t="shared" si="5"/>
        <v xml:space="preserve"> </v>
      </c>
      <c r="P65" s="534" t="str">
        <f t="shared" si="6"/>
        <v xml:space="preserve"> </v>
      </c>
      <c r="Q65" s="416" t="str">
        <f t="shared" si="7"/>
        <v xml:space="preserve"> </v>
      </c>
      <c r="S65" s="1449" t="s">
        <v>582</v>
      </c>
      <c r="T65" s="1449"/>
      <c r="U65" s="1449" t="s">
        <v>583</v>
      </c>
      <c r="V65" s="1449"/>
    </row>
    <row r="66" spans="1:36" ht="12" customHeight="1" x14ac:dyDescent="0.3">
      <c r="A66" s="1446" t="str">
        <f>IF('6-Kouzla'!A9=0," ",'6-Kouzla'!A9)</f>
        <v xml:space="preserve"> </v>
      </c>
      <c r="B66" s="1447"/>
      <c r="C66" s="1447"/>
      <c r="D66" s="1447"/>
      <c r="E66" s="566" t="str">
        <f>IF('6-Kouzla'!A9=0," ",CONCATENATE('6-Kouzla'!D9," mg; ",'6-Kouzla'!E9,"; Prof. ",'6-Kouzla'!I9))</f>
        <v xml:space="preserve"> </v>
      </c>
      <c r="F66" s="1446" t="str">
        <f>IF('6-Kouzla'!A9=0," ",CONCATENATE("Znal. ",'6-Kouzla'!G9))</f>
        <v xml:space="preserve"> </v>
      </c>
      <c r="G66" s="1448"/>
      <c r="H66" s="175"/>
      <c r="I66" s="1443" t="str">
        <f t="shared" si="4"/>
        <v xml:space="preserve"> </v>
      </c>
      <c r="J66" s="1444"/>
      <c r="K66" s="1444"/>
      <c r="L66" s="1444"/>
      <c r="M66" s="1444"/>
      <c r="N66" s="1445"/>
      <c r="O66" s="534" t="str">
        <f t="shared" si="5"/>
        <v xml:space="preserve"> </v>
      </c>
      <c r="P66" s="534" t="str">
        <f t="shared" si="6"/>
        <v xml:space="preserve"> </v>
      </c>
      <c r="Q66" s="416" t="str">
        <f t="shared" si="7"/>
        <v xml:space="preserve"> </v>
      </c>
      <c r="S66" s="1449"/>
      <c r="T66" s="1449"/>
      <c r="U66" s="1449"/>
      <c r="V66" s="1449"/>
    </row>
    <row r="67" spans="1:36" ht="12" customHeight="1" x14ac:dyDescent="0.3">
      <c r="A67" s="1446" t="str">
        <f>IF('6-Kouzla'!A10=0," ",'6-Kouzla'!A10)</f>
        <v xml:space="preserve"> </v>
      </c>
      <c r="B67" s="1447"/>
      <c r="C67" s="1447"/>
      <c r="D67" s="1447"/>
      <c r="E67" s="566" t="str">
        <f>IF('6-Kouzla'!A10=0," ",CONCATENATE('6-Kouzla'!D10," mg; ",'6-Kouzla'!E10,"; Prof. ",'6-Kouzla'!I10))</f>
        <v xml:space="preserve"> </v>
      </c>
      <c r="F67" s="1446" t="str">
        <f>IF('6-Kouzla'!A10=0," ",CONCATENATE("Znal. ",'6-Kouzla'!G10))</f>
        <v xml:space="preserve"> </v>
      </c>
      <c r="G67" s="1448"/>
      <c r="I67" s="1443" t="str">
        <f t="shared" si="4"/>
        <v xml:space="preserve"> </v>
      </c>
      <c r="J67" s="1444"/>
      <c r="K67" s="1444"/>
      <c r="L67" s="1444"/>
      <c r="M67" s="1444"/>
      <c r="N67" s="1445"/>
      <c r="O67" s="534" t="str">
        <f t="shared" si="5"/>
        <v xml:space="preserve"> </v>
      </c>
      <c r="P67" s="534" t="str">
        <f t="shared" si="6"/>
        <v xml:space="preserve"> </v>
      </c>
      <c r="Q67" s="416" t="str">
        <f t="shared" si="7"/>
        <v xml:space="preserve"> </v>
      </c>
      <c r="S67" s="1449"/>
      <c r="T67" s="1449"/>
      <c r="U67" s="1449"/>
      <c r="V67" s="1449"/>
    </row>
    <row r="68" spans="1:36" ht="12" customHeight="1" x14ac:dyDescent="0.3">
      <c r="A68" s="1446" t="str">
        <f>IF('6-Kouzla'!A11=0," ",'6-Kouzla'!A11)</f>
        <v xml:space="preserve"> </v>
      </c>
      <c r="B68" s="1447"/>
      <c r="C68" s="1447"/>
      <c r="D68" s="1447"/>
      <c r="E68" s="566" t="str">
        <f>IF('6-Kouzla'!A11=0," ",CONCATENATE('6-Kouzla'!D11," mg; ",'6-Kouzla'!E11,"; Prof. ",'6-Kouzla'!I11))</f>
        <v xml:space="preserve"> </v>
      </c>
      <c r="F68" s="1446" t="str">
        <f>IF('6-Kouzla'!A11=0," ",CONCATENATE("Znal. ",'6-Kouzla'!G11))</f>
        <v xml:space="preserve"> </v>
      </c>
      <c r="G68" s="1448"/>
      <c r="I68" s="1443" t="str">
        <f t="shared" si="4"/>
        <v xml:space="preserve"> </v>
      </c>
      <c r="J68" s="1444"/>
      <c r="K68" s="1444"/>
      <c r="L68" s="1444"/>
      <c r="M68" s="1444"/>
      <c r="N68" s="1445"/>
      <c r="O68" s="534" t="str">
        <f t="shared" si="5"/>
        <v xml:space="preserve"> </v>
      </c>
      <c r="P68" s="534" t="str">
        <f t="shared" si="6"/>
        <v xml:space="preserve"> </v>
      </c>
      <c r="Q68" s="416" t="str">
        <f t="shared" si="7"/>
        <v xml:space="preserve"> </v>
      </c>
      <c r="S68" s="1449"/>
      <c r="T68" s="1449"/>
      <c r="U68" s="1449"/>
      <c r="V68" s="1449"/>
    </row>
    <row r="69" spans="1:36" ht="12" customHeight="1" x14ac:dyDescent="0.3">
      <c r="A69" s="1446" t="str">
        <f>IF('6-Kouzla'!A12=0," ",'6-Kouzla'!A12)</f>
        <v xml:space="preserve"> </v>
      </c>
      <c r="B69" s="1447"/>
      <c r="C69" s="1447"/>
      <c r="D69" s="1447"/>
      <c r="E69" s="566" t="str">
        <f>IF('6-Kouzla'!A12=0," ",CONCATENATE('6-Kouzla'!D12," mg; ",'6-Kouzla'!E12,"; Prof. ",'6-Kouzla'!I12))</f>
        <v xml:space="preserve"> </v>
      </c>
      <c r="F69" s="1446" t="str">
        <f>IF('6-Kouzla'!A12=0," ",CONCATENATE("Znal. ",'6-Kouzla'!G12))</f>
        <v xml:space="preserve"> </v>
      </c>
      <c r="G69" s="1448"/>
      <c r="I69" s="1443" t="str">
        <f t="shared" si="4"/>
        <v xml:space="preserve"> </v>
      </c>
      <c r="J69" s="1444"/>
      <c r="K69" s="1444"/>
      <c r="L69" s="1444"/>
      <c r="M69" s="1444"/>
      <c r="N69" s="1445"/>
      <c r="O69" s="534" t="str">
        <f t="shared" si="5"/>
        <v xml:space="preserve"> </v>
      </c>
      <c r="P69" s="534" t="str">
        <f t="shared" si="6"/>
        <v xml:space="preserve"> </v>
      </c>
      <c r="Q69" s="416" t="str">
        <f t="shared" si="7"/>
        <v xml:space="preserve"> </v>
      </c>
      <c r="AB69" s="182"/>
      <c r="AC69" s="182"/>
      <c r="AD69" s="182"/>
      <c r="AE69" s="182"/>
      <c r="AF69" s="182"/>
      <c r="AG69" s="182"/>
      <c r="AH69" s="182"/>
      <c r="AI69" s="182"/>
      <c r="AJ69" s="182"/>
    </row>
    <row r="70" spans="1:36" s="182" customFormat="1" ht="12" customHeight="1" x14ac:dyDescent="0.3">
      <c r="A70" s="1446" t="str">
        <f>IF('6-Kouzla'!A13=0," ",'6-Kouzla'!A13)</f>
        <v xml:space="preserve"> </v>
      </c>
      <c r="B70" s="1447"/>
      <c r="C70" s="1447"/>
      <c r="D70" s="1447"/>
      <c r="E70" s="566" t="str">
        <f>IF('6-Kouzla'!A13=0," ",CONCATENATE('6-Kouzla'!D13," mg; ",'6-Kouzla'!E13,"; Prof. ",'6-Kouzla'!I13))</f>
        <v xml:space="preserve"> </v>
      </c>
      <c r="F70" s="1446" t="str">
        <f>IF('6-Kouzla'!A13=0," ",CONCATENATE("Znal. ",'6-Kouzla'!G13))</f>
        <v xml:space="preserve"> </v>
      </c>
      <c r="G70" s="1448"/>
      <c r="H70"/>
      <c r="I70" s="1443" t="str">
        <f t="shared" si="4"/>
        <v xml:space="preserve"> </v>
      </c>
      <c r="J70" s="1444"/>
      <c r="K70" s="1444"/>
      <c r="L70" s="1444"/>
      <c r="M70" s="1444"/>
      <c r="N70" s="1445"/>
      <c r="O70" s="534" t="str">
        <f t="shared" si="5"/>
        <v xml:space="preserve"> </v>
      </c>
      <c r="P70" s="534" t="str">
        <f t="shared" si="6"/>
        <v xml:space="preserve"> </v>
      </c>
      <c r="Q70" s="416" t="str">
        <f t="shared" si="7"/>
        <v xml:space="preserve"> </v>
      </c>
      <c r="S70" s="181"/>
      <c r="T70" s="181"/>
      <c r="U70" s="181"/>
      <c r="V70" s="181"/>
    </row>
    <row r="71" spans="1:36" s="182" customFormat="1" ht="5.25" customHeight="1" x14ac:dyDescent="0.3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S71" s="181"/>
      <c r="T71" s="181"/>
      <c r="U71" s="181"/>
      <c r="V71" s="181"/>
    </row>
    <row r="72" spans="1:36" s="182" customFormat="1" ht="21" x14ac:dyDescent="0.4">
      <c r="A72" s="558" t="s">
        <v>2939</v>
      </c>
      <c r="B72" s="557"/>
      <c r="C72" s="557"/>
      <c r="D72" s="557"/>
      <c r="R72" s="184"/>
      <c r="S72" s="183"/>
      <c r="T72" s="181"/>
      <c r="U72" s="181"/>
      <c r="V72" s="181"/>
    </row>
    <row r="73" spans="1:36" s="182" customFormat="1" ht="11.1" customHeight="1" x14ac:dyDescent="0.3">
      <c r="A73" s="1417" t="s">
        <v>567</v>
      </c>
      <c r="B73" s="1418"/>
      <c r="C73" s="1418"/>
      <c r="D73" s="1418"/>
      <c r="E73" s="1418"/>
      <c r="F73" s="1418"/>
      <c r="G73" s="1418"/>
      <c r="H73" s="1418"/>
      <c r="I73" s="1418"/>
      <c r="J73" s="1418"/>
      <c r="K73" s="1418"/>
      <c r="L73" s="1418"/>
      <c r="M73" s="1418"/>
      <c r="N73" s="1418"/>
      <c r="O73" s="1418"/>
      <c r="P73" s="1418"/>
      <c r="Q73" s="1419"/>
      <c r="R73" s="184"/>
      <c r="S73" s="183"/>
      <c r="T73" s="181"/>
      <c r="U73" s="181"/>
      <c r="V73" s="181"/>
    </row>
    <row r="74" spans="1:36" s="182" customFormat="1" ht="11.1" customHeight="1" x14ac:dyDescent="0.3">
      <c r="A74" s="1437"/>
      <c r="B74" s="1437"/>
      <c r="C74" s="1437"/>
      <c r="D74" s="1437"/>
      <c r="E74" s="1437"/>
      <c r="F74" s="1437"/>
      <c r="G74" s="559"/>
      <c r="H74"/>
      <c r="I74" s="1437"/>
      <c r="J74" s="1437"/>
      <c r="K74" s="1437"/>
      <c r="L74" s="1437"/>
      <c r="M74" s="1437"/>
      <c r="N74" s="1437"/>
      <c r="O74" s="1437"/>
      <c r="P74" s="1437"/>
      <c r="Q74" s="559"/>
      <c r="R74" s="184"/>
      <c r="S74" s="183"/>
      <c r="T74" s="181"/>
      <c r="U74" s="181"/>
      <c r="V74" s="181"/>
    </row>
    <row r="75" spans="1:36" s="182" customFormat="1" ht="11.1" customHeight="1" x14ac:dyDescent="0.3">
      <c r="A75" s="1420"/>
      <c r="B75" s="1420"/>
      <c r="C75" s="1420"/>
      <c r="D75" s="1420"/>
      <c r="E75" s="1420"/>
      <c r="F75" s="1420"/>
      <c r="G75" s="554"/>
      <c r="H75"/>
      <c r="I75" s="1420"/>
      <c r="J75" s="1420"/>
      <c r="K75" s="1420"/>
      <c r="L75" s="1420"/>
      <c r="M75" s="1420"/>
      <c r="N75" s="1420"/>
      <c r="O75" s="1420"/>
      <c r="P75" s="1420"/>
      <c r="Q75" s="554"/>
      <c r="R75" s="184"/>
      <c r="S75" s="183"/>
      <c r="T75" s="181"/>
      <c r="U75" s="181"/>
      <c r="V75" s="181"/>
    </row>
    <row r="76" spans="1:36" s="182" customFormat="1" ht="11.1" customHeight="1" x14ac:dyDescent="0.3">
      <c r="A76" s="1420"/>
      <c r="B76" s="1420"/>
      <c r="C76" s="1420"/>
      <c r="D76" s="1420"/>
      <c r="E76" s="1420"/>
      <c r="F76" s="1420"/>
      <c r="G76" s="554"/>
      <c r="H76"/>
      <c r="I76" s="1420"/>
      <c r="J76" s="1420"/>
      <c r="K76" s="1420"/>
      <c r="L76" s="1420"/>
      <c r="M76" s="1420"/>
      <c r="N76" s="1420"/>
      <c r="O76" s="1420"/>
      <c r="P76" s="1420"/>
      <c r="Q76" s="554"/>
      <c r="R76" s="184"/>
      <c r="S76" s="183"/>
      <c r="T76" s="181"/>
      <c r="U76" s="181"/>
      <c r="V76" s="181"/>
    </row>
    <row r="77" spans="1:36" s="182" customFormat="1" ht="11.1" customHeight="1" x14ac:dyDescent="0.3">
      <c r="A77" s="1420"/>
      <c r="B77" s="1420"/>
      <c r="C77" s="1420"/>
      <c r="D77" s="1420"/>
      <c r="E77" s="1420"/>
      <c r="F77" s="1420"/>
      <c r="G77" s="554"/>
      <c r="H77"/>
      <c r="I77" s="1420"/>
      <c r="J77" s="1420"/>
      <c r="K77" s="1420"/>
      <c r="L77" s="1420"/>
      <c r="M77" s="1420"/>
      <c r="N77" s="1420"/>
      <c r="O77" s="1420"/>
      <c r="P77" s="1420"/>
      <c r="Q77" s="554"/>
      <c r="R77" s="184"/>
      <c r="S77" s="183"/>
      <c r="T77" s="181"/>
      <c r="U77" s="181"/>
      <c r="V77" s="181"/>
    </row>
    <row r="78" spans="1:36" s="182" customFormat="1" ht="11.1" customHeight="1" x14ac:dyDescent="0.3">
      <c r="A78" s="1420"/>
      <c r="B78" s="1420"/>
      <c r="C78" s="1420"/>
      <c r="D78" s="1420"/>
      <c r="E78" s="1420"/>
      <c r="F78" s="1420"/>
      <c r="G78" s="554"/>
      <c r="H78"/>
      <c r="I78" s="1420"/>
      <c r="J78" s="1420"/>
      <c r="K78" s="1420"/>
      <c r="L78" s="1420"/>
      <c r="M78" s="1420"/>
      <c r="N78" s="1420"/>
      <c r="O78" s="1420"/>
      <c r="P78" s="1420"/>
      <c r="Q78" s="554"/>
      <c r="R78" s="184"/>
      <c r="S78" s="183"/>
      <c r="T78" s="181"/>
      <c r="U78" s="181"/>
      <c r="V78" s="181"/>
    </row>
    <row r="79" spans="1:36" s="182" customFormat="1" ht="11.1" customHeight="1" x14ac:dyDescent="0.3">
      <c r="A79" s="1438"/>
      <c r="B79" s="1438"/>
      <c r="C79" s="1438"/>
      <c r="D79" s="1438"/>
      <c r="E79" s="1438"/>
      <c r="F79" s="1438"/>
      <c r="G79" s="556"/>
      <c r="H79"/>
      <c r="I79" s="1438"/>
      <c r="J79" s="1438"/>
      <c r="K79" s="1438"/>
      <c r="L79" s="1438"/>
      <c r="M79" s="1438"/>
      <c r="N79" s="1438"/>
      <c r="O79" s="1438"/>
      <c r="P79" s="1438"/>
      <c r="Q79" s="556"/>
      <c r="R79" s="67"/>
      <c r="S79" s="185"/>
      <c r="T79" s="181"/>
      <c r="U79" s="181"/>
      <c r="V79" s="181"/>
    </row>
    <row r="80" spans="1:36" s="182" customFormat="1" ht="11.1" customHeight="1" x14ac:dyDescent="0.3">
      <c r="A80" s="1439"/>
      <c r="B80" s="1440"/>
      <c r="C80" s="1440"/>
      <c r="D80" s="1440"/>
      <c r="E80" s="1440"/>
      <c r="F80" s="1440"/>
      <c r="G80" s="1440"/>
      <c r="H80" s="1440"/>
      <c r="I80" s="1440"/>
      <c r="J80" s="1440"/>
      <c r="K80" s="1440"/>
      <c r="L80" s="1440"/>
      <c r="M80" s="1440"/>
      <c r="N80" s="1440"/>
      <c r="O80" s="1440"/>
      <c r="P80" s="1440"/>
      <c r="Q80" s="1441"/>
      <c r="R80" s="67"/>
      <c r="S80" s="185"/>
      <c r="T80" s="181"/>
      <c r="U80" s="181"/>
      <c r="V80" s="181"/>
    </row>
    <row r="81" spans="1:22" s="182" customFormat="1" ht="11.1" customHeight="1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67"/>
      <c r="S81" s="185"/>
      <c r="T81" s="181"/>
      <c r="U81" s="181"/>
      <c r="V81" s="181"/>
    </row>
    <row r="82" spans="1:22" s="182" customFormat="1" ht="11.1" customHeight="1" x14ac:dyDescent="0.3">
      <c r="A82" s="1417" t="s">
        <v>479</v>
      </c>
      <c r="B82" s="1418"/>
      <c r="C82" s="1418"/>
      <c r="D82" s="1418"/>
      <c r="E82" s="1418"/>
      <c r="F82" s="1418"/>
      <c r="G82" s="1419"/>
      <c r="H82"/>
      <c r="I82" s="1417" t="s">
        <v>466</v>
      </c>
      <c r="J82" s="1418"/>
      <c r="K82" s="1418"/>
      <c r="L82" s="1418"/>
      <c r="M82" s="1418"/>
      <c r="N82" s="1418"/>
      <c r="O82" s="1418"/>
      <c r="P82" s="1418"/>
      <c r="Q82" s="1419"/>
      <c r="R82" s="67"/>
      <c r="S82" s="185"/>
      <c r="T82" s="181"/>
      <c r="U82" s="181"/>
      <c r="V82" s="181"/>
    </row>
    <row r="83" spans="1:22" s="182" customFormat="1" ht="11.1" customHeight="1" x14ac:dyDescent="0.3">
      <c r="A83" s="1420"/>
      <c r="B83" s="1420"/>
      <c r="C83" s="1420"/>
      <c r="D83" s="1420"/>
      <c r="E83" s="1420"/>
      <c r="F83" s="1420"/>
      <c r="G83" s="554"/>
      <c r="H83"/>
      <c r="I83" s="1442"/>
      <c r="J83" s="1442"/>
      <c r="K83" s="1442"/>
      <c r="L83" s="1442"/>
      <c r="M83" s="1442"/>
      <c r="N83" s="1442"/>
      <c r="O83" s="1442"/>
      <c r="P83" s="1442"/>
      <c r="Q83" s="553"/>
      <c r="R83" s="67"/>
      <c r="S83" s="185"/>
      <c r="T83" s="181"/>
      <c r="U83" s="181"/>
      <c r="V83" s="181"/>
    </row>
    <row r="84" spans="1:22" s="182" customFormat="1" ht="11.1" customHeight="1" x14ac:dyDescent="0.3">
      <c r="A84" s="1420"/>
      <c r="B84" s="1420"/>
      <c r="C84" s="1420"/>
      <c r="D84" s="1420"/>
      <c r="E84" s="1420"/>
      <c r="F84" s="1420"/>
      <c r="G84" s="554"/>
      <c r="H84"/>
      <c r="I84" s="1420"/>
      <c r="J84" s="1420"/>
      <c r="K84" s="1420"/>
      <c r="L84" s="1420"/>
      <c r="M84" s="1420"/>
      <c r="N84" s="1420"/>
      <c r="O84" s="1420"/>
      <c r="P84" s="1420"/>
      <c r="Q84" s="554"/>
      <c r="R84" s="67"/>
      <c r="S84" s="185"/>
      <c r="T84" s="181"/>
      <c r="U84" s="181"/>
      <c r="V84" s="181"/>
    </row>
    <row r="85" spans="1:22" s="182" customFormat="1" ht="11.1" customHeight="1" x14ac:dyDescent="0.3">
      <c r="A85" s="1420"/>
      <c r="B85" s="1420"/>
      <c r="C85" s="1420"/>
      <c r="D85" s="1420"/>
      <c r="E85" s="1420"/>
      <c r="F85" s="1420"/>
      <c r="G85" s="554"/>
      <c r="H85"/>
      <c r="I85" s="1420"/>
      <c r="J85" s="1420"/>
      <c r="K85" s="1420"/>
      <c r="L85" s="1420"/>
      <c r="M85" s="1420"/>
      <c r="N85" s="1420"/>
      <c r="O85" s="1420"/>
      <c r="P85" s="1420"/>
      <c r="Q85" s="554"/>
      <c r="R85" s="67"/>
      <c r="S85" s="185"/>
      <c r="T85" s="181"/>
      <c r="U85" s="181"/>
      <c r="V85" s="181"/>
    </row>
    <row r="86" spans="1:22" s="182" customFormat="1" ht="11.1" customHeight="1" x14ac:dyDescent="0.3">
      <c r="A86" s="1420"/>
      <c r="B86" s="1420"/>
      <c r="C86" s="1420"/>
      <c r="D86" s="1420"/>
      <c r="E86" s="1420"/>
      <c r="F86" s="1420"/>
      <c r="G86" s="554"/>
      <c r="H86" s="185"/>
      <c r="I86" s="1420"/>
      <c r="J86" s="1420"/>
      <c r="K86" s="1420"/>
      <c r="L86" s="1420"/>
      <c r="M86" s="1420"/>
      <c r="N86" s="1420"/>
      <c r="O86" s="1420"/>
      <c r="P86" s="1420"/>
      <c r="Q86" s="554"/>
      <c r="R86" s="67"/>
      <c r="S86" s="185"/>
      <c r="T86" s="181"/>
      <c r="U86" s="181"/>
      <c r="V86" s="181"/>
    </row>
    <row r="87" spans="1:22" s="182" customFormat="1" ht="11.1" customHeight="1" x14ac:dyDescent="0.3">
      <c r="A87" s="1420"/>
      <c r="B87" s="1420"/>
      <c r="C87" s="1420"/>
      <c r="D87" s="1420"/>
      <c r="E87" s="1420"/>
      <c r="F87" s="1420"/>
      <c r="G87" s="554"/>
      <c r="H87" s="185"/>
      <c r="I87" s="1420"/>
      <c r="J87" s="1420"/>
      <c r="K87" s="1420"/>
      <c r="L87" s="1420"/>
      <c r="M87" s="1420"/>
      <c r="N87" s="1420"/>
      <c r="O87" s="1420"/>
      <c r="P87" s="1420"/>
      <c r="Q87" s="554"/>
      <c r="R87" s="67"/>
      <c r="S87" s="185"/>
      <c r="T87" s="181"/>
      <c r="U87" s="181"/>
      <c r="V87" s="181"/>
    </row>
    <row r="88" spans="1:22" s="182" customFormat="1" ht="11.1" customHeight="1" x14ac:dyDescent="0.3">
      <c r="A88" s="1420"/>
      <c r="B88" s="1420"/>
      <c r="C88" s="1420"/>
      <c r="D88" s="1420"/>
      <c r="E88" s="1420"/>
      <c r="F88" s="1420"/>
      <c r="G88" s="554"/>
      <c r="H88" s="185"/>
      <c r="I88" s="1420"/>
      <c r="J88" s="1420"/>
      <c r="K88" s="1420"/>
      <c r="L88" s="1420"/>
      <c r="M88" s="1420"/>
      <c r="N88" s="1420"/>
      <c r="O88" s="1420"/>
      <c r="P88" s="1420"/>
      <c r="Q88" s="554"/>
      <c r="R88" s="67"/>
      <c r="S88" s="185"/>
      <c r="T88" s="181"/>
      <c r="U88" s="181"/>
      <c r="V88" s="181"/>
    </row>
    <row r="89" spans="1:22" s="182" customFormat="1" ht="11.1" customHeight="1" x14ac:dyDescent="0.3">
      <c r="A89" s="1420"/>
      <c r="B89" s="1420"/>
      <c r="C89" s="1420"/>
      <c r="D89" s="1420"/>
      <c r="E89" s="1420"/>
      <c r="F89" s="1420"/>
      <c r="G89" s="554"/>
      <c r="H89" s="185"/>
      <c r="I89" s="1420"/>
      <c r="J89" s="1420"/>
      <c r="K89" s="1420"/>
      <c r="L89" s="1420"/>
      <c r="M89" s="1420"/>
      <c r="N89" s="1420"/>
      <c r="O89" s="1420"/>
      <c r="P89" s="1420"/>
      <c r="Q89" s="554"/>
      <c r="R89" s="67"/>
      <c r="S89" s="185"/>
      <c r="T89" s="181"/>
      <c r="U89" s="181"/>
      <c r="V89" s="181"/>
    </row>
    <row r="90" spans="1:22" s="182" customFormat="1" ht="11.1" customHeight="1" x14ac:dyDescent="0.3">
      <c r="A90" s="1420"/>
      <c r="B90" s="1420"/>
      <c r="C90" s="1420"/>
      <c r="D90" s="1420"/>
      <c r="E90" s="1420"/>
      <c r="F90" s="1420"/>
      <c r="G90" s="554"/>
      <c r="H90" s="185"/>
      <c r="I90" s="1420"/>
      <c r="J90" s="1420"/>
      <c r="K90" s="1420"/>
      <c r="L90" s="1420"/>
      <c r="M90" s="1420"/>
      <c r="N90" s="1420"/>
      <c r="O90" s="1420"/>
      <c r="P90" s="1420"/>
      <c r="Q90" s="554"/>
      <c r="R90" s="67"/>
      <c r="S90" s="185"/>
      <c r="T90" s="181"/>
      <c r="U90" s="181"/>
      <c r="V90" s="181"/>
    </row>
    <row r="91" spans="1:22" s="182" customFormat="1" ht="11.1" customHeight="1" x14ac:dyDescent="0.3">
      <c r="A91" s="1420"/>
      <c r="B91" s="1420"/>
      <c r="C91" s="1420"/>
      <c r="D91" s="1420"/>
      <c r="E91" s="1420"/>
      <c r="F91" s="1420"/>
      <c r="G91" s="554"/>
      <c r="H91" s="185"/>
      <c r="I91" s="1420"/>
      <c r="J91" s="1420"/>
      <c r="K91" s="1420"/>
      <c r="L91" s="1420"/>
      <c r="M91" s="1420"/>
      <c r="N91" s="1420"/>
      <c r="O91" s="1420"/>
      <c r="P91" s="1420"/>
      <c r="Q91" s="554"/>
      <c r="R91" s="67"/>
      <c r="S91" s="185"/>
      <c r="T91" s="181"/>
      <c r="U91" s="181"/>
      <c r="V91" s="181"/>
    </row>
    <row r="92" spans="1:22" s="182" customFormat="1" ht="11.1" customHeight="1" x14ac:dyDescent="0.3">
      <c r="A92" s="1421"/>
      <c r="B92" s="1421"/>
      <c r="C92" s="1421"/>
      <c r="D92" s="1421"/>
      <c r="E92" s="1421"/>
      <c r="F92" s="1421"/>
      <c r="G92" s="555"/>
      <c r="H92" s="185"/>
      <c r="I92" s="1421"/>
      <c r="J92" s="1421"/>
      <c r="K92" s="1421"/>
      <c r="L92" s="1421"/>
      <c r="M92" s="1421"/>
      <c r="N92" s="1421"/>
      <c r="O92" s="1421"/>
      <c r="P92" s="1421"/>
      <c r="Q92" s="555"/>
      <c r="R92" s="67"/>
      <c r="S92" s="185"/>
      <c r="T92" s="181"/>
      <c r="U92" s="181"/>
      <c r="V92" s="181"/>
    </row>
    <row r="93" spans="1:22" s="182" customFormat="1" ht="11.1" customHeight="1" x14ac:dyDescent="0.3">
      <c r="A93"/>
      <c r="B93"/>
      <c r="C93"/>
      <c r="D93"/>
      <c r="E93"/>
      <c r="F93"/>
      <c r="G93"/>
      <c r="H93" s="185"/>
      <c r="I93" s="185"/>
      <c r="J93" s="185"/>
      <c r="K93" s="185"/>
      <c r="L93" s="185"/>
      <c r="M93" s="185"/>
      <c r="N93" s="185"/>
      <c r="O93" s="185"/>
      <c r="P93" s="185"/>
      <c r="Q93" s="185"/>
      <c r="R93" s="67"/>
      <c r="S93" s="185"/>
      <c r="T93" s="181"/>
      <c r="U93" s="181"/>
      <c r="V93" s="181"/>
    </row>
    <row r="94" spans="1:22" s="182" customFormat="1" ht="11.1" customHeight="1" x14ac:dyDescent="0.3">
      <c r="A94" s="1417" t="s">
        <v>573</v>
      </c>
      <c r="B94" s="1418"/>
      <c r="C94" s="1418"/>
      <c r="D94" s="1418"/>
      <c r="E94" s="1418"/>
      <c r="F94" s="1418"/>
      <c r="G94" s="1418"/>
      <c r="H94" s="1418"/>
      <c r="I94" s="1418"/>
      <c r="J94" s="1418"/>
      <c r="K94" s="1418"/>
      <c r="L94" s="1418"/>
      <c r="M94" s="1418"/>
      <c r="N94" s="1418"/>
      <c r="O94" s="1418"/>
      <c r="P94" s="1418"/>
      <c r="Q94" s="1419"/>
      <c r="R94" s="67"/>
      <c r="S94" s="185"/>
      <c r="T94" s="181"/>
      <c r="U94" s="181"/>
      <c r="V94" s="181"/>
    </row>
    <row r="95" spans="1:22" s="182" customFormat="1" ht="11.1" customHeight="1" x14ac:dyDescent="0.3">
      <c r="A95" s="1420"/>
      <c r="B95" s="1420"/>
      <c r="C95" s="1420"/>
      <c r="D95" s="1420"/>
      <c r="E95" s="1420"/>
      <c r="F95" s="1420"/>
      <c r="G95" s="554"/>
      <c r="H95" s="185"/>
      <c r="I95" s="1420"/>
      <c r="J95" s="1420"/>
      <c r="K95" s="1420"/>
      <c r="L95" s="1420"/>
      <c r="M95" s="1420"/>
      <c r="N95" s="1420"/>
      <c r="O95" s="1420"/>
      <c r="P95" s="1420"/>
      <c r="Q95" s="554"/>
      <c r="R95" s="186"/>
      <c r="S95" s="187"/>
      <c r="T95" s="181"/>
      <c r="U95" s="181"/>
      <c r="V95" s="181"/>
    </row>
    <row r="96" spans="1:22" s="182" customFormat="1" ht="11.1" customHeight="1" x14ac:dyDescent="0.3">
      <c r="A96" s="1420"/>
      <c r="B96" s="1420"/>
      <c r="C96" s="1420"/>
      <c r="D96" s="1420"/>
      <c r="E96" s="1420"/>
      <c r="F96" s="1420"/>
      <c r="G96" s="554"/>
      <c r="H96" s="185"/>
      <c r="I96" s="1420"/>
      <c r="J96" s="1420"/>
      <c r="K96" s="1420"/>
      <c r="L96" s="1420"/>
      <c r="M96" s="1420"/>
      <c r="N96" s="1420"/>
      <c r="O96" s="1420"/>
      <c r="P96" s="1420"/>
      <c r="Q96" s="554"/>
      <c r="R96" s="186"/>
      <c r="S96" s="187"/>
      <c r="T96" s="181"/>
      <c r="U96" s="181"/>
      <c r="V96" s="181"/>
    </row>
    <row r="97" spans="1:36" s="182" customFormat="1" ht="11.1" customHeight="1" x14ac:dyDescent="0.3">
      <c r="A97" s="1420"/>
      <c r="B97" s="1420"/>
      <c r="C97" s="1420"/>
      <c r="D97" s="1420"/>
      <c r="E97" s="1420"/>
      <c r="F97" s="1420"/>
      <c r="G97" s="554"/>
      <c r="H97" s="185"/>
      <c r="I97" s="1420"/>
      <c r="J97" s="1420"/>
      <c r="K97" s="1420"/>
      <c r="L97" s="1420"/>
      <c r="M97" s="1420"/>
      <c r="N97" s="1420"/>
      <c r="O97" s="1420"/>
      <c r="P97" s="1420"/>
      <c r="Q97" s="554"/>
      <c r="R97" s="186"/>
      <c r="S97" s="187"/>
      <c r="T97" s="181"/>
      <c r="U97" s="181"/>
      <c r="V97" s="181"/>
    </row>
    <row r="98" spans="1:36" s="182" customFormat="1" ht="11.1" customHeight="1" x14ac:dyDescent="0.3">
      <c r="A98" s="1420"/>
      <c r="B98" s="1420"/>
      <c r="C98" s="1420"/>
      <c r="D98" s="1420"/>
      <c r="E98" s="1420"/>
      <c r="F98" s="1420"/>
      <c r="G98" s="554"/>
      <c r="H98" s="185"/>
      <c r="I98" s="1420"/>
      <c r="J98" s="1420"/>
      <c r="K98" s="1420"/>
      <c r="L98" s="1420"/>
      <c r="M98" s="1420"/>
      <c r="N98" s="1420"/>
      <c r="O98" s="1420"/>
      <c r="P98" s="1420"/>
      <c r="Q98" s="554"/>
      <c r="R98" s="186"/>
      <c r="S98" s="187"/>
      <c r="T98" s="181"/>
      <c r="U98" s="181"/>
      <c r="V98" s="181"/>
    </row>
    <row r="99" spans="1:36" s="182" customFormat="1" ht="11.1" customHeight="1" x14ac:dyDescent="0.3">
      <c r="A99" s="1420"/>
      <c r="B99" s="1420"/>
      <c r="C99" s="1420"/>
      <c r="D99" s="1420"/>
      <c r="E99" s="1420"/>
      <c r="F99" s="1420"/>
      <c r="G99" s="554"/>
      <c r="H99" s="185"/>
      <c r="I99" s="1420"/>
      <c r="J99" s="1420"/>
      <c r="K99" s="1420"/>
      <c r="L99" s="1420"/>
      <c r="M99" s="1420"/>
      <c r="N99" s="1420"/>
      <c r="O99" s="1420"/>
      <c r="P99" s="1420"/>
      <c r="Q99" s="554"/>
      <c r="R99" s="186"/>
      <c r="S99" s="187"/>
      <c r="T99" s="181"/>
      <c r="U99" s="181"/>
      <c r="V99" s="181"/>
    </row>
    <row r="100" spans="1:36" s="182" customFormat="1" ht="11.1" customHeight="1" x14ac:dyDescent="0.3">
      <c r="A100" s="1420"/>
      <c r="B100" s="1420"/>
      <c r="C100" s="1420"/>
      <c r="D100" s="1420"/>
      <c r="E100" s="1420"/>
      <c r="F100" s="1420"/>
      <c r="G100" s="554"/>
      <c r="H100" s="185"/>
      <c r="I100" s="1420"/>
      <c r="J100" s="1420"/>
      <c r="K100" s="1420"/>
      <c r="L100" s="1420"/>
      <c r="M100" s="1420"/>
      <c r="N100" s="1420"/>
      <c r="O100" s="1420"/>
      <c r="P100" s="1420"/>
      <c r="Q100" s="554"/>
      <c r="R100" s="186"/>
      <c r="S100" s="187"/>
      <c r="T100" s="181"/>
      <c r="U100" s="181"/>
      <c r="V100" s="181"/>
    </row>
    <row r="101" spans="1:36" s="182" customFormat="1" ht="11.1" customHeight="1" x14ac:dyDescent="0.3">
      <c r="A101" s="1420"/>
      <c r="B101" s="1420"/>
      <c r="C101" s="1420"/>
      <c r="D101" s="1420"/>
      <c r="E101" s="1420"/>
      <c r="F101" s="1420"/>
      <c r="G101" s="554"/>
      <c r="H101" s="185"/>
      <c r="I101" s="1420"/>
      <c r="J101" s="1420"/>
      <c r="K101" s="1420"/>
      <c r="L101" s="1420"/>
      <c r="M101" s="1420"/>
      <c r="N101" s="1420"/>
      <c r="O101" s="1420"/>
      <c r="P101" s="1420"/>
      <c r="Q101" s="554"/>
      <c r="R101" s="186"/>
      <c r="S101" s="187"/>
      <c r="T101" s="181"/>
      <c r="U101" s="181"/>
      <c r="V101" s="181"/>
    </row>
    <row r="102" spans="1:36" s="182" customFormat="1" ht="11.1" customHeight="1" x14ac:dyDescent="0.3">
      <c r="A102" s="1420"/>
      <c r="B102" s="1420"/>
      <c r="C102" s="1420"/>
      <c r="D102" s="1420"/>
      <c r="E102" s="1420"/>
      <c r="F102" s="1420"/>
      <c r="G102" s="554"/>
      <c r="H102" s="185"/>
      <c r="I102" s="1420"/>
      <c r="J102" s="1420"/>
      <c r="K102" s="1420"/>
      <c r="L102" s="1420"/>
      <c r="M102" s="1420"/>
      <c r="N102" s="1420"/>
      <c r="O102" s="1420"/>
      <c r="P102" s="1420"/>
      <c r="Q102" s="554"/>
      <c r="R102" s="186"/>
      <c r="S102" s="187"/>
      <c r="T102" s="181"/>
      <c r="U102" s="181"/>
      <c r="V102" s="181"/>
    </row>
    <row r="103" spans="1:36" s="182" customFormat="1" ht="11.1" customHeight="1" x14ac:dyDescent="0.3">
      <c r="A103" s="1421"/>
      <c r="B103" s="1421"/>
      <c r="C103" s="1421"/>
      <c r="D103" s="1421"/>
      <c r="E103" s="1421"/>
      <c r="F103" s="1421"/>
      <c r="G103" s="555"/>
      <c r="H103" s="185"/>
      <c r="I103" s="1421"/>
      <c r="J103" s="1421"/>
      <c r="K103" s="1421"/>
      <c r="L103" s="1421"/>
      <c r="M103" s="1421"/>
      <c r="N103" s="1421"/>
      <c r="O103" s="1421"/>
      <c r="P103" s="1421"/>
      <c r="Q103" s="555"/>
      <c r="R103" s="186"/>
      <c r="S103" s="187"/>
      <c r="T103" s="181"/>
      <c r="U103" s="181"/>
      <c r="V103" s="181"/>
    </row>
    <row r="104" spans="1:36" s="182" customFormat="1" ht="11.1" customHeight="1" x14ac:dyDescent="0.3">
      <c r="A104" s="34"/>
      <c r="B104" s="34"/>
      <c r="C104" s="34"/>
      <c r="D104" s="34"/>
      <c r="E104" s="181"/>
      <c r="F104" s="181"/>
      <c r="G104" s="181"/>
      <c r="H104" s="185"/>
      <c r="I104" s="181"/>
      <c r="J104" s="181"/>
      <c r="K104" s="181"/>
      <c r="L104" s="181"/>
      <c r="M104" s="181"/>
      <c r="N104" s="181"/>
      <c r="O104" s="181"/>
      <c r="P104" s="181"/>
      <c r="Q104" s="181"/>
      <c r="R104" s="186"/>
      <c r="S104" s="187"/>
      <c r="T104" s="181"/>
      <c r="U104" s="181"/>
      <c r="V104" s="181"/>
    </row>
    <row r="105" spans="1:36" s="182" customFormat="1" ht="11.1" customHeight="1" x14ac:dyDescent="0.3">
      <c r="A105" s="1417" t="s">
        <v>2936</v>
      </c>
      <c r="B105" s="1418"/>
      <c r="C105" s="1418"/>
      <c r="D105" s="1418"/>
      <c r="E105" s="1418"/>
      <c r="F105" s="1418"/>
      <c r="G105" s="1418"/>
      <c r="H105" s="1418"/>
      <c r="I105" s="1418"/>
      <c r="J105" s="1418"/>
      <c r="K105" s="1418"/>
      <c r="L105" s="1418"/>
      <c r="M105" s="1418"/>
      <c r="N105" s="1418"/>
      <c r="O105" s="1418"/>
      <c r="P105" s="1418"/>
      <c r="Q105" s="1419"/>
      <c r="R105" s="186"/>
      <c r="S105" s="187"/>
      <c r="T105" s="181"/>
      <c r="U105" s="181"/>
      <c r="V105" s="181"/>
    </row>
    <row r="106" spans="1:36" s="182" customFormat="1" ht="11.1" customHeight="1" x14ac:dyDescent="0.3">
      <c r="A106" s="1420"/>
      <c r="B106" s="1420"/>
      <c r="C106" s="1420"/>
      <c r="D106" s="1420"/>
      <c r="E106" s="1420"/>
      <c r="F106" s="1420"/>
      <c r="G106" s="554"/>
      <c r="H106" s="187"/>
      <c r="I106" s="1420"/>
      <c r="J106" s="1420"/>
      <c r="K106" s="1420"/>
      <c r="L106" s="1420"/>
      <c r="M106" s="1420"/>
      <c r="N106" s="1420"/>
      <c r="O106" s="1420"/>
      <c r="P106" s="1420"/>
      <c r="Q106" s="554"/>
      <c r="R106" s="186"/>
      <c r="S106" s="187"/>
      <c r="T106" s="181"/>
      <c r="U106" s="181"/>
      <c r="V106" s="181"/>
    </row>
    <row r="107" spans="1:36" s="182" customFormat="1" ht="11.1" customHeight="1" x14ac:dyDescent="0.3">
      <c r="A107" s="1420"/>
      <c r="B107" s="1420"/>
      <c r="C107" s="1420"/>
      <c r="D107" s="1420"/>
      <c r="E107" s="1420"/>
      <c r="F107" s="1420"/>
      <c r="G107" s="554"/>
      <c r="H107" s="187"/>
      <c r="I107" s="1420"/>
      <c r="J107" s="1420"/>
      <c r="K107" s="1420"/>
      <c r="L107" s="1420"/>
      <c r="M107" s="1420"/>
      <c r="N107" s="1420"/>
      <c r="O107" s="1420"/>
      <c r="P107" s="1420"/>
      <c r="Q107" s="554"/>
      <c r="R107" s="186"/>
      <c r="S107" s="187"/>
      <c r="T107" s="181"/>
      <c r="U107" s="181"/>
      <c r="V107" s="181"/>
    </row>
    <row r="108" spans="1:36" s="182" customFormat="1" ht="11.1" customHeight="1" x14ac:dyDescent="0.3">
      <c r="A108" s="1420"/>
      <c r="B108" s="1420"/>
      <c r="C108" s="1420"/>
      <c r="D108" s="1420"/>
      <c r="E108" s="1420"/>
      <c r="F108" s="1420"/>
      <c r="G108" s="554"/>
      <c r="H108" s="187"/>
      <c r="I108" s="1420"/>
      <c r="J108" s="1420"/>
      <c r="K108" s="1420"/>
      <c r="L108" s="1420"/>
      <c r="M108" s="1420"/>
      <c r="N108" s="1420"/>
      <c r="O108" s="1420"/>
      <c r="P108" s="1420"/>
      <c r="Q108" s="554"/>
      <c r="R108" s="186"/>
      <c r="S108" s="187"/>
      <c r="T108" s="181"/>
      <c r="U108" s="181"/>
      <c r="V108" s="181"/>
    </row>
    <row r="109" spans="1:36" s="182" customFormat="1" ht="11.1" customHeight="1" x14ac:dyDescent="0.3">
      <c r="A109" s="1420"/>
      <c r="B109" s="1420"/>
      <c r="C109" s="1420"/>
      <c r="D109" s="1420"/>
      <c r="E109" s="1420"/>
      <c r="F109" s="1420"/>
      <c r="G109" s="554"/>
      <c r="H109" s="187"/>
      <c r="I109" s="1420"/>
      <c r="J109" s="1420"/>
      <c r="K109" s="1420"/>
      <c r="L109" s="1420"/>
      <c r="M109" s="1420"/>
      <c r="N109" s="1420"/>
      <c r="O109" s="1420"/>
      <c r="P109" s="1420"/>
      <c r="Q109" s="554"/>
      <c r="R109" s="186"/>
      <c r="S109" s="187"/>
      <c r="T109" s="181"/>
      <c r="U109" s="181"/>
      <c r="V109" s="181"/>
      <c r="AB109"/>
      <c r="AC109"/>
      <c r="AD109"/>
      <c r="AE109"/>
      <c r="AF109"/>
      <c r="AG109"/>
      <c r="AH109"/>
      <c r="AI109"/>
      <c r="AJ109"/>
    </row>
    <row r="110" spans="1:36" ht="11.1" customHeight="1" x14ac:dyDescent="0.3">
      <c r="A110" s="1420"/>
      <c r="B110" s="1420"/>
      <c r="C110" s="1420"/>
      <c r="D110" s="1420"/>
      <c r="E110" s="1420"/>
      <c r="F110" s="1420"/>
      <c r="G110" s="554"/>
      <c r="H110" s="188"/>
      <c r="I110" s="1420"/>
      <c r="J110" s="1420"/>
      <c r="K110" s="1420"/>
      <c r="L110" s="1420"/>
      <c r="M110" s="1420"/>
      <c r="N110" s="1420"/>
      <c r="O110" s="1420"/>
      <c r="P110" s="1420"/>
      <c r="Q110" s="554"/>
      <c r="R110" s="9"/>
      <c r="S110" s="188"/>
    </row>
    <row r="111" spans="1:36" ht="11.1" customHeight="1" x14ac:dyDescent="0.3">
      <c r="A111" s="1420"/>
      <c r="B111" s="1420"/>
      <c r="C111" s="1420"/>
      <c r="D111" s="1420"/>
      <c r="E111" s="1420"/>
      <c r="F111" s="1420"/>
      <c r="G111" s="554"/>
      <c r="I111" s="1420"/>
      <c r="J111" s="1420"/>
      <c r="K111" s="1420"/>
      <c r="L111" s="1420"/>
      <c r="M111" s="1420"/>
      <c r="N111" s="1420"/>
      <c r="O111" s="1420"/>
      <c r="P111" s="1420"/>
      <c r="Q111" s="554"/>
    </row>
    <row r="112" spans="1:36" ht="11.1" customHeight="1" x14ac:dyDescent="0.3">
      <c r="A112" s="1420"/>
      <c r="B112" s="1420"/>
      <c r="C112" s="1420"/>
      <c r="D112" s="1420"/>
      <c r="E112" s="1420"/>
      <c r="F112" s="1420"/>
      <c r="G112" s="554"/>
      <c r="I112" s="1420"/>
      <c r="J112" s="1420"/>
      <c r="K112" s="1420"/>
      <c r="L112" s="1420"/>
      <c r="M112" s="1420"/>
      <c r="N112" s="1420"/>
      <c r="O112" s="1420"/>
      <c r="P112" s="1420"/>
      <c r="Q112" s="554"/>
    </row>
    <row r="113" spans="1:17" ht="11.1" customHeight="1" x14ac:dyDescent="0.3">
      <c r="A113" s="1420"/>
      <c r="B113" s="1420"/>
      <c r="C113" s="1420"/>
      <c r="D113" s="1420"/>
      <c r="E113" s="1420"/>
      <c r="F113" s="1420"/>
      <c r="G113" s="554"/>
      <c r="I113" s="1420"/>
      <c r="J113" s="1420"/>
      <c r="K113" s="1420"/>
      <c r="L113" s="1420"/>
      <c r="M113" s="1420"/>
      <c r="N113" s="1420"/>
      <c r="O113" s="1420"/>
      <c r="P113" s="1420"/>
      <c r="Q113" s="554"/>
    </row>
    <row r="114" spans="1:17" ht="11.1" customHeight="1" x14ac:dyDescent="0.3">
      <c r="A114" s="1421"/>
      <c r="B114" s="1421"/>
      <c r="C114" s="1421"/>
      <c r="D114" s="1421"/>
      <c r="E114" s="1421"/>
      <c r="F114" s="1421"/>
      <c r="G114" s="555"/>
      <c r="I114" s="1421"/>
      <c r="J114" s="1421"/>
      <c r="K114" s="1421"/>
      <c r="L114" s="1421"/>
      <c r="M114" s="1421"/>
      <c r="N114" s="1421"/>
      <c r="O114" s="1421"/>
      <c r="P114" s="1421"/>
      <c r="Q114" s="555"/>
    </row>
    <row r="115" spans="1:17" ht="11.1" customHeight="1" x14ac:dyDescent="0.3">
      <c r="A115" s="171"/>
      <c r="B115" s="172"/>
      <c r="C115" s="171"/>
      <c r="D115" s="172"/>
    </row>
    <row r="116" spans="1:17" ht="11.1" customHeight="1" x14ac:dyDescent="0.3">
      <c r="A116" s="1417" t="s">
        <v>48</v>
      </c>
      <c r="B116" s="1418"/>
      <c r="C116" s="1418"/>
      <c r="D116" s="1418"/>
      <c r="E116" s="1418"/>
      <c r="F116" s="1418"/>
      <c r="G116" s="1418"/>
      <c r="H116" s="1418"/>
      <c r="I116" s="1418"/>
      <c r="J116" s="1418"/>
      <c r="K116" s="1418"/>
      <c r="L116" s="1418"/>
      <c r="M116" s="1418"/>
      <c r="N116" s="1418"/>
      <c r="O116" s="1418"/>
      <c r="P116" s="1418"/>
      <c r="Q116" s="1419"/>
    </row>
    <row r="117" spans="1:17" ht="11.1" customHeight="1" x14ac:dyDescent="0.3">
      <c r="A117" s="1431" t="s">
        <v>2940</v>
      </c>
      <c r="B117" s="1432"/>
      <c r="C117" s="1432"/>
      <c r="D117" s="1432"/>
      <c r="E117" s="560"/>
      <c r="F117" s="560"/>
      <c r="G117" s="560"/>
      <c r="H117" s="560"/>
      <c r="I117" s="560"/>
      <c r="J117" s="560"/>
      <c r="K117" s="560"/>
      <c r="L117" s="560"/>
      <c r="M117" s="560"/>
      <c r="N117" s="560"/>
      <c r="O117" s="560"/>
      <c r="P117" s="560"/>
      <c r="Q117" s="561"/>
    </row>
    <row r="118" spans="1:17" ht="11.1" customHeight="1" x14ac:dyDescent="0.3">
      <c r="A118" s="1433" t="s">
        <v>2941</v>
      </c>
      <c r="B118" s="1434"/>
      <c r="C118" s="1434"/>
      <c r="D118" s="1434"/>
      <c r="E118" s="562"/>
      <c r="F118" s="562"/>
      <c r="G118" s="562"/>
      <c r="H118" s="562"/>
      <c r="I118" s="562"/>
      <c r="J118" s="562"/>
      <c r="K118" s="562"/>
      <c r="L118" s="562"/>
      <c r="M118" s="562"/>
      <c r="N118" s="562"/>
      <c r="O118" s="562"/>
      <c r="P118" s="562"/>
      <c r="Q118" s="563"/>
    </row>
    <row r="119" spans="1:17" ht="11.1" customHeight="1" x14ac:dyDescent="0.3">
      <c r="A119" s="1435" t="s">
        <v>2937</v>
      </c>
      <c r="B119" s="1436"/>
      <c r="C119" s="1436"/>
      <c r="D119" s="1436"/>
      <c r="E119" s="564"/>
      <c r="F119" s="564"/>
      <c r="G119" s="564"/>
      <c r="H119" s="564"/>
      <c r="I119" s="564"/>
      <c r="J119" s="564"/>
      <c r="K119" s="564"/>
      <c r="L119" s="564"/>
      <c r="M119" s="564"/>
      <c r="N119" s="564"/>
      <c r="O119" s="564"/>
      <c r="P119" s="564"/>
      <c r="Q119" s="565"/>
    </row>
    <row r="120" spans="1:17" ht="11.1" customHeight="1" x14ac:dyDescent="0.3"/>
    <row r="121" spans="1:17" ht="11.1" customHeight="1" x14ac:dyDescent="0.3">
      <c r="A121" s="1417" t="s">
        <v>50</v>
      </c>
      <c r="B121" s="1418"/>
      <c r="C121" s="1418"/>
      <c r="D121" s="1418"/>
      <c r="E121" s="1418"/>
      <c r="F121" s="1418"/>
      <c r="G121" s="1418"/>
      <c r="H121" s="1418"/>
      <c r="I121" s="1418"/>
      <c r="J121" s="1418"/>
      <c r="K121" s="1418"/>
      <c r="L121" s="1418"/>
      <c r="M121" s="1418"/>
      <c r="N121" s="1418"/>
      <c r="O121" s="1418"/>
      <c r="P121" s="1418"/>
      <c r="Q121" s="1419"/>
    </row>
    <row r="122" spans="1:17" ht="11.1" customHeight="1" x14ac:dyDescent="0.3">
      <c r="A122" s="1422">
        <f>Q6</f>
        <v>16</v>
      </c>
      <c r="B122" s="1423"/>
      <c r="C122" s="1423"/>
      <c r="D122" s="1423"/>
      <c r="E122" s="1423"/>
      <c r="F122" s="1423"/>
      <c r="G122" s="1423"/>
      <c r="H122" s="1423"/>
      <c r="I122" s="1423"/>
      <c r="J122" s="1423"/>
      <c r="K122" s="1423"/>
      <c r="L122" s="1423"/>
      <c r="M122" s="1423"/>
      <c r="N122" s="1423"/>
      <c r="O122" s="1423"/>
      <c r="P122" s="1423"/>
      <c r="Q122" s="1424"/>
    </row>
    <row r="123" spans="1:17" ht="11.1" customHeight="1" x14ac:dyDescent="0.3">
      <c r="A123" s="1425"/>
      <c r="B123" s="1426"/>
      <c r="C123" s="1426"/>
      <c r="D123" s="1426"/>
      <c r="E123" s="1426"/>
      <c r="F123" s="1426"/>
      <c r="G123" s="1426"/>
      <c r="H123" s="1426"/>
      <c r="I123" s="1426"/>
      <c r="J123" s="1426"/>
      <c r="K123" s="1426"/>
      <c r="L123" s="1426"/>
      <c r="M123" s="1426"/>
      <c r="N123" s="1426"/>
      <c r="O123" s="1426"/>
      <c r="P123" s="1426"/>
      <c r="Q123" s="1427"/>
    </row>
    <row r="124" spans="1:17" ht="11.1" customHeight="1" x14ac:dyDescent="0.3">
      <c r="A124" s="1425"/>
      <c r="B124" s="1426"/>
      <c r="C124" s="1426"/>
      <c r="D124" s="1426"/>
      <c r="E124" s="1426"/>
      <c r="F124" s="1426"/>
      <c r="G124" s="1426"/>
      <c r="H124" s="1426"/>
      <c r="I124" s="1426"/>
      <c r="J124" s="1426"/>
      <c r="K124" s="1426"/>
      <c r="L124" s="1426"/>
      <c r="M124" s="1426"/>
      <c r="N124" s="1426"/>
      <c r="O124" s="1426"/>
      <c r="P124" s="1426"/>
      <c r="Q124" s="1427"/>
    </row>
    <row r="125" spans="1:17" ht="11.1" customHeight="1" x14ac:dyDescent="0.3">
      <c r="A125" s="1425"/>
      <c r="B125" s="1426"/>
      <c r="C125" s="1426"/>
      <c r="D125" s="1426"/>
      <c r="E125" s="1426"/>
      <c r="F125" s="1426"/>
      <c r="G125" s="1426"/>
      <c r="H125" s="1426"/>
      <c r="I125" s="1426"/>
      <c r="J125" s="1426"/>
      <c r="K125" s="1426"/>
      <c r="L125" s="1426"/>
      <c r="M125" s="1426"/>
      <c r="N125" s="1426"/>
      <c r="O125" s="1426"/>
      <c r="P125" s="1426"/>
      <c r="Q125" s="1427"/>
    </row>
    <row r="126" spans="1:17" ht="11.1" customHeight="1" x14ac:dyDescent="0.3">
      <c r="A126" s="1425"/>
      <c r="B126" s="1426"/>
      <c r="C126" s="1426"/>
      <c r="D126" s="1426"/>
      <c r="E126" s="1426"/>
      <c r="F126" s="1426"/>
      <c r="G126" s="1426"/>
      <c r="H126" s="1426"/>
      <c r="I126" s="1426"/>
      <c r="J126" s="1426"/>
      <c r="K126" s="1426"/>
      <c r="L126" s="1426"/>
      <c r="M126" s="1426"/>
      <c r="N126" s="1426"/>
      <c r="O126" s="1426"/>
      <c r="P126" s="1426"/>
      <c r="Q126" s="1427"/>
    </row>
    <row r="127" spans="1:17" ht="11.1" customHeight="1" x14ac:dyDescent="0.3">
      <c r="A127" s="1428"/>
      <c r="B127" s="1429"/>
      <c r="C127" s="1429"/>
      <c r="D127" s="1429"/>
      <c r="E127" s="1429"/>
      <c r="F127" s="1429"/>
      <c r="G127" s="1429"/>
      <c r="H127" s="1429"/>
      <c r="I127" s="1429"/>
      <c r="J127" s="1429"/>
      <c r="K127" s="1429"/>
      <c r="L127" s="1429"/>
      <c r="M127" s="1429"/>
      <c r="N127" s="1429"/>
      <c r="O127" s="1429"/>
      <c r="P127" s="1429"/>
      <c r="Q127" s="1430"/>
    </row>
    <row r="128" spans="1:17" ht="11.1" customHeight="1" x14ac:dyDescent="0.3"/>
    <row r="129" spans="1:17" ht="11.1" customHeight="1" x14ac:dyDescent="0.3">
      <c r="A129" s="1417" t="s">
        <v>568</v>
      </c>
      <c r="B129" s="1418"/>
      <c r="C129" s="1418"/>
      <c r="D129" s="1418"/>
      <c r="E129" s="1418"/>
      <c r="F129" s="1419"/>
      <c r="H129" s="1417" t="s">
        <v>2938</v>
      </c>
      <c r="I129" s="1418"/>
      <c r="J129" s="1418"/>
      <c r="K129" s="1418"/>
      <c r="L129" s="1418"/>
      <c r="M129" s="1418"/>
      <c r="N129" s="1418"/>
      <c r="O129" s="1418"/>
      <c r="P129" s="1418"/>
      <c r="Q129" s="1419"/>
    </row>
    <row r="130" spans="1:17" ht="11.1" customHeight="1" x14ac:dyDescent="0.3">
      <c r="A130" s="1422" t="str">
        <f>CONCATENATE(N9," / ",N10)</f>
        <v xml:space="preserve"> / </v>
      </c>
      <c r="B130" s="1423"/>
      <c r="C130" s="1423"/>
      <c r="D130" s="1423"/>
      <c r="E130" s="1423"/>
      <c r="F130" s="1424"/>
      <c r="H130" s="1422"/>
      <c r="I130" s="1423"/>
      <c r="J130" s="1423"/>
      <c r="K130" s="1423"/>
      <c r="L130" s="1423"/>
      <c r="M130" s="1423"/>
      <c r="N130" s="1423"/>
      <c r="O130" s="1423"/>
      <c r="P130" s="1423"/>
      <c r="Q130" s="1424"/>
    </row>
    <row r="131" spans="1:17" ht="11.1" customHeight="1" x14ac:dyDescent="0.3">
      <c r="A131" s="1425"/>
      <c r="B131" s="1426"/>
      <c r="C131" s="1426"/>
      <c r="D131" s="1426"/>
      <c r="E131" s="1426"/>
      <c r="F131" s="1427"/>
      <c r="H131" s="1425"/>
      <c r="I131" s="1426"/>
      <c r="J131" s="1426"/>
      <c r="K131" s="1426"/>
      <c r="L131" s="1426"/>
      <c r="M131" s="1426"/>
      <c r="N131" s="1426"/>
      <c r="O131" s="1426"/>
      <c r="P131" s="1426"/>
      <c r="Q131" s="1427"/>
    </row>
    <row r="132" spans="1:17" ht="11.1" customHeight="1" x14ac:dyDescent="0.3">
      <c r="A132" s="1425"/>
      <c r="B132" s="1426"/>
      <c r="C132" s="1426"/>
      <c r="D132" s="1426"/>
      <c r="E132" s="1426"/>
      <c r="F132" s="1427"/>
      <c r="H132" s="1425"/>
      <c r="I132" s="1426"/>
      <c r="J132" s="1426"/>
      <c r="K132" s="1426"/>
      <c r="L132" s="1426"/>
      <c r="M132" s="1426"/>
      <c r="N132" s="1426"/>
      <c r="O132" s="1426"/>
      <c r="P132" s="1426"/>
      <c r="Q132" s="1427"/>
    </row>
    <row r="133" spans="1:17" ht="11.1" customHeight="1" x14ac:dyDescent="0.3">
      <c r="A133" s="1425"/>
      <c r="B133" s="1426"/>
      <c r="C133" s="1426"/>
      <c r="D133" s="1426"/>
      <c r="E133" s="1426"/>
      <c r="F133" s="1427"/>
      <c r="H133" s="1425"/>
      <c r="I133" s="1426"/>
      <c r="J133" s="1426"/>
      <c r="K133" s="1426"/>
      <c r="L133" s="1426"/>
      <c r="M133" s="1426"/>
      <c r="N133" s="1426"/>
      <c r="O133" s="1426"/>
      <c r="P133" s="1426"/>
      <c r="Q133" s="1427"/>
    </row>
    <row r="134" spans="1:17" ht="11.1" customHeight="1" x14ac:dyDescent="0.3">
      <c r="A134" s="1425"/>
      <c r="B134" s="1426"/>
      <c r="C134" s="1426"/>
      <c r="D134" s="1426"/>
      <c r="E134" s="1426"/>
      <c r="F134" s="1427"/>
      <c r="H134" s="1425"/>
      <c r="I134" s="1426"/>
      <c r="J134" s="1426"/>
      <c r="K134" s="1426"/>
      <c r="L134" s="1426"/>
      <c r="M134" s="1426"/>
      <c r="N134" s="1426"/>
      <c r="O134" s="1426"/>
      <c r="P134" s="1426"/>
      <c r="Q134" s="1427"/>
    </row>
    <row r="135" spans="1:17" ht="11.1" customHeight="1" x14ac:dyDescent="0.3">
      <c r="A135" s="1428"/>
      <c r="B135" s="1429"/>
      <c r="C135" s="1429"/>
      <c r="D135" s="1429"/>
      <c r="E135" s="1429"/>
      <c r="F135" s="1430"/>
      <c r="H135" s="1428"/>
      <c r="I135" s="1429"/>
      <c r="J135" s="1429"/>
      <c r="K135" s="1429"/>
      <c r="L135" s="1429"/>
      <c r="M135" s="1429"/>
      <c r="N135" s="1429"/>
      <c r="O135" s="1429"/>
      <c r="P135" s="1429"/>
      <c r="Q135" s="1430"/>
    </row>
    <row r="136" spans="1:17" ht="11.1" customHeight="1" x14ac:dyDescent="0.3"/>
  </sheetData>
  <mergeCells count="253">
    <mergeCell ref="I22:N22"/>
    <mergeCell ref="S2:V2"/>
    <mergeCell ref="S5:V5"/>
    <mergeCell ref="A18:C18"/>
    <mergeCell ref="E15:G15"/>
    <mergeCell ref="B3:D3"/>
    <mergeCell ref="B2:H2"/>
    <mergeCell ref="K2:M2"/>
    <mergeCell ref="K3:M3"/>
    <mergeCell ref="F3:I3"/>
    <mergeCell ref="A21:D21"/>
    <mergeCell ref="F21:G21"/>
    <mergeCell ref="I21:N21"/>
    <mergeCell ref="A22:D22"/>
    <mergeCell ref="A19:B19"/>
    <mergeCell ref="A27:D27"/>
    <mergeCell ref="A28:D28"/>
    <mergeCell ref="A29:D29"/>
    <mergeCell ref="A30:D30"/>
    <mergeCell ref="A23:D23"/>
    <mergeCell ref="A24:D24"/>
    <mergeCell ref="A25:D25"/>
    <mergeCell ref="A26:D26"/>
    <mergeCell ref="F22:G22"/>
    <mergeCell ref="F25:G25"/>
    <mergeCell ref="F26:G26"/>
    <mergeCell ref="F23:G23"/>
    <mergeCell ref="I23:N23"/>
    <mergeCell ref="F24:G24"/>
    <mergeCell ref="I24:N24"/>
    <mergeCell ref="F33:G33"/>
    <mergeCell ref="I33:N33"/>
    <mergeCell ref="F34:G34"/>
    <mergeCell ref="I34:N34"/>
    <mergeCell ref="F31:G31"/>
    <mergeCell ref="I31:N31"/>
    <mergeCell ref="F32:G32"/>
    <mergeCell ref="I32:N32"/>
    <mergeCell ref="F29:G29"/>
    <mergeCell ref="I29:N29"/>
    <mergeCell ref="F30:G30"/>
    <mergeCell ref="I30:N30"/>
    <mergeCell ref="F27:G27"/>
    <mergeCell ref="I27:N27"/>
    <mergeCell ref="F28:G28"/>
    <mergeCell ref="I28:N28"/>
    <mergeCell ref="I25:N25"/>
    <mergeCell ref="I26:N26"/>
    <mergeCell ref="A31:D31"/>
    <mergeCell ref="A32:D32"/>
    <mergeCell ref="A33:D33"/>
    <mergeCell ref="A34:D34"/>
    <mergeCell ref="F37:G37"/>
    <mergeCell ref="I37:N37"/>
    <mergeCell ref="F38:G38"/>
    <mergeCell ref="I38:N38"/>
    <mergeCell ref="F35:G35"/>
    <mergeCell ref="I35:N35"/>
    <mergeCell ref="F36:G36"/>
    <mergeCell ref="I36:N36"/>
    <mergeCell ref="A35:D35"/>
    <mergeCell ref="A36:D36"/>
    <mergeCell ref="A37:D37"/>
    <mergeCell ref="A38:D38"/>
    <mergeCell ref="F41:G41"/>
    <mergeCell ref="I41:N41"/>
    <mergeCell ref="F42:G42"/>
    <mergeCell ref="I42:N42"/>
    <mergeCell ref="F39:G39"/>
    <mergeCell ref="I39:N39"/>
    <mergeCell ref="F40:G40"/>
    <mergeCell ref="I40:N40"/>
    <mergeCell ref="A39:D39"/>
    <mergeCell ref="A40:D40"/>
    <mergeCell ref="A41:D41"/>
    <mergeCell ref="A42:D42"/>
    <mergeCell ref="F45:G45"/>
    <mergeCell ref="I45:N45"/>
    <mergeCell ref="F46:G46"/>
    <mergeCell ref="I46:N46"/>
    <mergeCell ref="F43:G43"/>
    <mergeCell ref="I43:N43"/>
    <mergeCell ref="F44:G44"/>
    <mergeCell ref="I44:N44"/>
    <mergeCell ref="A43:D43"/>
    <mergeCell ref="A44:D44"/>
    <mergeCell ref="A45:D45"/>
    <mergeCell ref="A46:D46"/>
    <mergeCell ref="F49:G49"/>
    <mergeCell ref="I49:N49"/>
    <mergeCell ref="F50:G50"/>
    <mergeCell ref="I50:N50"/>
    <mergeCell ref="F47:G47"/>
    <mergeCell ref="I47:N47"/>
    <mergeCell ref="F48:G48"/>
    <mergeCell ref="I48:N48"/>
    <mergeCell ref="A47:D47"/>
    <mergeCell ref="A48:D48"/>
    <mergeCell ref="A49:D49"/>
    <mergeCell ref="A50:D50"/>
    <mergeCell ref="S50:V50"/>
    <mergeCell ref="F51:G51"/>
    <mergeCell ref="I51:N51"/>
    <mergeCell ref="S51:T52"/>
    <mergeCell ref="U51:V52"/>
    <mergeCell ref="F52:G52"/>
    <mergeCell ref="I52:N52"/>
    <mergeCell ref="A51:D51"/>
    <mergeCell ref="A52:D52"/>
    <mergeCell ref="S54:V54"/>
    <mergeCell ref="F55:G55"/>
    <mergeCell ref="I55:N55"/>
    <mergeCell ref="S55:V56"/>
    <mergeCell ref="F56:G56"/>
    <mergeCell ref="I56:N56"/>
    <mergeCell ref="I59:N59"/>
    <mergeCell ref="S59:V60"/>
    <mergeCell ref="F62:G62"/>
    <mergeCell ref="I60:N60"/>
    <mergeCell ref="F57:G57"/>
    <mergeCell ref="I57:N57"/>
    <mergeCell ref="S57:V58"/>
    <mergeCell ref="F58:G58"/>
    <mergeCell ref="I58:N58"/>
    <mergeCell ref="F54:G54"/>
    <mergeCell ref="I54:N54"/>
    <mergeCell ref="A53:D53"/>
    <mergeCell ref="A54:D54"/>
    <mergeCell ref="A55:D55"/>
    <mergeCell ref="A56:D56"/>
    <mergeCell ref="F59:G59"/>
    <mergeCell ref="I65:N65"/>
    <mergeCell ref="I66:N66"/>
    <mergeCell ref="I67:N67"/>
    <mergeCell ref="I68:N68"/>
    <mergeCell ref="A57:D57"/>
    <mergeCell ref="A58:D58"/>
    <mergeCell ref="A59:D59"/>
    <mergeCell ref="A62:D62"/>
    <mergeCell ref="F53:G53"/>
    <mergeCell ref="I53:N53"/>
    <mergeCell ref="S65:T68"/>
    <mergeCell ref="U65:V68"/>
    <mergeCell ref="A67:D67"/>
    <mergeCell ref="S62:V62"/>
    <mergeCell ref="F65:G65"/>
    <mergeCell ref="I63:N63"/>
    <mergeCell ref="S63:V64"/>
    <mergeCell ref="F66:G66"/>
    <mergeCell ref="F63:G63"/>
    <mergeCell ref="F64:G64"/>
    <mergeCell ref="I62:N62"/>
    <mergeCell ref="I64:N64"/>
    <mergeCell ref="I69:N69"/>
    <mergeCell ref="I70:N70"/>
    <mergeCell ref="A61:D61"/>
    <mergeCell ref="F61:G61"/>
    <mergeCell ref="A63:D63"/>
    <mergeCell ref="A64:D64"/>
    <mergeCell ref="A65:D65"/>
    <mergeCell ref="A66:D66"/>
    <mergeCell ref="F67:G67"/>
    <mergeCell ref="A68:D68"/>
    <mergeCell ref="A69:D69"/>
    <mergeCell ref="A70:D70"/>
    <mergeCell ref="F68:G68"/>
    <mergeCell ref="F69:G69"/>
    <mergeCell ref="F70:G70"/>
    <mergeCell ref="I61:N61"/>
    <mergeCell ref="A73:Q73"/>
    <mergeCell ref="I85:P85"/>
    <mergeCell ref="I86:P86"/>
    <mergeCell ref="I87:P87"/>
    <mergeCell ref="I88:P88"/>
    <mergeCell ref="I89:P89"/>
    <mergeCell ref="I90:P90"/>
    <mergeCell ref="I91:P91"/>
    <mergeCell ref="I92:P92"/>
    <mergeCell ref="A82:G82"/>
    <mergeCell ref="A84:F84"/>
    <mergeCell ref="A85:F85"/>
    <mergeCell ref="A86:F86"/>
    <mergeCell ref="A87:F87"/>
    <mergeCell ref="A88:F88"/>
    <mergeCell ref="A89:F89"/>
    <mergeCell ref="A90:F90"/>
    <mergeCell ref="A91:F91"/>
    <mergeCell ref="A92:F92"/>
    <mergeCell ref="A83:F83"/>
    <mergeCell ref="A94:Q94"/>
    <mergeCell ref="I74:P74"/>
    <mergeCell ref="I75:P75"/>
    <mergeCell ref="I76:P76"/>
    <mergeCell ref="I77:P77"/>
    <mergeCell ref="I78:P78"/>
    <mergeCell ref="I79:P79"/>
    <mergeCell ref="A80:Q80"/>
    <mergeCell ref="A74:F74"/>
    <mergeCell ref="A75:F75"/>
    <mergeCell ref="A76:F76"/>
    <mergeCell ref="A77:F77"/>
    <mergeCell ref="A78:F78"/>
    <mergeCell ref="A79:F79"/>
    <mergeCell ref="I82:Q82"/>
    <mergeCell ref="I83:P83"/>
    <mergeCell ref="I84:P84"/>
    <mergeCell ref="A95:F95"/>
    <mergeCell ref="A96:F96"/>
    <mergeCell ref="A97:F97"/>
    <mergeCell ref="A98:F98"/>
    <mergeCell ref="A99:F99"/>
    <mergeCell ref="A100:F100"/>
    <mergeCell ref="A101:F101"/>
    <mergeCell ref="A102:F102"/>
    <mergeCell ref="A103:F103"/>
    <mergeCell ref="I95:P95"/>
    <mergeCell ref="I96:P96"/>
    <mergeCell ref="I97:P97"/>
    <mergeCell ref="I98:P98"/>
    <mergeCell ref="I99:P99"/>
    <mergeCell ref="I100:P100"/>
    <mergeCell ref="I101:P101"/>
    <mergeCell ref="I102:P102"/>
    <mergeCell ref="I103:P103"/>
    <mergeCell ref="A114:F114"/>
    <mergeCell ref="A116:Q116"/>
    <mergeCell ref="A121:Q121"/>
    <mergeCell ref="A122:Q127"/>
    <mergeCell ref="H129:Q129"/>
    <mergeCell ref="H130:Q135"/>
    <mergeCell ref="A129:F129"/>
    <mergeCell ref="A130:F135"/>
    <mergeCell ref="I114:P114"/>
    <mergeCell ref="A117:D117"/>
    <mergeCell ref="A118:D118"/>
    <mergeCell ref="A119:D119"/>
    <mergeCell ref="A105:Q105"/>
    <mergeCell ref="I106:P106"/>
    <mergeCell ref="I107:P107"/>
    <mergeCell ref="I108:P108"/>
    <mergeCell ref="I109:P109"/>
    <mergeCell ref="I110:P110"/>
    <mergeCell ref="I111:P111"/>
    <mergeCell ref="I112:P112"/>
    <mergeCell ref="I113:P113"/>
    <mergeCell ref="A106:F106"/>
    <mergeCell ref="A107:F107"/>
    <mergeCell ref="A108:F108"/>
    <mergeCell ref="A109:F109"/>
    <mergeCell ref="A110:F110"/>
    <mergeCell ref="A111:F111"/>
    <mergeCell ref="A112:F112"/>
    <mergeCell ref="A113:F113"/>
  </mergeCells>
  <pageMargins left="0.23622047244094491" right="0.23622047244094491" top="0.19685039370078741" bottom="0.3937007874015748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28675" r:id="rId4" name="CommandButton3">
          <controlPr defaultSize="0" autoLine="0" r:id="rId5">
            <anchor moveWithCells="1">
              <from>
                <xdr:col>23</xdr:col>
                <xdr:colOff>388620</xdr:colOff>
                <xdr:row>11</xdr:row>
                <xdr:rowOff>45720</xdr:rowOff>
              </from>
              <to>
                <xdr:col>25</xdr:col>
                <xdr:colOff>579120</xdr:colOff>
                <xdr:row>13</xdr:row>
                <xdr:rowOff>99060</xdr:rowOff>
              </to>
            </anchor>
          </controlPr>
        </control>
      </mc:Choice>
      <mc:Fallback>
        <control shapeId="28675" r:id="rId4" name="CommandButton3"/>
      </mc:Fallback>
    </mc:AlternateContent>
    <mc:AlternateContent xmlns:mc="http://schemas.openxmlformats.org/markup-compatibility/2006">
      <mc:Choice Requires="x14">
        <control shapeId="28674" r:id="rId6" name="CommandButton2">
          <controlPr defaultSize="0" autoLine="0" r:id="rId7">
            <anchor moveWithCells="1">
              <from>
                <xdr:col>23</xdr:col>
                <xdr:colOff>381000</xdr:colOff>
                <xdr:row>7</xdr:row>
                <xdr:rowOff>68580</xdr:rowOff>
              </from>
              <to>
                <xdr:col>26</xdr:col>
                <xdr:colOff>144780</xdr:colOff>
                <xdr:row>9</xdr:row>
                <xdr:rowOff>137160</xdr:rowOff>
              </to>
            </anchor>
          </controlPr>
        </control>
      </mc:Choice>
      <mc:Fallback>
        <control shapeId="28674" r:id="rId6" name="CommandButton2"/>
      </mc:Fallback>
    </mc:AlternateContent>
    <mc:AlternateContent xmlns:mc="http://schemas.openxmlformats.org/markup-compatibility/2006">
      <mc:Choice Requires="x14">
        <control shapeId="28673" r:id="rId8" name="CommandButton1">
          <controlPr defaultSize="0" autoLine="0" autoPict="0" r:id="rId9">
            <anchor moveWithCells="1">
              <from>
                <xdr:col>23</xdr:col>
                <xdr:colOff>373380</xdr:colOff>
                <xdr:row>2</xdr:row>
                <xdr:rowOff>30480</xdr:rowOff>
              </from>
              <to>
                <xdr:col>25</xdr:col>
                <xdr:colOff>556260</xdr:colOff>
                <xdr:row>4</xdr:row>
                <xdr:rowOff>83820</xdr:rowOff>
              </to>
            </anchor>
          </controlPr>
        </control>
      </mc:Choice>
      <mc:Fallback>
        <control shapeId="28673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'6-Kouzla'!$A$74:$A$78</xm:f>
          </x14:formula1>
          <xm:sqref>P16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2">
    <tabColor rgb="FFFFFF00"/>
  </sheetPr>
  <dimension ref="A1:AR147"/>
  <sheetViews>
    <sheetView workbookViewId="0">
      <selection activeCell="U14" sqref="U14"/>
    </sheetView>
  </sheetViews>
  <sheetFormatPr defaultColWidth="9.109375" defaultRowHeight="13.8" x14ac:dyDescent="0.25"/>
  <cols>
    <col min="1" max="1" width="5" style="369" customWidth="1"/>
    <col min="2" max="2" width="6.88671875" style="369" customWidth="1"/>
    <col min="3" max="4" width="5.88671875" style="369" customWidth="1"/>
    <col min="5" max="5" width="6.5546875" style="369" customWidth="1"/>
    <col min="6" max="6" width="6" style="369" customWidth="1"/>
    <col min="7" max="7" width="5.6640625" style="369" customWidth="1"/>
    <col min="8" max="8" width="5.44140625" style="369" customWidth="1"/>
    <col min="9" max="9" width="8.109375" style="369" customWidth="1"/>
    <col min="10" max="10" width="7.88671875" style="369" customWidth="1"/>
    <col min="11" max="11" width="7.6640625" style="369" customWidth="1"/>
    <col min="12" max="12" width="7.5546875" style="369" customWidth="1"/>
    <col min="13" max="13" width="9.5546875" style="369" customWidth="1"/>
    <col min="14" max="14" width="10.33203125" style="369" customWidth="1"/>
    <col min="15" max="15" width="6.109375" style="369" customWidth="1"/>
    <col min="16" max="16" width="2.44140625" style="369" customWidth="1"/>
    <col min="17" max="17" width="3.88671875" style="369" customWidth="1"/>
    <col min="18" max="18" width="4.44140625" style="369" customWidth="1"/>
    <col min="19" max="20" width="4.33203125" style="369" customWidth="1"/>
    <col min="21" max="21" width="0.6640625" style="369" customWidth="1"/>
    <col min="22" max="22" width="3.44140625" style="369" customWidth="1"/>
    <col min="23" max="23" width="10" style="369" customWidth="1"/>
    <col min="24" max="24" width="11.88671875" style="369" bestFit="1" customWidth="1"/>
    <col min="25" max="16384" width="9.109375" style="369"/>
  </cols>
  <sheetData>
    <row r="1" spans="1:44" ht="24.6" x14ac:dyDescent="0.4">
      <c r="A1" s="851" t="s">
        <v>3993</v>
      </c>
      <c r="B1" s="820"/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/>
      <c r="N1" s="820" t="s">
        <v>677</v>
      </c>
      <c r="O1" s="820"/>
      <c r="P1" s="821"/>
    </row>
    <row r="2" spans="1:44" ht="12.9" customHeight="1" x14ac:dyDescent="0.3">
      <c r="A2" s="1083" t="s">
        <v>4132</v>
      </c>
      <c r="B2" s="1084"/>
      <c r="C2" s="1084" t="s">
        <v>4003</v>
      </c>
      <c r="D2" s="1085"/>
      <c r="E2" s="1085"/>
      <c r="F2" s="1085"/>
      <c r="G2" s="1084" t="s">
        <v>4004</v>
      </c>
      <c r="H2" s="1085"/>
      <c r="I2" s="1085"/>
      <c r="J2" s="1084" t="s">
        <v>585</v>
      </c>
      <c r="K2" s="1086"/>
      <c r="L2" s="1086"/>
      <c r="M2" s="1086"/>
      <c r="N2" s="1086"/>
      <c r="O2" s="1086"/>
      <c r="P2" s="761"/>
      <c r="Q2"/>
      <c r="R2"/>
      <c r="S2"/>
      <c r="T2"/>
    </row>
    <row r="3" spans="1:44" ht="12.9" customHeight="1" x14ac:dyDescent="0.3">
      <c r="A3" s="826"/>
      <c r="B3" s="33" t="s">
        <v>173</v>
      </c>
      <c r="C3" s="256"/>
      <c r="D3" s="33" t="s">
        <v>185</v>
      </c>
      <c r="E3" s="256"/>
      <c r="F3" s="33" t="s">
        <v>298</v>
      </c>
      <c r="G3" s="256"/>
      <c r="H3" s="33" t="s">
        <v>299</v>
      </c>
      <c r="I3" s="256"/>
      <c r="J3" s="33" t="s">
        <v>3996</v>
      </c>
      <c r="K3" s="256"/>
      <c r="L3" s="33" t="s">
        <v>3999</v>
      </c>
      <c r="M3" s="256"/>
      <c r="N3" s="33" t="s">
        <v>678</v>
      </c>
      <c r="O3" s="1087"/>
      <c r="P3" s="761"/>
      <c r="Q3"/>
      <c r="R3"/>
      <c r="S3"/>
      <c r="T3"/>
      <c r="U3" s="380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4" ht="12.9" customHeight="1" x14ac:dyDescent="0.3">
      <c r="A4" s="826"/>
      <c r="B4" s="33" t="s">
        <v>178</v>
      </c>
      <c r="C4" s="256"/>
      <c r="D4" s="33" t="s">
        <v>175</v>
      </c>
      <c r="E4" s="256"/>
      <c r="F4" s="33" t="s">
        <v>159</v>
      </c>
      <c r="G4" s="256"/>
      <c r="H4" s="33" t="s">
        <v>3995</v>
      </c>
      <c r="I4" s="256"/>
      <c r="J4" s="33" t="s">
        <v>2945</v>
      </c>
      <c r="K4" s="256"/>
      <c r="L4" s="33" t="s">
        <v>4000</v>
      </c>
      <c r="M4" s="256"/>
      <c r="N4" s="33" t="s">
        <v>4001</v>
      </c>
      <c r="O4" s="1087"/>
      <c r="P4" s="761"/>
      <c r="Q4"/>
      <c r="R4"/>
      <c r="S4"/>
      <c r="T4"/>
      <c r="U4" s="380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ht="12.9" customHeight="1" x14ac:dyDescent="0.3">
      <c r="A5" s="826"/>
      <c r="B5" s="33" t="s">
        <v>188</v>
      </c>
      <c r="C5" s="256"/>
      <c r="D5" s="33" t="s">
        <v>168</v>
      </c>
      <c r="E5" s="256"/>
      <c r="F5" s="33" t="s">
        <v>300</v>
      </c>
      <c r="G5" s="256"/>
      <c r="H5" s="33" t="s">
        <v>3998</v>
      </c>
      <c r="I5" s="256"/>
      <c r="J5" s="33" t="s">
        <v>3997</v>
      </c>
      <c r="K5" s="256"/>
      <c r="L5" s="33" t="s">
        <v>33</v>
      </c>
      <c r="M5" s="1087"/>
      <c r="N5" s="33" t="s">
        <v>4002</v>
      </c>
      <c r="O5" s="1087"/>
      <c r="P5" s="761"/>
      <c r="Q5"/>
      <c r="R5"/>
      <c r="S5"/>
      <c r="T5"/>
      <c r="U5" s="380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12.9" customHeight="1" x14ac:dyDescent="0.3">
      <c r="A6" s="826"/>
      <c r="B6" s="844" t="s">
        <v>319</v>
      </c>
      <c r="C6" s="857"/>
      <c r="D6" s="845"/>
      <c r="E6" s="845"/>
      <c r="F6" s="845"/>
      <c r="G6" s="845"/>
      <c r="H6" s="845"/>
      <c r="I6" s="845"/>
      <c r="J6" s="845"/>
      <c r="K6" s="845"/>
      <c r="L6" s="858" t="s">
        <v>4070</v>
      </c>
      <c r="M6" s="859"/>
      <c r="N6" s="33" t="s">
        <v>1264</v>
      </c>
      <c r="O6" s="256"/>
      <c r="P6" s="761"/>
      <c r="Q6"/>
      <c r="R6"/>
      <c r="S6"/>
      <c r="T6"/>
      <c r="U6" s="380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 ht="12.9" customHeight="1" x14ac:dyDescent="0.3">
      <c r="A7" s="826"/>
      <c r="B7" s="847"/>
      <c r="C7" s="848"/>
      <c r="D7" s="848"/>
      <c r="E7" s="848"/>
      <c r="F7" s="848"/>
      <c r="G7" s="848"/>
      <c r="H7" s="848"/>
      <c r="I7" s="848"/>
      <c r="J7" s="848"/>
      <c r="K7" s="848"/>
      <c r="L7" s="858" t="s">
        <v>315</v>
      </c>
      <c r="M7" s="859"/>
      <c r="N7" s="33" t="s">
        <v>4008</v>
      </c>
      <c r="O7" s="256"/>
      <c r="P7" s="761"/>
      <c r="Q7"/>
      <c r="R7"/>
      <c r="S7"/>
      <c r="T7"/>
      <c r="U7" s="380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 ht="12.9" customHeight="1" x14ac:dyDescent="0.3">
      <c r="A8" s="826"/>
      <c r="B8" s="844" t="s">
        <v>4009</v>
      </c>
      <c r="C8" s="845"/>
      <c r="D8" s="845"/>
      <c r="E8" s="845"/>
      <c r="F8" s="845"/>
      <c r="G8" s="845"/>
      <c r="H8" s="845"/>
      <c r="I8" s="845"/>
      <c r="J8" s="845"/>
      <c r="K8" s="845"/>
      <c r="L8" s="845"/>
      <c r="M8" s="845"/>
      <c r="N8" s="845"/>
      <c r="O8" s="846"/>
      <c r="P8" s="761"/>
      <c r="Q8"/>
      <c r="R8"/>
      <c r="S8"/>
      <c r="T8"/>
      <c r="U8" s="380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 ht="12.9" customHeight="1" x14ac:dyDescent="0.3">
      <c r="A9" s="826"/>
      <c r="B9" s="850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240"/>
      <c r="P9" s="761"/>
      <c r="Q9"/>
      <c r="R9"/>
      <c r="S9"/>
      <c r="T9"/>
      <c r="U9" s="380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 ht="12.9" customHeight="1" x14ac:dyDescent="0.3">
      <c r="A10" s="826"/>
      <c r="B10" s="847"/>
      <c r="C10" s="848"/>
      <c r="D10" s="848"/>
      <c r="E10" s="848"/>
      <c r="F10" s="848"/>
      <c r="G10" s="848"/>
      <c r="H10" s="848"/>
      <c r="I10" s="848"/>
      <c r="J10" s="848"/>
      <c r="K10" s="848"/>
      <c r="L10" s="848"/>
      <c r="M10" s="848"/>
      <c r="N10" s="848"/>
      <c r="O10" s="849"/>
      <c r="P10" s="761"/>
      <c r="Q10"/>
      <c r="R10"/>
      <c r="S10"/>
      <c r="T10"/>
      <c r="U10" s="380"/>
    </row>
    <row r="11" spans="1:44" ht="12.9" customHeight="1" x14ac:dyDescent="0.3">
      <c r="A11" s="768"/>
      <c r="B11" s="844" t="s">
        <v>4005</v>
      </c>
      <c r="C11" s="845"/>
      <c r="D11" s="845"/>
      <c r="E11" s="845"/>
      <c r="F11" s="845"/>
      <c r="G11" s="845"/>
      <c r="H11" s="845"/>
      <c r="I11" s="845"/>
      <c r="J11" s="845"/>
      <c r="K11" s="845"/>
      <c r="L11" s="845"/>
      <c r="M11" s="845"/>
      <c r="N11" s="845"/>
      <c r="O11" s="846"/>
      <c r="P11" s="801"/>
    </row>
    <row r="12" spans="1:44" ht="12.9" customHeight="1" x14ac:dyDescent="0.3">
      <c r="A12" s="768"/>
      <c r="B12" s="578" t="s">
        <v>4006</v>
      </c>
      <c r="C12" s="576"/>
      <c r="D12" s="576"/>
      <c r="E12" s="576"/>
      <c r="F12" s="576"/>
      <c r="G12" s="576"/>
      <c r="H12" s="576"/>
      <c r="I12" s="576"/>
      <c r="J12" s="576"/>
      <c r="K12" s="576"/>
      <c r="L12" s="576"/>
      <c r="M12" s="576"/>
      <c r="N12" s="576"/>
      <c r="O12" s="577"/>
      <c r="P12" s="801"/>
    </row>
    <row r="13" spans="1:44" ht="12.9" customHeight="1" x14ac:dyDescent="0.3">
      <c r="A13" s="768"/>
      <c r="B13" s="7" t="s">
        <v>4007</v>
      </c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240"/>
      <c r="P13" s="801"/>
    </row>
    <row r="14" spans="1:44" ht="12.9" customHeight="1" x14ac:dyDescent="0.3">
      <c r="A14" s="1489" t="s">
        <v>4010</v>
      </c>
      <c r="B14" s="6" t="s">
        <v>4011</v>
      </c>
      <c r="C14" s="239" t="s">
        <v>4012</v>
      </c>
      <c r="D14" s="238" t="s">
        <v>4011</v>
      </c>
      <c r="E14" s="238" t="s">
        <v>4012</v>
      </c>
      <c r="F14" s="6" t="s">
        <v>4011</v>
      </c>
      <c r="G14" s="239" t="s">
        <v>4012</v>
      </c>
      <c r="H14" s="238" t="s">
        <v>4011</v>
      </c>
      <c r="I14" s="238" t="s">
        <v>4012</v>
      </c>
      <c r="J14" s="6" t="s">
        <v>4011</v>
      </c>
      <c r="K14" s="239" t="s">
        <v>4012</v>
      </c>
      <c r="L14" s="238" t="s">
        <v>4011</v>
      </c>
      <c r="M14" s="238" t="s">
        <v>4012</v>
      </c>
      <c r="N14" s="6" t="s">
        <v>4011</v>
      </c>
      <c r="O14" s="239" t="s">
        <v>4012</v>
      </c>
      <c r="P14" s="801"/>
    </row>
    <row r="15" spans="1:44" ht="12.9" customHeight="1" x14ac:dyDescent="0.3">
      <c r="A15" s="1490"/>
      <c r="B15" s="7" t="s">
        <v>4013</v>
      </c>
      <c r="C15" s="240" t="s">
        <v>4014</v>
      </c>
      <c r="D15" s="197" t="s">
        <v>4013</v>
      </c>
      <c r="E15" s="197" t="s">
        <v>4014</v>
      </c>
      <c r="F15" s="7" t="s">
        <v>4013</v>
      </c>
      <c r="G15" s="240" t="s">
        <v>4014</v>
      </c>
      <c r="H15" s="197" t="s">
        <v>4013</v>
      </c>
      <c r="I15" s="197" t="s">
        <v>4014</v>
      </c>
      <c r="J15" s="7" t="s">
        <v>4013</v>
      </c>
      <c r="K15" s="240" t="s">
        <v>4014</v>
      </c>
      <c r="L15" s="197" t="s">
        <v>4013</v>
      </c>
      <c r="M15" s="197" t="s">
        <v>4014</v>
      </c>
      <c r="N15" s="7" t="s">
        <v>4013</v>
      </c>
      <c r="O15" s="240" t="s">
        <v>4014</v>
      </c>
      <c r="P15" s="801"/>
    </row>
    <row r="16" spans="1:44" ht="12.9" customHeight="1" x14ac:dyDescent="0.3">
      <c r="A16" s="1490"/>
      <c r="B16" s="7" t="s">
        <v>4015</v>
      </c>
      <c r="C16" s="240" t="s">
        <v>4016</v>
      </c>
      <c r="D16" s="197" t="s">
        <v>4015</v>
      </c>
      <c r="E16" s="197" t="s">
        <v>4016</v>
      </c>
      <c r="F16" s="7" t="s">
        <v>4015</v>
      </c>
      <c r="G16" s="240" t="s">
        <v>4016</v>
      </c>
      <c r="H16" s="197" t="s">
        <v>4015</v>
      </c>
      <c r="I16" s="197" t="s">
        <v>4016</v>
      </c>
      <c r="J16" s="7" t="s">
        <v>4015</v>
      </c>
      <c r="K16" s="240" t="s">
        <v>4016</v>
      </c>
      <c r="L16" s="197" t="s">
        <v>4015</v>
      </c>
      <c r="M16" s="197" t="s">
        <v>4016</v>
      </c>
      <c r="N16" s="7" t="s">
        <v>4015</v>
      </c>
      <c r="O16" s="240" t="s">
        <v>4016</v>
      </c>
      <c r="P16" s="801"/>
    </row>
    <row r="17" spans="1:21" ht="12.9" customHeight="1" x14ac:dyDescent="0.3">
      <c r="A17" s="1491"/>
      <c r="B17" s="376" t="s">
        <v>4017</v>
      </c>
      <c r="C17" s="378" t="s">
        <v>4018</v>
      </c>
      <c r="D17" s="377" t="s">
        <v>4017</v>
      </c>
      <c r="E17" s="377" t="s">
        <v>4018</v>
      </c>
      <c r="F17" s="376" t="s">
        <v>4017</v>
      </c>
      <c r="G17" s="378" t="s">
        <v>4018</v>
      </c>
      <c r="H17" s="377" t="s">
        <v>4017</v>
      </c>
      <c r="I17" s="377" t="s">
        <v>4018</v>
      </c>
      <c r="J17" s="376" t="s">
        <v>4017</v>
      </c>
      <c r="K17" s="378" t="s">
        <v>4018</v>
      </c>
      <c r="L17" s="377" t="s">
        <v>4017</v>
      </c>
      <c r="M17" s="377" t="s">
        <v>4018</v>
      </c>
      <c r="N17" s="376" t="s">
        <v>4017</v>
      </c>
      <c r="O17" s="378" t="s">
        <v>4018</v>
      </c>
      <c r="P17" s="801"/>
    </row>
    <row r="18" spans="1:21" ht="12.9" customHeight="1" x14ac:dyDescent="0.3">
      <c r="A18" s="768"/>
      <c r="B18" s="197"/>
      <c r="C18" s="197"/>
      <c r="D18" s="197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197"/>
      <c r="P18" s="761"/>
      <c r="Q18"/>
      <c r="R18"/>
      <c r="S18"/>
      <c r="T18"/>
      <c r="U18" s="380"/>
    </row>
    <row r="19" spans="1:21" ht="15" customHeight="1" x14ac:dyDescent="0.3">
      <c r="A19" s="1083" t="s">
        <v>4133</v>
      </c>
      <c r="B19" s="1084"/>
      <c r="C19" s="1084" t="s">
        <v>4003</v>
      </c>
      <c r="D19" s="1085"/>
      <c r="E19" s="1085"/>
      <c r="F19" s="1085"/>
      <c r="G19" s="1084" t="s">
        <v>4004</v>
      </c>
      <c r="H19" s="1085"/>
      <c r="I19" s="1085"/>
      <c r="J19" s="1084" t="s">
        <v>585</v>
      </c>
      <c r="K19" s="1086"/>
      <c r="L19" s="1086"/>
      <c r="M19" s="1086"/>
      <c r="N19" s="1086"/>
      <c r="O19" s="1086"/>
      <c r="P19" s="761"/>
      <c r="Q19"/>
      <c r="R19"/>
      <c r="S19"/>
      <c r="T19"/>
      <c r="U19" s="380"/>
    </row>
    <row r="20" spans="1:21" ht="12.9" customHeight="1" x14ac:dyDescent="0.3">
      <c r="A20" s="826"/>
      <c r="B20" s="33" t="s">
        <v>173</v>
      </c>
      <c r="C20" s="256"/>
      <c r="D20" s="33" t="s">
        <v>185</v>
      </c>
      <c r="E20" s="256"/>
      <c r="F20" s="33" t="s">
        <v>298</v>
      </c>
      <c r="G20" s="256"/>
      <c r="H20" s="33" t="s">
        <v>299</v>
      </c>
      <c r="I20" s="256"/>
      <c r="J20" s="33" t="s">
        <v>3996</v>
      </c>
      <c r="K20" s="256"/>
      <c r="L20" s="33" t="s">
        <v>3999</v>
      </c>
      <c r="M20" s="256"/>
      <c r="N20" s="33" t="s">
        <v>678</v>
      </c>
      <c r="O20" s="1087"/>
      <c r="P20" s="761"/>
      <c r="Q20"/>
      <c r="R20"/>
      <c r="S20"/>
      <c r="T20"/>
      <c r="U20" s="380"/>
    </row>
    <row r="21" spans="1:21" ht="12.9" customHeight="1" x14ac:dyDescent="0.3">
      <c r="A21" s="826"/>
      <c r="B21" s="33" t="s">
        <v>178</v>
      </c>
      <c r="C21" s="256"/>
      <c r="D21" s="33" t="s">
        <v>175</v>
      </c>
      <c r="E21" s="256"/>
      <c r="F21" s="33" t="s">
        <v>159</v>
      </c>
      <c r="G21" s="256"/>
      <c r="H21" s="33" t="s">
        <v>3995</v>
      </c>
      <c r="I21" s="256"/>
      <c r="J21" s="33" t="s">
        <v>2945</v>
      </c>
      <c r="K21" s="256"/>
      <c r="L21" s="33" t="s">
        <v>4000</v>
      </c>
      <c r="M21" s="256"/>
      <c r="N21" s="33" t="s">
        <v>4001</v>
      </c>
      <c r="O21" s="1087"/>
      <c r="P21" s="761"/>
      <c r="Q21"/>
      <c r="R21"/>
      <c r="S21"/>
      <c r="T21"/>
      <c r="U21" s="380"/>
    </row>
    <row r="22" spans="1:21" ht="12.9" customHeight="1" x14ac:dyDescent="0.3">
      <c r="A22" s="826"/>
      <c r="B22" s="33" t="s">
        <v>188</v>
      </c>
      <c r="C22" s="256"/>
      <c r="D22" s="33" t="s">
        <v>168</v>
      </c>
      <c r="E22" s="256"/>
      <c r="F22" s="33" t="s">
        <v>300</v>
      </c>
      <c r="G22" s="256"/>
      <c r="H22" s="33" t="s">
        <v>3998</v>
      </c>
      <c r="I22" s="256"/>
      <c r="J22" s="33" t="s">
        <v>3997</v>
      </c>
      <c r="K22" s="256"/>
      <c r="L22" s="33" t="s">
        <v>33</v>
      </c>
      <c r="M22" s="1087"/>
      <c r="N22" s="33" t="s">
        <v>4002</v>
      </c>
      <c r="O22" s="1087"/>
      <c r="P22" s="761"/>
      <c r="Q22"/>
      <c r="R22"/>
      <c r="S22"/>
      <c r="T22"/>
      <c r="U22" s="380"/>
    </row>
    <row r="23" spans="1:21" ht="12.9" customHeight="1" x14ac:dyDescent="0.3">
      <c r="A23" s="826"/>
      <c r="B23" s="844" t="s">
        <v>319</v>
      </c>
      <c r="C23" s="857"/>
      <c r="D23" s="845"/>
      <c r="E23" s="845"/>
      <c r="F23" s="845"/>
      <c r="G23" s="845"/>
      <c r="H23" s="845"/>
      <c r="I23" s="845"/>
      <c r="J23" s="845"/>
      <c r="K23" s="845"/>
      <c r="L23" s="858" t="s">
        <v>4070</v>
      </c>
      <c r="M23" s="859"/>
      <c r="N23" s="33" t="s">
        <v>1264</v>
      </c>
      <c r="O23" s="256"/>
      <c r="P23" s="761"/>
      <c r="Q23"/>
      <c r="R23"/>
      <c r="S23"/>
      <c r="T23"/>
      <c r="U23" s="380"/>
    </row>
    <row r="24" spans="1:21" ht="12.9" customHeight="1" x14ac:dyDescent="0.3">
      <c r="A24" s="826"/>
      <c r="B24" s="847"/>
      <c r="C24" s="848"/>
      <c r="D24" s="848"/>
      <c r="E24" s="848"/>
      <c r="F24" s="848"/>
      <c r="G24" s="848"/>
      <c r="H24" s="848"/>
      <c r="I24" s="848"/>
      <c r="J24" s="848"/>
      <c r="K24" s="848"/>
      <c r="L24" s="858" t="s">
        <v>315</v>
      </c>
      <c r="M24" s="859"/>
      <c r="N24" s="33" t="s">
        <v>4008</v>
      </c>
      <c r="O24" s="256"/>
      <c r="P24" s="761"/>
      <c r="Q24"/>
      <c r="R24"/>
      <c r="S24"/>
      <c r="T24"/>
      <c r="U24"/>
    </row>
    <row r="25" spans="1:21" ht="12.9" customHeight="1" x14ac:dyDescent="0.3">
      <c r="A25" s="826"/>
      <c r="B25" s="844" t="s">
        <v>4009</v>
      </c>
      <c r="C25" s="845"/>
      <c r="D25" s="845"/>
      <c r="E25" s="845"/>
      <c r="F25" s="845"/>
      <c r="G25" s="845"/>
      <c r="H25" s="845"/>
      <c r="I25" s="845"/>
      <c r="J25" s="845"/>
      <c r="K25" s="845"/>
      <c r="L25" s="845"/>
      <c r="M25" s="845"/>
      <c r="N25" s="845"/>
      <c r="O25" s="846"/>
      <c r="P25" s="761"/>
      <c r="Q25"/>
      <c r="R25"/>
      <c r="S25"/>
      <c r="T25"/>
      <c r="U25"/>
    </row>
    <row r="26" spans="1:21" ht="12.9" customHeight="1" x14ac:dyDescent="0.3">
      <c r="A26" s="826"/>
      <c r="B26" s="850"/>
      <c r="C26" s="197"/>
      <c r="D26" s="197"/>
      <c r="E26" s="197"/>
      <c r="F26" s="197"/>
      <c r="G26" s="197"/>
      <c r="H26" s="197"/>
      <c r="I26" s="197"/>
      <c r="J26" s="197"/>
      <c r="K26" s="197"/>
      <c r="L26" s="197"/>
      <c r="M26" s="197"/>
      <c r="N26" s="197"/>
      <c r="O26" s="240"/>
      <c r="P26" s="761"/>
      <c r="Q26"/>
      <c r="R26"/>
      <c r="S26"/>
      <c r="T26"/>
      <c r="U26"/>
    </row>
    <row r="27" spans="1:21" ht="12.9" customHeight="1" x14ac:dyDescent="0.3">
      <c r="A27" s="826"/>
      <c r="B27" s="847"/>
      <c r="C27" s="848"/>
      <c r="D27" s="848"/>
      <c r="E27" s="848"/>
      <c r="F27" s="848"/>
      <c r="G27" s="848"/>
      <c r="H27" s="848"/>
      <c r="I27" s="848"/>
      <c r="J27" s="848"/>
      <c r="K27" s="848"/>
      <c r="L27" s="848"/>
      <c r="M27" s="848"/>
      <c r="N27" s="848"/>
      <c r="O27" s="849"/>
      <c r="P27" s="761"/>
      <c r="Q27"/>
      <c r="R27"/>
      <c r="S27"/>
      <c r="T27"/>
      <c r="U27"/>
    </row>
    <row r="28" spans="1:21" ht="12.9" customHeight="1" x14ac:dyDescent="0.3">
      <c r="A28" s="768"/>
      <c r="B28" s="844" t="s">
        <v>4005</v>
      </c>
      <c r="C28" s="845"/>
      <c r="D28" s="845"/>
      <c r="E28" s="845"/>
      <c r="F28" s="845"/>
      <c r="G28" s="845"/>
      <c r="H28" s="845"/>
      <c r="I28" s="845"/>
      <c r="J28" s="845"/>
      <c r="K28" s="845"/>
      <c r="L28" s="845"/>
      <c r="M28" s="845"/>
      <c r="N28" s="845"/>
      <c r="O28" s="846"/>
      <c r="P28" s="761"/>
      <c r="Q28"/>
      <c r="R28"/>
      <c r="S28"/>
      <c r="T28"/>
      <c r="U28"/>
    </row>
    <row r="29" spans="1:21" ht="12.9" customHeight="1" x14ac:dyDescent="0.3">
      <c r="A29" s="768"/>
      <c r="B29" s="578" t="s">
        <v>4006</v>
      </c>
      <c r="C29" s="576"/>
      <c r="D29" s="576"/>
      <c r="E29" s="576"/>
      <c r="F29" s="576"/>
      <c r="G29" s="576"/>
      <c r="H29" s="576"/>
      <c r="I29" s="576"/>
      <c r="J29" s="576"/>
      <c r="K29" s="576"/>
      <c r="L29" s="576"/>
      <c r="M29" s="576"/>
      <c r="N29" s="576"/>
      <c r="O29" s="577"/>
      <c r="P29" s="761"/>
      <c r="Q29"/>
      <c r="R29"/>
      <c r="S29"/>
      <c r="T29"/>
      <c r="U29"/>
    </row>
    <row r="30" spans="1:21" ht="12.9" customHeight="1" x14ac:dyDescent="0.3">
      <c r="A30" s="768"/>
      <c r="B30" s="7" t="s">
        <v>4007</v>
      </c>
      <c r="C30" s="197"/>
      <c r="D30" s="197"/>
      <c r="E30" s="197"/>
      <c r="F30" s="197"/>
      <c r="G30" s="197"/>
      <c r="H30" s="197"/>
      <c r="I30" s="197"/>
      <c r="J30" s="197"/>
      <c r="K30" s="197"/>
      <c r="L30" s="197"/>
      <c r="M30" s="197"/>
      <c r="N30" s="197"/>
      <c r="O30" s="240"/>
      <c r="P30" s="761"/>
      <c r="Q30"/>
      <c r="R30"/>
      <c r="S30"/>
      <c r="T30"/>
      <c r="U30"/>
    </row>
    <row r="31" spans="1:21" ht="12.9" customHeight="1" x14ac:dyDescent="0.3">
      <c r="A31" s="1489" t="s">
        <v>4010</v>
      </c>
      <c r="B31" s="6" t="s">
        <v>4011</v>
      </c>
      <c r="C31" s="239" t="s">
        <v>4012</v>
      </c>
      <c r="D31" s="238" t="s">
        <v>4011</v>
      </c>
      <c r="E31" s="238" t="s">
        <v>4012</v>
      </c>
      <c r="F31" s="6" t="s">
        <v>4011</v>
      </c>
      <c r="G31" s="239" t="s">
        <v>4012</v>
      </c>
      <c r="H31" s="238" t="s">
        <v>4011</v>
      </c>
      <c r="I31" s="238" t="s">
        <v>4012</v>
      </c>
      <c r="J31" s="6" t="s">
        <v>4011</v>
      </c>
      <c r="K31" s="239" t="s">
        <v>4012</v>
      </c>
      <c r="L31" s="238" t="s">
        <v>4011</v>
      </c>
      <c r="M31" s="238" t="s">
        <v>4012</v>
      </c>
      <c r="N31" s="6" t="s">
        <v>4011</v>
      </c>
      <c r="O31" s="239" t="s">
        <v>4012</v>
      </c>
      <c r="P31" s="761"/>
      <c r="Q31"/>
      <c r="R31"/>
      <c r="S31"/>
      <c r="T31"/>
      <c r="U31"/>
    </row>
    <row r="32" spans="1:21" ht="12.9" customHeight="1" x14ac:dyDescent="0.3">
      <c r="A32" s="1490"/>
      <c r="B32" s="7" t="s">
        <v>4013</v>
      </c>
      <c r="C32" s="240" t="s">
        <v>4014</v>
      </c>
      <c r="D32" s="197" t="s">
        <v>4013</v>
      </c>
      <c r="E32" s="197" t="s">
        <v>4014</v>
      </c>
      <c r="F32" s="7" t="s">
        <v>4013</v>
      </c>
      <c r="G32" s="240" t="s">
        <v>4014</v>
      </c>
      <c r="H32" s="197" t="s">
        <v>4013</v>
      </c>
      <c r="I32" s="197" t="s">
        <v>4014</v>
      </c>
      <c r="J32" s="7" t="s">
        <v>4013</v>
      </c>
      <c r="K32" s="240" t="s">
        <v>4014</v>
      </c>
      <c r="L32" s="197" t="s">
        <v>4013</v>
      </c>
      <c r="M32" s="197" t="s">
        <v>4014</v>
      </c>
      <c r="N32" s="7" t="s">
        <v>4013</v>
      </c>
      <c r="O32" s="240" t="s">
        <v>4014</v>
      </c>
      <c r="P32" s="761"/>
      <c r="Q32"/>
      <c r="R32"/>
      <c r="S32"/>
      <c r="T32"/>
      <c r="U32"/>
    </row>
    <row r="33" spans="1:22" ht="12.9" customHeight="1" x14ac:dyDescent="0.3">
      <c r="A33" s="1490"/>
      <c r="B33" s="7" t="s">
        <v>4015</v>
      </c>
      <c r="C33" s="240" t="s">
        <v>4016</v>
      </c>
      <c r="D33" s="197" t="s">
        <v>4015</v>
      </c>
      <c r="E33" s="197" t="s">
        <v>4016</v>
      </c>
      <c r="F33" s="7" t="s">
        <v>4015</v>
      </c>
      <c r="G33" s="240" t="s">
        <v>4016</v>
      </c>
      <c r="H33" s="197" t="s">
        <v>4015</v>
      </c>
      <c r="I33" s="197" t="s">
        <v>4016</v>
      </c>
      <c r="J33" s="7" t="s">
        <v>4015</v>
      </c>
      <c r="K33" s="240" t="s">
        <v>4016</v>
      </c>
      <c r="L33" s="197" t="s">
        <v>4015</v>
      </c>
      <c r="M33" s="197" t="s">
        <v>4016</v>
      </c>
      <c r="N33" s="7" t="s">
        <v>4015</v>
      </c>
      <c r="O33" s="240" t="s">
        <v>4016</v>
      </c>
      <c r="P33" s="761"/>
      <c r="Q33"/>
      <c r="R33"/>
      <c r="S33"/>
      <c r="T33"/>
      <c r="U33"/>
    </row>
    <row r="34" spans="1:22" ht="12.9" customHeight="1" x14ac:dyDescent="0.3">
      <c r="A34" s="1491"/>
      <c r="B34" s="376" t="s">
        <v>4017</v>
      </c>
      <c r="C34" s="378" t="s">
        <v>4018</v>
      </c>
      <c r="D34" s="377" t="s">
        <v>4017</v>
      </c>
      <c r="E34" s="377" t="s">
        <v>4018</v>
      </c>
      <c r="F34" s="376" t="s">
        <v>4017</v>
      </c>
      <c r="G34" s="378" t="s">
        <v>4018</v>
      </c>
      <c r="H34" s="377" t="s">
        <v>4017</v>
      </c>
      <c r="I34" s="377" t="s">
        <v>4018</v>
      </c>
      <c r="J34" s="376" t="s">
        <v>4017</v>
      </c>
      <c r="K34" s="378" t="s">
        <v>4018</v>
      </c>
      <c r="L34" s="377" t="s">
        <v>4017</v>
      </c>
      <c r="M34" s="377" t="s">
        <v>4018</v>
      </c>
      <c r="N34" s="376" t="s">
        <v>4017</v>
      </c>
      <c r="O34" s="378" t="s">
        <v>4018</v>
      </c>
      <c r="P34" s="761"/>
      <c r="Q34"/>
      <c r="R34"/>
      <c r="S34"/>
      <c r="T34"/>
      <c r="U34"/>
    </row>
    <row r="35" spans="1:22" ht="12.9" customHeight="1" x14ac:dyDescent="0.3">
      <c r="A35" s="826"/>
      <c r="B35" s="454"/>
      <c r="C35" s="454"/>
      <c r="D35" s="454"/>
      <c r="E35" s="454"/>
      <c r="F35" s="454"/>
      <c r="G35" s="454"/>
      <c r="H35" s="454"/>
      <c r="I35" s="852"/>
      <c r="J35" s="197"/>
      <c r="K35" s="197"/>
      <c r="L35" s="197"/>
      <c r="M35" s="197"/>
      <c r="N35" s="197"/>
      <c r="O35" s="197"/>
      <c r="P35" s="761"/>
      <c r="Q35"/>
      <c r="R35"/>
      <c r="S35"/>
      <c r="T35"/>
      <c r="U35"/>
    </row>
    <row r="36" spans="1:22" ht="12.9" customHeight="1" x14ac:dyDescent="0.3">
      <c r="A36" s="1083" t="s">
        <v>4134</v>
      </c>
      <c r="B36" s="1084"/>
      <c r="C36" s="1084" t="s">
        <v>4003</v>
      </c>
      <c r="D36" s="1085"/>
      <c r="E36" s="1085"/>
      <c r="F36" s="1085"/>
      <c r="G36" s="1084" t="s">
        <v>4004</v>
      </c>
      <c r="H36" s="1085"/>
      <c r="I36" s="1085"/>
      <c r="J36" s="1084" t="s">
        <v>585</v>
      </c>
      <c r="K36" s="1086"/>
      <c r="L36" s="1086"/>
      <c r="M36" s="1086"/>
      <c r="N36" s="1086"/>
      <c r="O36" s="1086"/>
      <c r="P36" s="761"/>
      <c r="Q36"/>
      <c r="R36"/>
      <c r="S36"/>
      <c r="T36"/>
      <c r="U36"/>
    </row>
    <row r="37" spans="1:22" ht="12.9" customHeight="1" x14ac:dyDescent="0.3">
      <c r="A37" s="826"/>
      <c r="B37" s="33" t="s">
        <v>173</v>
      </c>
      <c r="C37" s="256"/>
      <c r="D37" s="33" t="s">
        <v>185</v>
      </c>
      <c r="E37" s="256"/>
      <c r="F37" s="33" t="s">
        <v>298</v>
      </c>
      <c r="G37" s="256"/>
      <c r="H37" s="33" t="s">
        <v>299</v>
      </c>
      <c r="I37" s="256"/>
      <c r="J37" s="33" t="s">
        <v>3996</v>
      </c>
      <c r="K37" s="256"/>
      <c r="L37" s="33" t="s">
        <v>3999</v>
      </c>
      <c r="M37" s="256"/>
      <c r="N37" s="33" t="s">
        <v>678</v>
      </c>
      <c r="O37" s="1087"/>
      <c r="P37" s="761"/>
      <c r="Q37"/>
      <c r="R37"/>
      <c r="S37"/>
      <c r="T37"/>
      <c r="U37"/>
      <c r="V37" s="383"/>
    </row>
    <row r="38" spans="1:22" ht="12.9" customHeight="1" x14ac:dyDescent="0.3">
      <c r="A38" s="826"/>
      <c r="B38" s="33" t="s">
        <v>178</v>
      </c>
      <c r="C38" s="256"/>
      <c r="D38" s="33" t="s">
        <v>175</v>
      </c>
      <c r="E38" s="256"/>
      <c r="F38" s="33" t="s">
        <v>159</v>
      </c>
      <c r="G38" s="256"/>
      <c r="H38" s="33" t="s">
        <v>3995</v>
      </c>
      <c r="I38" s="256"/>
      <c r="J38" s="33" t="s">
        <v>2945</v>
      </c>
      <c r="K38" s="256"/>
      <c r="L38" s="33" t="s">
        <v>4000</v>
      </c>
      <c r="M38" s="256"/>
      <c r="N38" s="33" t="s">
        <v>4001</v>
      </c>
      <c r="O38" s="1087"/>
      <c r="P38" s="761"/>
      <c r="Q38"/>
      <c r="R38"/>
      <c r="S38"/>
      <c r="T38"/>
      <c r="U38"/>
      <c r="V38" s="383"/>
    </row>
    <row r="39" spans="1:22" ht="12.9" customHeight="1" x14ac:dyDescent="0.3">
      <c r="A39" s="826"/>
      <c r="B39" s="33" t="s">
        <v>188</v>
      </c>
      <c r="C39" s="256"/>
      <c r="D39" s="33" t="s">
        <v>168</v>
      </c>
      <c r="E39" s="256"/>
      <c r="F39" s="33" t="s">
        <v>300</v>
      </c>
      <c r="G39" s="256"/>
      <c r="H39" s="33" t="s">
        <v>3998</v>
      </c>
      <c r="I39" s="256"/>
      <c r="J39" s="33" t="s">
        <v>3997</v>
      </c>
      <c r="K39" s="256"/>
      <c r="L39" s="33" t="s">
        <v>33</v>
      </c>
      <c r="M39" s="1087"/>
      <c r="N39" s="33" t="s">
        <v>4002</v>
      </c>
      <c r="O39" s="1087"/>
      <c r="P39" s="761"/>
      <c r="Q39"/>
      <c r="R39"/>
      <c r="S39"/>
      <c r="T39"/>
      <c r="U39"/>
      <c r="V39" s="383"/>
    </row>
    <row r="40" spans="1:22" ht="12.9" customHeight="1" x14ac:dyDescent="0.3">
      <c r="A40" s="826"/>
      <c r="B40" s="844" t="s">
        <v>319</v>
      </c>
      <c r="C40" s="857"/>
      <c r="D40" s="845"/>
      <c r="E40" s="845"/>
      <c r="F40" s="845"/>
      <c r="G40" s="845"/>
      <c r="H40" s="845"/>
      <c r="I40" s="845"/>
      <c r="J40" s="845"/>
      <c r="K40" s="845"/>
      <c r="L40" s="858" t="s">
        <v>4070</v>
      </c>
      <c r="M40" s="859"/>
      <c r="N40" s="33" t="s">
        <v>1264</v>
      </c>
      <c r="O40" s="256"/>
      <c r="P40" s="761"/>
      <c r="Q40"/>
      <c r="R40"/>
      <c r="S40"/>
      <c r="T40"/>
      <c r="U40"/>
      <c r="V40" s="383"/>
    </row>
    <row r="41" spans="1:22" ht="12.9" customHeight="1" x14ac:dyDescent="0.3">
      <c r="A41" s="826"/>
      <c r="B41" s="847"/>
      <c r="C41" s="848"/>
      <c r="D41" s="848"/>
      <c r="E41" s="848"/>
      <c r="F41" s="848"/>
      <c r="G41" s="848"/>
      <c r="H41" s="848"/>
      <c r="I41" s="848"/>
      <c r="J41" s="848"/>
      <c r="K41" s="848"/>
      <c r="L41" s="858" t="s">
        <v>315</v>
      </c>
      <c r="M41" s="859"/>
      <c r="N41" s="33" t="s">
        <v>4008</v>
      </c>
      <c r="O41" s="256"/>
      <c r="P41" s="761"/>
      <c r="Q41"/>
      <c r="R41"/>
      <c r="S41"/>
      <c r="T41"/>
      <c r="U41"/>
      <c r="V41" s="383"/>
    </row>
    <row r="42" spans="1:22" ht="12.9" customHeight="1" x14ac:dyDescent="0.3">
      <c r="A42" s="826"/>
      <c r="B42" s="844" t="s">
        <v>4009</v>
      </c>
      <c r="C42" s="845"/>
      <c r="D42" s="845"/>
      <c r="E42" s="845"/>
      <c r="F42" s="845"/>
      <c r="G42" s="845"/>
      <c r="H42" s="845"/>
      <c r="I42" s="845"/>
      <c r="J42" s="845"/>
      <c r="K42" s="845"/>
      <c r="L42" s="845"/>
      <c r="M42" s="845"/>
      <c r="N42" s="845"/>
      <c r="O42" s="846"/>
      <c r="P42" s="761"/>
      <c r="Q42"/>
      <c r="R42"/>
      <c r="S42"/>
      <c r="T42"/>
      <c r="U42"/>
      <c r="V42" s="383"/>
    </row>
    <row r="43" spans="1:22" ht="12.9" customHeight="1" x14ac:dyDescent="0.3">
      <c r="A43" s="826"/>
      <c r="B43" s="850"/>
      <c r="C43" s="197"/>
      <c r="D43" s="197"/>
      <c r="E43" s="197"/>
      <c r="F43" s="197"/>
      <c r="G43" s="197"/>
      <c r="H43" s="197"/>
      <c r="I43" s="197"/>
      <c r="J43" s="197"/>
      <c r="K43" s="197"/>
      <c r="L43" s="197"/>
      <c r="M43" s="197"/>
      <c r="N43" s="197"/>
      <c r="O43" s="240"/>
      <c r="P43" s="761"/>
      <c r="Q43"/>
      <c r="R43"/>
      <c r="S43"/>
      <c r="T43"/>
      <c r="U43"/>
      <c r="V43" s="383"/>
    </row>
    <row r="44" spans="1:22" ht="12.9" customHeight="1" x14ac:dyDescent="0.3">
      <c r="A44" s="826"/>
      <c r="B44" s="847"/>
      <c r="C44" s="848"/>
      <c r="D44" s="848"/>
      <c r="E44" s="848"/>
      <c r="F44" s="848"/>
      <c r="G44" s="848"/>
      <c r="H44" s="848"/>
      <c r="I44" s="848"/>
      <c r="J44" s="848"/>
      <c r="K44" s="848"/>
      <c r="L44" s="848"/>
      <c r="M44" s="848"/>
      <c r="N44" s="848"/>
      <c r="O44" s="849"/>
      <c r="P44" s="761"/>
      <c r="Q44"/>
      <c r="R44"/>
      <c r="S44"/>
      <c r="T44"/>
      <c r="U44"/>
      <c r="V44" s="383"/>
    </row>
    <row r="45" spans="1:22" ht="12.9" customHeight="1" x14ac:dyDescent="0.3">
      <c r="A45" s="768"/>
      <c r="B45" s="844" t="s">
        <v>4005</v>
      </c>
      <c r="C45" s="845"/>
      <c r="D45" s="845"/>
      <c r="E45" s="845"/>
      <c r="F45" s="845"/>
      <c r="G45" s="845"/>
      <c r="H45" s="845"/>
      <c r="I45" s="845"/>
      <c r="J45" s="845"/>
      <c r="K45" s="845"/>
      <c r="L45" s="845"/>
      <c r="M45" s="845"/>
      <c r="N45" s="845"/>
      <c r="O45" s="846"/>
      <c r="P45" s="761"/>
      <c r="Q45"/>
      <c r="R45"/>
      <c r="S45"/>
      <c r="T45"/>
      <c r="U45"/>
      <c r="V45" s="383"/>
    </row>
    <row r="46" spans="1:22" ht="12.9" customHeight="1" x14ac:dyDescent="0.3">
      <c r="A46" s="768"/>
      <c r="B46" s="578" t="s">
        <v>4006</v>
      </c>
      <c r="C46" s="576"/>
      <c r="D46" s="576"/>
      <c r="E46" s="576"/>
      <c r="F46" s="576"/>
      <c r="G46" s="576"/>
      <c r="H46" s="576"/>
      <c r="I46" s="576"/>
      <c r="J46" s="576"/>
      <c r="K46" s="576"/>
      <c r="L46" s="576"/>
      <c r="M46" s="576"/>
      <c r="N46" s="576"/>
      <c r="O46" s="577"/>
      <c r="P46" s="761"/>
      <c r="Q46"/>
      <c r="R46"/>
      <c r="S46"/>
      <c r="T46"/>
      <c r="U46"/>
      <c r="V46" s="383"/>
    </row>
    <row r="47" spans="1:22" ht="12.9" customHeight="1" x14ac:dyDescent="0.3">
      <c r="A47" s="768"/>
      <c r="B47" s="7" t="s">
        <v>4007</v>
      </c>
      <c r="C47" s="197"/>
      <c r="D47" s="197"/>
      <c r="E47" s="197"/>
      <c r="F47" s="197"/>
      <c r="G47" s="197"/>
      <c r="H47" s="197"/>
      <c r="I47" s="197"/>
      <c r="J47" s="197"/>
      <c r="K47" s="197"/>
      <c r="L47" s="197"/>
      <c r="M47" s="197"/>
      <c r="N47" s="197"/>
      <c r="O47" s="240"/>
      <c r="P47" s="761"/>
      <c r="Q47"/>
      <c r="R47"/>
      <c r="S47"/>
      <c r="T47"/>
      <c r="U47"/>
      <c r="V47" s="383"/>
    </row>
    <row r="48" spans="1:22" ht="12.9" customHeight="1" x14ac:dyDescent="0.3">
      <c r="A48" s="1489" t="s">
        <v>4010</v>
      </c>
      <c r="B48" s="6" t="s">
        <v>4011</v>
      </c>
      <c r="C48" s="239" t="s">
        <v>4012</v>
      </c>
      <c r="D48" s="238" t="s">
        <v>4011</v>
      </c>
      <c r="E48" s="238" t="s">
        <v>4012</v>
      </c>
      <c r="F48" s="6" t="s">
        <v>4011</v>
      </c>
      <c r="G48" s="239" t="s">
        <v>4012</v>
      </c>
      <c r="H48" s="238" t="s">
        <v>4011</v>
      </c>
      <c r="I48" s="238" t="s">
        <v>4012</v>
      </c>
      <c r="J48" s="6" t="s">
        <v>4011</v>
      </c>
      <c r="K48" s="239" t="s">
        <v>4012</v>
      </c>
      <c r="L48" s="238" t="s">
        <v>4011</v>
      </c>
      <c r="M48" s="238" t="s">
        <v>4012</v>
      </c>
      <c r="N48" s="6" t="s">
        <v>4011</v>
      </c>
      <c r="O48" s="239" t="s">
        <v>4012</v>
      </c>
      <c r="P48" s="761"/>
      <c r="Q48"/>
      <c r="R48"/>
      <c r="S48"/>
      <c r="T48"/>
      <c r="U48"/>
      <c r="V48" s="383"/>
    </row>
    <row r="49" spans="1:22" ht="12.9" customHeight="1" x14ac:dyDescent="0.3">
      <c r="A49" s="1490"/>
      <c r="B49" s="7" t="s">
        <v>4013</v>
      </c>
      <c r="C49" s="240" t="s">
        <v>4014</v>
      </c>
      <c r="D49" s="197" t="s">
        <v>4013</v>
      </c>
      <c r="E49" s="197" t="s">
        <v>4014</v>
      </c>
      <c r="F49" s="7" t="s">
        <v>4013</v>
      </c>
      <c r="G49" s="240" t="s">
        <v>4014</v>
      </c>
      <c r="H49" s="197" t="s">
        <v>4013</v>
      </c>
      <c r="I49" s="197" t="s">
        <v>4014</v>
      </c>
      <c r="J49" s="7" t="s">
        <v>4013</v>
      </c>
      <c r="K49" s="240" t="s">
        <v>4014</v>
      </c>
      <c r="L49" s="197" t="s">
        <v>4013</v>
      </c>
      <c r="M49" s="197" t="s">
        <v>4014</v>
      </c>
      <c r="N49" s="7" t="s">
        <v>4013</v>
      </c>
      <c r="O49" s="240" t="s">
        <v>4014</v>
      </c>
      <c r="P49" s="761"/>
      <c r="Q49"/>
      <c r="R49"/>
      <c r="S49"/>
      <c r="T49"/>
      <c r="U49"/>
      <c r="V49" s="383"/>
    </row>
    <row r="50" spans="1:22" ht="12.9" customHeight="1" x14ac:dyDescent="0.3">
      <c r="A50" s="1490"/>
      <c r="B50" s="7" t="s">
        <v>4015</v>
      </c>
      <c r="C50" s="240" t="s">
        <v>4016</v>
      </c>
      <c r="D50" s="197" t="s">
        <v>4015</v>
      </c>
      <c r="E50" s="197" t="s">
        <v>4016</v>
      </c>
      <c r="F50" s="7" t="s">
        <v>4015</v>
      </c>
      <c r="G50" s="240" t="s">
        <v>4016</v>
      </c>
      <c r="H50" s="197" t="s">
        <v>4015</v>
      </c>
      <c r="I50" s="197" t="s">
        <v>4016</v>
      </c>
      <c r="J50" s="7" t="s">
        <v>4015</v>
      </c>
      <c r="K50" s="240" t="s">
        <v>4016</v>
      </c>
      <c r="L50" s="197" t="s">
        <v>4015</v>
      </c>
      <c r="M50" s="197" t="s">
        <v>4016</v>
      </c>
      <c r="N50" s="7" t="s">
        <v>4015</v>
      </c>
      <c r="O50" s="240" t="s">
        <v>4016</v>
      </c>
      <c r="P50" s="761"/>
      <c r="Q50"/>
      <c r="R50"/>
      <c r="S50"/>
      <c r="T50"/>
      <c r="U50"/>
      <c r="V50" s="383"/>
    </row>
    <row r="51" spans="1:22" ht="12.9" customHeight="1" x14ac:dyDescent="0.3">
      <c r="A51" s="1491"/>
      <c r="B51" s="376" t="s">
        <v>4017</v>
      </c>
      <c r="C51" s="378" t="s">
        <v>4018</v>
      </c>
      <c r="D51" s="377" t="s">
        <v>4017</v>
      </c>
      <c r="E51" s="377" t="s">
        <v>4018</v>
      </c>
      <c r="F51" s="376" t="s">
        <v>4017</v>
      </c>
      <c r="G51" s="378" t="s">
        <v>4018</v>
      </c>
      <c r="H51" s="377" t="s">
        <v>4017</v>
      </c>
      <c r="I51" s="377" t="s">
        <v>4018</v>
      </c>
      <c r="J51" s="376" t="s">
        <v>4017</v>
      </c>
      <c r="K51" s="378" t="s">
        <v>4018</v>
      </c>
      <c r="L51" s="377" t="s">
        <v>4017</v>
      </c>
      <c r="M51" s="377" t="s">
        <v>4018</v>
      </c>
      <c r="N51" s="376" t="s">
        <v>4017</v>
      </c>
      <c r="O51" s="378" t="s">
        <v>4018</v>
      </c>
      <c r="P51" s="761"/>
      <c r="Q51"/>
      <c r="R51"/>
      <c r="S51"/>
      <c r="T51"/>
      <c r="U51"/>
      <c r="V51" s="383"/>
    </row>
    <row r="52" spans="1:22" ht="12.9" customHeight="1" x14ac:dyDescent="0.3">
      <c r="A52" s="826"/>
      <c r="B52" s="454"/>
      <c r="C52" s="454"/>
      <c r="D52" s="454"/>
      <c r="E52" s="454"/>
      <c r="F52" s="454"/>
      <c r="G52" s="454"/>
      <c r="H52" s="454"/>
      <c r="I52" s="852"/>
      <c r="J52" s="197"/>
      <c r="K52" s="197"/>
      <c r="L52" s="197"/>
      <c r="M52" s="197"/>
      <c r="N52" s="197"/>
      <c r="O52" s="197"/>
      <c r="P52" s="761"/>
      <c r="Q52"/>
      <c r="R52"/>
      <c r="S52"/>
      <c r="T52"/>
      <c r="U52"/>
      <c r="V52" s="383"/>
    </row>
    <row r="53" spans="1:22" ht="12.9" customHeight="1" x14ac:dyDescent="0.3">
      <c r="A53" s="1483" t="s">
        <v>4019</v>
      </c>
      <c r="B53" s="1484"/>
      <c r="C53" s="1484"/>
      <c r="D53" s="1484"/>
      <c r="E53" s="454"/>
      <c r="F53" s="1492"/>
      <c r="G53" s="1492"/>
      <c r="H53" s="454"/>
      <c r="I53" s="1484" t="s">
        <v>4019</v>
      </c>
      <c r="J53" s="1484"/>
      <c r="K53" s="1484"/>
      <c r="L53" s="1484"/>
      <c r="M53" s="454"/>
      <c r="N53" s="1492"/>
      <c r="O53" s="1492"/>
      <c r="P53" s="761"/>
      <c r="Q53"/>
      <c r="R53"/>
      <c r="S53"/>
      <c r="T53"/>
      <c r="U53"/>
    </row>
    <row r="54" spans="1:22" ht="12.9" customHeight="1" x14ac:dyDescent="0.3">
      <c r="A54" s="1485" t="s">
        <v>150</v>
      </c>
      <c r="B54" s="1486"/>
      <c r="C54" s="1486"/>
      <c r="D54" s="1486"/>
      <c r="E54" s="1493" t="s">
        <v>348</v>
      </c>
      <c r="F54" s="1494"/>
      <c r="G54" s="379" t="s">
        <v>151</v>
      </c>
      <c r="H54" s="454"/>
      <c r="I54" s="1486" t="s">
        <v>150</v>
      </c>
      <c r="J54" s="1486"/>
      <c r="K54" s="1486"/>
      <c r="L54" s="1486"/>
      <c r="M54" s="1493" t="s">
        <v>348</v>
      </c>
      <c r="N54" s="1494"/>
      <c r="O54" s="379" t="s">
        <v>151</v>
      </c>
      <c r="P54" s="761"/>
      <c r="Q54"/>
      <c r="R54"/>
      <c r="S54"/>
      <c r="T54"/>
      <c r="U54"/>
    </row>
    <row r="55" spans="1:22" ht="12.9" customHeight="1" x14ac:dyDescent="0.3">
      <c r="A55" s="1481"/>
      <c r="B55" s="1482"/>
      <c r="C55" s="1482"/>
      <c r="D55" s="1482"/>
      <c r="E55" s="1495"/>
      <c r="F55" s="1496"/>
      <c r="G55" s="382"/>
      <c r="H55" s="454"/>
      <c r="I55" s="1482"/>
      <c r="J55" s="1482"/>
      <c r="K55" s="1482"/>
      <c r="L55" s="1482"/>
      <c r="M55" s="1495"/>
      <c r="N55" s="1496"/>
      <c r="O55" s="382"/>
      <c r="P55" s="761"/>
      <c r="Q55"/>
      <c r="R55"/>
      <c r="S55"/>
      <c r="T55"/>
      <c r="U55"/>
    </row>
    <row r="56" spans="1:22" ht="12.9" customHeight="1" x14ac:dyDescent="0.3">
      <c r="A56" s="1481"/>
      <c r="B56" s="1482"/>
      <c r="C56" s="1482"/>
      <c r="D56" s="1482"/>
      <c r="E56" s="1495"/>
      <c r="F56" s="1496"/>
      <c r="G56" s="382"/>
      <c r="H56" s="454"/>
      <c r="I56" s="1482"/>
      <c r="J56" s="1482"/>
      <c r="K56" s="1482"/>
      <c r="L56" s="1482"/>
      <c r="M56" s="1495"/>
      <c r="N56" s="1496"/>
      <c r="O56" s="382"/>
      <c r="P56" s="761"/>
      <c r="Q56"/>
      <c r="R56"/>
      <c r="S56"/>
      <c r="T56"/>
      <c r="U56"/>
    </row>
    <row r="57" spans="1:22" ht="12.9" customHeight="1" x14ac:dyDescent="0.3">
      <c r="A57" s="1481"/>
      <c r="B57" s="1482"/>
      <c r="C57" s="1482"/>
      <c r="D57" s="1482"/>
      <c r="E57" s="1495"/>
      <c r="F57" s="1496"/>
      <c r="G57" s="382"/>
      <c r="H57" s="454"/>
      <c r="I57" s="1482"/>
      <c r="J57" s="1482"/>
      <c r="K57" s="1482"/>
      <c r="L57" s="1482"/>
      <c r="M57" s="1495"/>
      <c r="N57" s="1496"/>
      <c r="O57" s="382"/>
      <c r="P57" s="761"/>
      <c r="Q57"/>
      <c r="R57"/>
      <c r="S57"/>
      <c r="T57"/>
      <c r="U57"/>
    </row>
    <row r="58" spans="1:22" ht="12.9" customHeight="1" x14ac:dyDescent="0.3">
      <c r="A58" s="1481"/>
      <c r="B58" s="1482"/>
      <c r="C58" s="1482"/>
      <c r="D58" s="1482"/>
      <c r="E58" s="1495"/>
      <c r="F58" s="1496"/>
      <c r="G58" s="382"/>
      <c r="H58" s="454"/>
      <c r="I58" s="1482"/>
      <c r="J58" s="1482"/>
      <c r="K58" s="1482"/>
      <c r="L58" s="1482"/>
      <c r="M58" s="1495"/>
      <c r="N58" s="1496"/>
      <c r="O58" s="382"/>
      <c r="P58" s="761"/>
      <c r="Q58"/>
      <c r="R58"/>
      <c r="S58"/>
      <c r="T58"/>
      <c r="U58"/>
    </row>
    <row r="59" spans="1:22" ht="12.9" customHeight="1" x14ac:dyDescent="0.3">
      <c r="A59" s="1481"/>
      <c r="B59" s="1482"/>
      <c r="C59" s="1482"/>
      <c r="D59" s="1482"/>
      <c r="E59" s="1495"/>
      <c r="F59" s="1496"/>
      <c r="G59" s="382"/>
      <c r="H59" s="454"/>
      <c r="I59" s="1482"/>
      <c r="J59" s="1482"/>
      <c r="K59" s="1482"/>
      <c r="L59" s="1482"/>
      <c r="M59" s="1495"/>
      <c r="N59" s="1496"/>
      <c r="O59" s="382"/>
      <c r="P59" s="761"/>
      <c r="Q59"/>
      <c r="R59"/>
      <c r="S59"/>
      <c r="T59"/>
      <c r="U59"/>
    </row>
    <row r="60" spans="1:22" ht="12.9" customHeight="1" x14ac:dyDescent="0.3">
      <c r="A60" s="1481"/>
      <c r="B60" s="1482"/>
      <c r="C60" s="1482"/>
      <c r="D60" s="1482"/>
      <c r="E60" s="1495"/>
      <c r="F60" s="1496"/>
      <c r="G60" s="382"/>
      <c r="H60" s="454"/>
      <c r="I60" s="1482"/>
      <c r="J60" s="1482"/>
      <c r="K60" s="1482"/>
      <c r="L60" s="1482"/>
      <c r="M60" s="1495"/>
      <c r="N60" s="1496"/>
      <c r="O60" s="382"/>
      <c r="P60" s="761"/>
      <c r="Q60"/>
      <c r="R60"/>
      <c r="S60"/>
      <c r="T60"/>
      <c r="U60"/>
    </row>
    <row r="61" spans="1:22" ht="13.5" customHeight="1" x14ac:dyDescent="0.3">
      <c r="A61" s="1481"/>
      <c r="B61" s="1482"/>
      <c r="C61" s="1482"/>
      <c r="D61" s="1482"/>
      <c r="E61" s="1495"/>
      <c r="F61" s="1496"/>
      <c r="G61" s="382"/>
      <c r="H61" s="454"/>
      <c r="I61" s="1482"/>
      <c r="J61" s="1482"/>
      <c r="K61" s="1482"/>
      <c r="L61" s="1482"/>
      <c r="M61" s="1495"/>
      <c r="N61" s="1496"/>
      <c r="O61" s="382"/>
      <c r="P61" s="761"/>
      <c r="Q61"/>
      <c r="R61"/>
      <c r="S61"/>
      <c r="T61"/>
      <c r="U61"/>
    </row>
    <row r="62" spans="1:22" ht="12.9" customHeight="1" x14ac:dyDescent="0.3">
      <c r="A62" s="1481"/>
      <c r="B62" s="1482"/>
      <c r="C62" s="1482"/>
      <c r="D62" s="1482"/>
      <c r="E62" s="1495"/>
      <c r="F62" s="1496"/>
      <c r="G62" s="382"/>
      <c r="H62" s="454"/>
      <c r="I62" s="1482"/>
      <c r="J62" s="1482"/>
      <c r="K62" s="1482"/>
      <c r="L62" s="1482"/>
      <c r="M62" s="1495"/>
      <c r="N62" s="1496"/>
      <c r="O62" s="382"/>
      <c r="P62" s="761"/>
      <c r="Q62"/>
      <c r="R62"/>
      <c r="S62"/>
      <c r="T62"/>
      <c r="U62"/>
    </row>
    <row r="63" spans="1:22" customFormat="1" ht="12.9" customHeight="1" x14ac:dyDescent="0.3">
      <c r="A63" s="1481"/>
      <c r="B63" s="1482"/>
      <c r="C63" s="1482"/>
      <c r="D63" s="1482"/>
      <c r="E63" s="1495"/>
      <c r="F63" s="1496"/>
      <c r="G63" s="382"/>
      <c r="H63" s="454"/>
      <c r="I63" s="1482"/>
      <c r="J63" s="1482"/>
      <c r="K63" s="1482"/>
      <c r="L63" s="1482"/>
      <c r="M63" s="1495"/>
      <c r="N63" s="1496"/>
      <c r="O63" s="382"/>
      <c r="P63" s="761"/>
    </row>
    <row r="64" spans="1:22" customFormat="1" ht="12.9" customHeight="1" x14ac:dyDescent="0.3">
      <c r="A64" s="1481"/>
      <c r="B64" s="1482"/>
      <c r="C64" s="1482"/>
      <c r="D64" s="1482"/>
      <c r="E64" s="1495"/>
      <c r="F64" s="1496"/>
      <c r="G64" s="382"/>
      <c r="H64" s="454"/>
      <c r="I64" s="1482"/>
      <c r="J64" s="1482"/>
      <c r="K64" s="1482"/>
      <c r="L64" s="1482"/>
      <c r="M64" s="1495"/>
      <c r="N64" s="1496"/>
      <c r="O64" s="382"/>
      <c r="P64" s="761"/>
    </row>
    <row r="65" spans="1:16" customFormat="1" ht="12.9" customHeight="1" x14ac:dyDescent="0.3">
      <c r="A65" s="1481"/>
      <c r="B65" s="1482"/>
      <c r="C65" s="1482"/>
      <c r="D65" s="1482"/>
      <c r="E65" s="1495"/>
      <c r="F65" s="1496"/>
      <c r="G65" s="382"/>
      <c r="H65" s="454"/>
      <c r="I65" s="1482"/>
      <c r="J65" s="1482"/>
      <c r="K65" s="1482"/>
      <c r="L65" s="1482"/>
      <c r="M65" s="1495"/>
      <c r="N65" s="1496"/>
      <c r="O65" s="382"/>
      <c r="P65" s="761"/>
    </row>
    <row r="66" spans="1:16" customFormat="1" ht="12.9" customHeight="1" x14ac:dyDescent="0.3">
      <c r="A66" s="1481"/>
      <c r="B66" s="1482"/>
      <c r="C66" s="1482"/>
      <c r="D66" s="1482"/>
      <c r="E66" s="1495"/>
      <c r="F66" s="1496"/>
      <c r="G66" s="382"/>
      <c r="H66" s="454"/>
      <c r="I66" s="1482"/>
      <c r="J66" s="1482"/>
      <c r="K66" s="1482"/>
      <c r="L66" s="1482"/>
      <c r="M66" s="1495"/>
      <c r="N66" s="1496"/>
      <c r="O66" s="382"/>
      <c r="P66" s="761"/>
    </row>
    <row r="67" spans="1:16" customFormat="1" ht="12.9" customHeight="1" x14ac:dyDescent="0.3">
      <c r="A67" s="1481"/>
      <c r="B67" s="1482"/>
      <c r="C67" s="1482"/>
      <c r="D67" s="1482"/>
      <c r="E67" s="1495"/>
      <c r="F67" s="1496"/>
      <c r="G67" s="382"/>
      <c r="H67" s="454"/>
      <c r="I67" s="1482"/>
      <c r="J67" s="1482"/>
      <c r="K67" s="1482"/>
      <c r="L67" s="1482"/>
      <c r="M67" s="1495"/>
      <c r="N67" s="1496"/>
      <c r="O67" s="382"/>
      <c r="P67" s="761"/>
    </row>
    <row r="68" spans="1:16" customFormat="1" ht="12.9" customHeight="1" x14ac:dyDescent="0.3">
      <c r="A68" s="1481"/>
      <c r="B68" s="1482"/>
      <c r="C68" s="1482"/>
      <c r="D68" s="1482"/>
      <c r="E68" s="1495"/>
      <c r="F68" s="1496"/>
      <c r="G68" s="382"/>
      <c r="H68" s="454"/>
      <c r="I68" s="1482"/>
      <c r="J68" s="1482"/>
      <c r="K68" s="1482"/>
      <c r="L68" s="1482"/>
      <c r="M68" s="1495"/>
      <c r="N68" s="1496"/>
      <c r="O68" s="382"/>
      <c r="P68" s="761"/>
    </row>
    <row r="69" spans="1:16" customFormat="1" ht="12.9" customHeight="1" thickBot="1" x14ac:dyDescent="0.35">
      <c r="A69" s="1487"/>
      <c r="B69" s="1488"/>
      <c r="C69" s="1488"/>
      <c r="D69" s="1488"/>
      <c r="E69" s="1497"/>
      <c r="F69" s="1498"/>
      <c r="G69" s="853"/>
      <c r="H69" s="803"/>
      <c r="I69" s="1488"/>
      <c r="J69" s="1488"/>
      <c r="K69" s="1488"/>
      <c r="L69" s="1488"/>
      <c r="M69" s="1497"/>
      <c r="N69" s="1498"/>
      <c r="O69" s="853"/>
      <c r="P69" s="770"/>
    </row>
    <row r="70" spans="1:16" customFormat="1" ht="12.9" customHeight="1" x14ac:dyDescent="0.3"/>
    <row r="71" spans="1:16" customFormat="1" ht="12.9" customHeight="1" x14ac:dyDescent="0.3"/>
    <row r="72" spans="1:16" ht="12.9" customHeight="1" x14ac:dyDescent="0.25"/>
    <row r="73" spans="1:16" ht="12.9" customHeight="1" x14ac:dyDescent="0.25"/>
    <row r="74" spans="1:16" ht="12.9" customHeight="1" x14ac:dyDescent="0.25"/>
    <row r="75" spans="1:16" ht="12.9" customHeight="1" x14ac:dyDescent="0.25"/>
    <row r="76" spans="1:16" ht="12.9" customHeight="1" x14ac:dyDescent="0.25"/>
    <row r="77" spans="1:16" ht="12.9" customHeight="1" x14ac:dyDescent="0.25"/>
    <row r="78" spans="1:16" ht="12.9" customHeight="1" x14ac:dyDescent="0.25"/>
    <row r="79" spans="1:16" ht="12.9" customHeight="1" x14ac:dyDescent="0.25"/>
    <row r="80" spans="1:16" ht="12.9" customHeight="1" x14ac:dyDescent="0.25"/>
    <row r="81" ht="12.9" customHeight="1" x14ac:dyDescent="0.25"/>
    <row r="82" ht="12.9" customHeight="1" x14ac:dyDescent="0.25"/>
    <row r="83" ht="12.9" customHeight="1" x14ac:dyDescent="0.25"/>
    <row r="84" ht="12.9" customHeight="1" x14ac:dyDescent="0.25"/>
    <row r="85" ht="12.9" customHeight="1" x14ac:dyDescent="0.25"/>
    <row r="86" ht="12.9" customHeight="1" x14ac:dyDescent="0.25"/>
    <row r="87" ht="12.9" customHeight="1" x14ac:dyDescent="0.25"/>
    <row r="88" ht="12.9" customHeight="1" x14ac:dyDescent="0.25"/>
    <row r="89" ht="12.9" customHeight="1" x14ac:dyDescent="0.25"/>
    <row r="90" ht="12.9" customHeight="1" x14ac:dyDescent="0.25"/>
    <row r="91" ht="12.9" customHeight="1" x14ac:dyDescent="0.25"/>
    <row r="92" ht="12.9" customHeight="1" x14ac:dyDescent="0.25"/>
    <row r="93" ht="12.9" customHeight="1" x14ac:dyDescent="0.25"/>
    <row r="94" ht="12.9" customHeight="1" x14ac:dyDescent="0.25"/>
    <row r="95" ht="12.9" customHeight="1" x14ac:dyDescent="0.25"/>
    <row r="96" ht="12.9" customHeight="1" x14ac:dyDescent="0.25"/>
    <row r="97" ht="12.9" customHeight="1" x14ac:dyDescent="0.25"/>
    <row r="98" ht="12.9" customHeight="1" x14ac:dyDescent="0.25"/>
    <row r="99" ht="12.9" customHeight="1" x14ac:dyDescent="0.25"/>
    <row r="100" ht="12.9" customHeight="1" x14ac:dyDescent="0.25"/>
    <row r="101" ht="12.9" customHeight="1" x14ac:dyDescent="0.25"/>
    <row r="102" ht="12.9" customHeight="1" x14ac:dyDescent="0.25"/>
    <row r="103" ht="12.9" customHeight="1" x14ac:dyDescent="0.25"/>
    <row r="104" ht="12.9" customHeight="1" x14ac:dyDescent="0.25"/>
    <row r="105" ht="12.9" customHeight="1" x14ac:dyDescent="0.25"/>
    <row r="106" ht="12.9" customHeight="1" x14ac:dyDescent="0.25"/>
    <row r="107" ht="12.9" customHeight="1" x14ac:dyDescent="0.25"/>
    <row r="108" ht="12.9" customHeight="1" x14ac:dyDescent="0.25"/>
    <row r="109" ht="12.9" customHeight="1" x14ac:dyDescent="0.25"/>
    <row r="110" ht="12.9" customHeight="1" x14ac:dyDescent="0.25"/>
    <row r="111" ht="12.9" customHeight="1" x14ac:dyDescent="0.25"/>
    <row r="112" ht="12.9" customHeight="1" x14ac:dyDescent="0.25"/>
    <row r="113" ht="12.9" customHeight="1" x14ac:dyDescent="0.25"/>
    <row r="114" ht="12.9" customHeight="1" x14ac:dyDescent="0.25"/>
    <row r="115" ht="12.9" customHeight="1" x14ac:dyDescent="0.25"/>
    <row r="116" ht="12.9" customHeight="1" x14ac:dyDescent="0.25"/>
    <row r="117" ht="12.9" customHeight="1" x14ac:dyDescent="0.25"/>
    <row r="118" ht="12.9" customHeight="1" x14ac:dyDescent="0.25"/>
    <row r="119" ht="12.9" customHeight="1" x14ac:dyDescent="0.25"/>
    <row r="120" ht="12.9" customHeight="1" x14ac:dyDescent="0.25"/>
    <row r="121" ht="12.9" customHeight="1" x14ac:dyDescent="0.25"/>
    <row r="122" ht="12.9" customHeight="1" x14ac:dyDescent="0.25"/>
    <row r="123" ht="12.9" customHeight="1" x14ac:dyDescent="0.25"/>
    <row r="124" ht="12.9" customHeight="1" x14ac:dyDescent="0.25"/>
    <row r="125" ht="12.9" customHeight="1" x14ac:dyDescent="0.25"/>
    <row r="126" ht="12.9" customHeight="1" x14ac:dyDescent="0.25"/>
    <row r="127" ht="12.9" customHeight="1" x14ac:dyDescent="0.25"/>
    <row r="128" ht="12.9" customHeight="1" x14ac:dyDescent="0.25"/>
    <row r="129" ht="12.9" customHeight="1" x14ac:dyDescent="0.25"/>
    <row r="130" ht="12.9" customHeight="1" x14ac:dyDescent="0.25"/>
    <row r="131" ht="12.9" customHeight="1" x14ac:dyDescent="0.25"/>
    <row r="132" ht="12.9" customHeight="1" x14ac:dyDescent="0.25"/>
    <row r="133" ht="12.9" customHeight="1" x14ac:dyDescent="0.25"/>
    <row r="134" ht="12.9" customHeight="1" x14ac:dyDescent="0.25"/>
    <row r="135" ht="12.9" customHeight="1" x14ac:dyDescent="0.25"/>
    <row r="136" ht="12.9" customHeight="1" x14ac:dyDescent="0.25"/>
    <row r="137" ht="12.9" customHeight="1" x14ac:dyDescent="0.25"/>
    <row r="138" ht="12.9" customHeight="1" x14ac:dyDescent="0.25"/>
    <row r="139" ht="12.9" customHeight="1" x14ac:dyDescent="0.25"/>
    <row r="140" ht="12.9" customHeight="1" x14ac:dyDescent="0.25"/>
    <row r="141" ht="12.9" customHeight="1" x14ac:dyDescent="0.25"/>
    <row r="142" ht="12.9" customHeight="1" x14ac:dyDescent="0.25"/>
    <row r="143" ht="12.9" customHeight="1" x14ac:dyDescent="0.25"/>
    <row r="144" ht="12.9" customHeight="1" x14ac:dyDescent="0.25"/>
    <row r="145" ht="12.9" customHeight="1" x14ac:dyDescent="0.25"/>
    <row r="146" ht="12.9" customHeight="1" x14ac:dyDescent="0.25"/>
    <row r="147" ht="12.9" customHeight="1" x14ac:dyDescent="0.25"/>
  </sheetData>
  <mergeCells count="71">
    <mergeCell ref="I67:L67"/>
    <mergeCell ref="M67:N67"/>
    <mergeCell ref="I68:L68"/>
    <mergeCell ref="M68:N68"/>
    <mergeCell ref="I69:L69"/>
    <mergeCell ref="M69:N69"/>
    <mergeCell ref="I58:L58"/>
    <mergeCell ref="M58:N58"/>
    <mergeCell ref="I59:L59"/>
    <mergeCell ref="M59:N59"/>
    <mergeCell ref="E54:F54"/>
    <mergeCell ref="E55:F55"/>
    <mergeCell ref="E56:F56"/>
    <mergeCell ref="E57:F57"/>
    <mergeCell ref="E58:F58"/>
    <mergeCell ref="E59:F59"/>
    <mergeCell ref="I55:L55"/>
    <mergeCell ref="M55:N55"/>
    <mergeCell ref="I56:L56"/>
    <mergeCell ref="M56:N56"/>
    <mergeCell ref="I57:L57"/>
    <mergeCell ref="M57:N57"/>
    <mergeCell ref="E60:F60"/>
    <mergeCell ref="E61:F61"/>
    <mergeCell ref="E62:F62"/>
    <mergeCell ref="E63:F63"/>
    <mergeCell ref="E64:F64"/>
    <mergeCell ref="E65:F65"/>
    <mergeCell ref="E66:F66"/>
    <mergeCell ref="E67:F67"/>
    <mergeCell ref="E68:F68"/>
    <mergeCell ref="E69:F69"/>
    <mergeCell ref="I65:L65"/>
    <mergeCell ref="M65:N65"/>
    <mergeCell ref="I66:L66"/>
    <mergeCell ref="M66:N66"/>
    <mergeCell ref="I60:L60"/>
    <mergeCell ref="M60:N60"/>
    <mergeCell ref="I61:L61"/>
    <mergeCell ref="M61:N61"/>
    <mergeCell ref="I62:L62"/>
    <mergeCell ref="M62:N62"/>
    <mergeCell ref="I63:L63"/>
    <mergeCell ref="M63:N63"/>
    <mergeCell ref="I64:L64"/>
    <mergeCell ref="M64:N64"/>
    <mergeCell ref="A14:A17"/>
    <mergeCell ref="I53:L53"/>
    <mergeCell ref="N53:O53"/>
    <mergeCell ref="I54:L54"/>
    <mergeCell ref="M54:N54"/>
    <mergeCell ref="A31:A34"/>
    <mergeCell ref="A48:A51"/>
    <mergeCell ref="F53:G53"/>
    <mergeCell ref="A69:D69"/>
    <mergeCell ref="A67:D67"/>
    <mergeCell ref="A68:D68"/>
    <mergeCell ref="A65:D65"/>
    <mergeCell ref="A66:D66"/>
    <mergeCell ref="A63:D63"/>
    <mergeCell ref="A64:D64"/>
    <mergeCell ref="A62:D62"/>
    <mergeCell ref="A61:D61"/>
    <mergeCell ref="A59:D59"/>
    <mergeCell ref="A60:D60"/>
    <mergeCell ref="A57:D57"/>
    <mergeCell ref="A58:D58"/>
    <mergeCell ref="A55:D55"/>
    <mergeCell ref="A56:D56"/>
    <mergeCell ref="A53:D53"/>
    <mergeCell ref="A54:D54"/>
  </mergeCells>
  <pageMargins left="0.39370078740157483" right="0.19685039370078741" top="0.19685039370078741" bottom="0.39370078740157483" header="0.31496062992125984" footer="0.31496062992125984"/>
  <pageSetup paperSize="9" scale="90" orientation="portrait" horizontalDpi="0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FFFF00"/>
  </sheetPr>
  <dimension ref="A1:V53"/>
  <sheetViews>
    <sheetView workbookViewId="0">
      <selection activeCell="W10" sqref="W10"/>
    </sheetView>
  </sheetViews>
  <sheetFormatPr defaultRowHeight="14.4" x14ac:dyDescent="0.3"/>
  <cols>
    <col min="1" max="1" width="6" customWidth="1"/>
    <col min="2" max="2" width="6.88671875" customWidth="1"/>
    <col min="3" max="3" width="5.5546875" bestFit="1" customWidth="1"/>
    <col min="4" max="4" width="6.44140625" bestFit="1" customWidth="1"/>
    <col min="5" max="6" width="3.6640625" customWidth="1"/>
    <col min="7" max="7" width="3.88671875" customWidth="1"/>
    <col min="8" max="8" width="5.33203125" customWidth="1"/>
    <col min="9" max="9" width="3.6640625" customWidth="1"/>
    <col min="10" max="10" width="3.5546875" customWidth="1"/>
    <col min="11" max="11" width="4.5546875" customWidth="1"/>
    <col min="12" max="12" width="3.6640625" customWidth="1"/>
    <col min="13" max="13" width="6.44140625" customWidth="1"/>
    <col min="14" max="14" width="3.6640625" customWidth="1"/>
    <col min="15" max="15" width="6.109375" customWidth="1"/>
    <col min="16" max="16" width="2.44140625" customWidth="1"/>
    <col min="17" max="17" width="3.109375" customWidth="1"/>
    <col min="18" max="18" width="4.44140625" customWidth="1"/>
    <col min="19" max="20" width="4.33203125" customWidth="1"/>
    <col min="21" max="21" width="1.5546875" customWidth="1"/>
    <col min="22" max="22" width="3.44140625" customWidth="1"/>
  </cols>
  <sheetData>
    <row r="1" spans="1:21" ht="25.8" x14ac:dyDescent="0.5">
      <c r="A1" s="5" t="s">
        <v>671</v>
      </c>
      <c r="S1" t="s">
        <v>677</v>
      </c>
    </row>
    <row r="2" spans="1:21" ht="15" customHeight="1" x14ac:dyDescent="0.3">
      <c r="A2" s="1" t="s">
        <v>149</v>
      </c>
      <c r="G2" s="1" t="s">
        <v>157</v>
      </c>
    </row>
    <row r="3" spans="1:21" ht="15" customHeight="1" x14ac:dyDescent="0.3">
      <c r="A3" s="1405" t="s">
        <v>153</v>
      </c>
      <c r="B3" s="1413"/>
      <c r="C3" s="1413" t="s">
        <v>560</v>
      </c>
      <c r="D3" s="1406"/>
      <c r="E3" s="33" t="s">
        <v>151</v>
      </c>
      <c r="G3" s="1192" t="s">
        <v>153</v>
      </c>
      <c r="H3" s="1193"/>
      <c r="I3" s="1193"/>
      <c r="J3" s="1193"/>
      <c r="K3" s="1194"/>
      <c r="L3" s="33" t="s">
        <v>151</v>
      </c>
      <c r="M3" s="1192" t="s">
        <v>154</v>
      </c>
      <c r="N3" s="1193"/>
      <c r="O3" s="1193"/>
      <c r="P3" s="1193"/>
      <c r="Q3" s="1193"/>
      <c r="R3" s="1193"/>
      <c r="S3" s="1193"/>
      <c r="T3" s="1194"/>
      <c r="U3" s="10"/>
    </row>
    <row r="4" spans="1:21" ht="15" customHeight="1" x14ac:dyDescent="0.3">
      <c r="A4" s="1196"/>
      <c r="B4" s="1260"/>
      <c r="C4" s="1447"/>
      <c r="D4" s="1448"/>
      <c r="E4" s="38"/>
      <c r="G4" s="1196"/>
      <c r="H4" s="1260"/>
      <c r="I4" s="1260"/>
      <c r="J4" s="1260"/>
      <c r="K4" s="1197"/>
      <c r="L4" s="38"/>
      <c r="M4" s="1192"/>
      <c r="N4" s="1193"/>
      <c r="O4" s="1193"/>
      <c r="P4" s="1193"/>
      <c r="Q4" s="1193"/>
      <c r="R4" s="1193"/>
      <c r="S4" s="1193"/>
      <c r="T4" s="1194"/>
      <c r="U4" s="10"/>
    </row>
    <row r="5" spans="1:21" ht="15" customHeight="1" x14ac:dyDescent="0.3">
      <c r="A5" s="1196"/>
      <c r="B5" s="1260"/>
      <c r="C5" s="1447"/>
      <c r="D5" s="1448"/>
      <c r="E5" s="38"/>
      <c r="G5" s="1196"/>
      <c r="H5" s="1260"/>
      <c r="I5" s="1260"/>
      <c r="J5" s="1260"/>
      <c r="K5" s="1197"/>
      <c r="L5" s="38"/>
      <c r="M5" s="1192"/>
      <c r="N5" s="1193"/>
      <c r="O5" s="1193"/>
      <c r="P5" s="1193"/>
      <c r="Q5" s="1193"/>
      <c r="R5" s="1193"/>
      <c r="S5" s="1193"/>
      <c r="T5" s="1194"/>
      <c r="U5" s="10"/>
    </row>
    <row r="6" spans="1:21" ht="15" customHeight="1" x14ac:dyDescent="0.3">
      <c r="A6" s="1196"/>
      <c r="B6" s="1260"/>
      <c r="C6" s="1447"/>
      <c r="D6" s="1448"/>
      <c r="E6" s="38"/>
      <c r="G6" s="1196"/>
      <c r="H6" s="1260"/>
      <c r="I6" s="1260"/>
      <c r="J6" s="1260"/>
      <c r="K6" s="1197"/>
      <c r="L6" s="38"/>
      <c r="M6" s="1192"/>
      <c r="N6" s="1193"/>
      <c r="O6" s="1193"/>
      <c r="P6" s="1193"/>
      <c r="Q6" s="1193"/>
      <c r="R6" s="1193"/>
      <c r="S6" s="1193"/>
      <c r="T6" s="1194"/>
      <c r="U6" s="10"/>
    </row>
    <row r="7" spans="1:21" ht="15" customHeight="1" x14ac:dyDescent="0.3">
      <c r="A7" s="1500" t="s">
        <v>672</v>
      </c>
      <c r="B7" s="1500"/>
      <c r="C7" s="1500"/>
      <c r="D7" s="1500"/>
      <c r="G7" s="30"/>
      <c r="H7" s="30"/>
      <c r="I7" s="30"/>
      <c r="J7" s="30"/>
      <c r="M7" s="1500" t="s">
        <v>398</v>
      </c>
      <c r="N7" s="1500"/>
      <c r="O7" s="1500"/>
      <c r="P7" s="1500"/>
      <c r="U7" s="10"/>
    </row>
    <row r="8" spans="1:21" ht="15" customHeight="1" x14ac:dyDescent="0.3">
      <c r="A8" s="1268" t="s">
        <v>150</v>
      </c>
      <c r="B8" s="1268"/>
      <c r="C8" s="1268"/>
      <c r="D8" s="1268"/>
      <c r="E8" s="33" t="s">
        <v>151</v>
      </c>
      <c r="G8" s="1268" t="s">
        <v>150</v>
      </c>
      <c r="H8" s="1268"/>
      <c r="I8" s="1268"/>
      <c r="J8" s="1268"/>
      <c r="K8" s="33" t="s">
        <v>151</v>
      </c>
      <c r="M8" s="1192" t="s">
        <v>150</v>
      </c>
      <c r="N8" s="1193"/>
      <c r="O8" s="1193"/>
      <c r="P8" s="1193"/>
      <c r="Q8" s="1193"/>
      <c r="R8" s="1193"/>
      <c r="S8" s="1194"/>
      <c r="T8" s="33" t="s">
        <v>151</v>
      </c>
      <c r="U8" s="10"/>
    </row>
    <row r="9" spans="1:21" ht="15" customHeight="1" x14ac:dyDescent="0.3">
      <c r="A9" s="1499"/>
      <c r="B9" s="1499"/>
      <c r="C9" s="1499"/>
      <c r="D9" s="1499"/>
      <c r="E9" s="38"/>
      <c r="G9" s="1499"/>
      <c r="H9" s="1499"/>
      <c r="I9" s="1499"/>
      <c r="J9" s="1499"/>
      <c r="K9" s="38"/>
      <c r="M9" s="1192"/>
      <c r="N9" s="1193"/>
      <c r="O9" s="1193"/>
      <c r="P9" s="1193"/>
      <c r="Q9" s="1193"/>
      <c r="R9" s="1193"/>
      <c r="S9" s="1194"/>
      <c r="T9" s="38"/>
      <c r="U9" s="10"/>
    </row>
    <row r="10" spans="1:21" ht="15" customHeight="1" x14ac:dyDescent="0.3">
      <c r="A10" s="1499"/>
      <c r="B10" s="1499"/>
      <c r="C10" s="1499"/>
      <c r="D10" s="1499"/>
      <c r="E10" s="38"/>
      <c r="G10" s="1499"/>
      <c r="H10" s="1499"/>
      <c r="I10" s="1499"/>
      <c r="J10" s="1499"/>
      <c r="K10" s="38"/>
      <c r="M10" s="1192"/>
      <c r="N10" s="1193"/>
      <c r="O10" s="1193"/>
      <c r="P10" s="1193"/>
      <c r="Q10" s="1193"/>
      <c r="R10" s="1193"/>
      <c r="S10" s="1194"/>
      <c r="T10" s="38"/>
      <c r="U10" s="10"/>
    </row>
    <row r="11" spans="1:21" ht="15" customHeight="1" x14ac:dyDescent="0.3">
      <c r="A11" s="1499"/>
      <c r="B11" s="1499"/>
      <c r="C11" s="1499"/>
      <c r="D11" s="1499"/>
      <c r="E11" s="38"/>
      <c r="G11" s="1499"/>
      <c r="H11" s="1499"/>
      <c r="I11" s="1499"/>
      <c r="J11" s="1499"/>
      <c r="K11" s="38"/>
      <c r="M11" s="1192"/>
      <c r="N11" s="1193"/>
      <c r="O11" s="1193"/>
      <c r="P11" s="1193"/>
      <c r="Q11" s="1193"/>
      <c r="R11" s="1193"/>
      <c r="S11" s="1194"/>
      <c r="T11" s="38"/>
      <c r="U11" s="10"/>
    </row>
    <row r="12" spans="1:21" ht="15" customHeight="1" x14ac:dyDescent="0.3">
      <c r="A12" s="1499"/>
      <c r="B12" s="1499"/>
      <c r="C12" s="1499"/>
      <c r="D12" s="1499"/>
      <c r="E12" s="38"/>
      <c r="G12" s="1499"/>
      <c r="H12" s="1499"/>
      <c r="I12" s="1499"/>
      <c r="J12" s="1499"/>
      <c r="K12" s="38"/>
      <c r="M12" s="1192"/>
      <c r="N12" s="1193"/>
      <c r="O12" s="1193"/>
      <c r="P12" s="1193"/>
      <c r="Q12" s="1193"/>
      <c r="R12" s="1193"/>
      <c r="S12" s="1194"/>
      <c r="T12" s="38"/>
      <c r="U12" s="10"/>
    </row>
    <row r="13" spans="1:21" ht="15" customHeight="1" x14ac:dyDescent="0.3">
      <c r="A13" s="1499"/>
      <c r="B13" s="1499"/>
      <c r="C13" s="1499"/>
      <c r="D13" s="1499"/>
      <c r="E13" s="38"/>
      <c r="G13" s="1499"/>
      <c r="H13" s="1499"/>
      <c r="I13" s="1499"/>
      <c r="J13" s="1499"/>
      <c r="K13" s="38"/>
      <c r="M13" s="1192"/>
      <c r="N13" s="1193"/>
      <c r="O13" s="1193"/>
      <c r="P13" s="1193"/>
      <c r="Q13" s="1193"/>
      <c r="R13" s="1193"/>
      <c r="S13" s="1194"/>
      <c r="T13" s="38"/>
      <c r="U13" s="10"/>
    </row>
    <row r="14" spans="1:21" ht="15" customHeight="1" x14ac:dyDescent="0.3">
      <c r="A14" s="1499"/>
      <c r="B14" s="1499"/>
      <c r="C14" s="1499"/>
      <c r="D14" s="1499"/>
      <c r="E14" s="38"/>
      <c r="G14" s="1499"/>
      <c r="H14" s="1499"/>
      <c r="I14" s="1499"/>
      <c r="J14" s="1499"/>
      <c r="K14" s="38"/>
      <c r="M14" s="1192"/>
      <c r="N14" s="1193"/>
      <c r="O14" s="1193"/>
      <c r="P14" s="1193"/>
      <c r="Q14" s="1193"/>
      <c r="R14" s="1193"/>
      <c r="S14" s="1194"/>
      <c r="T14" s="38"/>
      <c r="U14" s="10"/>
    </row>
    <row r="15" spans="1:21" ht="15" customHeight="1" x14ac:dyDescent="0.3">
      <c r="A15" s="1499"/>
      <c r="B15" s="1499"/>
      <c r="C15" s="1499"/>
      <c r="D15" s="1499"/>
      <c r="E15" s="38"/>
      <c r="G15" s="1499"/>
      <c r="H15" s="1499"/>
      <c r="I15" s="1499"/>
      <c r="J15" s="1499"/>
      <c r="K15" s="38"/>
      <c r="M15" s="1192"/>
      <c r="N15" s="1193"/>
      <c r="O15" s="1193"/>
      <c r="P15" s="1193"/>
      <c r="Q15" s="1193"/>
      <c r="R15" s="1193"/>
      <c r="S15" s="1194"/>
      <c r="T15" s="38"/>
      <c r="U15" s="10"/>
    </row>
    <row r="16" spans="1:21" ht="15" customHeight="1" x14ac:dyDescent="0.3">
      <c r="A16" s="1499"/>
      <c r="B16" s="1499"/>
      <c r="C16" s="1499"/>
      <c r="D16" s="1499"/>
      <c r="E16" s="38"/>
      <c r="G16" s="1499"/>
      <c r="H16" s="1499"/>
      <c r="I16" s="1499"/>
      <c r="J16" s="1499"/>
      <c r="K16" s="38"/>
      <c r="M16" s="1192"/>
      <c r="N16" s="1193"/>
      <c r="O16" s="1193"/>
      <c r="P16" s="1193"/>
      <c r="Q16" s="1193"/>
      <c r="R16" s="1193"/>
      <c r="S16" s="1194"/>
      <c r="T16" s="38"/>
      <c r="U16" s="10"/>
    </row>
    <row r="17" spans="1:21" ht="15" customHeight="1" x14ac:dyDescent="0.3">
      <c r="A17" s="1499"/>
      <c r="B17" s="1499"/>
      <c r="C17" s="1499"/>
      <c r="D17" s="1499"/>
      <c r="E17" s="38"/>
      <c r="G17" s="1499"/>
      <c r="H17" s="1499"/>
      <c r="I17" s="1499"/>
      <c r="J17" s="1499"/>
      <c r="K17" s="38"/>
      <c r="M17" s="1192"/>
      <c r="N17" s="1193"/>
      <c r="O17" s="1193"/>
      <c r="P17" s="1193"/>
      <c r="Q17" s="1193"/>
      <c r="R17" s="1193"/>
      <c r="S17" s="1194"/>
      <c r="T17" s="38"/>
      <c r="U17" s="10"/>
    </row>
    <row r="18" spans="1:21" ht="15" customHeight="1" x14ac:dyDescent="0.3">
      <c r="A18" s="1499"/>
      <c r="B18" s="1499"/>
      <c r="C18" s="1499"/>
      <c r="D18" s="1499"/>
      <c r="E18" s="38"/>
      <c r="G18" s="1499"/>
      <c r="H18" s="1499"/>
      <c r="I18" s="1499"/>
      <c r="J18" s="1499"/>
      <c r="K18" s="38"/>
      <c r="M18" s="1192"/>
      <c r="N18" s="1193"/>
      <c r="O18" s="1193"/>
      <c r="P18" s="1193"/>
      <c r="Q18" s="1193"/>
      <c r="R18" s="1193"/>
      <c r="S18" s="1194"/>
      <c r="T18" s="38"/>
      <c r="U18" s="10"/>
    </row>
    <row r="19" spans="1:21" ht="15" customHeight="1" x14ac:dyDescent="0.3">
      <c r="A19" s="1499"/>
      <c r="B19" s="1499"/>
      <c r="C19" s="1499"/>
      <c r="D19" s="1499"/>
      <c r="E19" s="38"/>
      <c r="G19" s="1499"/>
      <c r="H19" s="1499"/>
      <c r="I19" s="1499"/>
      <c r="J19" s="1499"/>
      <c r="K19" s="38"/>
      <c r="M19" s="1192"/>
      <c r="N19" s="1193"/>
      <c r="O19" s="1193"/>
      <c r="P19" s="1193"/>
      <c r="Q19" s="1193"/>
      <c r="R19" s="1193"/>
      <c r="S19" s="1194"/>
      <c r="T19" s="38"/>
      <c r="U19" s="10"/>
    </row>
    <row r="20" spans="1:21" ht="15" customHeight="1" x14ac:dyDescent="0.3">
      <c r="A20" s="1499"/>
      <c r="B20" s="1499"/>
      <c r="C20" s="1499"/>
      <c r="D20" s="1499"/>
      <c r="E20" s="38"/>
      <c r="G20" s="1501"/>
      <c r="H20" s="1501"/>
      <c r="I20" s="1501"/>
      <c r="J20" s="1501"/>
      <c r="K20" s="38"/>
      <c r="M20" s="1192"/>
      <c r="N20" s="1193"/>
      <c r="O20" s="1193"/>
      <c r="P20" s="1193"/>
      <c r="Q20" s="1193"/>
      <c r="R20" s="1193"/>
      <c r="S20" s="1194"/>
      <c r="T20" s="38"/>
      <c r="U20" s="10"/>
    </row>
    <row r="21" spans="1:21" ht="15" customHeight="1" x14ac:dyDescent="0.3">
      <c r="A21" s="1499"/>
      <c r="B21" s="1499"/>
      <c r="C21" s="1499"/>
      <c r="D21" s="1499"/>
      <c r="E21" s="38"/>
      <c r="G21" s="1501"/>
      <c r="H21" s="1501"/>
      <c r="I21" s="1501"/>
      <c r="J21" s="1501"/>
      <c r="K21" s="38"/>
      <c r="M21" s="1192"/>
      <c r="N21" s="1193"/>
      <c r="O21" s="1193"/>
      <c r="P21" s="1193"/>
      <c r="Q21" s="1193"/>
      <c r="R21" s="1193"/>
      <c r="S21" s="1194"/>
      <c r="T21" s="38"/>
      <c r="U21" s="10"/>
    </row>
    <row r="22" spans="1:21" ht="15" customHeight="1" x14ac:dyDescent="0.3">
      <c r="A22" s="1499"/>
      <c r="B22" s="1499"/>
      <c r="C22" s="1499"/>
      <c r="D22" s="1499"/>
      <c r="E22" s="38"/>
      <c r="G22" s="1499"/>
      <c r="H22" s="1499"/>
      <c r="I22" s="1499"/>
      <c r="J22" s="1499"/>
      <c r="K22" s="38"/>
      <c r="M22" s="1192"/>
      <c r="N22" s="1193"/>
      <c r="O22" s="1193"/>
      <c r="P22" s="1193"/>
      <c r="Q22" s="1193"/>
      <c r="R22" s="1193"/>
      <c r="S22" s="1194"/>
      <c r="T22" s="38"/>
      <c r="U22" s="10"/>
    </row>
    <row r="23" spans="1:21" ht="15" customHeight="1" x14ac:dyDescent="0.3">
      <c r="A23" s="1499"/>
      <c r="B23" s="1499"/>
      <c r="C23" s="1499"/>
      <c r="D23" s="1499"/>
      <c r="E23" s="38"/>
      <c r="G23" s="1499"/>
      <c r="H23" s="1499"/>
      <c r="I23" s="1499"/>
      <c r="J23" s="1499"/>
      <c r="K23" s="38"/>
      <c r="M23" s="1192"/>
      <c r="N23" s="1193"/>
      <c r="O23" s="1193"/>
      <c r="P23" s="1193"/>
      <c r="Q23" s="1193"/>
      <c r="R23" s="1193"/>
      <c r="S23" s="1194"/>
      <c r="T23" s="38"/>
      <c r="U23" s="10"/>
    </row>
    <row r="24" spans="1:21" ht="15" customHeight="1" x14ac:dyDescent="0.3">
      <c r="A24" s="1499"/>
      <c r="B24" s="1499"/>
      <c r="C24" s="1499"/>
      <c r="D24" s="1499"/>
      <c r="E24" s="38"/>
      <c r="G24" s="1499"/>
      <c r="H24" s="1499"/>
      <c r="I24" s="1499"/>
      <c r="J24" s="1499"/>
      <c r="K24" s="38"/>
      <c r="M24" s="1192"/>
      <c r="N24" s="1193"/>
      <c r="O24" s="1193"/>
      <c r="P24" s="1193"/>
      <c r="Q24" s="1193"/>
      <c r="R24" s="1193"/>
      <c r="S24" s="1194"/>
      <c r="T24" s="38"/>
      <c r="U24" s="10"/>
    </row>
    <row r="25" spans="1:21" ht="15" customHeight="1" x14ac:dyDescent="0.3">
      <c r="A25" s="1500" t="s">
        <v>673</v>
      </c>
      <c r="B25" s="1500"/>
      <c r="C25" s="1500"/>
      <c r="D25" s="1500"/>
      <c r="G25" s="1499"/>
      <c r="H25" s="1499"/>
      <c r="I25" s="1499"/>
      <c r="J25" s="1499"/>
      <c r="K25" s="38"/>
      <c r="M25" s="1192"/>
      <c r="N25" s="1193"/>
      <c r="O25" s="1193"/>
      <c r="P25" s="1193"/>
      <c r="Q25" s="1193"/>
      <c r="R25" s="1193"/>
      <c r="S25" s="1194"/>
      <c r="T25" s="38"/>
      <c r="U25" s="10"/>
    </row>
    <row r="26" spans="1:21" ht="15" customHeight="1" x14ac:dyDescent="0.3">
      <c r="A26" s="1268" t="s">
        <v>150</v>
      </c>
      <c r="B26" s="1268"/>
      <c r="C26" s="1268"/>
      <c r="D26" s="1268"/>
      <c r="E26" s="33" t="s">
        <v>151</v>
      </c>
      <c r="G26" s="1499"/>
      <c r="H26" s="1499"/>
      <c r="I26" s="1499"/>
      <c r="J26" s="1499"/>
      <c r="K26" s="38"/>
      <c r="M26" s="1192"/>
      <c r="N26" s="1193"/>
      <c r="O26" s="1193"/>
      <c r="P26" s="1193"/>
      <c r="Q26" s="1193"/>
      <c r="R26" s="1193"/>
      <c r="S26" s="1194"/>
      <c r="T26" s="38"/>
    </row>
    <row r="27" spans="1:21" ht="15" customHeight="1" x14ac:dyDescent="0.3">
      <c r="A27" s="1501"/>
      <c r="B27" s="1501"/>
      <c r="C27" s="1501"/>
      <c r="D27" s="1501"/>
      <c r="E27" s="38"/>
      <c r="G27" s="1499"/>
      <c r="H27" s="1499"/>
      <c r="I27" s="1499"/>
      <c r="J27" s="1499"/>
      <c r="K27" s="38"/>
      <c r="M27" s="1192"/>
      <c r="N27" s="1193"/>
      <c r="O27" s="1193"/>
      <c r="P27" s="1193"/>
      <c r="Q27" s="1193"/>
      <c r="R27" s="1193"/>
      <c r="S27" s="1194"/>
      <c r="T27" s="38"/>
      <c r="U27" s="10"/>
    </row>
    <row r="28" spans="1:21" ht="15" customHeight="1" x14ac:dyDescent="0.3">
      <c r="A28" s="1501"/>
      <c r="B28" s="1501"/>
      <c r="C28" s="1501"/>
      <c r="D28" s="1501"/>
      <c r="E28" s="38"/>
      <c r="G28" s="1499"/>
      <c r="H28" s="1499"/>
      <c r="I28" s="1499"/>
      <c r="J28" s="1499"/>
      <c r="K28" s="38"/>
      <c r="M28" s="1192"/>
      <c r="N28" s="1193"/>
      <c r="O28" s="1193"/>
      <c r="P28" s="1193"/>
      <c r="Q28" s="1193"/>
      <c r="R28" s="1193"/>
      <c r="S28" s="1194"/>
      <c r="T28" s="38"/>
      <c r="U28" s="10"/>
    </row>
    <row r="29" spans="1:21" ht="15" customHeight="1" x14ac:dyDescent="0.3">
      <c r="A29" s="1499"/>
      <c r="B29" s="1499"/>
      <c r="C29" s="1499"/>
      <c r="D29" s="1499"/>
      <c r="E29" s="38"/>
      <c r="G29" s="1499"/>
      <c r="H29" s="1499"/>
      <c r="I29" s="1499"/>
      <c r="J29" s="1499"/>
      <c r="K29" s="38"/>
      <c r="M29" s="1192"/>
      <c r="N29" s="1193"/>
      <c r="O29" s="1193"/>
      <c r="P29" s="1193"/>
      <c r="Q29" s="1193"/>
      <c r="R29" s="1193"/>
      <c r="S29" s="1194"/>
      <c r="T29" s="38"/>
      <c r="U29" s="10"/>
    </row>
    <row r="30" spans="1:21" ht="15" customHeight="1" x14ac:dyDescent="0.3">
      <c r="A30" s="1499"/>
      <c r="B30" s="1499"/>
      <c r="C30" s="1499"/>
      <c r="D30" s="1499"/>
      <c r="E30" s="38"/>
      <c r="G30" s="1499"/>
      <c r="H30" s="1499"/>
      <c r="I30" s="1499"/>
      <c r="J30" s="1499"/>
      <c r="K30" s="38"/>
      <c r="M30" s="1192"/>
      <c r="N30" s="1193"/>
      <c r="O30" s="1193"/>
      <c r="P30" s="1193"/>
      <c r="Q30" s="1193"/>
      <c r="R30" s="1193"/>
      <c r="S30" s="1194"/>
      <c r="T30" s="38"/>
      <c r="U30" s="10"/>
    </row>
    <row r="31" spans="1:21" ht="15" customHeight="1" x14ac:dyDescent="0.3">
      <c r="A31" s="1500" t="s">
        <v>674</v>
      </c>
      <c r="B31" s="1500"/>
      <c r="C31" s="1500"/>
      <c r="D31" s="1500"/>
      <c r="G31" s="1499"/>
      <c r="H31" s="1499"/>
      <c r="I31" s="1499"/>
      <c r="J31" s="1499"/>
      <c r="K31" s="38"/>
      <c r="M31" s="1192"/>
      <c r="N31" s="1193"/>
      <c r="O31" s="1193"/>
      <c r="P31" s="1193"/>
      <c r="Q31" s="1193"/>
      <c r="R31" s="1193"/>
      <c r="S31" s="1194"/>
      <c r="T31" s="38"/>
      <c r="U31" s="10"/>
    </row>
    <row r="32" spans="1:21" ht="15" customHeight="1" x14ac:dyDescent="0.3">
      <c r="A32" s="1268" t="s">
        <v>150</v>
      </c>
      <c r="B32" s="1268"/>
      <c r="C32" s="1268"/>
      <c r="D32" s="1268"/>
      <c r="E32" s="33" t="s">
        <v>151</v>
      </c>
      <c r="G32" s="1499"/>
      <c r="H32" s="1499"/>
      <c r="I32" s="1499"/>
      <c r="J32" s="1499"/>
      <c r="K32" s="38"/>
      <c r="M32" s="1192"/>
      <c r="N32" s="1193"/>
      <c r="O32" s="1193"/>
      <c r="P32" s="1193"/>
      <c r="Q32" s="1193"/>
      <c r="R32" s="1193"/>
      <c r="S32" s="1194"/>
      <c r="T32" s="38"/>
      <c r="U32" s="10"/>
    </row>
    <row r="33" spans="1:22" ht="15" customHeight="1" x14ac:dyDescent="0.3">
      <c r="A33" s="1499"/>
      <c r="B33" s="1499"/>
      <c r="C33" s="1499"/>
      <c r="D33" s="1499"/>
      <c r="E33" s="38"/>
      <c r="G33" s="1499"/>
      <c r="H33" s="1499"/>
      <c r="I33" s="1499"/>
      <c r="J33" s="1499"/>
      <c r="K33" s="38"/>
      <c r="M33" s="1192"/>
      <c r="N33" s="1193"/>
      <c r="O33" s="1193"/>
      <c r="P33" s="1193"/>
      <c r="Q33" s="1193"/>
      <c r="R33" s="1193"/>
      <c r="S33" s="1194"/>
      <c r="T33" s="38"/>
      <c r="U33" s="10"/>
    </row>
    <row r="34" spans="1:22" ht="15" customHeight="1" x14ac:dyDescent="0.3">
      <c r="A34" s="1499"/>
      <c r="B34" s="1499"/>
      <c r="C34" s="1499"/>
      <c r="D34" s="1499"/>
      <c r="E34" s="38"/>
      <c r="G34" s="1499"/>
      <c r="H34" s="1499"/>
      <c r="I34" s="1499"/>
      <c r="J34" s="1499"/>
      <c r="K34" s="38"/>
      <c r="M34" s="1192"/>
      <c r="N34" s="1193"/>
      <c r="O34" s="1193"/>
      <c r="P34" s="1193"/>
      <c r="Q34" s="1193"/>
      <c r="R34" s="1193"/>
      <c r="S34" s="1194"/>
      <c r="T34" s="38"/>
      <c r="U34" s="10"/>
    </row>
    <row r="35" spans="1:22" ht="15" customHeight="1" x14ac:dyDescent="0.3">
      <c r="A35" s="1499"/>
      <c r="B35" s="1499"/>
      <c r="C35" s="1499"/>
      <c r="D35" s="1499"/>
      <c r="E35" s="38"/>
      <c r="G35" s="1499"/>
      <c r="H35" s="1499"/>
      <c r="I35" s="1499"/>
      <c r="J35" s="1499"/>
      <c r="K35" s="38"/>
      <c r="M35" s="1192"/>
      <c r="N35" s="1193"/>
      <c r="O35" s="1193"/>
      <c r="P35" s="1193"/>
      <c r="Q35" s="1193"/>
      <c r="R35" s="1193"/>
      <c r="S35" s="1194"/>
      <c r="T35" s="38"/>
      <c r="U35" s="10"/>
    </row>
    <row r="36" spans="1:22" ht="15" customHeight="1" x14ac:dyDescent="0.3">
      <c r="A36" s="1499"/>
      <c r="B36" s="1499"/>
      <c r="C36" s="1499"/>
      <c r="D36" s="1499"/>
      <c r="E36" s="38"/>
      <c r="G36" s="1499"/>
      <c r="H36" s="1499"/>
      <c r="I36" s="1499"/>
      <c r="J36" s="1499"/>
      <c r="K36" s="38"/>
      <c r="M36" s="1192"/>
      <c r="N36" s="1193"/>
      <c r="O36" s="1193"/>
      <c r="P36" s="1193"/>
      <c r="Q36" s="1193"/>
      <c r="R36" s="1193"/>
      <c r="S36" s="1194"/>
      <c r="T36" s="38"/>
      <c r="U36" s="10"/>
    </row>
    <row r="37" spans="1:22" ht="15" customHeight="1" x14ac:dyDescent="0.3">
      <c r="A37" s="1" t="s">
        <v>675</v>
      </c>
      <c r="U37" s="10"/>
    </row>
    <row r="38" spans="1:22" ht="15" customHeight="1" x14ac:dyDescent="0.3">
      <c r="A38" s="71"/>
      <c r="B38" s="78"/>
      <c r="C38" s="78"/>
      <c r="D38" s="78"/>
      <c r="E38" s="78"/>
      <c r="F38" s="81"/>
      <c r="G38" s="81"/>
      <c r="H38" s="71"/>
      <c r="I38" s="78"/>
      <c r="J38" s="78"/>
      <c r="K38" s="78"/>
      <c r="L38" s="78"/>
      <c r="M38" s="124"/>
      <c r="N38" s="1196"/>
      <c r="O38" s="1260"/>
      <c r="P38" s="1260"/>
      <c r="Q38" s="1260"/>
      <c r="R38" s="1260"/>
      <c r="S38" s="1197"/>
      <c r="T38" s="81"/>
      <c r="U38" s="10"/>
    </row>
    <row r="39" spans="1:22" ht="15" customHeight="1" x14ac:dyDescent="0.3">
      <c r="A39" s="71"/>
      <c r="B39" s="78"/>
      <c r="C39" s="78"/>
      <c r="D39" s="78"/>
      <c r="E39" s="78"/>
      <c r="F39" s="81"/>
      <c r="G39" s="81"/>
      <c r="H39" s="71"/>
      <c r="I39" s="78"/>
      <c r="J39" s="78"/>
      <c r="K39" s="78"/>
      <c r="L39" s="78"/>
      <c r="M39" s="124"/>
      <c r="N39" s="1196"/>
      <c r="O39" s="1260"/>
      <c r="P39" s="1260"/>
      <c r="Q39" s="1260"/>
      <c r="R39" s="1260"/>
      <c r="S39" s="1197"/>
      <c r="T39" s="124"/>
      <c r="U39" s="10"/>
      <c r="V39" s="29"/>
    </row>
    <row r="40" spans="1:22" ht="15" customHeight="1" x14ac:dyDescent="0.3">
      <c r="A40" s="71"/>
      <c r="B40" s="78"/>
      <c r="C40" s="78"/>
      <c r="D40" s="78"/>
      <c r="E40" s="78"/>
      <c r="F40" s="81"/>
      <c r="G40" s="81"/>
      <c r="H40" s="71"/>
      <c r="I40" s="78"/>
      <c r="J40" s="78"/>
      <c r="K40" s="78"/>
      <c r="L40" s="78"/>
      <c r="M40" s="124"/>
      <c r="N40" s="1196"/>
      <c r="O40" s="1260"/>
      <c r="P40" s="1260"/>
      <c r="Q40" s="1260"/>
      <c r="R40" s="1260"/>
      <c r="S40" s="1197"/>
      <c r="T40" s="81"/>
      <c r="U40" s="10"/>
      <c r="V40" s="29"/>
    </row>
    <row r="41" spans="1:22" ht="15" customHeight="1" x14ac:dyDescent="0.3">
      <c r="A41" s="71"/>
      <c r="B41" s="78"/>
      <c r="C41" s="78"/>
      <c r="D41" s="78"/>
      <c r="E41" s="78"/>
      <c r="F41" s="81"/>
      <c r="G41" s="81"/>
      <c r="H41" s="71"/>
      <c r="I41" s="78"/>
      <c r="J41" s="78"/>
      <c r="K41" s="78"/>
      <c r="L41" s="78"/>
      <c r="M41" s="124"/>
      <c r="N41" s="1196"/>
      <c r="O41" s="1260"/>
      <c r="P41" s="1260"/>
      <c r="Q41" s="1260"/>
      <c r="R41" s="1260"/>
      <c r="S41" s="1197"/>
      <c r="T41" s="81"/>
      <c r="U41" s="10"/>
      <c r="V41" s="29"/>
    </row>
    <row r="42" spans="1:22" ht="15" customHeight="1" x14ac:dyDescent="0.3">
      <c r="A42" s="71"/>
      <c r="B42" s="78"/>
      <c r="C42" s="78"/>
      <c r="D42" s="78"/>
      <c r="E42" s="78"/>
      <c r="F42" s="81"/>
      <c r="G42" s="81"/>
      <c r="H42" s="71"/>
      <c r="I42" s="78"/>
      <c r="J42" s="78"/>
      <c r="K42" s="78"/>
      <c r="L42" s="78"/>
      <c r="M42" s="124"/>
      <c r="N42" s="1196"/>
      <c r="O42" s="1260"/>
      <c r="P42" s="1260"/>
      <c r="Q42" s="1260"/>
      <c r="R42" s="1260"/>
      <c r="S42" s="1197"/>
      <c r="T42" s="81"/>
      <c r="U42" s="10"/>
    </row>
    <row r="43" spans="1:22" ht="15" customHeight="1" x14ac:dyDescent="0.3">
      <c r="A43" s="71"/>
      <c r="B43" s="78"/>
      <c r="C43" s="78"/>
      <c r="D43" s="78"/>
      <c r="E43" s="78"/>
      <c r="F43" s="81"/>
      <c r="G43" s="81"/>
      <c r="H43" s="71"/>
      <c r="I43" s="78"/>
      <c r="J43" s="78"/>
      <c r="K43" s="78"/>
      <c r="L43" s="78"/>
      <c r="M43" s="124"/>
      <c r="N43" s="1196"/>
      <c r="O43" s="1260"/>
      <c r="P43" s="1260"/>
      <c r="Q43" s="1260"/>
      <c r="R43" s="1260"/>
      <c r="S43" s="1197"/>
      <c r="T43" s="81"/>
      <c r="U43" s="10"/>
    </row>
    <row r="44" spans="1:22" ht="15" customHeight="1" x14ac:dyDescent="0.3">
      <c r="A44" s="1" t="s">
        <v>676</v>
      </c>
      <c r="U44" s="10"/>
    </row>
    <row r="45" spans="1:22" ht="15" customHeight="1" x14ac:dyDescent="0.3">
      <c r="A45" t="s">
        <v>24</v>
      </c>
      <c r="B45" s="1192"/>
      <c r="C45" s="1193"/>
      <c r="D45" s="1193"/>
      <c r="E45" s="1193"/>
      <c r="F45" s="1193"/>
      <c r="G45" s="1194"/>
      <c r="H45" t="s">
        <v>667</v>
      </c>
      <c r="I45" s="1192"/>
      <c r="J45" s="1194"/>
      <c r="K45" s="8" t="s">
        <v>668</v>
      </c>
      <c r="M45" t="s">
        <v>669</v>
      </c>
      <c r="N45" s="1192"/>
      <c r="O45" s="1193"/>
      <c r="P45" s="1193"/>
      <c r="Q45" s="1194"/>
      <c r="R45" t="s">
        <v>11</v>
      </c>
      <c r="T45" s="33"/>
      <c r="U45" s="10"/>
    </row>
    <row r="46" spans="1:22" ht="15" customHeight="1" x14ac:dyDescent="0.3">
      <c r="A46" s="196" t="s">
        <v>670</v>
      </c>
      <c r="B46" s="31"/>
      <c r="C46" s="25" t="s">
        <v>81</v>
      </c>
      <c r="D46" s="33"/>
      <c r="E46" t="s">
        <v>314</v>
      </c>
      <c r="F46" s="33"/>
      <c r="G46" t="s">
        <v>570</v>
      </c>
      <c r="H46" s="33"/>
      <c r="I46" t="s">
        <v>329</v>
      </c>
      <c r="J46" s="33"/>
      <c r="L46" s="3" t="s">
        <v>10</v>
      </c>
      <c r="M46" s="33"/>
      <c r="N46" t="s">
        <v>305</v>
      </c>
      <c r="P46" s="1405"/>
      <c r="Q46" s="1406"/>
      <c r="R46" s="8" t="s">
        <v>15</v>
      </c>
      <c r="S46" t="s">
        <v>308</v>
      </c>
      <c r="T46" s="33"/>
      <c r="U46" s="10"/>
    </row>
    <row r="47" spans="1:22" ht="15" customHeight="1" x14ac:dyDescent="0.3">
      <c r="A47" t="s">
        <v>50</v>
      </c>
      <c r="B47" s="124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124"/>
      <c r="U47" s="10"/>
    </row>
    <row r="48" spans="1:22" ht="15" customHeight="1" x14ac:dyDescent="0.3">
      <c r="A48" s="195" t="s">
        <v>49</v>
      </c>
      <c r="B48" s="124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124"/>
      <c r="U48" s="10"/>
    </row>
    <row r="49" spans="1:21" ht="15" customHeight="1" x14ac:dyDescent="0.3">
      <c r="U49" s="10"/>
    </row>
    <row r="50" spans="1:21" x14ac:dyDescent="0.3">
      <c r="A50" s="1508"/>
      <c r="B50" s="1509"/>
      <c r="C50" s="1509"/>
      <c r="D50" s="1509"/>
      <c r="E50" s="1509"/>
      <c r="F50" s="1509"/>
      <c r="G50" s="1509"/>
      <c r="H50" s="1509"/>
      <c r="I50" s="1509"/>
      <c r="J50" s="1509"/>
      <c r="K50" s="1509"/>
      <c r="L50" s="1509"/>
      <c r="M50" s="1509"/>
      <c r="N50" s="1509"/>
      <c r="O50" s="1509"/>
      <c r="P50" s="1509"/>
      <c r="Q50" s="1509"/>
      <c r="R50" s="1509"/>
      <c r="S50" s="1509"/>
      <c r="T50" s="1510"/>
    </row>
    <row r="51" spans="1:21" x14ac:dyDescent="0.3">
      <c r="A51" s="1502"/>
      <c r="B51" s="1503"/>
      <c r="C51" s="1503"/>
      <c r="D51" s="1503"/>
      <c r="E51" s="1503"/>
      <c r="F51" s="1503"/>
      <c r="G51" s="1503"/>
      <c r="H51" s="1503"/>
      <c r="I51" s="1503"/>
      <c r="J51" s="1503"/>
      <c r="K51" s="1503"/>
      <c r="L51" s="1503"/>
      <c r="M51" s="1503"/>
      <c r="N51" s="1503"/>
      <c r="O51" s="1503"/>
      <c r="P51" s="1503"/>
      <c r="Q51" s="1503"/>
      <c r="R51" s="1503"/>
      <c r="S51" s="1503"/>
      <c r="T51" s="1504"/>
    </row>
    <row r="52" spans="1:21" x14ac:dyDescent="0.3">
      <c r="A52" s="1502"/>
      <c r="B52" s="1503"/>
      <c r="C52" s="1503"/>
      <c r="D52" s="1503"/>
      <c r="E52" s="1503"/>
      <c r="F52" s="1503"/>
      <c r="G52" s="1503"/>
      <c r="H52" s="1503"/>
      <c r="I52" s="1503"/>
      <c r="J52" s="1503"/>
      <c r="K52" s="1503"/>
      <c r="L52" s="1503"/>
      <c r="M52" s="1503"/>
      <c r="N52" s="1503"/>
      <c r="O52" s="1503"/>
      <c r="P52" s="1503"/>
      <c r="Q52" s="1503"/>
      <c r="R52" s="1503"/>
      <c r="S52" s="1503"/>
      <c r="T52" s="1504"/>
    </row>
    <row r="53" spans="1:21" x14ac:dyDescent="0.3">
      <c r="A53" s="1505"/>
      <c r="B53" s="1506"/>
      <c r="C53" s="1506"/>
      <c r="D53" s="1506"/>
      <c r="E53" s="1506"/>
      <c r="F53" s="1506"/>
      <c r="G53" s="1506"/>
      <c r="H53" s="1506"/>
      <c r="I53" s="1506"/>
      <c r="J53" s="1506"/>
      <c r="K53" s="1506"/>
      <c r="L53" s="1506"/>
      <c r="M53" s="1506"/>
      <c r="N53" s="1506"/>
      <c r="O53" s="1506"/>
      <c r="P53" s="1506"/>
      <c r="Q53" s="1506"/>
      <c r="R53" s="1506"/>
      <c r="S53" s="1506"/>
      <c r="T53" s="1507"/>
    </row>
  </sheetData>
  <mergeCells count="119">
    <mergeCell ref="A52:T52"/>
    <mergeCell ref="A53:T53"/>
    <mergeCell ref="A9:D9"/>
    <mergeCell ref="A10:D10"/>
    <mergeCell ref="A11:D11"/>
    <mergeCell ref="A12:D12"/>
    <mergeCell ref="A18:D18"/>
    <mergeCell ref="A19:D19"/>
    <mergeCell ref="A20:D20"/>
    <mergeCell ref="A21:D21"/>
    <mergeCell ref="B45:G45"/>
    <mergeCell ref="I45:J45"/>
    <mergeCell ref="N45:Q45"/>
    <mergeCell ref="P46:Q46"/>
    <mergeCell ref="A50:T50"/>
    <mergeCell ref="A51:T51"/>
    <mergeCell ref="N38:S38"/>
    <mergeCell ref="N39:S39"/>
    <mergeCell ref="N40:S40"/>
    <mergeCell ref="N41:S41"/>
    <mergeCell ref="N42:S42"/>
    <mergeCell ref="N43:S43"/>
    <mergeCell ref="G35:J35"/>
    <mergeCell ref="G36:J36"/>
    <mergeCell ref="G34:J34"/>
    <mergeCell ref="M34:S34"/>
    <mergeCell ref="A35:D35"/>
    <mergeCell ref="G28:J28"/>
    <mergeCell ref="M28:S28"/>
    <mergeCell ref="A36:D36"/>
    <mergeCell ref="G29:J29"/>
    <mergeCell ref="M29:S29"/>
    <mergeCell ref="M35:S35"/>
    <mergeCell ref="M36:S36"/>
    <mergeCell ref="A33:D33"/>
    <mergeCell ref="A34:D34"/>
    <mergeCell ref="A31:D31"/>
    <mergeCell ref="A32:D32"/>
    <mergeCell ref="M30:S30"/>
    <mergeCell ref="M31:S31"/>
    <mergeCell ref="M32:S32"/>
    <mergeCell ref="M33:S33"/>
    <mergeCell ref="G30:J30"/>
    <mergeCell ref="G31:J31"/>
    <mergeCell ref="G32:J32"/>
    <mergeCell ref="G33:J33"/>
    <mergeCell ref="A29:D29"/>
    <mergeCell ref="A30:D30"/>
    <mergeCell ref="A27:D27"/>
    <mergeCell ref="A28:D28"/>
    <mergeCell ref="A25:D25"/>
    <mergeCell ref="G26:J26"/>
    <mergeCell ref="M26:S26"/>
    <mergeCell ref="G27:J27"/>
    <mergeCell ref="M27:S27"/>
    <mergeCell ref="G24:J24"/>
    <mergeCell ref="M24:S24"/>
    <mergeCell ref="G25:J25"/>
    <mergeCell ref="M25:S25"/>
    <mergeCell ref="G18:J18"/>
    <mergeCell ref="M18:S18"/>
    <mergeCell ref="A26:D26"/>
    <mergeCell ref="G19:J19"/>
    <mergeCell ref="M19:S19"/>
    <mergeCell ref="A16:D16"/>
    <mergeCell ref="G16:J16"/>
    <mergeCell ref="M16:S16"/>
    <mergeCell ref="A17:D17"/>
    <mergeCell ref="G17:J17"/>
    <mergeCell ref="M17:S17"/>
    <mergeCell ref="A24:D24"/>
    <mergeCell ref="G20:J20"/>
    <mergeCell ref="M20:S20"/>
    <mergeCell ref="G21:J21"/>
    <mergeCell ref="M21:S21"/>
    <mergeCell ref="G22:J22"/>
    <mergeCell ref="M22:S22"/>
    <mergeCell ref="G23:J23"/>
    <mergeCell ref="M23:S23"/>
    <mergeCell ref="A22:D22"/>
    <mergeCell ref="A23:D23"/>
    <mergeCell ref="A14:D14"/>
    <mergeCell ref="G14:J14"/>
    <mergeCell ref="M14:S14"/>
    <mergeCell ref="A15:D15"/>
    <mergeCell ref="G15:J15"/>
    <mergeCell ref="M15:S15"/>
    <mergeCell ref="A7:D7"/>
    <mergeCell ref="M7:P7"/>
    <mergeCell ref="A8:D8"/>
    <mergeCell ref="G8:J8"/>
    <mergeCell ref="M8:S8"/>
    <mergeCell ref="A13:D13"/>
    <mergeCell ref="G9:J9"/>
    <mergeCell ref="M13:S13"/>
    <mergeCell ref="G10:J10"/>
    <mergeCell ref="G11:J11"/>
    <mergeCell ref="M9:S9"/>
    <mergeCell ref="M10:S10"/>
    <mergeCell ref="M11:S11"/>
    <mergeCell ref="M12:S12"/>
    <mergeCell ref="G12:J12"/>
    <mergeCell ref="G13:J13"/>
    <mergeCell ref="A5:B5"/>
    <mergeCell ref="C5:D5"/>
    <mergeCell ref="G5:K5"/>
    <mergeCell ref="M5:T5"/>
    <mergeCell ref="A6:B6"/>
    <mergeCell ref="C6:D6"/>
    <mergeCell ref="G6:K6"/>
    <mergeCell ref="M6:T6"/>
    <mergeCell ref="A3:B3"/>
    <mergeCell ref="C3:D3"/>
    <mergeCell ref="G3:K3"/>
    <mergeCell ref="M3:T3"/>
    <mergeCell ref="A4:B4"/>
    <mergeCell ref="C4:D4"/>
    <mergeCell ref="G4:K4"/>
    <mergeCell ref="M4:T4"/>
  </mergeCells>
  <pageMargins left="0.51181102362204722" right="0.31496062992125984" top="0.31496062992125984" bottom="0.39370078740157483" header="0.31496062992125984" footer="0.31496062992125984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FFFF00"/>
  </sheetPr>
  <dimension ref="A1:M46"/>
  <sheetViews>
    <sheetView topLeftCell="A28" zoomScaleNormal="100" workbookViewId="0">
      <selection activeCell="A47" sqref="A47"/>
    </sheetView>
  </sheetViews>
  <sheetFormatPr defaultRowHeight="14.4" x14ac:dyDescent="0.3"/>
  <cols>
    <col min="1" max="1" width="13.33203125" customWidth="1"/>
    <col min="2" max="2" width="4.33203125" customWidth="1"/>
    <col min="3" max="3" width="4.6640625" customWidth="1"/>
    <col min="4" max="13" width="5.6640625" customWidth="1"/>
  </cols>
  <sheetData>
    <row r="1" spans="1:13" ht="21" x14ac:dyDescent="0.4">
      <c r="A1" s="201" t="s">
        <v>679</v>
      </c>
      <c r="M1" t="s">
        <v>687</v>
      </c>
    </row>
    <row r="2" spans="1:13" x14ac:dyDescent="0.3">
      <c r="A2" s="198" t="s">
        <v>680</v>
      </c>
      <c r="B2" s="1518" t="s">
        <v>686</v>
      </c>
      <c r="C2" s="1519"/>
      <c r="D2" s="1175" t="s">
        <v>681</v>
      </c>
      <c r="E2" s="1535"/>
      <c r="F2" s="1535"/>
      <c r="G2" s="1535"/>
      <c r="H2" s="1535"/>
      <c r="I2" s="1535"/>
      <c r="J2" s="1535"/>
      <c r="K2" s="1535"/>
      <c r="L2" s="1535"/>
      <c r="M2" s="1176"/>
    </row>
    <row r="3" spans="1:13" ht="23.25" customHeight="1" x14ac:dyDescent="0.3">
      <c r="A3" s="1536" t="s">
        <v>50</v>
      </c>
      <c r="B3" s="1525">
        <f>'1-Vlastnosti'!S3</f>
        <v>16</v>
      </c>
      <c r="C3" s="1526"/>
      <c r="D3" s="210"/>
      <c r="E3" s="211"/>
      <c r="F3" s="211"/>
      <c r="G3" s="211"/>
      <c r="H3" s="211"/>
      <c r="I3" s="211"/>
      <c r="J3" s="211"/>
      <c r="K3" s="211"/>
      <c r="L3" s="211"/>
      <c r="M3" s="212"/>
    </row>
    <row r="4" spans="1:13" ht="70.5" customHeight="1" x14ac:dyDescent="0.3">
      <c r="A4" s="1537"/>
      <c r="B4" s="206"/>
      <c r="C4" s="207"/>
      <c r="D4" s="208"/>
      <c r="E4" s="208"/>
      <c r="F4" s="208"/>
      <c r="G4" s="208"/>
      <c r="H4" s="208"/>
      <c r="I4" s="208"/>
      <c r="J4" s="208"/>
      <c r="K4" s="208"/>
      <c r="L4" s="208"/>
      <c r="M4" s="209"/>
    </row>
    <row r="5" spans="1:13" ht="30" customHeight="1" x14ac:dyDescent="0.3">
      <c r="A5" s="202" t="s">
        <v>688</v>
      </c>
      <c r="B5" s="1522"/>
      <c r="C5" s="1523"/>
      <c r="D5" s="1523"/>
      <c r="E5" s="1523"/>
      <c r="F5" s="1523"/>
      <c r="G5" s="1523"/>
      <c r="H5" s="1523"/>
      <c r="I5" s="1523"/>
      <c r="J5" s="1523"/>
      <c r="K5" s="1523"/>
      <c r="L5" s="1523"/>
      <c r="M5" s="1524"/>
    </row>
    <row r="6" spans="1:13" ht="23.25" customHeight="1" x14ac:dyDescent="0.3">
      <c r="A6" s="1536" t="s">
        <v>568</v>
      </c>
      <c r="B6" s="1525">
        <f>'1-Vlastnosti'!T6</f>
        <v>0</v>
      </c>
      <c r="C6" s="1526"/>
      <c r="D6" s="1514"/>
      <c r="E6" s="1515"/>
      <c r="F6" s="1515"/>
      <c r="G6" s="1515"/>
      <c r="H6" s="1515"/>
      <c r="I6" s="1515"/>
      <c r="J6" s="1515"/>
      <c r="K6" s="1515"/>
      <c r="L6" s="1515"/>
      <c r="M6" s="1516"/>
    </row>
    <row r="7" spans="1:13" ht="35.25" customHeight="1" x14ac:dyDescent="0.3">
      <c r="A7" s="1537"/>
      <c r="B7" s="213"/>
      <c r="C7" s="205"/>
      <c r="D7" s="214"/>
      <c r="E7" s="214"/>
      <c r="F7" s="214"/>
      <c r="G7" s="214"/>
      <c r="H7" s="214"/>
      <c r="I7" s="214"/>
      <c r="J7" s="214"/>
      <c r="K7" s="214"/>
      <c r="L7" s="214"/>
      <c r="M7" s="215"/>
    </row>
    <row r="8" spans="1:13" ht="20.100000000000001" customHeight="1" x14ac:dyDescent="0.3">
      <c r="A8" s="1536" t="s">
        <v>49</v>
      </c>
      <c r="B8" s="216">
        <f>'1-Vlastnosti'!C14</f>
        <v>6</v>
      </c>
      <c r="C8" s="217">
        <f>B8*2</f>
        <v>12</v>
      </c>
      <c r="D8" s="1527"/>
      <c r="E8" s="1528"/>
      <c r="F8" s="1528"/>
      <c r="G8" s="1528"/>
      <c r="H8" s="1528"/>
      <c r="I8" s="1528"/>
      <c r="J8" s="1528"/>
      <c r="K8" s="1528"/>
      <c r="L8" s="1528"/>
      <c r="M8" s="1529"/>
    </row>
    <row r="9" spans="1:13" ht="20.100000000000001" customHeight="1" x14ac:dyDescent="0.3">
      <c r="A9" s="1537"/>
      <c r="B9" s="218">
        <f>B8*3</f>
        <v>18</v>
      </c>
      <c r="C9" s="219">
        <f>B8*4</f>
        <v>24</v>
      </c>
      <c r="D9" s="1530"/>
      <c r="E9" s="1531"/>
      <c r="F9" s="1531"/>
      <c r="G9" s="1531"/>
      <c r="H9" s="1531"/>
      <c r="I9" s="1531"/>
      <c r="J9" s="1531"/>
      <c r="K9" s="1531"/>
      <c r="L9" s="1531"/>
      <c r="M9" s="1532"/>
    </row>
    <row r="10" spans="1:13" ht="30" customHeight="1" x14ac:dyDescent="0.3">
      <c r="A10" s="203" t="s">
        <v>689</v>
      </c>
      <c r="B10" s="1533"/>
      <c r="C10" s="1534"/>
      <c r="D10" s="1370"/>
      <c r="E10" s="1371"/>
      <c r="F10" s="1371"/>
      <c r="G10" s="1371"/>
      <c r="H10" s="1371"/>
      <c r="I10" s="1371"/>
      <c r="J10" s="1371"/>
      <c r="K10" s="1371"/>
      <c r="L10" s="1371"/>
      <c r="M10" s="1517"/>
    </row>
    <row r="11" spans="1:13" ht="30" customHeight="1" x14ac:dyDescent="0.3">
      <c r="A11" s="203" t="s">
        <v>690</v>
      </c>
      <c r="B11" s="1533"/>
      <c r="C11" s="1534"/>
      <c r="D11" s="1370"/>
      <c r="E11" s="1371"/>
      <c r="F11" s="1371"/>
      <c r="G11" s="1371"/>
      <c r="H11" s="1371"/>
      <c r="I11" s="1371"/>
      <c r="J11" s="1371"/>
      <c r="K11" s="1371"/>
      <c r="L11" s="1371"/>
      <c r="M11" s="1517"/>
    </row>
    <row r="12" spans="1:13" ht="30.75" customHeight="1" x14ac:dyDescent="0.3">
      <c r="A12" s="203" t="s">
        <v>691</v>
      </c>
      <c r="B12" s="1533"/>
      <c r="C12" s="1534"/>
      <c r="D12" s="1370"/>
      <c r="E12" s="1371"/>
      <c r="F12" s="1371"/>
      <c r="G12" s="1371"/>
      <c r="H12" s="1371"/>
      <c r="I12" s="1371"/>
      <c r="J12" s="1371"/>
      <c r="K12" s="1371"/>
      <c r="L12" s="1371"/>
      <c r="M12" s="1517"/>
    </row>
    <row r="13" spans="1:13" ht="15" customHeight="1" x14ac:dyDescent="0.3">
      <c r="A13" s="1540" t="s">
        <v>697</v>
      </c>
      <c r="B13" s="1533"/>
      <c r="C13" s="1534"/>
      <c r="D13" s="1370"/>
      <c r="E13" s="1371"/>
      <c r="F13" s="1371"/>
      <c r="G13" s="1371"/>
      <c r="H13" s="1371"/>
      <c r="I13" s="1371"/>
      <c r="J13" s="1371"/>
      <c r="K13" s="1371"/>
      <c r="L13" s="1371"/>
      <c r="M13" s="1517"/>
    </row>
    <row r="14" spans="1:13" ht="15" customHeight="1" x14ac:dyDescent="0.3">
      <c r="A14" s="1541"/>
      <c r="B14" s="1533"/>
      <c r="C14" s="1534"/>
      <c r="D14" s="1370"/>
      <c r="E14" s="1371"/>
      <c r="F14" s="1371"/>
      <c r="G14" s="1371"/>
      <c r="H14" s="1371"/>
      <c r="I14" s="1371"/>
      <c r="J14" s="1371"/>
      <c r="K14" s="1371"/>
      <c r="L14" s="1371"/>
      <c r="M14" s="1517"/>
    </row>
    <row r="15" spans="1:13" x14ac:dyDescent="0.3">
      <c r="A15" s="1540" t="s">
        <v>698</v>
      </c>
      <c r="B15" s="1533"/>
      <c r="C15" s="1534"/>
      <c r="D15" s="1370"/>
      <c r="E15" s="1371"/>
      <c r="F15" s="1371"/>
      <c r="G15" s="1371"/>
      <c r="H15" s="1371"/>
      <c r="I15" s="1371"/>
      <c r="J15" s="1371"/>
      <c r="K15" s="1371"/>
      <c r="L15" s="1371"/>
      <c r="M15" s="1517"/>
    </row>
    <row r="16" spans="1:13" x14ac:dyDescent="0.3">
      <c r="A16" s="1541"/>
      <c r="B16" s="1533"/>
      <c r="C16" s="1534"/>
      <c r="D16" s="1370"/>
      <c r="E16" s="1371"/>
      <c r="F16" s="1371"/>
      <c r="G16" s="1371"/>
      <c r="H16" s="1371"/>
      <c r="I16" s="1371"/>
      <c r="J16" s="1371"/>
      <c r="K16" s="1371"/>
      <c r="L16" s="1371"/>
      <c r="M16" s="1517"/>
    </row>
    <row r="17" spans="1:13" ht="8.25" customHeight="1" x14ac:dyDescent="0.3"/>
    <row r="18" spans="1:13" ht="21" customHeight="1" x14ac:dyDescent="0.3">
      <c r="A18" s="199" t="s">
        <v>682</v>
      </c>
      <c r="B18" s="200"/>
      <c r="C18" s="204"/>
      <c r="D18" s="1371"/>
      <c r="E18" s="1371"/>
      <c r="F18" s="1371"/>
      <c r="G18" s="1371"/>
      <c r="H18" s="1371"/>
      <c r="I18" s="1371"/>
      <c r="J18" s="1371"/>
      <c r="K18" s="1371"/>
      <c r="L18" s="1371"/>
      <c r="M18" s="1517"/>
    </row>
    <row r="19" spans="1:13" ht="23.25" customHeight="1" x14ac:dyDescent="0.3">
      <c r="A19" s="199" t="s">
        <v>683</v>
      </c>
      <c r="B19" s="200"/>
      <c r="C19" s="204"/>
      <c r="D19" s="1371"/>
      <c r="E19" s="1371"/>
      <c r="F19" s="1371"/>
      <c r="G19" s="1371"/>
      <c r="H19" s="1371"/>
      <c r="I19" s="1371"/>
      <c r="J19" s="1371"/>
      <c r="K19" s="1371"/>
      <c r="L19" s="1371"/>
      <c r="M19" s="1517"/>
    </row>
    <row r="20" spans="1:13" ht="30.75" customHeight="1" x14ac:dyDescent="0.3">
      <c r="A20" s="199" t="s">
        <v>684</v>
      </c>
      <c r="B20" s="200"/>
      <c r="C20" s="204"/>
      <c r="D20" s="1371"/>
      <c r="E20" s="1371"/>
      <c r="F20" s="1371"/>
      <c r="G20" s="1371"/>
      <c r="H20" s="1371"/>
      <c r="I20" s="1371"/>
      <c r="J20" s="1371"/>
      <c r="K20" s="1371"/>
      <c r="L20" s="1371"/>
      <c r="M20" s="1517"/>
    </row>
    <row r="21" spans="1:13" ht="24" customHeight="1" x14ac:dyDescent="0.3">
      <c r="A21" s="199" t="s">
        <v>4074</v>
      </c>
      <c r="B21" s="862"/>
      <c r="C21" s="863"/>
      <c r="D21" s="1371"/>
      <c r="E21" s="1371"/>
      <c r="F21" s="1371"/>
      <c r="G21" s="1371"/>
      <c r="H21" s="1371"/>
      <c r="I21" s="1371"/>
      <c r="J21" s="1371"/>
      <c r="K21" s="1371"/>
      <c r="L21" s="1371"/>
      <c r="M21" s="1517"/>
    </row>
    <row r="22" spans="1:13" ht="6.75" customHeight="1" x14ac:dyDescent="0.3"/>
    <row r="23" spans="1:13" x14ac:dyDescent="0.3">
      <c r="A23" s="198" t="s">
        <v>680</v>
      </c>
      <c r="B23" s="1518" t="s">
        <v>685</v>
      </c>
      <c r="C23" s="1519"/>
      <c r="D23" s="1175" t="s">
        <v>681</v>
      </c>
      <c r="E23" s="1535"/>
      <c r="F23" s="1535"/>
      <c r="G23" s="1535"/>
      <c r="H23" s="1535"/>
      <c r="I23" s="1535"/>
      <c r="J23" s="1535"/>
      <c r="K23" s="1535"/>
      <c r="L23" s="1535"/>
      <c r="M23" s="1176"/>
    </row>
    <row r="24" spans="1:13" x14ac:dyDescent="0.3">
      <c r="A24" s="1538" t="s">
        <v>694</v>
      </c>
      <c r="B24" s="1542"/>
      <c r="C24" s="1543"/>
      <c r="D24" s="1514"/>
      <c r="E24" s="1515"/>
      <c r="F24" s="1515"/>
      <c r="G24" s="1515"/>
      <c r="H24" s="1515"/>
      <c r="I24" s="1515"/>
      <c r="J24" s="1515"/>
      <c r="K24" s="1515"/>
      <c r="L24" s="1515"/>
      <c r="M24" s="1516"/>
    </row>
    <row r="25" spans="1:13" x14ac:dyDescent="0.3">
      <c r="A25" s="1539"/>
      <c r="B25" s="1520"/>
      <c r="C25" s="1521"/>
      <c r="D25" s="1511"/>
      <c r="E25" s="1512"/>
      <c r="F25" s="1512"/>
      <c r="G25" s="1512"/>
      <c r="H25" s="1512"/>
      <c r="I25" s="1512"/>
      <c r="J25" s="1512"/>
      <c r="K25" s="1512"/>
      <c r="L25" s="1512"/>
      <c r="M25" s="1513"/>
    </row>
    <row r="26" spans="1:13" x14ac:dyDescent="0.3">
      <c r="A26" s="1538" t="s">
        <v>695</v>
      </c>
      <c r="B26" s="1542"/>
      <c r="C26" s="1543"/>
      <c r="D26" s="1514"/>
      <c r="E26" s="1515"/>
      <c r="F26" s="1515"/>
      <c r="G26" s="1515"/>
      <c r="H26" s="1515"/>
      <c r="I26" s="1515"/>
      <c r="J26" s="1515"/>
      <c r="K26" s="1515"/>
      <c r="L26" s="1515"/>
      <c r="M26" s="1516"/>
    </row>
    <row r="27" spans="1:13" x14ac:dyDescent="0.3">
      <c r="A27" s="1539"/>
      <c r="B27" s="1520"/>
      <c r="C27" s="1521"/>
      <c r="D27" s="1511"/>
      <c r="E27" s="1512"/>
      <c r="F27" s="1512"/>
      <c r="G27" s="1512"/>
      <c r="H27" s="1512"/>
      <c r="I27" s="1512"/>
      <c r="J27" s="1512"/>
      <c r="K27" s="1512"/>
      <c r="L27" s="1512"/>
      <c r="M27" s="1513"/>
    </row>
    <row r="28" spans="1:13" x14ac:dyDescent="0.3">
      <c r="A28" s="1538" t="s">
        <v>696</v>
      </c>
      <c r="B28" s="1542"/>
      <c r="C28" s="1543"/>
      <c r="D28" s="1514"/>
      <c r="E28" s="1515"/>
      <c r="F28" s="1515"/>
      <c r="G28" s="1515"/>
      <c r="H28" s="1515"/>
      <c r="I28" s="1515"/>
      <c r="J28" s="1515"/>
      <c r="K28" s="1515"/>
      <c r="L28" s="1515"/>
      <c r="M28" s="1516"/>
    </row>
    <row r="29" spans="1:13" x14ac:dyDescent="0.3">
      <c r="A29" s="1539"/>
      <c r="B29" s="1520"/>
      <c r="C29" s="1521"/>
      <c r="D29" s="1511"/>
      <c r="E29" s="1512"/>
      <c r="F29" s="1512"/>
      <c r="G29" s="1512"/>
      <c r="H29" s="1512"/>
      <c r="I29" s="1512"/>
      <c r="J29" s="1512"/>
      <c r="K29" s="1512"/>
      <c r="L29" s="1512"/>
      <c r="M29" s="1513"/>
    </row>
    <row r="30" spans="1:13" x14ac:dyDescent="0.3">
      <c r="A30" s="1544"/>
      <c r="B30" s="1542"/>
      <c r="C30" s="1543"/>
      <c r="D30" s="1514"/>
      <c r="E30" s="1515"/>
      <c r="F30" s="1515"/>
      <c r="G30" s="1515"/>
      <c r="H30" s="1515"/>
      <c r="I30" s="1515"/>
      <c r="J30" s="1515"/>
      <c r="K30" s="1515"/>
      <c r="L30" s="1515"/>
      <c r="M30" s="1516"/>
    </row>
    <row r="31" spans="1:13" x14ac:dyDescent="0.3">
      <c r="A31" s="1545"/>
      <c r="B31" s="1520"/>
      <c r="C31" s="1521"/>
      <c r="D31" s="1511"/>
      <c r="E31" s="1512"/>
      <c r="F31" s="1512"/>
      <c r="G31" s="1512"/>
      <c r="H31" s="1512"/>
      <c r="I31" s="1512"/>
      <c r="J31" s="1512"/>
      <c r="K31" s="1512"/>
      <c r="L31" s="1512"/>
      <c r="M31" s="1513"/>
    </row>
    <row r="32" spans="1:13" ht="13.5" customHeight="1" x14ac:dyDescent="0.3"/>
    <row r="33" spans="1:13" ht="15" thickBot="1" x14ac:dyDescent="0.35">
      <c r="A33" s="967" t="s">
        <v>4276</v>
      </c>
      <c r="B33" s="1546"/>
      <c r="C33" s="1546"/>
      <c r="D33" s="1546"/>
      <c r="E33" s="1546"/>
      <c r="F33" s="1546"/>
      <c r="G33" s="1546"/>
      <c r="H33" s="1546"/>
      <c r="I33" s="1546"/>
      <c r="J33" s="1546"/>
      <c r="K33" s="1546"/>
      <c r="L33" s="1546"/>
      <c r="M33" s="1546"/>
    </row>
    <row r="34" spans="1:13" x14ac:dyDescent="0.3">
      <c r="A34" s="950" t="s">
        <v>4277</v>
      </c>
      <c r="B34" s="951" t="s">
        <v>183</v>
      </c>
      <c r="C34" s="952" t="s">
        <v>2398</v>
      </c>
      <c r="D34" s="951" t="s">
        <v>183</v>
      </c>
      <c r="E34" s="952" t="s">
        <v>2398</v>
      </c>
      <c r="F34" s="951" t="s">
        <v>183</v>
      </c>
      <c r="G34" s="952" t="s">
        <v>2398</v>
      </c>
      <c r="H34" s="951" t="s">
        <v>183</v>
      </c>
      <c r="I34" s="952" t="s">
        <v>2398</v>
      </c>
      <c r="J34" s="951" t="s">
        <v>183</v>
      </c>
      <c r="K34" s="952" t="s">
        <v>2398</v>
      </c>
      <c r="L34" s="951" t="s">
        <v>183</v>
      </c>
      <c r="M34" s="952" t="s">
        <v>2398</v>
      </c>
    </row>
    <row r="35" spans="1:13" x14ac:dyDescent="0.3">
      <c r="A35" s="576" t="s">
        <v>4278</v>
      </c>
      <c r="B35" s="953" t="s">
        <v>2079</v>
      </c>
      <c r="C35" s="954" t="s">
        <v>119</v>
      </c>
      <c r="D35" s="953" t="s">
        <v>2079</v>
      </c>
      <c r="E35" s="954" t="s">
        <v>119</v>
      </c>
      <c r="F35" s="953" t="s">
        <v>2079</v>
      </c>
      <c r="G35" s="954" t="s">
        <v>119</v>
      </c>
      <c r="H35" s="953" t="s">
        <v>2079</v>
      </c>
      <c r="I35" s="954" t="s">
        <v>119</v>
      </c>
      <c r="J35" s="953" t="s">
        <v>2079</v>
      </c>
      <c r="K35" s="954" t="s">
        <v>119</v>
      </c>
      <c r="L35" s="953" t="s">
        <v>2079</v>
      </c>
      <c r="M35" s="954" t="s">
        <v>119</v>
      </c>
    </row>
    <row r="36" spans="1:13" x14ac:dyDescent="0.3">
      <c r="A36" s="576" t="s">
        <v>2911</v>
      </c>
      <c r="B36" s="953" t="s">
        <v>2079</v>
      </c>
      <c r="C36" s="954" t="s">
        <v>119</v>
      </c>
      <c r="D36" s="953" t="s">
        <v>2079</v>
      </c>
      <c r="E36" s="954" t="s">
        <v>119</v>
      </c>
      <c r="F36" s="953" t="s">
        <v>2079</v>
      </c>
      <c r="G36" s="954" t="s">
        <v>119</v>
      </c>
      <c r="H36" s="953" t="s">
        <v>2079</v>
      </c>
      <c r="I36" s="954" t="s">
        <v>119</v>
      </c>
      <c r="J36" s="953" t="s">
        <v>2079</v>
      </c>
      <c r="K36" s="954" t="s">
        <v>119</v>
      </c>
      <c r="L36" s="953" t="s">
        <v>2079</v>
      </c>
      <c r="M36" s="954" t="s">
        <v>119</v>
      </c>
    </row>
    <row r="37" spans="1:13" x14ac:dyDescent="0.3">
      <c r="A37" s="576" t="s">
        <v>2318</v>
      </c>
      <c r="B37" s="953" t="s">
        <v>2079</v>
      </c>
      <c r="C37" s="954" t="s">
        <v>119</v>
      </c>
      <c r="D37" s="953" t="s">
        <v>2079</v>
      </c>
      <c r="E37" s="954" t="s">
        <v>119</v>
      </c>
      <c r="F37" s="953" t="s">
        <v>2079</v>
      </c>
      <c r="G37" s="954" t="s">
        <v>119</v>
      </c>
      <c r="H37" s="953" t="s">
        <v>2079</v>
      </c>
      <c r="I37" s="954" t="s">
        <v>119</v>
      </c>
      <c r="J37" s="953" t="s">
        <v>2079</v>
      </c>
      <c r="K37" s="954" t="s">
        <v>119</v>
      </c>
      <c r="L37" s="953" t="s">
        <v>2079</v>
      </c>
      <c r="M37" s="954" t="s">
        <v>119</v>
      </c>
    </row>
    <row r="38" spans="1:13" ht="15" thickBot="1" x14ac:dyDescent="0.35">
      <c r="A38" s="955" t="s">
        <v>4279</v>
      </c>
      <c r="B38" s="956" t="s">
        <v>2079</v>
      </c>
      <c r="C38" s="957" t="s">
        <v>119</v>
      </c>
      <c r="D38" s="956" t="s">
        <v>2079</v>
      </c>
      <c r="E38" s="957" t="s">
        <v>119</v>
      </c>
      <c r="F38" s="956" t="s">
        <v>2079</v>
      </c>
      <c r="G38" s="957" t="s">
        <v>119</v>
      </c>
      <c r="H38" s="956" t="s">
        <v>2079</v>
      </c>
      <c r="I38" s="957" t="s">
        <v>119</v>
      </c>
      <c r="J38" s="956" t="s">
        <v>2079</v>
      </c>
      <c r="K38" s="957" t="s">
        <v>119</v>
      </c>
      <c r="L38" s="956" t="s">
        <v>2079</v>
      </c>
      <c r="M38" s="957" t="s">
        <v>119</v>
      </c>
    </row>
    <row r="39" spans="1:13" x14ac:dyDescent="0.3">
      <c r="A39" s="958" t="s">
        <v>4281</v>
      </c>
      <c r="B39" s="959" t="s">
        <v>2079</v>
      </c>
      <c r="C39" s="960" t="s">
        <v>199</v>
      </c>
      <c r="D39" s="959" t="s">
        <v>2079</v>
      </c>
      <c r="E39" s="960" t="s">
        <v>199</v>
      </c>
      <c r="F39" s="959" t="s">
        <v>2079</v>
      </c>
      <c r="G39" s="960" t="s">
        <v>199</v>
      </c>
      <c r="H39" s="959" t="s">
        <v>2079</v>
      </c>
      <c r="I39" s="960" t="s">
        <v>199</v>
      </c>
      <c r="J39" s="959" t="s">
        <v>2079</v>
      </c>
      <c r="K39" s="960" t="s">
        <v>199</v>
      </c>
      <c r="L39" s="959" t="s">
        <v>2079</v>
      </c>
      <c r="M39" s="960" t="s">
        <v>199</v>
      </c>
    </row>
    <row r="40" spans="1:13" x14ac:dyDescent="0.3">
      <c r="A40" s="961" t="s">
        <v>4281</v>
      </c>
      <c r="B40" s="953" t="s">
        <v>2079</v>
      </c>
      <c r="C40" s="962" t="s">
        <v>199</v>
      </c>
      <c r="D40" s="953" t="s">
        <v>2079</v>
      </c>
      <c r="E40" s="962" t="s">
        <v>199</v>
      </c>
      <c r="F40" s="953" t="s">
        <v>2079</v>
      </c>
      <c r="G40" s="962" t="s">
        <v>199</v>
      </c>
      <c r="H40" s="953" t="s">
        <v>2079</v>
      </c>
      <c r="I40" s="962" t="s">
        <v>199</v>
      </c>
      <c r="J40" s="953" t="s">
        <v>2079</v>
      </c>
      <c r="K40" s="962" t="s">
        <v>199</v>
      </c>
      <c r="L40" s="953" t="s">
        <v>2079</v>
      </c>
      <c r="M40" s="962" t="s">
        <v>199</v>
      </c>
    </row>
    <row r="41" spans="1:13" x14ac:dyDescent="0.3">
      <c r="A41" s="961" t="s">
        <v>4281</v>
      </c>
      <c r="B41" s="953" t="s">
        <v>2079</v>
      </c>
      <c r="C41" s="962" t="s">
        <v>199</v>
      </c>
      <c r="D41" s="953" t="s">
        <v>2079</v>
      </c>
      <c r="E41" s="962" t="s">
        <v>199</v>
      </c>
      <c r="F41" s="953" t="s">
        <v>2079</v>
      </c>
      <c r="G41" s="962" t="s">
        <v>199</v>
      </c>
      <c r="H41" s="953" t="s">
        <v>2079</v>
      </c>
      <c r="I41" s="962" t="s">
        <v>199</v>
      </c>
      <c r="J41" s="953" t="s">
        <v>2079</v>
      </c>
      <c r="K41" s="962" t="s">
        <v>199</v>
      </c>
      <c r="L41" s="953" t="s">
        <v>2079</v>
      </c>
      <c r="M41" s="962" t="s">
        <v>199</v>
      </c>
    </row>
    <row r="42" spans="1:13" x14ac:dyDescent="0.3">
      <c r="A42" s="961" t="s">
        <v>4281</v>
      </c>
      <c r="B42" s="953" t="s">
        <v>2079</v>
      </c>
      <c r="C42" s="962" t="s">
        <v>199</v>
      </c>
      <c r="D42" s="953" t="s">
        <v>2079</v>
      </c>
      <c r="E42" s="962" t="s">
        <v>199</v>
      </c>
      <c r="F42" s="953" t="s">
        <v>2079</v>
      </c>
      <c r="G42" s="962" t="s">
        <v>199</v>
      </c>
      <c r="H42" s="953" t="s">
        <v>2079</v>
      </c>
      <c r="I42" s="962" t="s">
        <v>199</v>
      </c>
      <c r="J42" s="953" t="s">
        <v>2079</v>
      </c>
      <c r="K42" s="962" t="s">
        <v>199</v>
      </c>
      <c r="L42" s="953" t="s">
        <v>2079</v>
      </c>
      <c r="M42" s="962" t="s">
        <v>199</v>
      </c>
    </row>
    <row r="43" spans="1:13" x14ac:dyDescent="0.3">
      <c r="A43" s="961" t="s">
        <v>4281</v>
      </c>
      <c r="B43" s="953" t="s">
        <v>2079</v>
      </c>
      <c r="C43" s="962" t="s">
        <v>199</v>
      </c>
      <c r="D43" s="953" t="s">
        <v>2079</v>
      </c>
      <c r="E43" s="962" t="s">
        <v>199</v>
      </c>
      <c r="F43" s="953" t="s">
        <v>2079</v>
      </c>
      <c r="G43" s="962" t="s">
        <v>199</v>
      </c>
      <c r="H43" s="953" t="s">
        <v>2079</v>
      </c>
      <c r="I43" s="962" t="s">
        <v>199</v>
      </c>
      <c r="J43" s="953" t="s">
        <v>2079</v>
      </c>
      <c r="K43" s="962" t="s">
        <v>199</v>
      </c>
      <c r="L43" s="953" t="s">
        <v>2079</v>
      </c>
      <c r="M43" s="962" t="s">
        <v>199</v>
      </c>
    </row>
    <row r="44" spans="1:13" x14ac:dyDescent="0.3">
      <c r="A44" s="961" t="s">
        <v>4281</v>
      </c>
      <c r="B44" s="953" t="s">
        <v>2079</v>
      </c>
      <c r="C44" s="962" t="s">
        <v>199</v>
      </c>
      <c r="D44" s="953" t="s">
        <v>2079</v>
      </c>
      <c r="E44" s="962" t="s">
        <v>199</v>
      </c>
      <c r="F44" s="953" t="s">
        <v>2079</v>
      </c>
      <c r="G44" s="962" t="s">
        <v>199</v>
      </c>
      <c r="H44" s="953" t="s">
        <v>2079</v>
      </c>
      <c r="I44" s="962" t="s">
        <v>199</v>
      </c>
      <c r="J44" s="953" t="s">
        <v>2079</v>
      </c>
      <c r="K44" s="962" t="s">
        <v>199</v>
      </c>
      <c r="L44" s="953" t="s">
        <v>2079</v>
      </c>
      <c r="M44" s="962" t="s">
        <v>199</v>
      </c>
    </row>
    <row r="45" spans="1:13" x14ac:dyDescent="0.3">
      <c r="A45" s="963" t="s">
        <v>4281</v>
      </c>
      <c r="B45" s="953" t="s">
        <v>2079</v>
      </c>
      <c r="C45" s="962" t="s">
        <v>199</v>
      </c>
      <c r="D45" s="953" t="s">
        <v>2079</v>
      </c>
      <c r="E45" s="962" t="s">
        <v>199</v>
      </c>
      <c r="F45" s="953" t="s">
        <v>2079</v>
      </c>
      <c r="G45" s="962" t="s">
        <v>199</v>
      </c>
      <c r="H45" s="953" t="s">
        <v>2079</v>
      </c>
      <c r="I45" s="962" t="s">
        <v>199</v>
      </c>
      <c r="J45" s="953" t="s">
        <v>2079</v>
      </c>
      <c r="K45" s="962" t="s">
        <v>199</v>
      </c>
      <c r="L45" s="953" t="s">
        <v>2079</v>
      </c>
      <c r="M45" s="962" t="s">
        <v>199</v>
      </c>
    </row>
    <row r="46" spans="1:13" ht="15" thickBot="1" x14ac:dyDescent="0.35">
      <c r="A46" s="964" t="s">
        <v>4280</v>
      </c>
      <c r="B46" s="965"/>
      <c r="C46" s="966"/>
      <c r="D46" s="965"/>
      <c r="E46" s="966"/>
      <c r="F46" s="965"/>
      <c r="G46" s="966"/>
      <c r="H46" s="965"/>
      <c r="I46" s="966"/>
      <c r="J46" s="965"/>
      <c r="K46" s="966"/>
      <c r="L46" s="965"/>
      <c r="M46" s="966"/>
    </row>
  </sheetData>
  <mergeCells count="58">
    <mergeCell ref="F33:G33"/>
    <mergeCell ref="D15:M15"/>
    <mergeCell ref="B16:C16"/>
    <mergeCell ref="D16:M16"/>
    <mergeCell ref="D13:M13"/>
    <mergeCell ref="D29:M29"/>
    <mergeCell ref="B33:C33"/>
    <mergeCell ref="D33:E33"/>
    <mergeCell ref="H33:I33"/>
    <mergeCell ref="J33:K33"/>
    <mergeCell ref="L33:M33"/>
    <mergeCell ref="D24:M24"/>
    <mergeCell ref="D23:M23"/>
    <mergeCell ref="D18:M18"/>
    <mergeCell ref="D25:M25"/>
    <mergeCell ref="D26:M26"/>
    <mergeCell ref="A28:A29"/>
    <mergeCell ref="A30:A31"/>
    <mergeCell ref="B30:C30"/>
    <mergeCell ref="D30:M30"/>
    <mergeCell ref="B31:C31"/>
    <mergeCell ref="D31:M31"/>
    <mergeCell ref="B28:C28"/>
    <mergeCell ref="A26:A27"/>
    <mergeCell ref="A15:A16"/>
    <mergeCell ref="B15:C15"/>
    <mergeCell ref="B26:C26"/>
    <mergeCell ref="B27:C27"/>
    <mergeCell ref="A3:A4"/>
    <mergeCell ref="A6:A7"/>
    <mergeCell ref="A24:A25"/>
    <mergeCell ref="B25:C25"/>
    <mergeCell ref="A8:A9"/>
    <mergeCell ref="A13:A14"/>
    <mergeCell ref="B13:C13"/>
    <mergeCell ref="B23:C23"/>
    <mergeCell ref="B24:C24"/>
    <mergeCell ref="D2:M2"/>
    <mergeCell ref="D6:M6"/>
    <mergeCell ref="B3:C3"/>
    <mergeCell ref="B12:C12"/>
    <mergeCell ref="B14:C14"/>
    <mergeCell ref="D27:M27"/>
    <mergeCell ref="D28:M28"/>
    <mergeCell ref="D21:M21"/>
    <mergeCell ref="B2:C2"/>
    <mergeCell ref="B29:C29"/>
    <mergeCell ref="D10:M10"/>
    <mergeCell ref="D11:M11"/>
    <mergeCell ref="D12:M12"/>
    <mergeCell ref="D14:M14"/>
    <mergeCell ref="B5:M5"/>
    <mergeCell ref="B6:C6"/>
    <mergeCell ref="D8:M9"/>
    <mergeCell ref="B10:C10"/>
    <mergeCell ref="B11:C11"/>
    <mergeCell ref="D19:M19"/>
    <mergeCell ref="D20:M20"/>
  </mergeCells>
  <pageMargins left="0.70866141732283472" right="0.70866141732283472" top="0.39370078740157483" bottom="0.59055118110236227" header="0.31496062992125984" footer="0.31496062992125984"/>
  <pageSetup paperSize="9" scale="9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M55"/>
  <sheetViews>
    <sheetView workbookViewId="0">
      <pane ySplit="3" topLeftCell="A4" activePane="bottomLeft" state="frozen"/>
      <selection pane="bottomLeft" activeCell="M25" sqref="M25"/>
    </sheetView>
  </sheetViews>
  <sheetFormatPr defaultRowHeight="14.4" x14ac:dyDescent="0.3"/>
  <cols>
    <col min="1" max="1" width="10.88671875" customWidth="1"/>
    <col min="2" max="2" width="21.109375" customWidth="1"/>
    <col min="3" max="3" width="14.44140625" customWidth="1"/>
    <col min="4" max="4" width="6.109375" customWidth="1"/>
    <col min="5" max="10" width="3.6640625" customWidth="1"/>
    <col min="11" max="11" width="6.44140625" customWidth="1"/>
  </cols>
  <sheetData>
    <row r="1" spans="1:13" ht="25.8" x14ac:dyDescent="0.5">
      <c r="A1" s="771" t="s">
        <v>4081</v>
      </c>
      <c r="B1" s="755"/>
      <c r="C1" s="755"/>
      <c r="D1" s="755"/>
      <c r="E1" s="755"/>
      <c r="F1" s="755"/>
      <c r="G1" s="755"/>
      <c r="H1" s="755"/>
      <c r="I1" s="755"/>
      <c r="J1" s="755"/>
      <c r="K1" s="755" t="s">
        <v>4083</v>
      </c>
      <c r="M1" t="s">
        <v>1564</v>
      </c>
    </row>
    <row r="2" spans="1:13" x14ac:dyDescent="0.3">
      <c r="K2" t="s">
        <v>232</v>
      </c>
      <c r="M2" t="s">
        <v>1256</v>
      </c>
    </row>
    <row r="3" spans="1:13" x14ac:dyDescent="0.3">
      <c r="A3" s="33" t="s">
        <v>680</v>
      </c>
      <c r="B3" s="33" t="s">
        <v>4071</v>
      </c>
      <c r="C3" s="33" t="s">
        <v>4080</v>
      </c>
      <c r="D3" s="861" t="s">
        <v>4075</v>
      </c>
      <c r="E3" s="861" t="s">
        <v>33</v>
      </c>
      <c r="F3" s="861" t="s">
        <v>81</v>
      </c>
      <c r="G3" s="861" t="s">
        <v>314</v>
      </c>
      <c r="H3" s="861" t="s">
        <v>315</v>
      </c>
      <c r="I3" s="861" t="s">
        <v>1354</v>
      </c>
      <c r="J3" s="861" t="s">
        <v>4076</v>
      </c>
    </row>
    <row r="4" spans="1:13" x14ac:dyDescent="0.3">
      <c r="A4" s="33" t="s">
        <v>2083</v>
      </c>
      <c r="B4" s="33">
        <f>COPY_Zbran1</f>
        <v>0</v>
      </c>
      <c r="C4" s="33">
        <f>COPY_Pouziti1</f>
        <v>0</v>
      </c>
      <c r="D4" s="33" t="s">
        <v>1564</v>
      </c>
      <c r="E4" s="861">
        <f>'1-Vlastnosti'!C48</f>
        <v>-5</v>
      </c>
      <c r="F4" s="861">
        <f>'1-Vlastnosti'!D48</f>
        <v>-6</v>
      </c>
      <c r="G4" s="861">
        <f>'1-Vlastnosti'!E48</f>
        <v>-2</v>
      </c>
      <c r="H4" s="861">
        <f>'1-Vlastnosti'!F48</f>
        <v>-8</v>
      </c>
      <c r="I4" s="861">
        <f>'1-Vlastnosti'!N23</f>
        <v>-6</v>
      </c>
      <c r="J4" s="861">
        <f>'1-Vlastnosti'!M11</f>
        <v>3</v>
      </c>
    </row>
    <row r="5" spans="1:13" x14ac:dyDescent="0.3">
      <c r="A5" s="33" t="s">
        <v>2084</v>
      </c>
      <c r="B5" s="33" t="str">
        <f>CONCATENATE(COPY_Zbran2A," a ",COPY_Zbran2B)</f>
        <v xml:space="preserve"> a </v>
      </c>
      <c r="C5" s="33">
        <f>COPY_Pouziti2</f>
        <v>0</v>
      </c>
      <c r="D5" s="33" t="s">
        <v>1256</v>
      </c>
      <c r="E5" s="861">
        <f>'1-Vlastnosti'!J48</f>
        <v>-5</v>
      </c>
      <c r="F5" s="861">
        <f>'1-Vlastnosti'!K48</f>
        <v>-6</v>
      </c>
      <c r="G5" s="861">
        <f>'1-Vlastnosti'!L48</f>
        <v>-2</v>
      </c>
      <c r="H5" s="861">
        <f>'1-Vlastnosti'!M48</f>
        <v>-8</v>
      </c>
      <c r="I5" s="861">
        <f>I4</f>
        <v>-6</v>
      </c>
      <c r="J5" s="861">
        <f>J4</f>
        <v>3</v>
      </c>
    </row>
    <row r="6" spans="1:13" x14ac:dyDescent="0.3">
      <c r="A6" s="33" t="s">
        <v>2085</v>
      </c>
      <c r="B6" s="33">
        <f>COPY_Zbran3</f>
        <v>0</v>
      </c>
      <c r="C6" s="33">
        <f>COPY_Pouziti3</f>
        <v>0</v>
      </c>
      <c r="D6" s="33" t="s">
        <v>1256</v>
      </c>
      <c r="E6" s="861">
        <f>'1-Vlastnosti'!Q48</f>
        <v>-5</v>
      </c>
      <c r="F6" s="861">
        <f>'1-Vlastnosti'!R48</f>
        <v>-6</v>
      </c>
      <c r="G6" s="861">
        <f>'1-Vlastnosti'!S48</f>
        <v>-2</v>
      </c>
      <c r="H6" s="861">
        <f>'1-Vlastnosti'!T48</f>
        <v>-8</v>
      </c>
      <c r="I6" s="861">
        <f t="shared" ref="I6:I9" si="0">I5</f>
        <v>-6</v>
      </c>
      <c r="J6" s="861">
        <f t="shared" ref="J6:J9" si="1">J5</f>
        <v>3</v>
      </c>
    </row>
    <row r="7" spans="1:13" x14ac:dyDescent="0.3">
      <c r="A7" s="33" t="s">
        <v>4077</v>
      </c>
      <c r="B7" s="33" t="str">
        <f>COPY_Zbran4</f>
        <v>Ruka</v>
      </c>
      <c r="C7" s="33" t="str">
        <f>COPY_Pouziti4</f>
        <v>Na blízko</v>
      </c>
      <c r="D7" s="33" t="s">
        <v>1256</v>
      </c>
      <c r="E7" s="861">
        <f>'1-Vlastnosti'!C59</f>
        <v>-5</v>
      </c>
      <c r="F7" s="861">
        <f>'1-Vlastnosti'!D59</f>
        <v>-7</v>
      </c>
      <c r="G7" s="861">
        <f>'1-Vlastnosti'!E59</f>
        <v>-4</v>
      </c>
      <c r="H7" s="861">
        <f>'1-Vlastnosti'!F59</f>
        <v>-7</v>
      </c>
      <c r="I7" s="861">
        <f t="shared" si="0"/>
        <v>-6</v>
      </c>
      <c r="J7" s="861">
        <f t="shared" si="1"/>
        <v>3</v>
      </c>
    </row>
    <row r="8" spans="1:13" x14ac:dyDescent="0.3">
      <c r="A8" s="33" t="s">
        <v>4078</v>
      </c>
      <c r="B8" s="33">
        <f>COPY_Zbran5</f>
        <v>0</v>
      </c>
      <c r="C8" s="33">
        <f>COPY_Pouziti5</f>
        <v>0</v>
      </c>
      <c r="D8" s="33" t="s">
        <v>1256</v>
      </c>
      <c r="E8" s="861">
        <f>'1-Vlastnosti'!J59</f>
        <v>-5</v>
      </c>
      <c r="F8" s="861">
        <f>'1-Vlastnosti'!K59</f>
        <v>-6</v>
      </c>
      <c r="G8" s="861">
        <f>'1-Vlastnosti'!L59</f>
        <v>-2</v>
      </c>
      <c r="H8" s="861">
        <f>'1-Vlastnosti'!M59</f>
        <v>-8</v>
      </c>
      <c r="I8" s="861">
        <f t="shared" si="0"/>
        <v>-6</v>
      </c>
      <c r="J8" s="861">
        <f t="shared" si="1"/>
        <v>3</v>
      </c>
    </row>
    <row r="9" spans="1:13" x14ac:dyDescent="0.3">
      <c r="A9" s="33" t="s">
        <v>4079</v>
      </c>
      <c r="B9" s="33" t="str">
        <f>COPY_Pouziti6</f>
        <v>Na blízko</v>
      </c>
      <c r="C9" s="33" t="str">
        <f>COPY_Pouziti6</f>
        <v>Na blízko</v>
      </c>
      <c r="D9" s="33" t="s">
        <v>1256</v>
      </c>
      <c r="E9" s="861">
        <f>'1-Vlastnosti'!Q59</f>
        <v>-7</v>
      </c>
      <c r="F9" s="861">
        <f>'1-Vlastnosti'!R59</f>
        <v>-6</v>
      </c>
      <c r="G9" s="861">
        <f>'1-Vlastnosti'!S59</f>
        <v>-4</v>
      </c>
      <c r="H9" s="861">
        <f>'1-Vlastnosti'!T59</f>
        <v>-8</v>
      </c>
      <c r="I9" s="861">
        <f t="shared" si="0"/>
        <v>-6</v>
      </c>
      <c r="J9" s="861">
        <f t="shared" si="1"/>
        <v>3</v>
      </c>
    </row>
    <row r="10" spans="1:13" x14ac:dyDescent="0.3">
      <c r="A10" s="1" t="s">
        <v>4102</v>
      </c>
    </row>
    <row r="11" spans="1:13" x14ac:dyDescent="0.3">
      <c r="A11" s="254"/>
      <c r="B11" s="860"/>
      <c r="C11" s="860"/>
      <c r="D11" s="33" t="s">
        <v>1256</v>
      </c>
      <c r="E11" s="33"/>
      <c r="F11" s="33"/>
      <c r="G11" s="33"/>
      <c r="H11" s="33"/>
      <c r="I11" s="33"/>
      <c r="J11" s="33"/>
    </row>
    <row r="12" spans="1:13" x14ac:dyDescent="0.3">
      <c r="A12" s="254"/>
      <c r="B12" s="860"/>
      <c r="C12" s="860"/>
      <c r="D12" s="33" t="s">
        <v>1256</v>
      </c>
      <c r="E12" s="33"/>
      <c r="F12" s="33"/>
      <c r="G12" s="33"/>
      <c r="H12" s="33"/>
      <c r="I12" s="33"/>
      <c r="J12" s="33"/>
    </row>
    <row r="13" spans="1:13" x14ac:dyDescent="0.3">
      <c r="A13" s="254"/>
      <c r="B13" s="864"/>
      <c r="C13" s="864"/>
      <c r="D13" s="33" t="s">
        <v>1256</v>
      </c>
      <c r="E13" s="33"/>
      <c r="F13" s="33"/>
      <c r="G13" s="33"/>
      <c r="H13" s="33"/>
      <c r="I13" s="33"/>
      <c r="J13" s="33"/>
    </row>
    <row r="14" spans="1:13" x14ac:dyDescent="0.3">
      <c r="A14" s="254"/>
      <c r="B14" s="864"/>
      <c r="C14" s="864"/>
      <c r="D14" s="33" t="s">
        <v>1256</v>
      </c>
      <c r="E14" s="33"/>
      <c r="F14" s="33"/>
      <c r="G14" s="33"/>
      <c r="H14" s="33"/>
      <c r="I14" s="33"/>
      <c r="J14" s="33"/>
    </row>
    <row r="15" spans="1:13" x14ac:dyDescent="0.3">
      <c r="A15" s="254"/>
      <c r="B15" s="860"/>
      <c r="C15" s="860"/>
      <c r="D15" s="33" t="s">
        <v>1256</v>
      </c>
      <c r="E15" s="33"/>
      <c r="F15" s="33"/>
      <c r="G15" s="33"/>
      <c r="H15" s="33"/>
      <c r="I15" s="33"/>
      <c r="J15" s="33"/>
    </row>
    <row r="16" spans="1:13" x14ac:dyDescent="0.3">
      <c r="A16" s="254"/>
      <c r="B16" s="864"/>
      <c r="C16" s="864"/>
      <c r="D16" s="33" t="s">
        <v>1256</v>
      </c>
      <c r="E16" s="33"/>
      <c r="F16" s="33"/>
      <c r="G16" s="33"/>
      <c r="H16" s="33"/>
      <c r="I16" s="33"/>
      <c r="J16" s="33"/>
    </row>
    <row r="17" spans="1:11" x14ac:dyDescent="0.3">
      <c r="A17" s="1" t="s">
        <v>4082</v>
      </c>
      <c r="K17" s="390" t="s">
        <v>4090</v>
      </c>
    </row>
    <row r="18" spans="1:11" x14ac:dyDescent="0.3">
      <c r="A18" s="254" t="s">
        <v>4084</v>
      </c>
      <c r="B18" s="864" t="s">
        <v>4085</v>
      </c>
      <c r="C18" s="860"/>
      <c r="D18" s="33" t="s">
        <v>1256</v>
      </c>
      <c r="E18" s="33">
        <v>-1</v>
      </c>
      <c r="F18" s="33">
        <v>-1</v>
      </c>
      <c r="G18" s="33"/>
      <c r="H18" s="33">
        <v>-1</v>
      </c>
      <c r="I18" s="33">
        <v>-1</v>
      </c>
      <c r="J18" s="33"/>
      <c r="K18" s="867">
        <v>-1</v>
      </c>
    </row>
    <row r="19" spans="1:11" x14ac:dyDescent="0.3">
      <c r="A19" s="254"/>
      <c r="B19" s="864" t="s">
        <v>4086</v>
      </c>
      <c r="C19" s="864"/>
      <c r="D19" s="33" t="s">
        <v>1256</v>
      </c>
      <c r="E19" s="33">
        <v>-2</v>
      </c>
      <c r="F19" s="33">
        <v>-2</v>
      </c>
      <c r="G19" s="33"/>
      <c r="H19" s="33">
        <v>-2</v>
      </c>
      <c r="I19" s="33">
        <v>-2</v>
      </c>
      <c r="J19" s="33"/>
      <c r="K19" s="867">
        <v>-2</v>
      </c>
    </row>
    <row r="20" spans="1:11" x14ac:dyDescent="0.3">
      <c r="A20" s="254"/>
      <c r="B20" s="864" t="s">
        <v>4087</v>
      </c>
      <c r="C20" s="864"/>
      <c r="D20" s="33" t="s">
        <v>1256</v>
      </c>
      <c r="E20" s="33">
        <v>-3</v>
      </c>
      <c r="F20" s="33">
        <v>-3</v>
      </c>
      <c r="G20" s="33"/>
      <c r="H20" s="33">
        <v>-3</v>
      </c>
      <c r="I20" s="33">
        <v>-3</v>
      </c>
      <c r="J20" s="33"/>
      <c r="K20" s="867">
        <v>-3</v>
      </c>
    </row>
    <row r="21" spans="1:11" x14ac:dyDescent="0.3">
      <c r="A21" s="254"/>
      <c r="B21" s="864" t="s">
        <v>4088</v>
      </c>
      <c r="C21" s="864"/>
      <c r="D21" s="33" t="s">
        <v>1256</v>
      </c>
      <c r="E21" s="33">
        <v>-4</v>
      </c>
      <c r="F21" s="33">
        <v>-4</v>
      </c>
      <c r="G21" s="33"/>
      <c r="H21" s="33">
        <v>-4</v>
      </c>
      <c r="I21" s="33">
        <v>-4</v>
      </c>
      <c r="J21" s="33"/>
      <c r="K21" s="867">
        <v>-4</v>
      </c>
    </row>
    <row r="22" spans="1:11" x14ac:dyDescent="0.3">
      <c r="A22" s="254"/>
      <c r="B22" s="864" t="s">
        <v>4089</v>
      </c>
      <c r="C22" s="864"/>
      <c r="D22" s="33" t="s">
        <v>1256</v>
      </c>
      <c r="E22" s="33">
        <v>-5</v>
      </c>
      <c r="F22" s="33">
        <v>-5</v>
      </c>
      <c r="G22" s="33"/>
      <c r="H22" s="33">
        <v>-5</v>
      </c>
      <c r="I22" s="33">
        <v>-5</v>
      </c>
      <c r="J22" s="33"/>
      <c r="K22" s="867">
        <v>-5</v>
      </c>
    </row>
    <row r="23" spans="1:11" x14ac:dyDescent="0.3">
      <c r="A23" s="254" t="s">
        <v>4091</v>
      </c>
      <c r="B23" s="864"/>
      <c r="C23" s="864"/>
      <c r="D23" s="33" t="s">
        <v>1256</v>
      </c>
      <c r="E23" s="33">
        <v>6</v>
      </c>
      <c r="F23" s="33">
        <f>IF(AOBR&gt;0,AOBR,1)</f>
        <v>1</v>
      </c>
      <c r="G23" s="33">
        <f>IF(ASIL&gt;0,ASIL,1)</f>
        <v>1</v>
      </c>
      <c r="H23" s="33">
        <v>-99</v>
      </c>
      <c r="I23" s="33">
        <v>-99</v>
      </c>
      <c r="J23" s="33"/>
      <c r="K23" s="867"/>
    </row>
    <row r="24" spans="1:11" x14ac:dyDescent="0.3">
      <c r="A24" s="254" t="s">
        <v>4092</v>
      </c>
      <c r="B24" s="864" t="s">
        <v>4093</v>
      </c>
      <c r="C24" s="864"/>
      <c r="D24" s="33" t="s">
        <v>1256</v>
      </c>
      <c r="E24" s="33"/>
      <c r="F24" s="33">
        <v>-3</v>
      </c>
      <c r="G24" s="33"/>
      <c r="H24" s="33">
        <v>-2</v>
      </c>
      <c r="I24" s="33">
        <v>-2</v>
      </c>
      <c r="J24" s="33"/>
      <c r="K24" s="867"/>
    </row>
    <row r="25" spans="1:11" x14ac:dyDescent="0.3">
      <c r="A25" s="254" t="s">
        <v>2546</v>
      </c>
      <c r="B25" s="864" t="s">
        <v>112</v>
      </c>
      <c r="C25" s="864"/>
      <c r="D25" s="33" t="s">
        <v>1256</v>
      </c>
      <c r="E25" s="33"/>
      <c r="F25" s="33">
        <v>-1</v>
      </c>
      <c r="G25" s="33"/>
      <c r="H25" s="33">
        <v>-1</v>
      </c>
      <c r="I25" s="33">
        <v>-1</v>
      </c>
      <c r="J25" s="33"/>
      <c r="K25" s="867">
        <v>-1</v>
      </c>
    </row>
    <row r="26" spans="1:11" x14ac:dyDescent="0.3">
      <c r="A26" s="254"/>
      <c r="B26" s="864" t="s">
        <v>113</v>
      </c>
      <c r="C26" s="864"/>
      <c r="D26" s="33" t="s">
        <v>1256</v>
      </c>
      <c r="E26" s="33">
        <v>-1</v>
      </c>
      <c r="F26" s="33">
        <v>-2</v>
      </c>
      <c r="G26" s="33"/>
      <c r="H26" s="33">
        <v>-2</v>
      </c>
      <c r="I26" s="33">
        <v>-2</v>
      </c>
      <c r="J26" s="33"/>
      <c r="K26" s="867">
        <v>-2</v>
      </c>
    </row>
    <row r="27" spans="1:11" x14ac:dyDescent="0.3">
      <c r="A27" s="254"/>
      <c r="B27" s="864" t="s">
        <v>114</v>
      </c>
      <c r="C27" s="864"/>
      <c r="D27" s="33" t="s">
        <v>1256</v>
      </c>
      <c r="E27" s="33">
        <v>-2</v>
      </c>
      <c r="F27" s="33">
        <v>-3</v>
      </c>
      <c r="G27" s="33"/>
      <c r="H27" s="33">
        <v>-3</v>
      </c>
      <c r="I27" s="33">
        <v>-3</v>
      </c>
      <c r="J27" s="33"/>
      <c r="K27" s="867">
        <v>-3</v>
      </c>
    </row>
    <row r="28" spans="1:11" x14ac:dyDescent="0.3">
      <c r="A28" s="254" t="s">
        <v>4124</v>
      </c>
      <c r="B28" s="864" t="s">
        <v>4125</v>
      </c>
      <c r="C28" s="864"/>
      <c r="D28" s="33" t="s">
        <v>1256</v>
      </c>
      <c r="E28" s="33">
        <v>-4</v>
      </c>
      <c r="F28" s="33">
        <v>-2</v>
      </c>
      <c r="G28" s="33"/>
      <c r="H28" s="33">
        <v>-2</v>
      </c>
      <c r="I28" s="33">
        <v>-2</v>
      </c>
      <c r="J28" s="33"/>
      <c r="K28" s="867">
        <v>-99</v>
      </c>
    </row>
    <row r="29" spans="1:11" x14ac:dyDescent="0.3">
      <c r="A29" s="254" t="s">
        <v>4094</v>
      </c>
      <c r="B29" s="864"/>
      <c r="C29" s="864"/>
      <c r="D29" s="33" t="s">
        <v>1256</v>
      </c>
      <c r="E29" s="33">
        <v>-1</v>
      </c>
      <c r="F29" s="33"/>
      <c r="G29" s="33"/>
      <c r="H29" s="33">
        <v>-99</v>
      </c>
      <c r="I29" s="33">
        <v>-3</v>
      </c>
      <c r="J29" s="33"/>
      <c r="K29" s="867">
        <v>-5</v>
      </c>
    </row>
    <row r="30" spans="1:11" x14ac:dyDescent="0.3">
      <c r="A30" s="254" t="s">
        <v>4095</v>
      </c>
      <c r="B30" s="868" t="s">
        <v>4096</v>
      </c>
      <c r="C30" s="864"/>
      <c r="D30" s="33" t="s">
        <v>1256</v>
      </c>
      <c r="E30" s="33">
        <v>-1</v>
      </c>
      <c r="F30" s="33"/>
      <c r="G30" s="33"/>
      <c r="H30" s="33"/>
      <c r="I30" s="33">
        <v>-1</v>
      </c>
      <c r="J30" s="33"/>
      <c r="K30" s="867">
        <v>-1</v>
      </c>
    </row>
    <row r="31" spans="1:11" x14ac:dyDescent="0.3">
      <c r="A31" s="254" t="s">
        <v>4097</v>
      </c>
      <c r="B31" s="864" t="s">
        <v>4098</v>
      </c>
      <c r="C31" s="864"/>
      <c r="D31" s="33" t="s">
        <v>1256</v>
      </c>
      <c r="E31" s="33">
        <v>-1</v>
      </c>
      <c r="F31" s="33">
        <v>-1</v>
      </c>
      <c r="G31" s="33"/>
      <c r="H31" s="33">
        <v>-1</v>
      </c>
      <c r="I31" s="33">
        <v>-1</v>
      </c>
      <c r="J31" s="33"/>
      <c r="K31" s="867">
        <v>-1</v>
      </c>
    </row>
    <row r="32" spans="1:11" x14ac:dyDescent="0.3">
      <c r="A32" s="254"/>
      <c r="B32" s="864" t="s">
        <v>4099</v>
      </c>
      <c r="C32" s="864"/>
      <c r="D32" s="33" t="s">
        <v>1256</v>
      </c>
      <c r="E32" s="33">
        <v>-2</v>
      </c>
      <c r="F32" s="33">
        <v>-2</v>
      </c>
      <c r="G32" s="33"/>
      <c r="H32" s="33">
        <v>-2</v>
      </c>
      <c r="I32" s="33">
        <v>-2</v>
      </c>
      <c r="J32" s="33"/>
      <c r="K32" s="867">
        <v>-2</v>
      </c>
    </row>
    <row r="33" spans="1:11" x14ac:dyDescent="0.3">
      <c r="A33" s="254"/>
      <c r="B33" s="864" t="s">
        <v>4100</v>
      </c>
      <c r="C33" s="864"/>
      <c r="D33" s="33" t="s">
        <v>1256</v>
      </c>
      <c r="E33" s="33">
        <v>-4</v>
      </c>
      <c r="F33" s="33">
        <v>-4</v>
      </c>
      <c r="G33" s="33"/>
      <c r="H33" s="33">
        <v>-4</v>
      </c>
      <c r="I33" s="33">
        <v>-4</v>
      </c>
      <c r="J33" s="33"/>
      <c r="K33" s="867">
        <v>-4</v>
      </c>
    </row>
    <row r="34" spans="1:11" x14ac:dyDescent="0.3">
      <c r="A34" s="254"/>
      <c r="B34" s="864" t="s">
        <v>4101</v>
      </c>
      <c r="C34" s="864"/>
      <c r="D34" s="33" t="s">
        <v>1256</v>
      </c>
      <c r="E34" s="33">
        <v>-6</v>
      </c>
      <c r="F34" s="33">
        <v>-6</v>
      </c>
      <c r="G34" s="33"/>
      <c r="H34" s="33">
        <v>-6</v>
      </c>
      <c r="I34" s="33">
        <v>-6</v>
      </c>
      <c r="J34" s="33"/>
      <c r="K34" s="867">
        <v>-6</v>
      </c>
    </row>
    <row r="35" spans="1:11" x14ac:dyDescent="0.3">
      <c r="A35" s="254" t="s">
        <v>4103</v>
      </c>
      <c r="B35" s="864" t="s">
        <v>4104</v>
      </c>
      <c r="C35" s="864"/>
      <c r="D35" s="33" t="s">
        <v>1256</v>
      </c>
      <c r="E35" s="33"/>
      <c r="F35" s="33">
        <v>-6</v>
      </c>
      <c r="G35" s="33"/>
      <c r="H35" s="33">
        <v>-6</v>
      </c>
      <c r="I35" s="33">
        <v>-6</v>
      </c>
      <c r="J35" s="33"/>
      <c r="K35" s="867"/>
    </row>
    <row r="36" spans="1:11" x14ac:dyDescent="0.3">
      <c r="A36" s="254"/>
      <c r="B36" s="864" t="s">
        <v>4105</v>
      </c>
      <c r="C36" s="864"/>
      <c r="D36" s="33" t="s">
        <v>1256</v>
      </c>
      <c r="E36" s="38"/>
      <c r="F36" s="163"/>
      <c r="G36" s="38"/>
      <c r="H36" s="163"/>
      <c r="I36" s="163"/>
      <c r="J36" s="38"/>
      <c r="K36" s="867"/>
    </row>
    <row r="37" spans="1:11" x14ac:dyDescent="0.3">
      <c r="A37" s="254" t="s">
        <v>4106</v>
      </c>
      <c r="B37" s="864" t="s">
        <v>1067</v>
      </c>
      <c r="C37" s="869" t="s">
        <v>4108</v>
      </c>
      <c r="D37" s="33" t="s">
        <v>1256</v>
      </c>
      <c r="E37" s="33"/>
      <c r="F37" s="33">
        <v>-1</v>
      </c>
      <c r="G37" s="33"/>
      <c r="H37" s="33">
        <v>-1</v>
      </c>
      <c r="I37" s="33">
        <v>-1</v>
      </c>
      <c r="J37" s="33"/>
      <c r="K37" s="867"/>
    </row>
    <row r="38" spans="1:11" x14ac:dyDescent="0.3">
      <c r="A38" s="254"/>
      <c r="B38" s="864" t="s">
        <v>113</v>
      </c>
      <c r="C38" s="869" t="s">
        <v>4109</v>
      </c>
      <c r="D38" s="33" t="s">
        <v>1256</v>
      </c>
      <c r="E38" s="33"/>
      <c r="F38" s="33">
        <v>-2</v>
      </c>
      <c r="G38" s="33"/>
      <c r="H38" s="33">
        <v>-2</v>
      </c>
      <c r="I38" s="33">
        <v>-2</v>
      </c>
      <c r="J38" s="33"/>
      <c r="K38" s="867"/>
    </row>
    <row r="39" spans="1:11" x14ac:dyDescent="0.3">
      <c r="A39" s="254"/>
      <c r="B39" s="864" t="s">
        <v>4107</v>
      </c>
      <c r="C39" s="869" t="s">
        <v>4110</v>
      </c>
      <c r="D39" s="33" t="s">
        <v>1256</v>
      </c>
      <c r="E39" s="33"/>
      <c r="F39" s="33">
        <v>-3</v>
      </c>
      <c r="G39" s="33"/>
      <c r="H39" s="33">
        <v>-3</v>
      </c>
      <c r="I39" s="33">
        <v>-3</v>
      </c>
      <c r="J39" s="33"/>
      <c r="K39" s="867"/>
    </row>
    <row r="40" spans="1:11" x14ac:dyDescent="0.3">
      <c r="A40" s="254" t="s">
        <v>4111</v>
      </c>
      <c r="B40" s="864" t="s">
        <v>4112</v>
      </c>
      <c r="C40" s="864"/>
      <c r="D40" s="33" t="s">
        <v>1256</v>
      </c>
      <c r="E40" s="33">
        <v>-1</v>
      </c>
      <c r="F40" s="33">
        <v>-2</v>
      </c>
      <c r="G40" s="33"/>
      <c r="H40" s="33">
        <v>-2</v>
      </c>
      <c r="I40" s="33">
        <v>-2</v>
      </c>
      <c r="J40" s="33"/>
      <c r="K40" s="867">
        <v>-1</v>
      </c>
    </row>
    <row r="41" spans="1:11" x14ac:dyDescent="0.3">
      <c r="A41" s="254"/>
      <c r="B41" s="864" t="s">
        <v>4113</v>
      </c>
      <c r="C41" s="864"/>
      <c r="D41" s="33" t="s">
        <v>1256</v>
      </c>
      <c r="E41" s="33">
        <v>-3</v>
      </c>
      <c r="F41" s="33">
        <v>-4</v>
      </c>
      <c r="G41" s="33"/>
      <c r="H41" s="33">
        <v>-4</v>
      </c>
      <c r="I41" s="33">
        <v>-4</v>
      </c>
      <c r="J41" s="33"/>
      <c r="K41" s="867">
        <v>-2</v>
      </c>
    </row>
    <row r="42" spans="1:11" x14ac:dyDescent="0.3">
      <c r="A42" s="254" t="s">
        <v>11</v>
      </c>
      <c r="B42" s="864"/>
      <c r="C42" s="864"/>
      <c r="D42" s="33" t="s">
        <v>1256</v>
      </c>
      <c r="E42" s="33">
        <v>6</v>
      </c>
      <c r="F42" s="33">
        <v>2</v>
      </c>
      <c r="G42" s="33"/>
      <c r="H42" s="33">
        <v>2</v>
      </c>
      <c r="I42" s="33">
        <v>2</v>
      </c>
      <c r="J42" s="33"/>
      <c r="K42" s="867"/>
    </row>
    <row r="43" spans="1:11" x14ac:dyDescent="0.3">
      <c r="A43" s="254" t="s">
        <v>4114</v>
      </c>
      <c r="B43" s="864" t="s">
        <v>19</v>
      </c>
      <c r="C43" s="864"/>
      <c r="D43" s="33" t="s">
        <v>1256</v>
      </c>
      <c r="E43" s="33">
        <v>-1</v>
      </c>
      <c r="F43" s="33">
        <v>-3</v>
      </c>
      <c r="G43" s="33"/>
      <c r="H43" s="33">
        <v>-2</v>
      </c>
      <c r="I43" s="33"/>
      <c r="J43" s="33"/>
      <c r="K43" s="867">
        <v>-3</v>
      </c>
    </row>
    <row r="44" spans="1:11" x14ac:dyDescent="0.3">
      <c r="A44" s="254"/>
      <c r="B44" s="864" t="s">
        <v>20</v>
      </c>
      <c r="C44" s="864"/>
      <c r="D44" s="33" t="s">
        <v>1256</v>
      </c>
      <c r="E44" s="33">
        <v>-1</v>
      </c>
      <c r="F44" s="33"/>
      <c r="G44" s="33"/>
      <c r="H44" s="33"/>
      <c r="I44" s="33">
        <v>-2</v>
      </c>
      <c r="J44" s="33"/>
      <c r="K44" s="867"/>
    </row>
    <row r="45" spans="1:11" x14ac:dyDescent="0.3">
      <c r="A45" s="254" t="s">
        <v>4115</v>
      </c>
      <c r="B45" s="864"/>
      <c r="C45" s="864"/>
      <c r="D45" s="33" t="s">
        <v>1256</v>
      </c>
      <c r="E45" s="33"/>
      <c r="F45" s="33" t="str">
        <f>'1-Vlastnosti'!$U$4</f>
        <v xml:space="preserve"> </v>
      </c>
      <c r="G45" s="33"/>
      <c r="H45" s="33" t="str">
        <f>'1-Vlastnosti'!$U$4</f>
        <v xml:space="preserve"> </v>
      </c>
      <c r="I45" s="33" t="str">
        <f>'1-Vlastnosti'!$U$4</f>
        <v xml:space="preserve"> </v>
      </c>
      <c r="J45" s="33"/>
      <c r="K45" s="867" t="str">
        <f>'1-Vlastnosti'!$U$4</f>
        <v xml:space="preserve"> </v>
      </c>
    </row>
    <row r="46" spans="1:11" x14ac:dyDescent="0.3">
      <c r="A46" s="254" t="s">
        <v>3604</v>
      </c>
      <c r="B46" s="864"/>
      <c r="C46" s="864"/>
      <c r="D46" s="33" t="s">
        <v>1256</v>
      </c>
      <c r="E46" s="33"/>
      <c r="F46" s="33"/>
      <c r="G46" s="33"/>
      <c r="H46" s="33"/>
      <c r="I46" s="33"/>
      <c r="J46" s="33"/>
      <c r="K46" s="867">
        <v>-2</v>
      </c>
    </row>
    <row r="47" spans="1:11" x14ac:dyDescent="0.3">
      <c r="A47" s="254" t="s">
        <v>49</v>
      </c>
      <c r="B47" s="864" t="s">
        <v>4116</v>
      </c>
      <c r="C47" s="868" t="s">
        <v>4119</v>
      </c>
      <c r="D47" s="33" t="s">
        <v>1256</v>
      </c>
      <c r="E47" s="33">
        <v>-1</v>
      </c>
      <c r="F47" s="33">
        <v>-1</v>
      </c>
      <c r="G47" s="33">
        <v>-1</v>
      </c>
      <c r="H47" s="33">
        <v>-1</v>
      </c>
      <c r="I47" s="33">
        <v>-1</v>
      </c>
      <c r="J47" s="33"/>
      <c r="K47" s="867"/>
    </row>
    <row r="48" spans="1:11" x14ac:dyDescent="0.3">
      <c r="A48" s="254"/>
      <c r="B48" s="864" t="s">
        <v>4117</v>
      </c>
      <c r="C48" s="868" t="s">
        <v>4120</v>
      </c>
      <c r="D48" s="33" t="s">
        <v>1256</v>
      </c>
      <c r="E48" s="33">
        <v>-2</v>
      </c>
      <c r="F48" s="33">
        <v>-2</v>
      </c>
      <c r="G48" s="33">
        <v>-2</v>
      </c>
      <c r="H48" s="33">
        <v>-2</v>
      </c>
      <c r="I48" s="33">
        <v>-2</v>
      </c>
      <c r="J48" s="33"/>
      <c r="K48" s="867">
        <v>-2</v>
      </c>
    </row>
    <row r="49" spans="1:11" x14ac:dyDescent="0.3">
      <c r="A49" s="254"/>
      <c r="B49" s="864" t="s">
        <v>4118</v>
      </c>
      <c r="C49" s="868" t="s">
        <v>4121</v>
      </c>
      <c r="D49" s="33" t="s">
        <v>1256</v>
      </c>
      <c r="E49" s="33">
        <v>-3</v>
      </c>
      <c r="F49" s="33">
        <v>-3</v>
      </c>
      <c r="G49" s="33">
        <v>-3</v>
      </c>
      <c r="H49" s="33">
        <v>-3</v>
      </c>
      <c r="I49" s="33">
        <v>-3</v>
      </c>
      <c r="J49" s="33"/>
      <c r="K49" s="867">
        <v>-99</v>
      </c>
    </row>
    <row r="50" spans="1:11" x14ac:dyDescent="0.3">
      <c r="A50" s="254" t="s">
        <v>4122</v>
      </c>
      <c r="B50" s="864"/>
      <c r="C50" s="864"/>
      <c r="D50" s="33" t="s">
        <v>1256</v>
      </c>
      <c r="E50" s="33">
        <v>-1</v>
      </c>
      <c r="F50" s="33">
        <v>-4</v>
      </c>
      <c r="G50" s="33"/>
      <c r="H50" s="33"/>
      <c r="I50" s="33"/>
      <c r="J50" s="33"/>
      <c r="K50" s="867"/>
    </row>
    <row r="51" spans="1:11" x14ac:dyDescent="0.3">
      <c r="A51" s="254" t="s">
        <v>4123</v>
      </c>
      <c r="B51" s="864" t="s">
        <v>4126</v>
      </c>
      <c r="C51" s="864"/>
      <c r="D51" s="33" t="s">
        <v>1256</v>
      </c>
      <c r="E51" s="33">
        <v>-3</v>
      </c>
      <c r="F51" s="33">
        <v>-2</v>
      </c>
      <c r="G51" s="33"/>
      <c r="H51" s="33">
        <v>-2</v>
      </c>
      <c r="I51" s="33">
        <v>-2</v>
      </c>
      <c r="J51" s="33"/>
      <c r="K51" s="867"/>
    </row>
    <row r="52" spans="1:11" x14ac:dyDescent="0.3">
      <c r="A52" s="254"/>
      <c r="B52" s="864" t="s">
        <v>4127</v>
      </c>
      <c r="C52" s="864"/>
      <c r="D52" s="33" t="s">
        <v>1256</v>
      </c>
      <c r="E52" s="33">
        <v>-5</v>
      </c>
      <c r="F52" s="33">
        <v>-4</v>
      </c>
      <c r="G52" s="33"/>
      <c r="H52" s="33">
        <v>-4</v>
      </c>
      <c r="I52" s="33">
        <v>-4</v>
      </c>
      <c r="J52" s="33"/>
      <c r="K52" s="867"/>
    </row>
    <row r="53" spans="1:11" x14ac:dyDescent="0.3">
      <c r="A53" s="254" t="s">
        <v>4128</v>
      </c>
      <c r="B53" s="864" t="s">
        <v>4129</v>
      </c>
      <c r="C53" s="860"/>
      <c r="D53" s="33" t="s">
        <v>1256</v>
      </c>
      <c r="E53" s="33">
        <v>-3</v>
      </c>
      <c r="F53" s="33">
        <v>-1</v>
      </c>
      <c r="G53" s="33"/>
      <c r="H53" s="33">
        <v>-1</v>
      </c>
      <c r="I53" s="33">
        <v>-1</v>
      </c>
      <c r="J53" s="33"/>
      <c r="K53" s="867"/>
    </row>
    <row r="54" spans="1:11" x14ac:dyDescent="0.3">
      <c r="A54" s="197"/>
      <c r="B54" s="197"/>
      <c r="C54" s="197"/>
      <c r="D54" s="197"/>
      <c r="E54" s="155" t="s">
        <v>33</v>
      </c>
      <c r="F54" s="155" t="s">
        <v>81</v>
      </c>
      <c r="G54" s="155" t="s">
        <v>314</v>
      </c>
      <c r="H54" s="155" t="s">
        <v>315</v>
      </c>
      <c r="I54" s="155" t="s">
        <v>1354</v>
      </c>
      <c r="J54" s="155" t="s">
        <v>4076</v>
      </c>
      <c r="K54" s="390" t="s">
        <v>4090</v>
      </c>
    </row>
    <row r="55" spans="1:11" ht="15.6" x14ac:dyDescent="0.3">
      <c r="A55" s="1" t="s">
        <v>321</v>
      </c>
      <c r="E55" s="865">
        <f t="shared" ref="E55:K55" si="2">SUMIF($D$4:$D$53,"ANO",E$4:E$53)</f>
        <v>-5</v>
      </c>
      <c r="F55" s="865">
        <f t="shared" si="2"/>
        <v>-6</v>
      </c>
      <c r="G55" s="865">
        <f t="shared" si="2"/>
        <v>-2</v>
      </c>
      <c r="H55" s="865">
        <f t="shared" si="2"/>
        <v>-8</v>
      </c>
      <c r="I55" s="865">
        <f t="shared" si="2"/>
        <v>-6</v>
      </c>
      <c r="J55" s="865">
        <f t="shared" si="2"/>
        <v>3</v>
      </c>
      <c r="K55" s="866">
        <f t="shared" si="2"/>
        <v>0</v>
      </c>
    </row>
  </sheetData>
  <dataValidations count="1">
    <dataValidation type="list" allowBlank="1" showInputMessage="1" showErrorMessage="1" sqref="D18:D54 D11:D16 D4:D9">
      <formula1>$M$1:$M$2</formula1>
    </dataValidation>
  </dataValidations>
  <pageMargins left="0.70866141732283472" right="0.70866141732283472" top="0.39370078740157483" bottom="0.59055118110236227" header="0.31496062992125984" footer="0.31496062992125984"/>
  <pageSetup paperSize="9" scale="95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6">
    <tabColor theme="0" tint="-0.249977111117893"/>
  </sheetPr>
  <dimension ref="B1:AV137"/>
  <sheetViews>
    <sheetView workbookViewId="0">
      <pane ySplit="3" topLeftCell="A4" activePane="bottomLeft" state="frozen"/>
      <selection activeCell="Y8" sqref="Y8"/>
      <selection pane="bottomLeft" activeCell="L5" sqref="L5"/>
    </sheetView>
  </sheetViews>
  <sheetFormatPr defaultRowHeight="14.4" x14ac:dyDescent="0.3"/>
  <cols>
    <col min="1" max="1" width="3.6640625" customWidth="1"/>
    <col min="2" max="2" width="13.44140625" customWidth="1"/>
    <col min="3" max="3" width="3.44140625" bestFit="1" customWidth="1"/>
    <col min="4" max="4" width="4" bestFit="1" customWidth="1"/>
    <col min="5" max="8" width="4" customWidth="1"/>
    <col min="9" max="9" width="4.33203125" bestFit="1" customWidth="1"/>
    <col min="10" max="10" width="4" bestFit="1" customWidth="1"/>
    <col min="11" max="14" width="4" customWidth="1"/>
    <col min="15" max="15" width="4.5546875" bestFit="1" customWidth="1"/>
    <col min="16" max="16" width="4" bestFit="1" customWidth="1"/>
    <col min="17" max="17" width="4" customWidth="1"/>
    <col min="18" max="18" width="4.5546875" bestFit="1" customWidth="1"/>
    <col min="19" max="19" width="4" bestFit="1" customWidth="1"/>
    <col min="20" max="20" width="4" customWidth="1"/>
    <col min="21" max="21" width="10" customWidth="1"/>
    <col min="22" max="22" width="9.6640625" customWidth="1"/>
    <col min="23" max="23" width="7.109375" customWidth="1"/>
    <col min="24" max="24" width="22.5546875" customWidth="1"/>
    <col min="25" max="25" width="17.6640625" customWidth="1"/>
    <col min="26" max="26" width="6.6640625" bestFit="1" customWidth="1"/>
    <col min="27" max="27" width="8.109375" bestFit="1" customWidth="1"/>
    <col min="28" max="28" width="7.6640625" bestFit="1" customWidth="1"/>
    <col min="29" max="29" width="7.33203125" bestFit="1" customWidth="1"/>
    <col min="30" max="30" width="8.6640625" bestFit="1" customWidth="1"/>
    <col min="31" max="31" width="8.33203125" bestFit="1" customWidth="1"/>
    <col min="32" max="32" width="8.5546875" bestFit="1" customWidth="1"/>
    <col min="33" max="33" width="8.109375" bestFit="1" customWidth="1"/>
    <col min="34" max="34" width="7.6640625" bestFit="1" customWidth="1"/>
    <col min="35" max="35" width="4.44140625" customWidth="1"/>
    <col min="36" max="38" width="4.5546875" customWidth="1"/>
    <col min="39" max="39" width="4.5546875" bestFit="1" customWidth="1"/>
    <col min="40" max="40" width="4.5546875" customWidth="1"/>
    <col min="41" max="41" width="4.6640625" customWidth="1"/>
    <col min="42" max="42" width="6.5546875" customWidth="1"/>
    <col min="43" max="43" width="6" customWidth="1"/>
    <col min="44" max="44" width="5.6640625" customWidth="1"/>
    <col min="45" max="45" width="6.44140625" customWidth="1"/>
    <col min="46" max="47" width="3" bestFit="1" customWidth="1"/>
    <col min="48" max="48" width="3.88671875" customWidth="1"/>
  </cols>
  <sheetData>
    <row r="1" spans="2:48" ht="23.4" x14ac:dyDescent="0.45">
      <c r="B1" s="282" t="s">
        <v>218</v>
      </c>
    </row>
    <row r="2" spans="2:48" x14ac:dyDescent="0.3">
      <c r="AO2" s="6" t="s">
        <v>717</v>
      </c>
      <c r="AP2" s="238"/>
      <c r="AQ2" s="238"/>
      <c r="AR2" s="238"/>
      <c r="AS2" s="239"/>
    </row>
    <row r="3" spans="2:48" x14ac:dyDescent="0.3">
      <c r="B3" s="58" t="s">
        <v>24</v>
      </c>
      <c r="C3" t="s">
        <v>173</v>
      </c>
      <c r="D3" t="s">
        <v>546</v>
      </c>
      <c r="E3" t="s">
        <v>1150</v>
      </c>
      <c r="F3" t="s">
        <v>178</v>
      </c>
      <c r="G3" t="s">
        <v>547</v>
      </c>
      <c r="H3" t="s">
        <v>1153</v>
      </c>
      <c r="I3" t="s">
        <v>188</v>
      </c>
      <c r="J3" t="s">
        <v>549</v>
      </c>
      <c r="K3" t="s">
        <v>1152</v>
      </c>
      <c r="L3" t="s">
        <v>175</v>
      </c>
      <c r="M3" t="s">
        <v>548</v>
      </c>
      <c r="N3" t="s">
        <v>1151</v>
      </c>
      <c r="O3" t="s">
        <v>185</v>
      </c>
      <c r="P3" t="s">
        <v>550</v>
      </c>
      <c r="Q3" t="s">
        <v>1154</v>
      </c>
      <c r="R3" t="s">
        <v>168</v>
      </c>
      <c r="S3" t="s">
        <v>551</v>
      </c>
      <c r="T3" t="s">
        <v>1155</v>
      </c>
      <c r="U3" t="s">
        <v>3647</v>
      </c>
      <c r="V3" t="s">
        <v>3648</v>
      </c>
      <c r="W3" s="58" t="s">
        <v>12</v>
      </c>
      <c r="X3" s="58" t="s">
        <v>1616</v>
      </c>
      <c r="Y3" s="58" t="s">
        <v>1197</v>
      </c>
      <c r="Z3" s="58" t="s">
        <v>2984</v>
      </c>
      <c r="AA3" s="58" t="s">
        <v>2985</v>
      </c>
      <c r="AB3" s="58" t="s">
        <v>2986</v>
      </c>
      <c r="AC3" s="58" t="s">
        <v>2992</v>
      </c>
      <c r="AD3" s="58" t="s">
        <v>2987</v>
      </c>
      <c r="AE3" s="58" t="s">
        <v>2988</v>
      </c>
      <c r="AF3" s="58" t="s">
        <v>2991</v>
      </c>
      <c r="AG3" s="58" t="s">
        <v>2989</v>
      </c>
      <c r="AH3" s="58" t="s">
        <v>2990</v>
      </c>
      <c r="AI3" s="58" t="s">
        <v>298</v>
      </c>
      <c r="AJ3" s="58" t="s">
        <v>1129</v>
      </c>
      <c r="AK3" s="58" t="s">
        <v>300</v>
      </c>
      <c r="AL3" s="58" t="s">
        <v>159</v>
      </c>
      <c r="AM3" s="58" t="s">
        <v>308</v>
      </c>
      <c r="AN3" s="58" t="s">
        <v>1062</v>
      </c>
      <c r="AO3" s="130" t="s">
        <v>423</v>
      </c>
      <c r="AP3" s="241" t="s">
        <v>424</v>
      </c>
      <c r="AQ3" s="241" t="s">
        <v>425</v>
      </c>
      <c r="AR3" s="241" t="s">
        <v>5636</v>
      </c>
      <c r="AS3" s="242" t="s">
        <v>426</v>
      </c>
    </row>
    <row r="4" spans="2:48" x14ac:dyDescent="0.3">
      <c r="B4" s="531" t="s">
        <v>1036</v>
      </c>
      <c r="C4">
        <v>5</v>
      </c>
      <c r="D4" t="s">
        <v>552</v>
      </c>
      <c r="E4">
        <f>IF(D4="1k6",6,IF(D4="2k6",12,IF(D4="3k6",18,0)))+C4+3</f>
        <v>20</v>
      </c>
      <c r="F4">
        <v>4</v>
      </c>
      <c r="G4" t="s">
        <v>552</v>
      </c>
      <c r="H4">
        <f>IF(G4="1k6",6,IF(G4="2k6",12,IF(G4="3k6",18,0)))+F4+3</f>
        <v>19</v>
      </c>
      <c r="I4">
        <v>4</v>
      </c>
      <c r="J4" t="s">
        <v>552</v>
      </c>
      <c r="K4">
        <f>IF(J4="1k6",6,IF(J4="2k6",12,IF(J4="3k6",18,0)))+I4+3</f>
        <v>19</v>
      </c>
      <c r="L4">
        <v>0</v>
      </c>
      <c r="M4" t="s">
        <v>552</v>
      </c>
      <c r="N4">
        <f>IF(M4="1k6",6,IF(M4="2k6",12,IF(M4="3k6",18,0)))+L4+3</f>
        <v>15</v>
      </c>
      <c r="O4">
        <v>4</v>
      </c>
      <c r="P4" t="s">
        <v>552</v>
      </c>
      <c r="Q4">
        <f>IF(P4="1k6",6,IF(P4="2k6",12,IF(P4="3k6",18,0)))+O4+3</f>
        <v>19</v>
      </c>
      <c r="R4">
        <v>1</v>
      </c>
      <c r="S4" t="s">
        <v>552</v>
      </c>
      <c r="T4">
        <f>IF(S4="1k6",6,IF(S4="2k6",12,IF(S4="3k6",18,0)))+R4+3</f>
        <v>16</v>
      </c>
      <c r="U4" t="s">
        <v>3649</v>
      </c>
      <c r="V4" t="s">
        <v>3650</v>
      </c>
      <c r="W4" s="59" t="s">
        <v>199</v>
      </c>
      <c r="X4" s="59" t="s">
        <v>2477</v>
      </c>
      <c r="Y4" s="59" t="s">
        <v>1207</v>
      </c>
      <c r="Z4" s="59" t="s">
        <v>357</v>
      </c>
      <c r="AA4" s="60">
        <v>1</v>
      </c>
      <c r="AB4" s="60">
        <v>-1</v>
      </c>
      <c r="AC4" s="59" t="s">
        <v>17</v>
      </c>
      <c r="AD4" s="60">
        <v>0</v>
      </c>
      <c r="AE4" s="60">
        <v>1</v>
      </c>
      <c r="AF4" s="60" t="s">
        <v>2993</v>
      </c>
      <c r="AG4" s="60">
        <v>0</v>
      </c>
      <c r="AH4" s="60">
        <v>-1</v>
      </c>
      <c r="AI4" s="60">
        <v>0</v>
      </c>
      <c r="AJ4" s="60">
        <v>0</v>
      </c>
      <c r="AK4" s="60">
        <v>0</v>
      </c>
      <c r="AL4" s="60">
        <v>0</v>
      </c>
      <c r="AM4" s="59" t="s">
        <v>95</v>
      </c>
      <c r="AN4" s="59">
        <v>0</v>
      </c>
      <c r="AO4" s="243">
        <f t="shared" ref="AO4:AO38" si="0">FLOOR(AS4/4,1)</f>
        <v>15</v>
      </c>
      <c r="AP4" s="244">
        <f>FLOOR(AS4/3,1)</f>
        <v>20</v>
      </c>
      <c r="AQ4" s="244">
        <f t="shared" ref="AQ4:AQ38" si="1">FLOOR(AS4/3*2,1)</f>
        <v>40</v>
      </c>
      <c r="AR4" s="244">
        <f t="shared" ref="AR4:AR38" si="2">FLOOR(AS4/5*4,1)</f>
        <v>48</v>
      </c>
      <c r="AS4" s="245">
        <v>60</v>
      </c>
      <c r="AT4">
        <f t="shared" ref="AT4:AT47" si="3">C4+L4+I4+F4+O4+R4</f>
        <v>18</v>
      </c>
      <c r="AU4">
        <f t="shared" ref="AU4:AU47" si="4">IF(D4="3k6",3,IF(D4="2k6",2,1))+IF(M4="3k6",3,IF(M4="2k6",2,1))+IF(J4="3k6",3,IF(J4="2k6",2,1))+IF(G4="3k6",3,IF(G4="2k6",2,1))+IF(P4="3k6",3,IF(P4="2k6",2,1))+IF(S4="3k6",3,IF(S4="2k6",2,1))</f>
        <v>12</v>
      </c>
      <c r="AV4">
        <f t="shared" ref="AV4:AV47" si="5">AT4+AU4*4</f>
        <v>66</v>
      </c>
    </row>
    <row r="5" spans="2:48" x14ac:dyDescent="0.3">
      <c r="B5" s="59" t="s">
        <v>4143</v>
      </c>
      <c r="C5">
        <v>14</v>
      </c>
      <c r="D5" t="s">
        <v>553</v>
      </c>
      <c r="E5">
        <f t="shared" ref="E5:E68" si="6">IF(D5="1k6",6,IF(D5="2k6",12,IF(D5="3k6",18,0)))+C5+3</f>
        <v>23</v>
      </c>
      <c r="F5">
        <v>10</v>
      </c>
      <c r="G5" t="s">
        <v>553</v>
      </c>
      <c r="H5">
        <f t="shared" ref="H5:H68" si="7">IF(G5="1k6",6,IF(G5="2k6",12,IF(G5="3k6",18,0)))+F5+3</f>
        <v>19</v>
      </c>
      <c r="I5">
        <v>9</v>
      </c>
      <c r="J5" t="s">
        <v>553</v>
      </c>
      <c r="K5">
        <f t="shared" ref="K5:K68" si="8">IF(J5="1k6",6,IF(J5="2k6",12,IF(J5="3k6",18,0)))+I5+3</f>
        <v>18</v>
      </c>
      <c r="L5">
        <v>7</v>
      </c>
      <c r="M5" t="s">
        <v>553</v>
      </c>
      <c r="N5">
        <f t="shared" ref="N5:N68" si="9">IF(M5="1k6",6,IF(M5="2k6",12,IF(M5="3k6",18,0)))+L5+3</f>
        <v>16</v>
      </c>
      <c r="O5">
        <v>7</v>
      </c>
      <c r="P5" t="s">
        <v>553</v>
      </c>
      <c r="Q5">
        <f t="shared" ref="Q5:Q68" si="10">IF(P5="1k6",6,IF(P5="2k6",12,IF(P5="3k6",18,0)))+O5+3</f>
        <v>16</v>
      </c>
      <c r="R5">
        <v>7</v>
      </c>
      <c r="S5" t="s">
        <v>553</v>
      </c>
      <c r="T5">
        <f t="shared" ref="T5:T68" si="11">IF(S5="1k6",6,IF(S5="2k6",12,IF(S5="3k6",18,0)))+R5+3</f>
        <v>16</v>
      </c>
      <c r="U5" t="s">
        <v>4145</v>
      </c>
      <c r="V5" t="s">
        <v>4146</v>
      </c>
      <c r="W5" s="59" t="s">
        <v>296</v>
      </c>
      <c r="X5" s="59" t="s">
        <v>186</v>
      </c>
      <c r="Y5" s="59" t="s">
        <v>1211</v>
      </c>
      <c r="Z5" s="572" t="s">
        <v>4147</v>
      </c>
      <c r="AA5" s="573">
        <v>5</v>
      </c>
      <c r="AB5" s="573">
        <v>6</v>
      </c>
      <c r="AC5" s="59" t="s">
        <v>17</v>
      </c>
      <c r="AD5" s="60">
        <v>0</v>
      </c>
      <c r="AE5" s="60">
        <v>1</v>
      </c>
      <c r="AF5" s="571" t="s">
        <v>4148</v>
      </c>
      <c r="AG5" s="571">
        <v>4</v>
      </c>
      <c r="AH5" s="571">
        <v>2</v>
      </c>
      <c r="AI5" s="60">
        <v>0</v>
      </c>
      <c r="AJ5" s="60">
        <v>-1</v>
      </c>
      <c r="AK5" s="60">
        <v>0</v>
      </c>
      <c r="AL5" s="60">
        <v>0</v>
      </c>
      <c r="AM5" s="59" t="s">
        <v>96</v>
      </c>
      <c r="AN5" s="59">
        <v>0</v>
      </c>
      <c r="AO5" s="243">
        <f t="shared" si="0"/>
        <v>22</v>
      </c>
      <c r="AP5" s="244">
        <f>FLOOR(AS5/3,1)</f>
        <v>30</v>
      </c>
      <c r="AQ5" s="244">
        <f t="shared" si="1"/>
        <v>60</v>
      </c>
      <c r="AR5" s="244">
        <f t="shared" si="2"/>
        <v>72</v>
      </c>
      <c r="AS5" s="245">
        <v>90</v>
      </c>
      <c r="AT5">
        <f t="shared" si="3"/>
        <v>54</v>
      </c>
      <c r="AU5">
        <f t="shared" si="4"/>
        <v>6</v>
      </c>
      <c r="AV5">
        <f t="shared" si="5"/>
        <v>78</v>
      </c>
    </row>
    <row r="6" spans="2:48" x14ac:dyDescent="0.3">
      <c r="B6" s="59" t="s">
        <v>2446</v>
      </c>
      <c r="C6">
        <v>8</v>
      </c>
      <c r="D6" t="s">
        <v>553</v>
      </c>
      <c r="E6">
        <f t="shared" si="6"/>
        <v>17</v>
      </c>
      <c r="F6">
        <v>10</v>
      </c>
      <c r="G6" t="s">
        <v>553</v>
      </c>
      <c r="H6">
        <f t="shared" si="7"/>
        <v>19</v>
      </c>
      <c r="I6">
        <v>7</v>
      </c>
      <c r="J6" t="s">
        <v>553</v>
      </c>
      <c r="K6">
        <f t="shared" si="8"/>
        <v>16</v>
      </c>
      <c r="L6">
        <v>6</v>
      </c>
      <c r="M6" t="s">
        <v>553</v>
      </c>
      <c r="N6">
        <f t="shared" si="9"/>
        <v>15</v>
      </c>
      <c r="O6">
        <v>7</v>
      </c>
      <c r="P6" t="s">
        <v>553</v>
      </c>
      <c r="Q6">
        <f t="shared" si="10"/>
        <v>16</v>
      </c>
      <c r="R6">
        <v>0</v>
      </c>
      <c r="S6" t="s">
        <v>552</v>
      </c>
      <c r="T6">
        <f t="shared" si="11"/>
        <v>15</v>
      </c>
      <c r="U6" t="s">
        <v>3652</v>
      </c>
      <c r="V6" t="s">
        <v>3653</v>
      </c>
      <c r="W6" s="59" t="s">
        <v>292</v>
      </c>
      <c r="X6" s="59" t="s">
        <v>193</v>
      </c>
      <c r="Y6" s="59" t="s">
        <v>1211</v>
      </c>
      <c r="Z6" s="572" t="s">
        <v>2996</v>
      </c>
      <c r="AA6" s="573">
        <v>2</v>
      </c>
      <c r="AB6" s="573">
        <v>2</v>
      </c>
      <c r="AC6" s="59" t="s">
        <v>17</v>
      </c>
      <c r="AD6" s="60">
        <v>0</v>
      </c>
      <c r="AE6" s="60">
        <v>1</v>
      </c>
      <c r="AF6" s="571" t="s">
        <v>2997</v>
      </c>
      <c r="AG6" s="571">
        <v>1</v>
      </c>
      <c r="AH6" s="571">
        <v>1</v>
      </c>
      <c r="AI6" s="60">
        <v>0</v>
      </c>
      <c r="AJ6" s="60">
        <v>-1</v>
      </c>
      <c r="AK6" s="60">
        <v>0</v>
      </c>
      <c r="AL6" s="60">
        <v>0</v>
      </c>
      <c r="AM6" s="59" t="s">
        <v>95</v>
      </c>
      <c r="AN6" s="59">
        <v>1</v>
      </c>
      <c r="AO6" s="243">
        <f t="shared" si="0"/>
        <v>12</v>
      </c>
      <c r="AP6" s="244">
        <f>FLOOR(AS6/3,1)</f>
        <v>16</v>
      </c>
      <c r="AQ6" s="244">
        <f t="shared" si="1"/>
        <v>32</v>
      </c>
      <c r="AR6" s="244">
        <f t="shared" si="2"/>
        <v>38</v>
      </c>
      <c r="AS6" s="245">
        <v>48</v>
      </c>
      <c r="AT6">
        <f t="shared" si="3"/>
        <v>38</v>
      </c>
      <c r="AU6">
        <f t="shared" si="4"/>
        <v>7</v>
      </c>
      <c r="AV6">
        <f t="shared" si="5"/>
        <v>66</v>
      </c>
    </row>
    <row r="7" spans="2:48" x14ac:dyDescent="0.3">
      <c r="B7" s="59" t="s">
        <v>2447</v>
      </c>
      <c r="C7">
        <v>8</v>
      </c>
      <c r="D7" t="s">
        <v>553</v>
      </c>
      <c r="E7">
        <f t="shared" si="6"/>
        <v>17</v>
      </c>
      <c r="F7">
        <v>10</v>
      </c>
      <c r="G7" t="s">
        <v>553</v>
      </c>
      <c r="H7">
        <f t="shared" si="7"/>
        <v>19</v>
      </c>
      <c r="I7">
        <v>7</v>
      </c>
      <c r="J7" t="s">
        <v>553</v>
      </c>
      <c r="K7">
        <f t="shared" si="8"/>
        <v>16</v>
      </c>
      <c r="L7">
        <v>6</v>
      </c>
      <c r="M7" t="s">
        <v>553</v>
      </c>
      <c r="N7">
        <f t="shared" si="9"/>
        <v>15</v>
      </c>
      <c r="O7">
        <v>7</v>
      </c>
      <c r="P7" t="s">
        <v>553</v>
      </c>
      <c r="Q7">
        <f t="shared" si="10"/>
        <v>16</v>
      </c>
      <c r="R7">
        <v>0</v>
      </c>
      <c r="S7" t="s">
        <v>552</v>
      </c>
      <c r="T7">
        <f t="shared" si="11"/>
        <v>15</v>
      </c>
      <c r="U7" t="s">
        <v>3652</v>
      </c>
      <c r="V7" t="s">
        <v>3653</v>
      </c>
      <c r="W7" s="59" t="s">
        <v>292</v>
      </c>
      <c r="X7" s="59" t="s">
        <v>193</v>
      </c>
      <c r="Y7" s="59" t="s">
        <v>1211</v>
      </c>
      <c r="Z7" s="572" t="s">
        <v>2996</v>
      </c>
      <c r="AA7" s="573">
        <v>2</v>
      </c>
      <c r="AB7" s="573">
        <v>2</v>
      </c>
      <c r="AC7" s="59" t="s">
        <v>17</v>
      </c>
      <c r="AD7" s="60">
        <v>0</v>
      </c>
      <c r="AE7" s="60">
        <v>1</v>
      </c>
      <c r="AF7" s="571" t="s">
        <v>2997</v>
      </c>
      <c r="AG7" s="571">
        <v>1</v>
      </c>
      <c r="AH7" s="571">
        <v>1</v>
      </c>
      <c r="AI7" s="60">
        <v>0</v>
      </c>
      <c r="AJ7" s="60">
        <v>-1</v>
      </c>
      <c r="AK7" s="60">
        <v>0</v>
      </c>
      <c r="AL7" s="60">
        <v>0</v>
      </c>
      <c r="AM7" s="59" t="s">
        <v>95</v>
      </c>
      <c r="AN7" s="59">
        <v>1</v>
      </c>
      <c r="AO7" s="243">
        <f t="shared" si="0"/>
        <v>12</v>
      </c>
      <c r="AP7" s="244">
        <f>FLOOR(AS7/3,1)</f>
        <v>16</v>
      </c>
      <c r="AQ7" s="244">
        <f t="shared" si="1"/>
        <v>32</v>
      </c>
      <c r="AR7" s="244">
        <f t="shared" si="2"/>
        <v>38</v>
      </c>
      <c r="AS7" s="245">
        <v>48</v>
      </c>
      <c r="AT7">
        <f t="shared" si="3"/>
        <v>38</v>
      </c>
      <c r="AU7">
        <f t="shared" si="4"/>
        <v>7</v>
      </c>
      <c r="AV7">
        <f t="shared" si="5"/>
        <v>66</v>
      </c>
    </row>
    <row r="8" spans="2:48" x14ac:dyDescent="0.3">
      <c r="B8" s="531" t="s">
        <v>991</v>
      </c>
      <c r="C8">
        <v>6</v>
      </c>
      <c r="D8" t="s">
        <v>552</v>
      </c>
      <c r="E8">
        <f t="shared" si="6"/>
        <v>21</v>
      </c>
      <c r="F8">
        <v>4</v>
      </c>
      <c r="G8" t="s">
        <v>552</v>
      </c>
      <c r="H8">
        <f t="shared" si="7"/>
        <v>19</v>
      </c>
      <c r="I8">
        <v>3</v>
      </c>
      <c r="J8" t="s">
        <v>552</v>
      </c>
      <c r="K8">
        <f t="shared" si="8"/>
        <v>18</v>
      </c>
      <c r="L8">
        <v>0</v>
      </c>
      <c r="M8" t="s">
        <v>552</v>
      </c>
      <c r="N8">
        <f t="shared" si="9"/>
        <v>15</v>
      </c>
      <c r="O8">
        <v>4</v>
      </c>
      <c r="P8" t="s">
        <v>552</v>
      </c>
      <c r="Q8">
        <f t="shared" si="10"/>
        <v>19</v>
      </c>
      <c r="R8">
        <v>1</v>
      </c>
      <c r="S8" t="s">
        <v>552</v>
      </c>
      <c r="T8">
        <f t="shared" si="11"/>
        <v>16</v>
      </c>
      <c r="U8" t="s">
        <v>3651</v>
      </c>
      <c r="V8" t="s">
        <v>3656</v>
      </c>
      <c r="W8" s="59" t="s">
        <v>199</v>
      </c>
      <c r="X8" s="59" t="s">
        <v>196</v>
      </c>
      <c r="Y8" s="59" t="s">
        <v>1207</v>
      </c>
      <c r="Z8" s="59" t="s">
        <v>357</v>
      </c>
      <c r="AA8" s="60">
        <v>1</v>
      </c>
      <c r="AB8" s="60">
        <v>-1</v>
      </c>
      <c r="AC8" s="59" t="s">
        <v>17</v>
      </c>
      <c r="AD8" s="60">
        <v>0</v>
      </c>
      <c r="AE8" s="60">
        <v>1</v>
      </c>
      <c r="AF8" s="60" t="s">
        <v>2993</v>
      </c>
      <c r="AG8" s="60">
        <v>0</v>
      </c>
      <c r="AH8" s="60">
        <v>-1</v>
      </c>
      <c r="AI8" s="60">
        <v>0</v>
      </c>
      <c r="AJ8" s="60">
        <v>0</v>
      </c>
      <c r="AK8" s="60">
        <v>0</v>
      </c>
      <c r="AL8" s="60">
        <v>0</v>
      </c>
      <c r="AM8" s="59" t="s">
        <v>95</v>
      </c>
      <c r="AN8" s="59">
        <v>0</v>
      </c>
      <c r="AO8" s="243">
        <f t="shared" si="0"/>
        <v>15</v>
      </c>
      <c r="AP8" s="244">
        <f t="shared" ref="AP8:AP18" si="12">FLOOR(AS8/5*2,1)</f>
        <v>24</v>
      </c>
      <c r="AQ8" s="244">
        <f t="shared" si="1"/>
        <v>40</v>
      </c>
      <c r="AR8" s="244">
        <f t="shared" si="2"/>
        <v>48</v>
      </c>
      <c r="AS8" s="245">
        <v>60</v>
      </c>
      <c r="AT8">
        <f t="shared" si="3"/>
        <v>18</v>
      </c>
      <c r="AU8">
        <f t="shared" si="4"/>
        <v>12</v>
      </c>
      <c r="AV8">
        <f t="shared" si="5"/>
        <v>66</v>
      </c>
    </row>
    <row r="9" spans="2:48" x14ac:dyDescent="0.3">
      <c r="B9" s="59" t="s">
        <v>996</v>
      </c>
      <c r="C9">
        <v>9</v>
      </c>
      <c r="D9" t="s">
        <v>553</v>
      </c>
      <c r="E9">
        <f t="shared" si="6"/>
        <v>18</v>
      </c>
      <c r="F9">
        <v>8</v>
      </c>
      <c r="G9" t="s">
        <v>553</v>
      </c>
      <c r="H9">
        <f t="shared" si="7"/>
        <v>17</v>
      </c>
      <c r="I9">
        <v>8</v>
      </c>
      <c r="J9" t="s">
        <v>553</v>
      </c>
      <c r="K9">
        <f t="shared" si="8"/>
        <v>17</v>
      </c>
      <c r="L9">
        <v>4</v>
      </c>
      <c r="M9" t="s">
        <v>553</v>
      </c>
      <c r="N9">
        <f t="shared" si="9"/>
        <v>13</v>
      </c>
      <c r="O9">
        <v>8</v>
      </c>
      <c r="P9" t="s">
        <v>553</v>
      </c>
      <c r="Q9">
        <f t="shared" si="10"/>
        <v>17</v>
      </c>
      <c r="R9">
        <v>5</v>
      </c>
      <c r="S9" t="s">
        <v>553</v>
      </c>
      <c r="T9">
        <f t="shared" si="11"/>
        <v>14</v>
      </c>
      <c r="U9" t="s">
        <v>3649</v>
      </c>
      <c r="V9" t="s">
        <v>3650</v>
      </c>
      <c r="W9" s="59" t="s">
        <v>199</v>
      </c>
      <c r="X9" s="59" t="s">
        <v>196</v>
      </c>
      <c r="Y9" s="59" t="s">
        <v>1207</v>
      </c>
      <c r="Z9" s="59" t="s">
        <v>357</v>
      </c>
      <c r="AA9" s="60">
        <v>1</v>
      </c>
      <c r="AB9" s="60">
        <v>-1</v>
      </c>
      <c r="AC9" s="59" t="s">
        <v>17</v>
      </c>
      <c r="AD9" s="60">
        <v>0</v>
      </c>
      <c r="AE9" s="60">
        <v>1</v>
      </c>
      <c r="AF9" s="60" t="s">
        <v>2993</v>
      </c>
      <c r="AG9" s="60">
        <v>0</v>
      </c>
      <c r="AH9" s="60">
        <v>-1</v>
      </c>
      <c r="AI9" s="60">
        <v>0</v>
      </c>
      <c r="AJ9" s="60">
        <v>0</v>
      </c>
      <c r="AK9" s="60">
        <v>0</v>
      </c>
      <c r="AL9" s="60">
        <v>0</v>
      </c>
      <c r="AM9" s="59" t="s">
        <v>95</v>
      </c>
      <c r="AN9" s="59">
        <v>0</v>
      </c>
      <c r="AO9" s="243">
        <f t="shared" si="0"/>
        <v>15</v>
      </c>
      <c r="AP9" s="244">
        <f t="shared" si="12"/>
        <v>24</v>
      </c>
      <c r="AQ9" s="244">
        <f t="shared" si="1"/>
        <v>40</v>
      </c>
      <c r="AR9" s="244">
        <f t="shared" si="2"/>
        <v>48</v>
      </c>
      <c r="AS9" s="245">
        <v>60</v>
      </c>
      <c r="AT9">
        <f t="shared" si="3"/>
        <v>42</v>
      </c>
      <c r="AU9">
        <f t="shared" si="4"/>
        <v>6</v>
      </c>
      <c r="AV9">
        <f t="shared" si="5"/>
        <v>66</v>
      </c>
    </row>
    <row r="10" spans="2:48" x14ac:dyDescent="0.3">
      <c r="B10" s="531" t="s">
        <v>1029</v>
      </c>
      <c r="C10">
        <v>2</v>
      </c>
      <c r="D10" t="s">
        <v>552</v>
      </c>
      <c r="E10">
        <f t="shared" si="6"/>
        <v>17</v>
      </c>
      <c r="F10">
        <v>4</v>
      </c>
      <c r="G10" t="s">
        <v>552</v>
      </c>
      <c r="H10">
        <f t="shared" si="7"/>
        <v>19</v>
      </c>
      <c r="I10">
        <v>3</v>
      </c>
      <c r="J10" t="s">
        <v>552</v>
      </c>
      <c r="K10">
        <f t="shared" si="8"/>
        <v>18</v>
      </c>
      <c r="L10">
        <v>3</v>
      </c>
      <c r="M10" t="s">
        <v>552</v>
      </c>
      <c r="N10">
        <f t="shared" si="9"/>
        <v>18</v>
      </c>
      <c r="O10">
        <v>3</v>
      </c>
      <c r="P10" t="s">
        <v>552</v>
      </c>
      <c r="Q10">
        <f t="shared" si="10"/>
        <v>18</v>
      </c>
      <c r="R10">
        <v>3</v>
      </c>
      <c r="S10" t="s">
        <v>552</v>
      </c>
      <c r="T10">
        <f t="shared" si="11"/>
        <v>18</v>
      </c>
      <c r="U10" t="s">
        <v>3654</v>
      </c>
      <c r="V10" t="s">
        <v>3655</v>
      </c>
      <c r="W10" s="59" t="s">
        <v>199</v>
      </c>
      <c r="X10" s="59" t="s">
        <v>190</v>
      </c>
      <c r="Y10" s="59" t="s">
        <v>1207</v>
      </c>
      <c r="Z10" s="59" t="s">
        <v>357</v>
      </c>
      <c r="AA10" s="60">
        <v>1</v>
      </c>
      <c r="AB10" s="60">
        <v>-1</v>
      </c>
      <c r="AC10" s="59" t="s">
        <v>17</v>
      </c>
      <c r="AD10" s="60">
        <v>0</v>
      </c>
      <c r="AE10" s="60">
        <v>1</v>
      </c>
      <c r="AF10" s="60" t="s">
        <v>2993</v>
      </c>
      <c r="AG10" s="60">
        <v>0</v>
      </c>
      <c r="AH10" s="60">
        <v>-1</v>
      </c>
      <c r="AI10" s="60">
        <v>0</v>
      </c>
      <c r="AJ10" s="60">
        <v>0</v>
      </c>
      <c r="AK10" s="60">
        <v>0</v>
      </c>
      <c r="AL10" s="60">
        <v>0</v>
      </c>
      <c r="AM10" s="59" t="s">
        <v>95</v>
      </c>
      <c r="AN10" s="59">
        <v>0</v>
      </c>
      <c r="AO10" s="243">
        <f t="shared" si="0"/>
        <v>17</v>
      </c>
      <c r="AP10" s="244">
        <f t="shared" si="12"/>
        <v>27</v>
      </c>
      <c r="AQ10" s="244">
        <f t="shared" si="1"/>
        <v>45</v>
      </c>
      <c r="AR10" s="244">
        <f t="shared" si="2"/>
        <v>54</v>
      </c>
      <c r="AS10" s="245">
        <v>68</v>
      </c>
      <c r="AT10">
        <f t="shared" si="3"/>
        <v>18</v>
      </c>
      <c r="AU10">
        <f t="shared" si="4"/>
        <v>12</v>
      </c>
      <c r="AV10">
        <f t="shared" si="5"/>
        <v>66</v>
      </c>
    </row>
    <row r="11" spans="2:48" x14ac:dyDescent="0.3">
      <c r="B11" s="531" t="s">
        <v>1028</v>
      </c>
      <c r="C11">
        <v>3</v>
      </c>
      <c r="D11" t="s">
        <v>552</v>
      </c>
      <c r="E11">
        <f t="shared" si="6"/>
        <v>18</v>
      </c>
      <c r="F11">
        <v>3</v>
      </c>
      <c r="G11" t="s">
        <v>552</v>
      </c>
      <c r="H11">
        <f t="shared" si="7"/>
        <v>18</v>
      </c>
      <c r="I11">
        <v>3</v>
      </c>
      <c r="J11" t="s">
        <v>552</v>
      </c>
      <c r="K11">
        <f t="shared" si="8"/>
        <v>18</v>
      </c>
      <c r="L11">
        <v>3</v>
      </c>
      <c r="M11" t="s">
        <v>552</v>
      </c>
      <c r="N11">
        <f t="shared" si="9"/>
        <v>18</v>
      </c>
      <c r="O11">
        <v>3</v>
      </c>
      <c r="P11" t="s">
        <v>552</v>
      </c>
      <c r="Q11">
        <f t="shared" si="10"/>
        <v>18</v>
      </c>
      <c r="R11">
        <v>3</v>
      </c>
      <c r="S11" t="s">
        <v>552</v>
      </c>
      <c r="T11">
        <f t="shared" si="11"/>
        <v>18</v>
      </c>
      <c r="U11" t="s">
        <v>3654</v>
      </c>
      <c r="V11" t="s">
        <v>3655</v>
      </c>
      <c r="W11" s="59" t="s">
        <v>199</v>
      </c>
      <c r="X11" s="59" t="s">
        <v>190</v>
      </c>
      <c r="Y11" s="59" t="s">
        <v>1207</v>
      </c>
      <c r="Z11" s="59" t="s">
        <v>357</v>
      </c>
      <c r="AA11" s="60">
        <v>1</v>
      </c>
      <c r="AB11" s="60">
        <v>-1</v>
      </c>
      <c r="AC11" s="59" t="s">
        <v>17</v>
      </c>
      <c r="AD11" s="60">
        <v>0</v>
      </c>
      <c r="AE11" s="60">
        <v>1</v>
      </c>
      <c r="AF11" s="60" t="s">
        <v>2993</v>
      </c>
      <c r="AG11" s="60">
        <v>0</v>
      </c>
      <c r="AH11" s="60">
        <v>-1</v>
      </c>
      <c r="AI11" s="60">
        <v>0</v>
      </c>
      <c r="AJ11" s="60">
        <v>0</v>
      </c>
      <c r="AK11" s="60">
        <v>0</v>
      </c>
      <c r="AL11" s="60">
        <v>0</v>
      </c>
      <c r="AM11" s="59" t="s">
        <v>95</v>
      </c>
      <c r="AN11" s="59">
        <v>0</v>
      </c>
      <c r="AO11" s="243">
        <f t="shared" si="0"/>
        <v>17</v>
      </c>
      <c r="AP11" s="244">
        <f t="shared" si="12"/>
        <v>27</v>
      </c>
      <c r="AQ11" s="244">
        <f t="shared" si="1"/>
        <v>45</v>
      </c>
      <c r="AR11" s="244">
        <f t="shared" si="2"/>
        <v>54</v>
      </c>
      <c r="AS11" s="245">
        <v>68</v>
      </c>
      <c r="AT11">
        <f t="shared" si="3"/>
        <v>18</v>
      </c>
      <c r="AU11">
        <f t="shared" si="4"/>
        <v>12</v>
      </c>
      <c r="AV11">
        <f t="shared" si="5"/>
        <v>66</v>
      </c>
    </row>
    <row r="12" spans="2:48" x14ac:dyDescent="0.3">
      <c r="B12" s="59" t="s">
        <v>4945</v>
      </c>
      <c r="C12">
        <v>2</v>
      </c>
      <c r="D12" t="s">
        <v>552</v>
      </c>
      <c r="E12">
        <f t="shared" si="6"/>
        <v>17</v>
      </c>
      <c r="F12">
        <v>4</v>
      </c>
      <c r="G12" t="s">
        <v>552</v>
      </c>
      <c r="H12">
        <f t="shared" si="7"/>
        <v>19</v>
      </c>
      <c r="I12">
        <v>2</v>
      </c>
      <c r="J12" t="s">
        <v>552</v>
      </c>
      <c r="K12">
        <f t="shared" si="8"/>
        <v>17</v>
      </c>
      <c r="L12">
        <v>4</v>
      </c>
      <c r="M12" t="s">
        <v>552</v>
      </c>
      <c r="N12">
        <f t="shared" si="9"/>
        <v>19</v>
      </c>
      <c r="O12">
        <v>5</v>
      </c>
      <c r="P12" t="s">
        <v>552</v>
      </c>
      <c r="Q12">
        <f t="shared" si="10"/>
        <v>20</v>
      </c>
      <c r="R12">
        <v>1</v>
      </c>
      <c r="S12" t="s">
        <v>552</v>
      </c>
      <c r="T12">
        <f t="shared" si="11"/>
        <v>16</v>
      </c>
      <c r="U12" t="s">
        <v>3674</v>
      </c>
      <c r="V12" t="s">
        <v>3676</v>
      </c>
      <c r="W12" s="59" t="s">
        <v>199</v>
      </c>
      <c r="X12" s="59" t="s">
        <v>193</v>
      </c>
      <c r="Y12" s="59" t="s">
        <v>1203</v>
      </c>
      <c r="Z12" s="59" t="s">
        <v>357</v>
      </c>
      <c r="AA12" s="60">
        <v>1</v>
      </c>
      <c r="AB12" s="60">
        <v>-1</v>
      </c>
      <c r="AC12" s="572" t="s">
        <v>2999</v>
      </c>
      <c r="AD12" s="573">
        <v>2</v>
      </c>
      <c r="AE12" s="573">
        <v>2</v>
      </c>
      <c r="AF12" s="60" t="s">
        <v>2993</v>
      </c>
      <c r="AG12" s="60">
        <v>0</v>
      </c>
      <c r="AH12" s="60">
        <v>-1</v>
      </c>
      <c r="AI12" s="60">
        <v>0</v>
      </c>
      <c r="AJ12" s="60">
        <v>0</v>
      </c>
      <c r="AK12" s="60">
        <v>0</v>
      </c>
      <c r="AL12" s="60">
        <v>0</v>
      </c>
      <c r="AM12" s="59" t="s">
        <v>95</v>
      </c>
      <c r="AN12" s="59">
        <v>0</v>
      </c>
      <c r="AO12" s="243">
        <f t="shared" si="0"/>
        <v>28</v>
      </c>
      <c r="AP12" s="244">
        <f t="shared" si="12"/>
        <v>44</v>
      </c>
      <c r="AQ12" s="244">
        <f t="shared" si="1"/>
        <v>74</v>
      </c>
      <c r="AR12" s="244">
        <f t="shared" si="2"/>
        <v>89</v>
      </c>
      <c r="AS12" s="245">
        <v>112</v>
      </c>
      <c r="AT12">
        <f t="shared" si="3"/>
        <v>18</v>
      </c>
      <c r="AU12">
        <f t="shared" ref="AU12:AU13" si="13">IF(D12="3k6",3,IF(D12="2k6",2,1))+IF(M12="3k6",3,IF(M12="2k6",2,1))+IF(J12="3k6",3,IF(J12="2k6",2,1))+IF(G12="3k6",3,IF(G12="2k6",2,1))+IF(P12="3k6",3,IF(P12="2k6",2,1))+IF(S12="3k6",3,IF(S12="2k6",2,1))</f>
        <v>12</v>
      </c>
      <c r="AV12">
        <f t="shared" ref="AV12:AV13" si="14">AT12+AU12*4</f>
        <v>66</v>
      </c>
    </row>
    <row r="13" spans="2:48" x14ac:dyDescent="0.3">
      <c r="B13" s="59" t="s">
        <v>4947</v>
      </c>
      <c r="C13">
        <v>2</v>
      </c>
      <c r="D13" t="s">
        <v>552</v>
      </c>
      <c r="E13">
        <f t="shared" si="6"/>
        <v>17</v>
      </c>
      <c r="F13">
        <v>4</v>
      </c>
      <c r="G13" t="s">
        <v>552</v>
      </c>
      <c r="H13">
        <f t="shared" si="7"/>
        <v>19</v>
      </c>
      <c r="I13">
        <v>2</v>
      </c>
      <c r="J13" t="s">
        <v>552</v>
      </c>
      <c r="K13">
        <f t="shared" si="8"/>
        <v>17</v>
      </c>
      <c r="L13">
        <v>4</v>
      </c>
      <c r="M13" t="s">
        <v>552</v>
      </c>
      <c r="N13">
        <f t="shared" si="9"/>
        <v>19</v>
      </c>
      <c r="O13">
        <v>5</v>
      </c>
      <c r="P13" t="s">
        <v>552</v>
      </c>
      <c r="Q13">
        <f t="shared" si="10"/>
        <v>20</v>
      </c>
      <c r="R13">
        <v>1</v>
      </c>
      <c r="S13" t="s">
        <v>552</v>
      </c>
      <c r="T13">
        <f t="shared" si="11"/>
        <v>16</v>
      </c>
      <c r="U13" t="s">
        <v>3674</v>
      </c>
      <c r="V13" t="s">
        <v>3676</v>
      </c>
      <c r="W13" s="59" t="s">
        <v>199</v>
      </c>
      <c r="X13" s="59" t="s">
        <v>193</v>
      </c>
      <c r="Y13" s="59" t="s">
        <v>1203</v>
      </c>
      <c r="Z13" s="59" t="s">
        <v>357</v>
      </c>
      <c r="AA13" s="60">
        <v>1</v>
      </c>
      <c r="AB13" s="60">
        <v>-1</v>
      </c>
      <c r="AC13" s="572" t="s">
        <v>2999</v>
      </c>
      <c r="AD13" s="573">
        <v>2</v>
      </c>
      <c r="AE13" s="573">
        <v>2</v>
      </c>
      <c r="AF13" s="60" t="s">
        <v>2993</v>
      </c>
      <c r="AG13" s="60">
        <v>0</v>
      </c>
      <c r="AH13" s="60">
        <v>-1</v>
      </c>
      <c r="AI13" s="60">
        <v>0</v>
      </c>
      <c r="AJ13" s="60">
        <v>0</v>
      </c>
      <c r="AK13" s="60">
        <v>0</v>
      </c>
      <c r="AL13" s="60">
        <v>0</v>
      </c>
      <c r="AM13" s="59" t="s">
        <v>95</v>
      </c>
      <c r="AN13" s="59">
        <v>0</v>
      </c>
      <c r="AO13" s="243">
        <f t="shared" si="0"/>
        <v>28</v>
      </c>
      <c r="AP13" s="244">
        <f t="shared" si="12"/>
        <v>44</v>
      </c>
      <c r="AQ13" s="244">
        <f t="shared" si="1"/>
        <v>74</v>
      </c>
      <c r="AR13" s="244">
        <f t="shared" si="2"/>
        <v>89</v>
      </c>
      <c r="AS13" s="245">
        <v>112</v>
      </c>
      <c r="AT13">
        <f t="shared" si="3"/>
        <v>18</v>
      </c>
      <c r="AU13">
        <f t="shared" si="13"/>
        <v>12</v>
      </c>
      <c r="AV13">
        <f t="shared" si="14"/>
        <v>66</v>
      </c>
    </row>
    <row r="14" spans="2:48" x14ac:dyDescent="0.3">
      <c r="B14" s="59" t="s">
        <v>4152</v>
      </c>
      <c r="C14">
        <v>16</v>
      </c>
      <c r="D14" t="s">
        <v>553</v>
      </c>
      <c r="E14">
        <f t="shared" si="6"/>
        <v>25</v>
      </c>
      <c r="F14">
        <v>10</v>
      </c>
      <c r="G14" t="s">
        <v>553</v>
      </c>
      <c r="H14">
        <f t="shared" si="7"/>
        <v>19</v>
      </c>
      <c r="I14">
        <v>8</v>
      </c>
      <c r="J14" t="s">
        <v>553</v>
      </c>
      <c r="K14">
        <f t="shared" si="8"/>
        <v>17</v>
      </c>
      <c r="L14">
        <v>9</v>
      </c>
      <c r="M14" t="s">
        <v>553</v>
      </c>
      <c r="N14">
        <f t="shared" si="9"/>
        <v>18</v>
      </c>
      <c r="O14">
        <v>10</v>
      </c>
      <c r="P14" t="s">
        <v>553</v>
      </c>
      <c r="Q14">
        <f t="shared" si="10"/>
        <v>19</v>
      </c>
      <c r="R14">
        <v>9</v>
      </c>
      <c r="S14" t="s">
        <v>553</v>
      </c>
      <c r="T14">
        <f t="shared" si="11"/>
        <v>18</v>
      </c>
      <c r="U14" t="s">
        <v>4169</v>
      </c>
      <c r="V14" t="s">
        <v>4170</v>
      </c>
      <c r="W14" s="59" t="s">
        <v>294</v>
      </c>
      <c r="X14" s="59" t="s">
        <v>190</v>
      </c>
      <c r="Y14" s="59" t="s">
        <v>1204</v>
      </c>
      <c r="Z14" s="572" t="s">
        <v>2996</v>
      </c>
      <c r="AA14" s="573">
        <v>4</v>
      </c>
      <c r="AB14" s="573">
        <v>3</v>
      </c>
      <c r="AC14" s="59" t="s">
        <v>17</v>
      </c>
      <c r="AD14" s="60">
        <v>0</v>
      </c>
      <c r="AE14" s="60">
        <v>1</v>
      </c>
      <c r="AF14" s="571" t="s">
        <v>2993</v>
      </c>
      <c r="AG14" s="571">
        <v>2</v>
      </c>
      <c r="AH14" s="571">
        <v>5</v>
      </c>
      <c r="AI14" s="60">
        <v>0</v>
      </c>
      <c r="AJ14" s="60">
        <v>1</v>
      </c>
      <c r="AK14" s="60">
        <v>0</v>
      </c>
      <c r="AL14" s="60">
        <v>0</v>
      </c>
      <c r="AM14" s="59" t="s">
        <v>96</v>
      </c>
      <c r="AN14" s="59">
        <v>5</v>
      </c>
      <c r="AO14" s="243">
        <f t="shared" si="0"/>
        <v>100</v>
      </c>
      <c r="AP14" s="244">
        <f t="shared" si="12"/>
        <v>160</v>
      </c>
      <c r="AQ14" s="244">
        <f t="shared" si="1"/>
        <v>266</v>
      </c>
      <c r="AR14" s="244">
        <f t="shared" si="2"/>
        <v>320</v>
      </c>
      <c r="AS14" s="245">
        <v>400</v>
      </c>
      <c r="AT14">
        <f t="shared" si="3"/>
        <v>62</v>
      </c>
      <c r="AU14">
        <f t="shared" si="4"/>
        <v>6</v>
      </c>
      <c r="AV14">
        <f t="shared" si="5"/>
        <v>86</v>
      </c>
    </row>
    <row r="15" spans="2:48" x14ac:dyDescent="0.3">
      <c r="B15" s="59" t="s">
        <v>4153</v>
      </c>
      <c r="C15">
        <v>14</v>
      </c>
      <c r="D15" t="s">
        <v>553</v>
      </c>
      <c r="E15">
        <f t="shared" si="6"/>
        <v>23</v>
      </c>
      <c r="F15">
        <v>11</v>
      </c>
      <c r="G15" t="s">
        <v>553</v>
      </c>
      <c r="H15">
        <f t="shared" si="7"/>
        <v>20</v>
      </c>
      <c r="I15">
        <v>9</v>
      </c>
      <c r="J15" t="s">
        <v>553</v>
      </c>
      <c r="K15">
        <f t="shared" si="8"/>
        <v>18</v>
      </c>
      <c r="L15">
        <v>9</v>
      </c>
      <c r="M15" t="s">
        <v>553</v>
      </c>
      <c r="N15">
        <f t="shared" si="9"/>
        <v>18</v>
      </c>
      <c r="O15">
        <v>10</v>
      </c>
      <c r="P15" t="s">
        <v>553</v>
      </c>
      <c r="Q15">
        <f t="shared" si="10"/>
        <v>19</v>
      </c>
      <c r="R15">
        <v>9</v>
      </c>
      <c r="S15" t="s">
        <v>553</v>
      </c>
      <c r="T15">
        <f t="shared" si="11"/>
        <v>18</v>
      </c>
      <c r="U15" t="s">
        <v>4169</v>
      </c>
      <c r="V15" t="s">
        <v>4170</v>
      </c>
      <c r="W15" s="59" t="s">
        <v>294</v>
      </c>
      <c r="X15" s="59" t="s">
        <v>190</v>
      </c>
      <c r="Y15" s="59" t="s">
        <v>1204</v>
      </c>
      <c r="Z15" s="572" t="s">
        <v>2996</v>
      </c>
      <c r="AA15" s="573">
        <v>4</v>
      </c>
      <c r="AB15" s="573">
        <v>3</v>
      </c>
      <c r="AC15" s="59" t="s">
        <v>17</v>
      </c>
      <c r="AD15" s="60">
        <v>0</v>
      </c>
      <c r="AE15" s="60">
        <v>1</v>
      </c>
      <c r="AF15" s="571" t="s">
        <v>2993</v>
      </c>
      <c r="AG15" s="571">
        <v>2</v>
      </c>
      <c r="AH15" s="571">
        <v>5</v>
      </c>
      <c r="AI15" s="60">
        <v>0</v>
      </c>
      <c r="AJ15" s="60">
        <v>1</v>
      </c>
      <c r="AK15" s="60">
        <v>0</v>
      </c>
      <c r="AL15" s="60">
        <v>0</v>
      </c>
      <c r="AM15" s="59" t="s">
        <v>96</v>
      </c>
      <c r="AN15" s="59">
        <v>5</v>
      </c>
      <c r="AO15" s="243">
        <f t="shared" si="0"/>
        <v>100</v>
      </c>
      <c r="AP15" s="244">
        <f t="shared" si="12"/>
        <v>160</v>
      </c>
      <c r="AQ15" s="244">
        <f t="shared" si="1"/>
        <v>266</v>
      </c>
      <c r="AR15" s="244">
        <f t="shared" si="2"/>
        <v>320</v>
      </c>
      <c r="AS15" s="245">
        <v>400</v>
      </c>
      <c r="AT15">
        <f t="shared" si="3"/>
        <v>62</v>
      </c>
      <c r="AU15">
        <f t="shared" si="4"/>
        <v>6</v>
      </c>
      <c r="AV15">
        <f t="shared" si="5"/>
        <v>86</v>
      </c>
    </row>
    <row r="16" spans="2:48" x14ac:dyDescent="0.3">
      <c r="B16" s="59" t="s">
        <v>1033</v>
      </c>
      <c r="C16">
        <v>7</v>
      </c>
      <c r="D16" t="s">
        <v>553</v>
      </c>
      <c r="E16">
        <f t="shared" si="6"/>
        <v>16</v>
      </c>
      <c r="F16">
        <v>9</v>
      </c>
      <c r="G16" t="s">
        <v>553</v>
      </c>
      <c r="H16">
        <f t="shared" si="7"/>
        <v>18</v>
      </c>
      <c r="I16">
        <v>10</v>
      </c>
      <c r="J16" t="s">
        <v>553</v>
      </c>
      <c r="K16">
        <f t="shared" si="8"/>
        <v>19</v>
      </c>
      <c r="L16">
        <v>8</v>
      </c>
      <c r="M16" t="s">
        <v>553</v>
      </c>
      <c r="N16">
        <f t="shared" si="9"/>
        <v>17</v>
      </c>
      <c r="O16">
        <v>9</v>
      </c>
      <c r="P16" t="s">
        <v>553</v>
      </c>
      <c r="Q16">
        <f t="shared" si="10"/>
        <v>18</v>
      </c>
      <c r="R16">
        <v>7</v>
      </c>
      <c r="S16" t="s">
        <v>553</v>
      </c>
      <c r="T16">
        <f t="shared" si="11"/>
        <v>16</v>
      </c>
      <c r="U16" t="s">
        <v>3657</v>
      </c>
      <c r="V16" t="s">
        <v>3658</v>
      </c>
      <c r="W16" s="59" t="s">
        <v>293</v>
      </c>
      <c r="X16" s="59" t="s">
        <v>2477</v>
      </c>
      <c r="Y16" s="59" t="s">
        <v>1205</v>
      </c>
      <c r="Z16" s="59" t="s">
        <v>357</v>
      </c>
      <c r="AA16" s="60">
        <v>1</v>
      </c>
      <c r="AB16" s="60">
        <v>-1</v>
      </c>
      <c r="AC16" s="59" t="s">
        <v>17</v>
      </c>
      <c r="AD16" s="60">
        <v>0</v>
      </c>
      <c r="AE16" s="60">
        <v>1</v>
      </c>
      <c r="AF16" s="60" t="s">
        <v>2993</v>
      </c>
      <c r="AG16" s="60">
        <v>0</v>
      </c>
      <c r="AH16" s="60">
        <v>-1</v>
      </c>
      <c r="AI16" s="60">
        <v>0</v>
      </c>
      <c r="AJ16" s="60">
        <v>2</v>
      </c>
      <c r="AK16" s="60">
        <v>0</v>
      </c>
      <c r="AL16" s="60">
        <v>0</v>
      </c>
      <c r="AM16" s="59" t="s">
        <v>95</v>
      </c>
      <c r="AN16" s="59">
        <v>1</v>
      </c>
      <c r="AO16" s="243">
        <f t="shared" si="0"/>
        <v>50</v>
      </c>
      <c r="AP16" s="244">
        <f t="shared" si="12"/>
        <v>80</v>
      </c>
      <c r="AQ16" s="244">
        <f t="shared" si="1"/>
        <v>133</v>
      </c>
      <c r="AR16" s="244">
        <f t="shared" si="2"/>
        <v>160</v>
      </c>
      <c r="AS16" s="245">
        <v>200</v>
      </c>
      <c r="AT16">
        <f t="shared" si="3"/>
        <v>50</v>
      </c>
      <c r="AU16">
        <f t="shared" si="4"/>
        <v>6</v>
      </c>
      <c r="AV16">
        <f t="shared" si="5"/>
        <v>74</v>
      </c>
    </row>
    <row r="17" spans="2:48" x14ac:dyDescent="0.3">
      <c r="B17" s="531" t="s">
        <v>219</v>
      </c>
      <c r="C17">
        <v>0</v>
      </c>
      <c r="D17" t="s">
        <v>552</v>
      </c>
      <c r="E17">
        <f t="shared" si="6"/>
        <v>15</v>
      </c>
      <c r="F17">
        <v>4</v>
      </c>
      <c r="G17" t="s">
        <v>552</v>
      </c>
      <c r="H17">
        <f t="shared" si="7"/>
        <v>19</v>
      </c>
      <c r="I17">
        <v>4</v>
      </c>
      <c r="J17" t="s">
        <v>552</v>
      </c>
      <c r="K17">
        <f t="shared" si="8"/>
        <v>19</v>
      </c>
      <c r="L17">
        <v>5</v>
      </c>
      <c r="M17" t="s">
        <v>552</v>
      </c>
      <c r="N17">
        <f t="shared" si="9"/>
        <v>20</v>
      </c>
      <c r="O17">
        <v>0</v>
      </c>
      <c r="P17" t="s">
        <v>552</v>
      </c>
      <c r="Q17">
        <f t="shared" si="10"/>
        <v>15</v>
      </c>
      <c r="R17">
        <v>5</v>
      </c>
      <c r="S17" t="s">
        <v>552</v>
      </c>
      <c r="T17">
        <f t="shared" si="11"/>
        <v>20</v>
      </c>
      <c r="U17" t="s">
        <v>3659</v>
      </c>
      <c r="V17" t="s">
        <v>3660</v>
      </c>
      <c r="W17" s="59" t="s">
        <v>292</v>
      </c>
      <c r="X17" s="59" t="s">
        <v>2477</v>
      </c>
      <c r="Y17" s="59" t="s">
        <v>1205</v>
      </c>
      <c r="Z17" s="59" t="s">
        <v>357</v>
      </c>
      <c r="AA17" s="60">
        <v>1</v>
      </c>
      <c r="AB17" s="60">
        <v>-1</v>
      </c>
      <c r="AC17" s="59" t="s">
        <v>17</v>
      </c>
      <c r="AD17" s="60">
        <v>0</v>
      </c>
      <c r="AE17" s="60">
        <v>1</v>
      </c>
      <c r="AF17" s="60" t="s">
        <v>2993</v>
      </c>
      <c r="AG17" s="60">
        <v>0</v>
      </c>
      <c r="AH17" s="60">
        <v>-1</v>
      </c>
      <c r="AI17" s="60">
        <v>-1</v>
      </c>
      <c r="AJ17" s="60">
        <v>1</v>
      </c>
      <c r="AK17" s="60">
        <v>0</v>
      </c>
      <c r="AL17" s="60">
        <v>0</v>
      </c>
      <c r="AM17" s="59" t="s">
        <v>95</v>
      </c>
      <c r="AN17" s="59">
        <v>0</v>
      </c>
      <c r="AO17" s="243">
        <f t="shared" si="0"/>
        <v>35</v>
      </c>
      <c r="AP17" s="244">
        <f t="shared" si="12"/>
        <v>56</v>
      </c>
      <c r="AQ17" s="244">
        <f t="shared" si="1"/>
        <v>93</v>
      </c>
      <c r="AR17" s="244">
        <f t="shared" si="2"/>
        <v>112</v>
      </c>
      <c r="AS17" s="245">
        <v>140</v>
      </c>
      <c r="AT17">
        <f t="shared" si="3"/>
        <v>18</v>
      </c>
      <c r="AU17">
        <f t="shared" si="4"/>
        <v>12</v>
      </c>
      <c r="AV17">
        <f t="shared" si="5"/>
        <v>66</v>
      </c>
    </row>
    <row r="18" spans="2:48" x14ac:dyDescent="0.3">
      <c r="B18" s="531" t="s">
        <v>997</v>
      </c>
      <c r="C18">
        <v>-1</v>
      </c>
      <c r="D18" t="s">
        <v>552</v>
      </c>
      <c r="E18">
        <f t="shared" si="6"/>
        <v>14</v>
      </c>
      <c r="F18">
        <v>4</v>
      </c>
      <c r="G18" t="s">
        <v>552</v>
      </c>
      <c r="H18">
        <f t="shared" si="7"/>
        <v>19</v>
      </c>
      <c r="I18">
        <v>4</v>
      </c>
      <c r="J18" t="s">
        <v>552</v>
      </c>
      <c r="K18">
        <f t="shared" si="8"/>
        <v>19</v>
      </c>
      <c r="L18">
        <v>5</v>
      </c>
      <c r="M18" t="s">
        <v>552</v>
      </c>
      <c r="N18">
        <f t="shared" si="9"/>
        <v>20</v>
      </c>
      <c r="O18">
        <v>0</v>
      </c>
      <c r="P18" t="s">
        <v>552</v>
      </c>
      <c r="Q18">
        <f t="shared" si="10"/>
        <v>15</v>
      </c>
      <c r="R18">
        <v>6</v>
      </c>
      <c r="S18" t="s">
        <v>552</v>
      </c>
      <c r="T18">
        <f t="shared" si="11"/>
        <v>21</v>
      </c>
      <c r="U18" t="s">
        <v>3659</v>
      </c>
      <c r="V18" t="s">
        <v>3660</v>
      </c>
      <c r="W18" s="59" t="s">
        <v>292</v>
      </c>
      <c r="X18" s="59" t="s">
        <v>2477</v>
      </c>
      <c r="Y18" s="59" t="s">
        <v>1205</v>
      </c>
      <c r="Z18" s="59" t="s">
        <v>357</v>
      </c>
      <c r="AA18" s="60">
        <v>1</v>
      </c>
      <c r="AB18" s="60">
        <v>-1</v>
      </c>
      <c r="AC18" s="59" t="s">
        <v>17</v>
      </c>
      <c r="AD18" s="60">
        <v>0</v>
      </c>
      <c r="AE18" s="60">
        <v>1</v>
      </c>
      <c r="AF18" s="60" t="s">
        <v>2993</v>
      </c>
      <c r="AG18" s="60">
        <v>0</v>
      </c>
      <c r="AH18" s="60">
        <v>-1</v>
      </c>
      <c r="AI18" s="60">
        <v>-1</v>
      </c>
      <c r="AJ18" s="60">
        <v>1</v>
      </c>
      <c r="AK18" s="60">
        <v>0</v>
      </c>
      <c r="AL18" s="60">
        <v>0</v>
      </c>
      <c r="AM18" s="59" t="s">
        <v>95</v>
      </c>
      <c r="AN18" s="59">
        <v>0</v>
      </c>
      <c r="AO18" s="243">
        <f t="shared" si="0"/>
        <v>35</v>
      </c>
      <c r="AP18" s="244">
        <f t="shared" si="12"/>
        <v>56</v>
      </c>
      <c r="AQ18" s="244">
        <f t="shared" si="1"/>
        <v>93</v>
      </c>
      <c r="AR18" s="244">
        <f t="shared" si="2"/>
        <v>112</v>
      </c>
      <c r="AS18" s="245">
        <v>140</v>
      </c>
      <c r="AT18">
        <f t="shared" si="3"/>
        <v>18</v>
      </c>
      <c r="AU18">
        <f t="shared" si="4"/>
        <v>12</v>
      </c>
      <c r="AV18">
        <f t="shared" si="5"/>
        <v>66</v>
      </c>
    </row>
    <row r="19" spans="2:48" x14ac:dyDescent="0.3">
      <c r="B19" s="59" t="s">
        <v>4721</v>
      </c>
      <c r="C19">
        <v>9</v>
      </c>
      <c r="D19" t="s">
        <v>553</v>
      </c>
      <c r="E19">
        <f t="shared" si="6"/>
        <v>18</v>
      </c>
      <c r="F19">
        <v>9</v>
      </c>
      <c r="G19" t="s">
        <v>553</v>
      </c>
      <c r="H19">
        <f t="shared" si="7"/>
        <v>18</v>
      </c>
      <c r="I19">
        <v>9</v>
      </c>
      <c r="J19" t="s">
        <v>553</v>
      </c>
      <c r="K19">
        <f t="shared" si="8"/>
        <v>18</v>
      </c>
      <c r="L19">
        <v>8</v>
      </c>
      <c r="M19" t="s">
        <v>553</v>
      </c>
      <c r="N19">
        <f t="shared" si="9"/>
        <v>17</v>
      </c>
      <c r="O19">
        <v>12</v>
      </c>
      <c r="P19" t="s">
        <v>553</v>
      </c>
      <c r="Q19">
        <f t="shared" si="10"/>
        <v>21</v>
      </c>
      <c r="R19">
        <v>6</v>
      </c>
      <c r="S19" t="s">
        <v>553</v>
      </c>
      <c r="T19">
        <f t="shared" si="11"/>
        <v>15</v>
      </c>
      <c r="U19" t="s">
        <v>4734</v>
      </c>
      <c r="V19" t="s">
        <v>4732</v>
      </c>
      <c r="W19" s="59" t="s">
        <v>296</v>
      </c>
      <c r="X19" s="59" t="s">
        <v>186</v>
      </c>
      <c r="Y19" s="59" t="s">
        <v>1203</v>
      </c>
      <c r="Z19" s="572" t="s">
        <v>2996</v>
      </c>
      <c r="AA19" s="573">
        <v>3</v>
      </c>
      <c r="AB19" s="573">
        <v>2</v>
      </c>
      <c r="AC19" s="59" t="s">
        <v>17</v>
      </c>
      <c r="AD19" s="60">
        <v>0</v>
      </c>
      <c r="AE19" s="60">
        <v>1</v>
      </c>
      <c r="AF19" s="60" t="s">
        <v>2993</v>
      </c>
      <c r="AG19" s="571">
        <v>1</v>
      </c>
      <c r="AH19" s="571">
        <v>1</v>
      </c>
      <c r="AI19" s="60">
        <v>0</v>
      </c>
      <c r="AJ19" s="60">
        <v>0</v>
      </c>
      <c r="AK19" s="60">
        <v>0</v>
      </c>
      <c r="AL19" s="60">
        <v>0</v>
      </c>
      <c r="AM19" s="59" t="s">
        <v>95</v>
      </c>
      <c r="AN19" s="59">
        <v>1</v>
      </c>
      <c r="AO19" s="243">
        <f t="shared" ref="AO19:AO27" si="15">FLOOR(AS19/4,1)</f>
        <v>30</v>
      </c>
      <c r="AP19" s="244">
        <f t="shared" ref="AP19:AP27" si="16">FLOOR(AS19/5*2,1)</f>
        <v>48</v>
      </c>
      <c r="AQ19" s="244">
        <f t="shared" ref="AQ19:AQ27" si="17">FLOOR(AS19/3*2,1)</f>
        <v>80</v>
      </c>
      <c r="AR19" s="244">
        <f t="shared" ref="AR19:AR27" si="18">FLOOR(AS19/5*4,1)</f>
        <v>96</v>
      </c>
      <c r="AS19" s="245">
        <v>120</v>
      </c>
      <c r="AT19">
        <f t="shared" ref="AT19:AT27" si="19">C19+L19+I19+F19+O19+R19</f>
        <v>53</v>
      </c>
      <c r="AU19">
        <f t="shared" ref="AU19:AU27" si="20">IF(D19="3k6",3,IF(D19="2k6",2,1))+IF(M19="3k6",3,IF(M19="2k6",2,1))+IF(J19="3k6",3,IF(J19="2k6",2,1))+IF(G19="3k6",3,IF(G19="2k6",2,1))+IF(P19="3k6",3,IF(P19="2k6",2,1))+IF(S19="3k6",3,IF(S19="2k6",2,1))</f>
        <v>6</v>
      </c>
      <c r="AV19">
        <f t="shared" ref="AV19:AV27" si="21">AT19+AU19*4</f>
        <v>77</v>
      </c>
    </row>
    <row r="20" spans="2:48" x14ac:dyDescent="0.3">
      <c r="B20" s="59" t="s">
        <v>4722</v>
      </c>
      <c r="C20">
        <v>9</v>
      </c>
      <c r="D20" t="s">
        <v>553</v>
      </c>
      <c r="E20">
        <f t="shared" si="6"/>
        <v>18</v>
      </c>
      <c r="F20">
        <v>8</v>
      </c>
      <c r="G20" t="s">
        <v>553</v>
      </c>
      <c r="H20">
        <f t="shared" si="7"/>
        <v>17</v>
      </c>
      <c r="I20">
        <v>9</v>
      </c>
      <c r="J20" t="s">
        <v>553</v>
      </c>
      <c r="K20">
        <f t="shared" si="8"/>
        <v>18</v>
      </c>
      <c r="L20">
        <v>8</v>
      </c>
      <c r="M20" t="s">
        <v>553</v>
      </c>
      <c r="N20">
        <f t="shared" si="9"/>
        <v>17</v>
      </c>
      <c r="O20">
        <v>11</v>
      </c>
      <c r="P20" t="s">
        <v>553</v>
      </c>
      <c r="Q20">
        <f t="shared" si="10"/>
        <v>20</v>
      </c>
      <c r="R20">
        <v>5</v>
      </c>
      <c r="S20" t="s">
        <v>553</v>
      </c>
      <c r="T20">
        <f t="shared" si="11"/>
        <v>14</v>
      </c>
      <c r="U20" t="s">
        <v>4735</v>
      </c>
      <c r="V20" t="s">
        <v>4736</v>
      </c>
      <c r="W20" s="59" t="s">
        <v>296</v>
      </c>
      <c r="X20" s="59" t="s">
        <v>186</v>
      </c>
      <c r="Y20" s="59" t="s">
        <v>1203</v>
      </c>
      <c r="Z20" s="572" t="s">
        <v>2996</v>
      </c>
      <c r="AA20" s="573">
        <v>3</v>
      </c>
      <c r="AB20" s="573">
        <v>2</v>
      </c>
      <c r="AC20" s="59" t="s">
        <v>17</v>
      </c>
      <c r="AD20" s="60">
        <v>0</v>
      </c>
      <c r="AE20" s="60">
        <v>1</v>
      </c>
      <c r="AF20" s="60" t="s">
        <v>2993</v>
      </c>
      <c r="AG20" s="571">
        <v>1</v>
      </c>
      <c r="AH20" s="571">
        <v>1</v>
      </c>
      <c r="AI20" s="60">
        <v>0</v>
      </c>
      <c r="AJ20" s="60">
        <v>0</v>
      </c>
      <c r="AK20" s="60">
        <v>0</v>
      </c>
      <c r="AL20" s="60">
        <v>0</v>
      </c>
      <c r="AM20" s="59" t="s">
        <v>95</v>
      </c>
      <c r="AN20" s="59">
        <v>1</v>
      </c>
      <c r="AO20" s="243">
        <f t="shared" si="15"/>
        <v>35</v>
      </c>
      <c r="AP20" s="244">
        <f t="shared" si="16"/>
        <v>56</v>
      </c>
      <c r="AQ20" s="244">
        <f t="shared" si="17"/>
        <v>93</v>
      </c>
      <c r="AR20" s="244">
        <f t="shared" si="18"/>
        <v>112</v>
      </c>
      <c r="AS20" s="245">
        <v>140</v>
      </c>
      <c r="AT20">
        <f t="shared" si="19"/>
        <v>50</v>
      </c>
      <c r="AU20">
        <f t="shared" si="20"/>
        <v>6</v>
      </c>
      <c r="AV20">
        <f t="shared" si="21"/>
        <v>74</v>
      </c>
    </row>
    <row r="21" spans="2:48" x14ac:dyDescent="0.3">
      <c r="B21" s="59" t="s">
        <v>4717</v>
      </c>
      <c r="C21">
        <v>7</v>
      </c>
      <c r="D21" t="s">
        <v>553</v>
      </c>
      <c r="E21">
        <f t="shared" si="6"/>
        <v>16</v>
      </c>
      <c r="F21">
        <v>9</v>
      </c>
      <c r="G21" t="s">
        <v>553</v>
      </c>
      <c r="H21">
        <f t="shared" si="7"/>
        <v>18</v>
      </c>
      <c r="I21">
        <v>7</v>
      </c>
      <c r="J21" t="s">
        <v>553</v>
      </c>
      <c r="K21">
        <f t="shared" si="8"/>
        <v>16</v>
      </c>
      <c r="L21">
        <v>3</v>
      </c>
      <c r="M21" t="s">
        <v>553</v>
      </c>
      <c r="N21">
        <f t="shared" si="9"/>
        <v>12</v>
      </c>
      <c r="O21">
        <v>8</v>
      </c>
      <c r="P21" t="s">
        <v>553</v>
      </c>
      <c r="Q21">
        <f t="shared" si="10"/>
        <v>17</v>
      </c>
      <c r="R21">
        <v>1</v>
      </c>
      <c r="S21" t="s">
        <v>553</v>
      </c>
      <c r="T21">
        <f t="shared" si="11"/>
        <v>10</v>
      </c>
      <c r="U21" t="s">
        <v>4726</v>
      </c>
      <c r="V21" t="s">
        <v>4727</v>
      </c>
      <c r="W21" s="59" t="s">
        <v>296</v>
      </c>
      <c r="X21" s="59" t="s">
        <v>186</v>
      </c>
      <c r="Y21" s="59" t="s">
        <v>1203</v>
      </c>
      <c r="Z21" s="572" t="s">
        <v>2996</v>
      </c>
      <c r="AA21" s="573">
        <v>3</v>
      </c>
      <c r="AB21" s="573">
        <v>2</v>
      </c>
      <c r="AC21" s="59" t="s">
        <v>17</v>
      </c>
      <c r="AD21" s="60">
        <v>0</v>
      </c>
      <c r="AE21" s="60">
        <v>1</v>
      </c>
      <c r="AF21" s="60" t="s">
        <v>2993</v>
      </c>
      <c r="AG21" s="571">
        <v>1</v>
      </c>
      <c r="AH21" s="571">
        <v>1</v>
      </c>
      <c r="AI21" s="60">
        <v>0</v>
      </c>
      <c r="AJ21" s="60">
        <v>0</v>
      </c>
      <c r="AK21" s="60">
        <v>0</v>
      </c>
      <c r="AL21" s="60">
        <v>0</v>
      </c>
      <c r="AM21" s="59" t="s">
        <v>260</v>
      </c>
      <c r="AN21" s="59">
        <v>1</v>
      </c>
      <c r="AO21" s="243">
        <f t="shared" si="15"/>
        <v>10</v>
      </c>
      <c r="AP21" s="244">
        <f t="shared" si="16"/>
        <v>16</v>
      </c>
      <c r="AQ21" s="244">
        <f t="shared" si="17"/>
        <v>26</v>
      </c>
      <c r="AR21" s="244">
        <f t="shared" si="18"/>
        <v>32</v>
      </c>
      <c r="AS21" s="245">
        <v>40</v>
      </c>
      <c r="AT21">
        <f t="shared" si="19"/>
        <v>35</v>
      </c>
      <c r="AU21">
        <f t="shared" si="20"/>
        <v>6</v>
      </c>
      <c r="AV21">
        <f t="shared" si="21"/>
        <v>59</v>
      </c>
    </row>
    <row r="22" spans="2:48" x14ac:dyDescent="0.3">
      <c r="B22" s="59" t="s">
        <v>4716</v>
      </c>
      <c r="C22">
        <v>5</v>
      </c>
      <c r="D22" t="s">
        <v>553</v>
      </c>
      <c r="E22">
        <f t="shared" si="6"/>
        <v>14</v>
      </c>
      <c r="F22">
        <v>6</v>
      </c>
      <c r="G22" t="s">
        <v>553</v>
      </c>
      <c r="H22">
        <f t="shared" si="7"/>
        <v>15</v>
      </c>
      <c r="I22">
        <v>6</v>
      </c>
      <c r="J22" t="s">
        <v>553</v>
      </c>
      <c r="K22">
        <f t="shared" si="8"/>
        <v>15</v>
      </c>
      <c r="L22">
        <v>2</v>
      </c>
      <c r="M22" t="s">
        <v>553</v>
      </c>
      <c r="N22">
        <f t="shared" si="9"/>
        <v>11</v>
      </c>
      <c r="O22">
        <v>7</v>
      </c>
      <c r="P22" t="s">
        <v>553</v>
      </c>
      <c r="Q22">
        <f t="shared" si="10"/>
        <v>16</v>
      </c>
      <c r="R22">
        <v>0</v>
      </c>
      <c r="S22" t="s">
        <v>553</v>
      </c>
      <c r="T22">
        <f t="shared" si="11"/>
        <v>9</v>
      </c>
      <c r="U22" t="s">
        <v>4724</v>
      </c>
      <c r="V22" t="s">
        <v>4725</v>
      </c>
      <c r="W22" s="59" t="s">
        <v>296</v>
      </c>
      <c r="X22" s="59" t="s">
        <v>186</v>
      </c>
      <c r="Y22" s="59" t="s">
        <v>1203</v>
      </c>
      <c r="Z22" s="572" t="s">
        <v>2996</v>
      </c>
      <c r="AA22" s="573">
        <v>3</v>
      </c>
      <c r="AB22" s="573">
        <v>2</v>
      </c>
      <c r="AC22" s="59" t="s">
        <v>17</v>
      </c>
      <c r="AD22" s="60">
        <v>0</v>
      </c>
      <c r="AE22" s="60">
        <v>1</v>
      </c>
      <c r="AF22" s="60" t="s">
        <v>2993</v>
      </c>
      <c r="AG22" s="571">
        <v>1</v>
      </c>
      <c r="AH22" s="571">
        <v>1</v>
      </c>
      <c r="AI22" s="60">
        <v>0</v>
      </c>
      <c r="AJ22" s="60">
        <v>0</v>
      </c>
      <c r="AK22" s="60">
        <v>0</v>
      </c>
      <c r="AL22" s="60">
        <v>0</v>
      </c>
      <c r="AM22" s="59" t="s">
        <v>260</v>
      </c>
      <c r="AN22" s="59">
        <v>1</v>
      </c>
      <c r="AO22" s="243">
        <f t="shared" si="15"/>
        <v>5</v>
      </c>
      <c r="AP22" s="244">
        <f t="shared" si="16"/>
        <v>8</v>
      </c>
      <c r="AQ22" s="244">
        <f t="shared" si="17"/>
        <v>13</v>
      </c>
      <c r="AR22" s="244">
        <f t="shared" si="18"/>
        <v>16</v>
      </c>
      <c r="AS22" s="245">
        <v>20</v>
      </c>
      <c r="AT22">
        <f t="shared" si="19"/>
        <v>26</v>
      </c>
      <c r="AU22">
        <f t="shared" si="20"/>
        <v>6</v>
      </c>
      <c r="AV22">
        <f t="shared" si="21"/>
        <v>50</v>
      </c>
    </row>
    <row r="23" spans="2:48" x14ac:dyDescent="0.3">
      <c r="B23" s="59" t="s">
        <v>4718</v>
      </c>
      <c r="C23">
        <v>10</v>
      </c>
      <c r="D23" t="s">
        <v>553</v>
      </c>
      <c r="E23">
        <f t="shared" si="6"/>
        <v>19</v>
      </c>
      <c r="F23">
        <v>9</v>
      </c>
      <c r="G23" t="s">
        <v>553</v>
      </c>
      <c r="H23">
        <f t="shared" si="7"/>
        <v>18</v>
      </c>
      <c r="I23">
        <v>7</v>
      </c>
      <c r="J23" t="s">
        <v>553</v>
      </c>
      <c r="K23">
        <f t="shared" si="8"/>
        <v>16</v>
      </c>
      <c r="L23">
        <v>4</v>
      </c>
      <c r="M23" t="s">
        <v>553</v>
      </c>
      <c r="N23">
        <f t="shared" si="9"/>
        <v>13</v>
      </c>
      <c r="O23">
        <v>8</v>
      </c>
      <c r="P23" t="s">
        <v>553</v>
      </c>
      <c r="Q23">
        <f t="shared" si="10"/>
        <v>17</v>
      </c>
      <c r="R23">
        <v>2</v>
      </c>
      <c r="S23" t="s">
        <v>553</v>
      </c>
      <c r="T23">
        <f t="shared" si="11"/>
        <v>11</v>
      </c>
      <c r="U23" t="s">
        <v>3736</v>
      </c>
      <c r="V23" t="s">
        <v>4728</v>
      </c>
      <c r="W23" s="59" t="s">
        <v>296</v>
      </c>
      <c r="X23" s="59" t="s">
        <v>186</v>
      </c>
      <c r="Y23" s="59" t="s">
        <v>1203</v>
      </c>
      <c r="Z23" s="572" t="s">
        <v>2996</v>
      </c>
      <c r="AA23" s="573">
        <v>3</v>
      </c>
      <c r="AB23" s="573">
        <v>2</v>
      </c>
      <c r="AC23" s="59" t="s">
        <v>17</v>
      </c>
      <c r="AD23" s="60">
        <v>0</v>
      </c>
      <c r="AE23" s="60">
        <v>1</v>
      </c>
      <c r="AF23" s="60" t="s">
        <v>2993</v>
      </c>
      <c r="AG23" s="571">
        <v>1</v>
      </c>
      <c r="AH23" s="571">
        <v>1</v>
      </c>
      <c r="AI23" s="60">
        <v>0</v>
      </c>
      <c r="AJ23" s="60">
        <v>0</v>
      </c>
      <c r="AK23" s="60">
        <v>0</v>
      </c>
      <c r="AL23" s="60">
        <v>0</v>
      </c>
      <c r="AM23" s="59" t="s">
        <v>96</v>
      </c>
      <c r="AN23" s="59">
        <v>1</v>
      </c>
      <c r="AO23" s="243">
        <f t="shared" si="15"/>
        <v>15</v>
      </c>
      <c r="AP23" s="244">
        <f t="shared" si="16"/>
        <v>24</v>
      </c>
      <c r="AQ23" s="244">
        <f t="shared" si="17"/>
        <v>40</v>
      </c>
      <c r="AR23" s="244">
        <f t="shared" si="18"/>
        <v>48</v>
      </c>
      <c r="AS23" s="245">
        <v>60</v>
      </c>
      <c r="AT23">
        <f t="shared" si="19"/>
        <v>40</v>
      </c>
      <c r="AU23">
        <f t="shared" si="20"/>
        <v>6</v>
      </c>
      <c r="AV23">
        <f t="shared" si="21"/>
        <v>64</v>
      </c>
    </row>
    <row r="24" spans="2:48" x14ac:dyDescent="0.3">
      <c r="B24" s="59" t="s">
        <v>4720</v>
      </c>
      <c r="C24">
        <v>8</v>
      </c>
      <c r="D24" t="s">
        <v>553</v>
      </c>
      <c r="E24">
        <f t="shared" si="6"/>
        <v>17</v>
      </c>
      <c r="F24">
        <v>8</v>
      </c>
      <c r="G24" t="s">
        <v>553</v>
      </c>
      <c r="H24">
        <f t="shared" si="7"/>
        <v>17</v>
      </c>
      <c r="I24">
        <v>9</v>
      </c>
      <c r="J24" t="s">
        <v>553</v>
      </c>
      <c r="K24">
        <f t="shared" si="8"/>
        <v>18</v>
      </c>
      <c r="L24">
        <v>7</v>
      </c>
      <c r="M24" t="s">
        <v>553</v>
      </c>
      <c r="N24">
        <f t="shared" si="9"/>
        <v>16</v>
      </c>
      <c r="O24">
        <v>10</v>
      </c>
      <c r="P24" t="s">
        <v>553</v>
      </c>
      <c r="Q24">
        <f t="shared" si="10"/>
        <v>19</v>
      </c>
      <c r="R24">
        <v>4</v>
      </c>
      <c r="S24" t="s">
        <v>553</v>
      </c>
      <c r="T24">
        <f t="shared" si="11"/>
        <v>13</v>
      </c>
      <c r="U24" t="s">
        <v>4731</v>
      </c>
      <c r="V24" t="s">
        <v>4733</v>
      </c>
      <c r="W24" s="59" t="s">
        <v>296</v>
      </c>
      <c r="X24" s="59" t="s">
        <v>186</v>
      </c>
      <c r="Y24" s="59" t="s">
        <v>1203</v>
      </c>
      <c r="Z24" s="572" t="s">
        <v>2996</v>
      </c>
      <c r="AA24" s="573">
        <v>3</v>
      </c>
      <c r="AB24" s="573">
        <v>2</v>
      </c>
      <c r="AC24" s="59" t="s">
        <v>17</v>
      </c>
      <c r="AD24" s="60">
        <v>0</v>
      </c>
      <c r="AE24" s="60">
        <v>1</v>
      </c>
      <c r="AF24" s="60" t="s">
        <v>2993</v>
      </c>
      <c r="AG24" s="571">
        <v>1</v>
      </c>
      <c r="AH24" s="571">
        <v>1</v>
      </c>
      <c r="AI24" s="60">
        <v>0</v>
      </c>
      <c r="AJ24" s="60">
        <v>3</v>
      </c>
      <c r="AK24" s="60">
        <v>0</v>
      </c>
      <c r="AL24" s="60">
        <v>0</v>
      </c>
      <c r="AM24" s="59" t="s">
        <v>95</v>
      </c>
      <c r="AN24" s="59">
        <v>1</v>
      </c>
      <c r="AO24" s="243">
        <f t="shared" si="15"/>
        <v>25</v>
      </c>
      <c r="AP24" s="244">
        <f t="shared" si="16"/>
        <v>40</v>
      </c>
      <c r="AQ24" s="244">
        <f t="shared" si="17"/>
        <v>66</v>
      </c>
      <c r="AR24" s="244">
        <f t="shared" si="18"/>
        <v>80</v>
      </c>
      <c r="AS24" s="245">
        <v>100</v>
      </c>
      <c r="AT24">
        <f t="shared" si="19"/>
        <v>46</v>
      </c>
      <c r="AU24">
        <f t="shared" si="20"/>
        <v>6</v>
      </c>
      <c r="AV24">
        <f t="shared" si="21"/>
        <v>70</v>
      </c>
    </row>
    <row r="25" spans="2:48" x14ac:dyDescent="0.3">
      <c r="B25" s="59" t="s">
        <v>4719</v>
      </c>
      <c r="C25">
        <v>8</v>
      </c>
      <c r="D25" t="s">
        <v>553</v>
      </c>
      <c r="E25">
        <f t="shared" si="6"/>
        <v>17</v>
      </c>
      <c r="F25">
        <v>8</v>
      </c>
      <c r="G25" t="s">
        <v>553</v>
      </c>
      <c r="H25">
        <f t="shared" si="7"/>
        <v>17</v>
      </c>
      <c r="I25">
        <v>8</v>
      </c>
      <c r="J25" t="s">
        <v>553</v>
      </c>
      <c r="K25">
        <f t="shared" si="8"/>
        <v>17</v>
      </c>
      <c r="L25">
        <v>6</v>
      </c>
      <c r="M25" t="s">
        <v>553</v>
      </c>
      <c r="N25">
        <f t="shared" si="9"/>
        <v>15</v>
      </c>
      <c r="O25">
        <v>9</v>
      </c>
      <c r="P25" t="s">
        <v>553</v>
      </c>
      <c r="Q25">
        <f t="shared" si="10"/>
        <v>18</v>
      </c>
      <c r="R25">
        <v>3</v>
      </c>
      <c r="S25" t="s">
        <v>553</v>
      </c>
      <c r="T25">
        <f t="shared" si="11"/>
        <v>12</v>
      </c>
      <c r="U25" t="s">
        <v>4729</v>
      </c>
      <c r="V25" t="s">
        <v>4730</v>
      </c>
      <c r="W25" s="59" t="s">
        <v>296</v>
      </c>
      <c r="X25" s="59" t="s">
        <v>186</v>
      </c>
      <c r="Y25" s="59" t="s">
        <v>1203</v>
      </c>
      <c r="Z25" s="572" t="s">
        <v>2996</v>
      </c>
      <c r="AA25" s="573">
        <v>3</v>
      </c>
      <c r="AB25" s="573">
        <v>2</v>
      </c>
      <c r="AC25" s="59" t="s">
        <v>17</v>
      </c>
      <c r="AD25" s="60">
        <v>0</v>
      </c>
      <c r="AE25" s="60">
        <v>1</v>
      </c>
      <c r="AF25" s="60" t="s">
        <v>2993</v>
      </c>
      <c r="AG25" s="571">
        <v>1</v>
      </c>
      <c r="AH25" s="571">
        <v>1</v>
      </c>
      <c r="AI25" s="60">
        <v>0</v>
      </c>
      <c r="AJ25" s="60">
        <v>0</v>
      </c>
      <c r="AK25" s="60">
        <v>0</v>
      </c>
      <c r="AL25" s="60">
        <v>0</v>
      </c>
      <c r="AM25" s="59" t="s">
        <v>95</v>
      </c>
      <c r="AN25" s="59">
        <v>1</v>
      </c>
      <c r="AO25" s="243">
        <f t="shared" si="15"/>
        <v>20</v>
      </c>
      <c r="AP25" s="244">
        <f t="shared" si="16"/>
        <v>32</v>
      </c>
      <c r="AQ25" s="244">
        <f t="shared" si="17"/>
        <v>53</v>
      </c>
      <c r="AR25" s="244">
        <f t="shared" si="18"/>
        <v>64</v>
      </c>
      <c r="AS25" s="245">
        <v>80</v>
      </c>
      <c r="AT25">
        <f t="shared" si="19"/>
        <v>42</v>
      </c>
      <c r="AU25">
        <f t="shared" si="20"/>
        <v>6</v>
      </c>
      <c r="AV25">
        <f t="shared" si="21"/>
        <v>66</v>
      </c>
    </row>
    <row r="26" spans="2:48" x14ac:dyDescent="0.3">
      <c r="B26" s="59" t="s">
        <v>4723</v>
      </c>
      <c r="C26">
        <v>9</v>
      </c>
      <c r="D26" t="s">
        <v>553</v>
      </c>
      <c r="E26">
        <f t="shared" si="6"/>
        <v>18</v>
      </c>
      <c r="F26">
        <v>10</v>
      </c>
      <c r="G26" t="s">
        <v>553</v>
      </c>
      <c r="H26">
        <f t="shared" si="7"/>
        <v>19</v>
      </c>
      <c r="I26">
        <v>9</v>
      </c>
      <c r="J26" t="s">
        <v>553</v>
      </c>
      <c r="K26">
        <f t="shared" si="8"/>
        <v>18</v>
      </c>
      <c r="L26">
        <v>9</v>
      </c>
      <c r="M26" t="s">
        <v>553</v>
      </c>
      <c r="N26">
        <f t="shared" si="9"/>
        <v>18</v>
      </c>
      <c r="O26">
        <v>12</v>
      </c>
      <c r="P26" t="s">
        <v>553</v>
      </c>
      <c r="Q26">
        <f t="shared" si="10"/>
        <v>21</v>
      </c>
      <c r="R26">
        <v>7</v>
      </c>
      <c r="S26" t="s">
        <v>553</v>
      </c>
      <c r="T26">
        <f t="shared" si="11"/>
        <v>16</v>
      </c>
      <c r="U26" t="s">
        <v>4731</v>
      </c>
      <c r="V26" t="s">
        <v>4733</v>
      </c>
      <c r="W26" s="59" t="s">
        <v>296</v>
      </c>
      <c r="X26" s="59" t="s">
        <v>186</v>
      </c>
      <c r="Y26" s="59" t="s">
        <v>1203</v>
      </c>
      <c r="Z26" s="572" t="s">
        <v>2996</v>
      </c>
      <c r="AA26" s="573">
        <v>3</v>
      </c>
      <c r="AB26" s="573">
        <v>2</v>
      </c>
      <c r="AC26" s="59" t="s">
        <v>17</v>
      </c>
      <c r="AD26" s="60">
        <v>0</v>
      </c>
      <c r="AE26" s="60">
        <v>1</v>
      </c>
      <c r="AF26" s="60" t="s">
        <v>2993</v>
      </c>
      <c r="AG26" s="571">
        <v>1</v>
      </c>
      <c r="AH26" s="571">
        <v>1</v>
      </c>
      <c r="AI26" s="60">
        <v>0</v>
      </c>
      <c r="AJ26" s="60">
        <v>3</v>
      </c>
      <c r="AK26" s="60">
        <v>0</v>
      </c>
      <c r="AL26" s="60">
        <v>0</v>
      </c>
      <c r="AM26" s="59" t="s">
        <v>95</v>
      </c>
      <c r="AN26" s="59">
        <v>1</v>
      </c>
      <c r="AO26" s="243">
        <f t="shared" si="15"/>
        <v>60</v>
      </c>
      <c r="AP26" s="244">
        <f t="shared" si="16"/>
        <v>96</v>
      </c>
      <c r="AQ26" s="244">
        <f t="shared" si="17"/>
        <v>160</v>
      </c>
      <c r="AR26" s="244">
        <f t="shared" si="18"/>
        <v>192</v>
      </c>
      <c r="AS26" s="245">
        <v>240</v>
      </c>
      <c r="AT26">
        <f t="shared" si="19"/>
        <v>56</v>
      </c>
      <c r="AU26">
        <f t="shared" si="20"/>
        <v>6</v>
      </c>
      <c r="AV26">
        <f t="shared" si="21"/>
        <v>80</v>
      </c>
    </row>
    <row r="27" spans="2:48" x14ac:dyDescent="0.3">
      <c r="B27" s="59" t="s">
        <v>1055</v>
      </c>
      <c r="C27">
        <v>11</v>
      </c>
      <c r="D27" t="s">
        <v>553</v>
      </c>
      <c r="E27">
        <f t="shared" si="6"/>
        <v>20</v>
      </c>
      <c r="F27">
        <v>8</v>
      </c>
      <c r="G27" t="s">
        <v>553</v>
      </c>
      <c r="H27">
        <f t="shared" si="7"/>
        <v>17</v>
      </c>
      <c r="I27">
        <v>8</v>
      </c>
      <c r="J27" t="s">
        <v>553</v>
      </c>
      <c r="K27">
        <f t="shared" si="8"/>
        <v>17</v>
      </c>
      <c r="L27">
        <v>8</v>
      </c>
      <c r="M27" t="s">
        <v>553</v>
      </c>
      <c r="N27">
        <f t="shared" si="9"/>
        <v>17</v>
      </c>
      <c r="O27">
        <v>8</v>
      </c>
      <c r="P27" t="s">
        <v>553</v>
      </c>
      <c r="Q27">
        <f t="shared" si="10"/>
        <v>17</v>
      </c>
      <c r="R27">
        <v>0</v>
      </c>
      <c r="S27" t="s">
        <v>552</v>
      </c>
      <c r="T27">
        <f t="shared" si="11"/>
        <v>15</v>
      </c>
      <c r="U27" t="s">
        <v>3649</v>
      </c>
      <c r="V27" t="s">
        <v>3661</v>
      </c>
      <c r="W27" s="59" t="s">
        <v>199</v>
      </c>
      <c r="X27" s="59" t="s">
        <v>190</v>
      </c>
      <c r="Y27" s="59" t="s">
        <v>1211</v>
      </c>
      <c r="Z27" s="59" t="s">
        <v>357</v>
      </c>
      <c r="AA27" s="60">
        <v>1</v>
      </c>
      <c r="AB27" s="60">
        <v>-1</v>
      </c>
      <c r="AC27" s="59" t="s">
        <v>17</v>
      </c>
      <c r="AD27" s="60">
        <v>0</v>
      </c>
      <c r="AE27" s="60">
        <v>1</v>
      </c>
      <c r="AF27" s="60" t="s">
        <v>2993</v>
      </c>
      <c r="AG27" s="60">
        <v>0</v>
      </c>
      <c r="AH27" s="60">
        <v>-1</v>
      </c>
      <c r="AI27" s="60">
        <v>0</v>
      </c>
      <c r="AJ27" s="60">
        <v>0</v>
      </c>
      <c r="AK27" s="60">
        <v>0</v>
      </c>
      <c r="AL27" s="60">
        <v>0</v>
      </c>
      <c r="AM27" s="59" t="s">
        <v>95</v>
      </c>
      <c r="AN27" s="59">
        <v>1</v>
      </c>
      <c r="AO27" s="243">
        <f t="shared" si="15"/>
        <v>112</v>
      </c>
      <c r="AP27" s="244">
        <f t="shared" si="16"/>
        <v>180</v>
      </c>
      <c r="AQ27" s="244">
        <f t="shared" si="17"/>
        <v>300</v>
      </c>
      <c r="AR27" s="244">
        <f t="shared" si="18"/>
        <v>360</v>
      </c>
      <c r="AS27" s="245">
        <v>450</v>
      </c>
      <c r="AT27">
        <f t="shared" si="19"/>
        <v>43</v>
      </c>
      <c r="AU27">
        <f t="shared" si="20"/>
        <v>7</v>
      </c>
      <c r="AV27">
        <f t="shared" si="21"/>
        <v>71</v>
      </c>
    </row>
    <row r="28" spans="2:48" x14ac:dyDescent="0.3">
      <c r="B28" s="59" t="s">
        <v>4144</v>
      </c>
      <c r="C28">
        <v>13</v>
      </c>
      <c r="D28" t="s">
        <v>553</v>
      </c>
      <c r="E28">
        <f t="shared" si="6"/>
        <v>22</v>
      </c>
      <c r="F28">
        <v>10</v>
      </c>
      <c r="G28" t="s">
        <v>553</v>
      </c>
      <c r="H28">
        <f t="shared" si="7"/>
        <v>19</v>
      </c>
      <c r="I28">
        <v>10</v>
      </c>
      <c r="J28" t="s">
        <v>553</v>
      </c>
      <c r="K28">
        <f t="shared" si="8"/>
        <v>19</v>
      </c>
      <c r="L28">
        <v>7</v>
      </c>
      <c r="M28" t="s">
        <v>553</v>
      </c>
      <c r="N28">
        <f t="shared" si="9"/>
        <v>16</v>
      </c>
      <c r="O28">
        <v>7</v>
      </c>
      <c r="P28" t="s">
        <v>553</v>
      </c>
      <c r="Q28">
        <f t="shared" si="10"/>
        <v>16</v>
      </c>
      <c r="R28">
        <v>7</v>
      </c>
      <c r="S28" t="s">
        <v>553</v>
      </c>
      <c r="T28">
        <f t="shared" si="11"/>
        <v>16</v>
      </c>
      <c r="U28" t="s">
        <v>4145</v>
      </c>
      <c r="V28" t="s">
        <v>4146</v>
      </c>
      <c r="W28" s="59" t="s">
        <v>296</v>
      </c>
      <c r="X28" s="59" t="s">
        <v>186</v>
      </c>
      <c r="Y28" s="59" t="s">
        <v>1211</v>
      </c>
      <c r="Z28" s="572" t="s">
        <v>4147</v>
      </c>
      <c r="AA28" s="573">
        <v>5</v>
      </c>
      <c r="AB28" s="573">
        <v>6</v>
      </c>
      <c r="AC28" s="59" t="s">
        <v>17</v>
      </c>
      <c r="AD28" s="60">
        <v>0</v>
      </c>
      <c r="AE28" s="60">
        <v>1</v>
      </c>
      <c r="AF28" s="571" t="s">
        <v>4148</v>
      </c>
      <c r="AG28" s="571">
        <v>4</v>
      </c>
      <c r="AH28" s="571">
        <v>2</v>
      </c>
      <c r="AI28" s="60">
        <v>0</v>
      </c>
      <c r="AJ28" s="60">
        <v>-1</v>
      </c>
      <c r="AK28" s="60">
        <v>0</v>
      </c>
      <c r="AL28" s="60">
        <v>0</v>
      </c>
      <c r="AM28" s="59" t="s">
        <v>96</v>
      </c>
      <c r="AN28" s="59">
        <v>0</v>
      </c>
      <c r="AO28" s="243">
        <f t="shared" si="0"/>
        <v>22</v>
      </c>
      <c r="AP28" s="244">
        <f>FLOOR(AS28/3,1)</f>
        <v>30</v>
      </c>
      <c r="AQ28" s="244">
        <f t="shared" si="1"/>
        <v>60</v>
      </c>
      <c r="AR28" s="244">
        <f t="shared" si="2"/>
        <v>72</v>
      </c>
      <c r="AS28" s="245">
        <v>90</v>
      </c>
      <c r="AT28">
        <f t="shared" si="3"/>
        <v>54</v>
      </c>
      <c r="AU28">
        <f t="shared" si="4"/>
        <v>6</v>
      </c>
      <c r="AV28">
        <f t="shared" si="5"/>
        <v>78</v>
      </c>
    </row>
    <row r="29" spans="2:48" x14ac:dyDescent="0.3">
      <c r="B29" s="59" t="s">
        <v>543</v>
      </c>
      <c r="C29">
        <v>6</v>
      </c>
      <c r="D29" t="s">
        <v>553</v>
      </c>
      <c r="E29">
        <f t="shared" si="6"/>
        <v>15</v>
      </c>
      <c r="F29">
        <v>7</v>
      </c>
      <c r="G29" t="s">
        <v>553</v>
      </c>
      <c r="H29">
        <f t="shared" si="7"/>
        <v>16</v>
      </c>
      <c r="I29">
        <v>4</v>
      </c>
      <c r="J29" t="s">
        <v>553</v>
      </c>
      <c r="K29">
        <f t="shared" si="8"/>
        <v>13</v>
      </c>
      <c r="L29">
        <v>3</v>
      </c>
      <c r="M29" t="s">
        <v>553</v>
      </c>
      <c r="N29">
        <f t="shared" si="9"/>
        <v>12</v>
      </c>
      <c r="O29">
        <v>4</v>
      </c>
      <c r="P29" t="s">
        <v>553</v>
      </c>
      <c r="Q29">
        <f t="shared" si="10"/>
        <v>13</v>
      </c>
      <c r="R29">
        <v>1</v>
      </c>
      <c r="S29" t="s">
        <v>553</v>
      </c>
      <c r="T29">
        <f t="shared" si="11"/>
        <v>10</v>
      </c>
      <c r="U29" t="s">
        <v>3662</v>
      </c>
      <c r="V29" t="s">
        <v>3663</v>
      </c>
      <c r="W29" s="59" t="s">
        <v>294</v>
      </c>
      <c r="X29" s="59" t="s">
        <v>196</v>
      </c>
      <c r="Y29" s="59" t="s">
        <v>1203</v>
      </c>
      <c r="Z29" s="59" t="s">
        <v>357</v>
      </c>
      <c r="AA29" s="60">
        <v>1</v>
      </c>
      <c r="AB29" s="60">
        <v>-1</v>
      </c>
      <c r="AC29" s="59" t="s">
        <v>17</v>
      </c>
      <c r="AD29" s="60">
        <v>0</v>
      </c>
      <c r="AE29" s="60">
        <v>1</v>
      </c>
      <c r="AF29" s="60" t="s">
        <v>2993</v>
      </c>
      <c r="AG29" s="571">
        <v>2</v>
      </c>
      <c r="AH29" s="571">
        <v>2</v>
      </c>
      <c r="AI29" s="60">
        <v>0</v>
      </c>
      <c r="AJ29" s="60">
        <v>-1</v>
      </c>
      <c r="AK29" s="60">
        <v>0</v>
      </c>
      <c r="AL29" s="60">
        <v>1</v>
      </c>
      <c r="AM29" s="59" t="s">
        <v>260</v>
      </c>
      <c r="AN29" s="59">
        <v>1</v>
      </c>
      <c r="AO29" s="243">
        <f t="shared" si="0"/>
        <v>10</v>
      </c>
      <c r="AP29" s="244">
        <f t="shared" ref="AP29:AP38" si="22">FLOOR(AS29/5*2,1)</f>
        <v>16</v>
      </c>
      <c r="AQ29" s="244">
        <f t="shared" si="1"/>
        <v>28</v>
      </c>
      <c r="AR29" s="244">
        <f t="shared" si="2"/>
        <v>33</v>
      </c>
      <c r="AS29" s="245">
        <v>42</v>
      </c>
      <c r="AT29">
        <f t="shared" si="3"/>
        <v>25</v>
      </c>
      <c r="AU29">
        <f t="shared" si="4"/>
        <v>6</v>
      </c>
      <c r="AV29">
        <f t="shared" si="5"/>
        <v>49</v>
      </c>
    </row>
    <row r="30" spans="2:48" x14ac:dyDescent="0.3">
      <c r="B30" s="59" t="s">
        <v>1038</v>
      </c>
      <c r="C30">
        <v>5</v>
      </c>
      <c r="D30" t="s">
        <v>553</v>
      </c>
      <c r="E30">
        <f t="shared" si="6"/>
        <v>14</v>
      </c>
      <c r="F30">
        <v>7</v>
      </c>
      <c r="G30" t="s">
        <v>553</v>
      </c>
      <c r="H30">
        <f t="shared" si="7"/>
        <v>16</v>
      </c>
      <c r="I30">
        <v>5</v>
      </c>
      <c r="J30" t="s">
        <v>553</v>
      </c>
      <c r="K30">
        <f t="shared" si="8"/>
        <v>14</v>
      </c>
      <c r="L30">
        <v>1</v>
      </c>
      <c r="M30" t="s">
        <v>553</v>
      </c>
      <c r="N30">
        <f t="shared" si="9"/>
        <v>10</v>
      </c>
      <c r="O30">
        <v>4</v>
      </c>
      <c r="P30" t="s">
        <v>553</v>
      </c>
      <c r="Q30">
        <f t="shared" si="10"/>
        <v>13</v>
      </c>
      <c r="R30">
        <v>1</v>
      </c>
      <c r="S30" t="s">
        <v>553</v>
      </c>
      <c r="T30">
        <f t="shared" si="11"/>
        <v>10</v>
      </c>
      <c r="U30" t="s">
        <v>3662</v>
      </c>
      <c r="V30" t="s">
        <v>3663</v>
      </c>
      <c r="W30" s="59" t="s">
        <v>294</v>
      </c>
      <c r="X30" s="59" t="s">
        <v>196</v>
      </c>
      <c r="Y30" s="59" t="s">
        <v>1203</v>
      </c>
      <c r="Z30" s="59" t="s">
        <v>357</v>
      </c>
      <c r="AA30" s="60">
        <v>1</v>
      </c>
      <c r="AB30" s="60">
        <v>-1</v>
      </c>
      <c r="AC30" s="59" t="s">
        <v>17</v>
      </c>
      <c r="AD30" s="60">
        <v>0</v>
      </c>
      <c r="AE30" s="60">
        <v>1</v>
      </c>
      <c r="AF30" s="60" t="s">
        <v>2993</v>
      </c>
      <c r="AG30" s="571">
        <v>2</v>
      </c>
      <c r="AH30" s="571">
        <v>2</v>
      </c>
      <c r="AI30" s="60">
        <v>0</v>
      </c>
      <c r="AJ30" s="60">
        <v>-1</v>
      </c>
      <c r="AK30" s="60">
        <v>0</v>
      </c>
      <c r="AL30" s="60">
        <v>1</v>
      </c>
      <c r="AM30" s="59" t="s">
        <v>260</v>
      </c>
      <c r="AN30" s="59">
        <v>1</v>
      </c>
      <c r="AO30" s="243">
        <f t="shared" si="0"/>
        <v>10</v>
      </c>
      <c r="AP30" s="244">
        <f t="shared" si="22"/>
        <v>16</v>
      </c>
      <c r="AQ30" s="244">
        <f t="shared" si="1"/>
        <v>28</v>
      </c>
      <c r="AR30" s="244">
        <f t="shared" si="2"/>
        <v>33</v>
      </c>
      <c r="AS30" s="245">
        <v>42</v>
      </c>
      <c r="AT30">
        <f t="shared" si="3"/>
        <v>23</v>
      </c>
      <c r="AU30">
        <f t="shared" si="4"/>
        <v>6</v>
      </c>
      <c r="AV30">
        <f t="shared" si="5"/>
        <v>47</v>
      </c>
    </row>
    <row r="31" spans="2:48" x14ac:dyDescent="0.3">
      <c r="B31" s="59" t="s">
        <v>220</v>
      </c>
      <c r="C31">
        <v>5</v>
      </c>
      <c r="D31" t="s">
        <v>553</v>
      </c>
      <c r="E31">
        <f t="shared" si="6"/>
        <v>14</v>
      </c>
      <c r="F31">
        <v>8</v>
      </c>
      <c r="G31" t="s">
        <v>553</v>
      </c>
      <c r="H31">
        <f t="shared" si="7"/>
        <v>17</v>
      </c>
      <c r="I31">
        <v>8</v>
      </c>
      <c r="J31" t="s">
        <v>553</v>
      </c>
      <c r="K31">
        <f t="shared" si="8"/>
        <v>17</v>
      </c>
      <c r="L31">
        <v>3</v>
      </c>
      <c r="M31" t="s">
        <v>553</v>
      </c>
      <c r="N31">
        <f t="shared" si="9"/>
        <v>12</v>
      </c>
      <c r="O31">
        <v>5</v>
      </c>
      <c r="P31" t="s">
        <v>553</v>
      </c>
      <c r="Q31">
        <f t="shared" si="10"/>
        <v>14</v>
      </c>
      <c r="R31">
        <v>3</v>
      </c>
      <c r="S31" t="s">
        <v>553</v>
      </c>
      <c r="T31">
        <f t="shared" si="11"/>
        <v>12</v>
      </c>
      <c r="U31" t="s">
        <v>3664</v>
      </c>
      <c r="V31" t="s">
        <v>3665</v>
      </c>
      <c r="W31" s="59" t="s">
        <v>293</v>
      </c>
      <c r="X31" s="59" t="s">
        <v>193</v>
      </c>
      <c r="Y31" s="59" t="s">
        <v>1203</v>
      </c>
      <c r="Z31" s="59" t="s">
        <v>357</v>
      </c>
      <c r="AA31" s="60">
        <v>1</v>
      </c>
      <c r="AB31" s="60">
        <v>-1</v>
      </c>
      <c r="AC31" s="59" t="s">
        <v>17</v>
      </c>
      <c r="AD31" s="60">
        <v>0</v>
      </c>
      <c r="AE31" s="60">
        <v>1</v>
      </c>
      <c r="AF31" s="60" t="s">
        <v>2993</v>
      </c>
      <c r="AG31" s="60">
        <v>0</v>
      </c>
      <c r="AH31" s="571">
        <v>0</v>
      </c>
      <c r="AI31" s="60">
        <v>0</v>
      </c>
      <c r="AJ31" s="60">
        <v>-1</v>
      </c>
      <c r="AK31" s="60">
        <v>0</v>
      </c>
      <c r="AL31" s="60">
        <v>0</v>
      </c>
      <c r="AM31" s="59" t="s">
        <v>260</v>
      </c>
      <c r="AN31" s="59">
        <v>0</v>
      </c>
      <c r="AO31" s="243">
        <f t="shared" si="0"/>
        <v>10</v>
      </c>
      <c r="AP31" s="244">
        <f t="shared" si="22"/>
        <v>16</v>
      </c>
      <c r="AQ31" s="244">
        <f t="shared" si="1"/>
        <v>26</v>
      </c>
      <c r="AR31" s="244">
        <f t="shared" si="2"/>
        <v>32</v>
      </c>
      <c r="AS31" s="245">
        <v>40</v>
      </c>
      <c r="AT31">
        <f t="shared" si="3"/>
        <v>32</v>
      </c>
      <c r="AU31">
        <f t="shared" si="4"/>
        <v>6</v>
      </c>
      <c r="AV31">
        <f t="shared" si="5"/>
        <v>56</v>
      </c>
    </row>
    <row r="32" spans="2:48" x14ac:dyDescent="0.3">
      <c r="B32" s="59" t="s">
        <v>998</v>
      </c>
      <c r="C32">
        <v>4</v>
      </c>
      <c r="D32" t="s">
        <v>553</v>
      </c>
      <c r="E32">
        <f t="shared" si="6"/>
        <v>13</v>
      </c>
      <c r="F32">
        <v>8</v>
      </c>
      <c r="G32" t="s">
        <v>553</v>
      </c>
      <c r="H32">
        <f t="shared" si="7"/>
        <v>17</v>
      </c>
      <c r="I32">
        <v>9</v>
      </c>
      <c r="J32" t="s">
        <v>553</v>
      </c>
      <c r="K32">
        <f t="shared" si="8"/>
        <v>18</v>
      </c>
      <c r="L32">
        <v>3</v>
      </c>
      <c r="M32" t="s">
        <v>553</v>
      </c>
      <c r="N32">
        <f t="shared" si="9"/>
        <v>12</v>
      </c>
      <c r="O32">
        <v>5</v>
      </c>
      <c r="P32" t="s">
        <v>553</v>
      </c>
      <c r="Q32">
        <f t="shared" si="10"/>
        <v>14</v>
      </c>
      <c r="R32">
        <v>3</v>
      </c>
      <c r="S32" t="s">
        <v>553</v>
      </c>
      <c r="T32">
        <f t="shared" si="11"/>
        <v>12</v>
      </c>
      <c r="U32" t="s">
        <v>3664</v>
      </c>
      <c r="V32" t="s">
        <v>3665</v>
      </c>
      <c r="W32" s="59" t="s">
        <v>293</v>
      </c>
      <c r="X32" s="59" t="s">
        <v>193</v>
      </c>
      <c r="Y32" s="59" t="s">
        <v>1203</v>
      </c>
      <c r="Z32" s="59" t="s">
        <v>357</v>
      </c>
      <c r="AA32" s="60">
        <v>1</v>
      </c>
      <c r="AB32" s="60">
        <v>-1</v>
      </c>
      <c r="AC32" s="59" t="s">
        <v>17</v>
      </c>
      <c r="AD32" s="60">
        <v>0</v>
      </c>
      <c r="AE32" s="60">
        <v>1</v>
      </c>
      <c r="AF32" s="60" t="s">
        <v>2993</v>
      </c>
      <c r="AG32" s="60">
        <v>0</v>
      </c>
      <c r="AH32" s="571">
        <v>0</v>
      </c>
      <c r="AI32" s="60">
        <v>0</v>
      </c>
      <c r="AJ32" s="60">
        <v>-1</v>
      </c>
      <c r="AK32" s="60">
        <v>0</v>
      </c>
      <c r="AL32" s="60">
        <v>0</v>
      </c>
      <c r="AM32" s="59" t="s">
        <v>260</v>
      </c>
      <c r="AN32" s="59">
        <v>0</v>
      </c>
      <c r="AO32" s="243">
        <f t="shared" si="0"/>
        <v>9</v>
      </c>
      <c r="AP32" s="244">
        <f t="shared" si="22"/>
        <v>15</v>
      </c>
      <c r="AQ32" s="244">
        <f t="shared" si="1"/>
        <v>25</v>
      </c>
      <c r="AR32" s="244">
        <f t="shared" si="2"/>
        <v>30</v>
      </c>
      <c r="AS32" s="245">
        <v>38</v>
      </c>
      <c r="AT32">
        <f t="shared" si="3"/>
        <v>32</v>
      </c>
      <c r="AU32">
        <f t="shared" si="4"/>
        <v>6</v>
      </c>
      <c r="AV32">
        <f t="shared" si="5"/>
        <v>56</v>
      </c>
    </row>
    <row r="33" spans="2:48" x14ac:dyDescent="0.3">
      <c r="B33" s="59" t="s">
        <v>221</v>
      </c>
      <c r="C33">
        <v>2</v>
      </c>
      <c r="D33" t="s">
        <v>553</v>
      </c>
      <c r="E33">
        <f t="shared" si="6"/>
        <v>11</v>
      </c>
      <c r="F33">
        <v>12</v>
      </c>
      <c r="G33" t="s">
        <v>553</v>
      </c>
      <c r="H33">
        <f t="shared" si="7"/>
        <v>21</v>
      </c>
      <c r="I33">
        <v>7</v>
      </c>
      <c r="J33" t="s">
        <v>553</v>
      </c>
      <c r="K33">
        <f t="shared" si="8"/>
        <v>16</v>
      </c>
      <c r="L33">
        <v>5</v>
      </c>
      <c r="M33" t="s">
        <v>553</v>
      </c>
      <c r="N33">
        <f t="shared" si="9"/>
        <v>14</v>
      </c>
      <c r="O33">
        <v>6</v>
      </c>
      <c r="P33" t="s">
        <v>553</v>
      </c>
      <c r="Q33">
        <f t="shared" si="10"/>
        <v>15</v>
      </c>
      <c r="R33">
        <v>-1</v>
      </c>
      <c r="S33" t="s">
        <v>552</v>
      </c>
      <c r="T33">
        <f t="shared" si="11"/>
        <v>14</v>
      </c>
      <c r="U33" t="s">
        <v>3666</v>
      </c>
      <c r="V33" t="s">
        <v>3667</v>
      </c>
      <c r="W33" s="59" t="s">
        <v>199</v>
      </c>
      <c r="X33" s="59" t="s">
        <v>195</v>
      </c>
      <c r="Y33" s="59" t="s">
        <v>1203</v>
      </c>
      <c r="Z33" s="572" t="s">
        <v>2996</v>
      </c>
      <c r="AA33" s="573">
        <v>1</v>
      </c>
      <c r="AB33" s="573">
        <v>1</v>
      </c>
      <c r="AC33" s="59" t="s">
        <v>17</v>
      </c>
      <c r="AD33" s="60">
        <v>0</v>
      </c>
      <c r="AE33" s="60">
        <v>1</v>
      </c>
      <c r="AF33" s="60" t="s">
        <v>2993</v>
      </c>
      <c r="AG33" s="60">
        <v>0</v>
      </c>
      <c r="AH33" s="571">
        <v>0</v>
      </c>
      <c r="AI33" s="60">
        <v>0</v>
      </c>
      <c r="AJ33" s="60">
        <v>1</v>
      </c>
      <c r="AK33" s="60">
        <v>-2</v>
      </c>
      <c r="AL33" s="60">
        <v>0</v>
      </c>
      <c r="AM33" s="59" t="s">
        <v>260</v>
      </c>
      <c r="AN33" s="59">
        <v>0</v>
      </c>
      <c r="AO33" s="243">
        <f t="shared" si="0"/>
        <v>9</v>
      </c>
      <c r="AP33" s="244">
        <f t="shared" si="22"/>
        <v>15</v>
      </c>
      <c r="AQ33" s="244">
        <f t="shared" si="1"/>
        <v>25</v>
      </c>
      <c r="AR33" s="244">
        <f t="shared" si="2"/>
        <v>30</v>
      </c>
      <c r="AS33" s="245">
        <v>38</v>
      </c>
      <c r="AT33">
        <f t="shared" si="3"/>
        <v>31</v>
      </c>
      <c r="AU33">
        <f t="shared" si="4"/>
        <v>7</v>
      </c>
      <c r="AV33">
        <f t="shared" si="5"/>
        <v>59</v>
      </c>
    </row>
    <row r="34" spans="2:48" x14ac:dyDescent="0.3">
      <c r="B34" s="59" t="s">
        <v>1131</v>
      </c>
      <c r="C34">
        <v>9</v>
      </c>
      <c r="D34" t="s">
        <v>553</v>
      </c>
      <c r="E34">
        <f t="shared" si="6"/>
        <v>18</v>
      </c>
      <c r="F34">
        <v>9</v>
      </c>
      <c r="G34" t="s">
        <v>553</v>
      </c>
      <c r="H34">
        <f t="shared" si="7"/>
        <v>18</v>
      </c>
      <c r="I34">
        <v>6</v>
      </c>
      <c r="J34" t="s">
        <v>553</v>
      </c>
      <c r="K34">
        <f t="shared" si="8"/>
        <v>15</v>
      </c>
      <c r="L34">
        <v>5</v>
      </c>
      <c r="M34" t="s">
        <v>553</v>
      </c>
      <c r="N34">
        <f t="shared" si="9"/>
        <v>14</v>
      </c>
      <c r="O34">
        <v>9</v>
      </c>
      <c r="P34" t="s">
        <v>553</v>
      </c>
      <c r="Q34">
        <f t="shared" si="10"/>
        <v>18</v>
      </c>
      <c r="R34">
        <v>2</v>
      </c>
      <c r="S34" t="s">
        <v>553</v>
      </c>
      <c r="T34">
        <f t="shared" si="11"/>
        <v>11</v>
      </c>
      <c r="U34" t="s">
        <v>3668</v>
      </c>
      <c r="V34" t="s">
        <v>3669</v>
      </c>
      <c r="W34" s="59" t="s">
        <v>293</v>
      </c>
      <c r="X34" s="59" t="s">
        <v>193</v>
      </c>
      <c r="Y34" s="59" t="s">
        <v>1206</v>
      </c>
      <c r="Z34" s="572" t="s">
        <v>2996</v>
      </c>
      <c r="AA34" s="573">
        <v>2</v>
      </c>
      <c r="AB34" s="573">
        <v>2</v>
      </c>
      <c r="AC34" s="59" t="s">
        <v>17</v>
      </c>
      <c r="AD34" s="60">
        <v>0</v>
      </c>
      <c r="AE34" s="60">
        <v>1</v>
      </c>
      <c r="AF34" s="60" t="s">
        <v>2993</v>
      </c>
      <c r="AG34" s="60">
        <v>0</v>
      </c>
      <c r="AH34" s="573">
        <v>1</v>
      </c>
      <c r="AI34" s="60">
        <v>0</v>
      </c>
      <c r="AJ34" s="60">
        <v>1</v>
      </c>
      <c r="AK34" s="60">
        <v>0</v>
      </c>
      <c r="AL34" s="60">
        <v>0</v>
      </c>
      <c r="AM34" s="59" t="s">
        <v>95</v>
      </c>
      <c r="AN34" s="59">
        <v>5</v>
      </c>
      <c r="AO34" s="243">
        <f t="shared" si="0"/>
        <v>15</v>
      </c>
      <c r="AP34" s="244">
        <f t="shared" si="22"/>
        <v>24</v>
      </c>
      <c r="AQ34" s="244">
        <f t="shared" si="1"/>
        <v>40</v>
      </c>
      <c r="AR34" s="244">
        <f t="shared" si="2"/>
        <v>48</v>
      </c>
      <c r="AS34" s="245">
        <v>60</v>
      </c>
      <c r="AT34">
        <f t="shared" si="3"/>
        <v>40</v>
      </c>
      <c r="AU34">
        <f t="shared" si="4"/>
        <v>6</v>
      </c>
      <c r="AV34">
        <f t="shared" si="5"/>
        <v>64</v>
      </c>
    </row>
    <row r="35" spans="2:48" ht="15.75" customHeight="1" x14ac:dyDescent="0.3">
      <c r="B35" s="531" t="s">
        <v>4235</v>
      </c>
      <c r="C35">
        <v>1</v>
      </c>
      <c r="D35" t="s">
        <v>552</v>
      </c>
      <c r="E35">
        <f t="shared" si="6"/>
        <v>16</v>
      </c>
      <c r="F35">
        <v>5</v>
      </c>
      <c r="G35" t="s">
        <v>552</v>
      </c>
      <c r="H35">
        <f t="shared" si="7"/>
        <v>20</v>
      </c>
      <c r="I35">
        <v>4</v>
      </c>
      <c r="J35" t="s">
        <v>552</v>
      </c>
      <c r="K35">
        <f t="shared" si="8"/>
        <v>19</v>
      </c>
      <c r="L35">
        <v>1</v>
      </c>
      <c r="M35" t="s">
        <v>552</v>
      </c>
      <c r="N35">
        <f t="shared" si="9"/>
        <v>16</v>
      </c>
      <c r="O35">
        <v>5</v>
      </c>
      <c r="P35" t="s">
        <v>552</v>
      </c>
      <c r="Q35">
        <f t="shared" si="10"/>
        <v>20</v>
      </c>
      <c r="R35">
        <v>0</v>
      </c>
      <c r="S35" t="s">
        <v>552</v>
      </c>
      <c r="T35">
        <f t="shared" si="11"/>
        <v>15</v>
      </c>
      <c r="U35" t="s">
        <v>3711</v>
      </c>
      <c r="V35" t="s">
        <v>4237</v>
      </c>
      <c r="W35" s="59" t="s">
        <v>295</v>
      </c>
      <c r="X35" s="59" t="s">
        <v>2478</v>
      </c>
      <c r="Y35" s="59" t="s">
        <v>1203</v>
      </c>
      <c r="Z35" s="59" t="s">
        <v>357</v>
      </c>
      <c r="AA35" s="60">
        <v>1</v>
      </c>
      <c r="AB35" s="60">
        <v>-1</v>
      </c>
      <c r="AC35" s="59" t="s">
        <v>17</v>
      </c>
      <c r="AD35" s="60">
        <v>0</v>
      </c>
      <c r="AE35" s="60">
        <v>1</v>
      </c>
      <c r="AF35" s="60" t="s">
        <v>2993</v>
      </c>
      <c r="AG35" s="60">
        <v>0</v>
      </c>
      <c r="AH35" s="60">
        <v>-1</v>
      </c>
      <c r="AI35" s="60">
        <v>0</v>
      </c>
      <c r="AJ35" s="60">
        <v>-1</v>
      </c>
      <c r="AK35" s="60">
        <v>-1</v>
      </c>
      <c r="AL35" s="60">
        <v>0</v>
      </c>
      <c r="AM35" s="59" t="s">
        <v>260</v>
      </c>
      <c r="AN35" s="59">
        <v>0</v>
      </c>
      <c r="AO35" s="243">
        <f t="shared" si="0"/>
        <v>15</v>
      </c>
      <c r="AP35" s="244">
        <f t="shared" si="22"/>
        <v>24</v>
      </c>
      <c r="AQ35" s="244">
        <f t="shared" si="1"/>
        <v>40</v>
      </c>
      <c r="AR35" s="244">
        <f t="shared" si="2"/>
        <v>48</v>
      </c>
      <c r="AS35" s="245">
        <v>60</v>
      </c>
      <c r="AT35">
        <f t="shared" si="3"/>
        <v>16</v>
      </c>
      <c r="AU35">
        <f t="shared" si="4"/>
        <v>12</v>
      </c>
      <c r="AV35">
        <f t="shared" si="5"/>
        <v>64</v>
      </c>
    </row>
    <row r="36" spans="2:48" ht="15.75" customHeight="1" x14ac:dyDescent="0.3">
      <c r="B36" s="531" t="s">
        <v>4236</v>
      </c>
      <c r="C36">
        <v>0</v>
      </c>
      <c r="D36" t="s">
        <v>552</v>
      </c>
      <c r="E36">
        <f t="shared" si="6"/>
        <v>15</v>
      </c>
      <c r="F36">
        <v>5</v>
      </c>
      <c r="G36" t="s">
        <v>552</v>
      </c>
      <c r="H36">
        <f t="shared" si="7"/>
        <v>20</v>
      </c>
      <c r="I36">
        <v>4</v>
      </c>
      <c r="J36" t="s">
        <v>552</v>
      </c>
      <c r="K36">
        <f t="shared" si="8"/>
        <v>19</v>
      </c>
      <c r="L36">
        <v>1</v>
      </c>
      <c r="M36" t="s">
        <v>552</v>
      </c>
      <c r="N36">
        <f t="shared" si="9"/>
        <v>16</v>
      </c>
      <c r="O36">
        <v>5</v>
      </c>
      <c r="P36" t="s">
        <v>552</v>
      </c>
      <c r="Q36">
        <f t="shared" si="10"/>
        <v>20</v>
      </c>
      <c r="R36">
        <v>1</v>
      </c>
      <c r="S36" t="s">
        <v>552</v>
      </c>
      <c r="T36">
        <f t="shared" si="11"/>
        <v>16</v>
      </c>
      <c r="U36" t="s">
        <v>3711</v>
      </c>
      <c r="V36" t="s">
        <v>4237</v>
      </c>
      <c r="W36" s="59" t="s">
        <v>295</v>
      </c>
      <c r="X36" s="59" t="s">
        <v>2478</v>
      </c>
      <c r="Y36" s="59" t="s">
        <v>1203</v>
      </c>
      <c r="Z36" s="59" t="s">
        <v>357</v>
      </c>
      <c r="AA36" s="60">
        <v>1</v>
      </c>
      <c r="AB36" s="60">
        <v>-1</v>
      </c>
      <c r="AC36" s="59" t="s">
        <v>17</v>
      </c>
      <c r="AD36" s="60">
        <v>0</v>
      </c>
      <c r="AE36" s="60">
        <v>1</v>
      </c>
      <c r="AF36" s="60" t="s">
        <v>2993</v>
      </c>
      <c r="AG36" s="60">
        <v>0</v>
      </c>
      <c r="AH36" s="60">
        <v>-1</v>
      </c>
      <c r="AI36" s="60">
        <v>0</v>
      </c>
      <c r="AJ36" s="60">
        <v>-1</v>
      </c>
      <c r="AK36" s="60">
        <v>-1</v>
      </c>
      <c r="AL36" s="60">
        <v>0</v>
      </c>
      <c r="AM36" s="59" t="s">
        <v>260</v>
      </c>
      <c r="AN36" s="59">
        <v>0</v>
      </c>
      <c r="AO36" s="243">
        <f t="shared" si="0"/>
        <v>15</v>
      </c>
      <c r="AP36" s="244">
        <f t="shared" si="22"/>
        <v>24</v>
      </c>
      <c r="AQ36" s="244">
        <f t="shared" si="1"/>
        <v>40</v>
      </c>
      <c r="AR36" s="244">
        <f t="shared" si="2"/>
        <v>48</v>
      </c>
      <c r="AS36" s="245">
        <v>60</v>
      </c>
      <c r="AT36">
        <f t="shared" si="3"/>
        <v>16</v>
      </c>
      <c r="AU36">
        <f t="shared" si="4"/>
        <v>12</v>
      </c>
      <c r="AV36">
        <f t="shared" si="5"/>
        <v>64</v>
      </c>
    </row>
    <row r="37" spans="2:48" ht="15.75" customHeight="1" x14ac:dyDescent="0.3">
      <c r="B37" s="531" t="s">
        <v>222</v>
      </c>
      <c r="C37">
        <v>1</v>
      </c>
      <c r="D37" t="s">
        <v>553</v>
      </c>
      <c r="E37">
        <f t="shared" si="6"/>
        <v>10</v>
      </c>
      <c r="F37">
        <v>6</v>
      </c>
      <c r="G37" t="s">
        <v>552</v>
      </c>
      <c r="H37">
        <f t="shared" si="7"/>
        <v>21</v>
      </c>
      <c r="I37">
        <v>5</v>
      </c>
      <c r="J37" t="s">
        <v>552</v>
      </c>
      <c r="K37">
        <f t="shared" si="8"/>
        <v>20</v>
      </c>
      <c r="L37">
        <v>0</v>
      </c>
      <c r="M37" t="s">
        <v>552</v>
      </c>
      <c r="N37">
        <f t="shared" si="9"/>
        <v>15</v>
      </c>
      <c r="O37">
        <v>9</v>
      </c>
      <c r="P37" t="s">
        <v>553</v>
      </c>
      <c r="Q37">
        <f t="shared" si="10"/>
        <v>18</v>
      </c>
      <c r="R37">
        <v>4</v>
      </c>
      <c r="S37" t="s">
        <v>552</v>
      </c>
      <c r="T37">
        <f t="shared" si="11"/>
        <v>19</v>
      </c>
      <c r="U37" t="s">
        <v>3684</v>
      </c>
      <c r="V37" t="s">
        <v>3685</v>
      </c>
      <c r="W37" s="59" t="s">
        <v>295</v>
      </c>
      <c r="X37" s="59" t="s">
        <v>2478</v>
      </c>
      <c r="Y37" s="59" t="s">
        <v>1207</v>
      </c>
      <c r="Z37" s="59" t="s">
        <v>357</v>
      </c>
      <c r="AA37" s="60">
        <v>1</v>
      </c>
      <c r="AB37" s="60">
        <v>-1</v>
      </c>
      <c r="AC37" s="59" t="s">
        <v>17</v>
      </c>
      <c r="AD37" s="60">
        <v>0</v>
      </c>
      <c r="AE37" s="60">
        <v>1</v>
      </c>
      <c r="AF37" s="60" t="s">
        <v>2993</v>
      </c>
      <c r="AG37" s="60">
        <v>0</v>
      </c>
      <c r="AH37" s="60">
        <v>-1</v>
      </c>
      <c r="AI37" s="60">
        <v>0</v>
      </c>
      <c r="AJ37" s="60">
        <v>0</v>
      </c>
      <c r="AK37" s="60">
        <v>-1</v>
      </c>
      <c r="AL37" s="60">
        <v>0</v>
      </c>
      <c r="AM37" s="59" t="s">
        <v>260</v>
      </c>
      <c r="AN37" s="59">
        <v>0</v>
      </c>
      <c r="AO37" s="243">
        <f t="shared" si="0"/>
        <v>22</v>
      </c>
      <c r="AP37" s="244">
        <f t="shared" si="22"/>
        <v>35</v>
      </c>
      <c r="AQ37" s="244">
        <f t="shared" si="1"/>
        <v>58</v>
      </c>
      <c r="AR37" s="244">
        <f t="shared" si="2"/>
        <v>70</v>
      </c>
      <c r="AS37" s="245">
        <v>88</v>
      </c>
      <c r="AT37">
        <f t="shared" si="3"/>
        <v>25</v>
      </c>
      <c r="AU37">
        <f t="shared" si="4"/>
        <v>10</v>
      </c>
      <c r="AV37">
        <f t="shared" si="5"/>
        <v>65</v>
      </c>
    </row>
    <row r="38" spans="2:48" ht="12.75" customHeight="1" x14ac:dyDescent="0.3">
      <c r="B38" s="531" t="s">
        <v>999</v>
      </c>
      <c r="C38">
        <v>0</v>
      </c>
      <c r="D38" t="s">
        <v>553</v>
      </c>
      <c r="E38">
        <f t="shared" si="6"/>
        <v>9</v>
      </c>
      <c r="F38">
        <v>7</v>
      </c>
      <c r="G38" t="s">
        <v>552</v>
      </c>
      <c r="H38">
        <f t="shared" si="7"/>
        <v>22</v>
      </c>
      <c r="I38">
        <v>5</v>
      </c>
      <c r="J38" t="s">
        <v>552</v>
      </c>
      <c r="K38">
        <f t="shared" si="8"/>
        <v>20</v>
      </c>
      <c r="L38">
        <v>0</v>
      </c>
      <c r="M38" t="s">
        <v>552</v>
      </c>
      <c r="N38">
        <f t="shared" si="9"/>
        <v>15</v>
      </c>
      <c r="O38">
        <v>9</v>
      </c>
      <c r="P38" t="s">
        <v>553</v>
      </c>
      <c r="Q38">
        <f t="shared" si="10"/>
        <v>18</v>
      </c>
      <c r="R38">
        <v>4</v>
      </c>
      <c r="S38" t="s">
        <v>552</v>
      </c>
      <c r="T38">
        <f t="shared" si="11"/>
        <v>19</v>
      </c>
      <c r="U38" t="s">
        <v>3684</v>
      </c>
      <c r="V38" t="s">
        <v>3685</v>
      </c>
      <c r="W38" s="59" t="s">
        <v>295</v>
      </c>
      <c r="X38" s="59" t="s">
        <v>2478</v>
      </c>
      <c r="Y38" s="59" t="s">
        <v>1207</v>
      </c>
      <c r="Z38" s="59" t="s">
        <v>357</v>
      </c>
      <c r="AA38" s="60">
        <v>1</v>
      </c>
      <c r="AB38" s="60">
        <v>-1</v>
      </c>
      <c r="AC38" s="59" t="s">
        <v>17</v>
      </c>
      <c r="AD38" s="60">
        <v>0</v>
      </c>
      <c r="AE38" s="60">
        <v>1</v>
      </c>
      <c r="AF38" s="60" t="s">
        <v>2993</v>
      </c>
      <c r="AG38" s="60">
        <v>0</v>
      </c>
      <c r="AH38" s="60">
        <v>-1</v>
      </c>
      <c r="AI38" s="60">
        <v>0</v>
      </c>
      <c r="AJ38" s="60">
        <v>0</v>
      </c>
      <c r="AK38" s="60">
        <v>-1</v>
      </c>
      <c r="AL38" s="60">
        <v>0</v>
      </c>
      <c r="AM38" s="59" t="s">
        <v>260</v>
      </c>
      <c r="AN38" s="59">
        <v>0</v>
      </c>
      <c r="AO38" s="243">
        <f t="shared" si="0"/>
        <v>22</v>
      </c>
      <c r="AP38" s="244">
        <f t="shared" si="22"/>
        <v>35</v>
      </c>
      <c r="AQ38" s="244">
        <f t="shared" si="1"/>
        <v>58</v>
      </c>
      <c r="AR38" s="244">
        <f t="shared" si="2"/>
        <v>70</v>
      </c>
      <c r="AS38" s="245">
        <v>88</v>
      </c>
      <c r="AT38">
        <f t="shared" si="3"/>
        <v>25</v>
      </c>
      <c r="AU38">
        <f t="shared" si="4"/>
        <v>10</v>
      </c>
      <c r="AV38">
        <f t="shared" si="5"/>
        <v>65</v>
      </c>
    </row>
    <row r="39" spans="2:48" x14ac:dyDescent="0.3">
      <c r="B39" s="59" t="s">
        <v>3767</v>
      </c>
      <c r="C39">
        <v>8</v>
      </c>
      <c r="D39" t="s">
        <v>553</v>
      </c>
      <c r="E39">
        <f t="shared" si="6"/>
        <v>17</v>
      </c>
      <c r="F39">
        <v>10</v>
      </c>
      <c r="G39" t="s">
        <v>553</v>
      </c>
      <c r="H39">
        <f t="shared" si="7"/>
        <v>19</v>
      </c>
      <c r="I39">
        <v>8</v>
      </c>
      <c r="J39" t="s">
        <v>553</v>
      </c>
      <c r="K39">
        <f t="shared" si="8"/>
        <v>17</v>
      </c>
      <c r="L39">
        <v>10</v>
      </c>
      <c r="M39" t="s">
        <v>553</v>
      </c>
      <c r="N39">
        <f t="shared" si="9"/>
        <v>19</v>
      </c>
      <c r="O39">
        <v>12</v>
      </c>
      <c r="P39" t="s">
        <v>553</v>
      </c>
      <c r="Q39">
        <f t="shared" si="10"/>
        <v>21</v>
      </c>
      <c r="R39">
        <v>10</v>
      </c>
      <c r="S39" t="s">
        <v>553</v>
      </c>
      <c r="T39">
        <f t="shared" si="11"/>
        <v>19</v>
      </c>
      <c r="U39" t="s">
        <v>3768</v>
      </c>
      <c r="V39" t="s">
        <v>3769</v>
      </c>
      <c r="W39" s="59" t="s">
        <v>293</v>
      </c>
      <c r="X39" s="59" t="s">
        <v>186</v>
      </c>
      <c r="Y39" s="59" t="s">
        <v>1203</v>
      </c>
      <c r="Z39" s="572" t="s">
        <v>2996</v>
      </c>
      <c r="AA39" s="573">
        <v>3</v>
      </c>
      <c r="AB39" s="573">
        <v>2</v>
      </c>
      <c r="AC39" s="59" t="s">
        <v>17</v>
      </c>
      <c r="AD39" s="60">
        <v>0</v>
      </c>
      <c r="AE39" s="60">
        <v>1</v>
      </c>
      <c r="AF39" s="60" t="s">
        <v>2993</v>
      </c>
      <c r="AG39" s="60">
        <v>0</v>
      </c>
      <c r="AH39" s="60">
        <v>-1</v>
      </c>
      <c r="AI39" s="60">
        <v>0</v>
      </c>
      <c r="AJ39" s="60">
        <v>1</v>
      </c>
      <c r="AK39" s="60">
        <v>0</v>
      </c>
      <c r="AL39" s="60">
        <v>0</v>
      </c>
      <c r="AM39" s="59" t="s">
        <v>96</v>
      </c>
      <c r="AN39" s="59">
        <v>1</v>
      </c>
      <c r="AO39" s="243">
        <v>33</v>
      </c>
      <c r="AP39" s="244">
        <v>333</v>
      </c>
      <c r="AQ39" s="244">
        <v>999</v>
      </c>
      <c r="AR39" s="244">
        <v>9999</v>
      </c>
      <c r="AS39" s="245">
        <v>99999</v>
      </c>
      <c r="AT39">
        <f t="shared" si="3"/>
        <v>58</v>
      </c>
      <c r="AU39">
        <f t="shared" si="4"/>
        <v>6</v>
      </c>
      <c r="AV39">
        <f t="shared" si="5"/>
        <v>82</v>
      </c>
    </row>
    <row r="40" spans="2:48" x14ac:dyDescent="0.3">
      <c r="B40" s="59" t="s">
        <v>4936</v>
      </c>
      <c r="C40">
        <v>6</v>
      </c>
      <c r="D40" t="s">
        <v>552</v>
      </c>
      <c r="E40">
        <f t="shared" si="6"/>
        <v>21</v>
      </c>
      <c r="F40">
        <v>4</v>
      </c>
      <c r="G40" t="s">
        <v>552</v>
      </c>
      <c r="H40">
        <f t="shared" si="7"/>
        <v>19</v>
      </c>
      <c r="I40">
        <v>4</v>
      </c>
      <c r="J40" t="s">
        <v>552</v>
      </c>
      <c r="K40">
        <f t="shared" si="8"/>
        <v>19</v>
      </c>
      <c r="L40">
        <v>1</v>
      </c>
      <c r="M40" t="s">
        <v>552</v>
      </c>
      <c r="N40">
        <f t="shared" si="9"/>
        <v>16</v>
      </c>
      <c r="O40">
        <v>3</v>
      </c>
      <c r="P40" t="s">
        <v>552</v>
      </c>
      <c r="Q40">
        <f t="shared" si="10"/>
        <v>18</v>
      </c>
      <c r="R40">
        <v>0</v>
      </c>
      <c r="S40" t="s">
        <v>552</v>
      </c>
      <c r="T40">
        <f t="shared" si="11"/>
        <v>15</v>
      </c>
      <c r="U40" t="s">
        <v>4938</v>
      </c>
      <c r="V40" t="s">
        <v>4940</v>
      </c>
      <c r="W40" s="59" t="s">
        <v>295</v>
      </c>
      <c r="X40" s="59" t="s">
        <v>2477</v>
      </c>
      <c r="Y40" s="59" t="s">
        <v>1203</v>
      </c>
      <c r="Z40" s="59" t="s">
        <v>357</v>
      </c>
      <c r="AA40" s="60">
        <v>1</v>
      </c>
      <c r="AB40" s="60">
        <v>-1</v>
      </c>
      <c r="AC40" s="59" t="s">
        <v>17</v>
      </c>
      <c r="AD40" s="60">
        <v>1</v>
      </c>
      <c r="AE40" s="60">
        <v>2</v>
      </c>
      <c r="AF40" s="60" t="s">
        <v>2993</v>
      </c>
      <c r="AG40" s="60">
        <v>0</v>
      </c>
      <c r="AH40" s="60">
        <v>-1</v>
      </c>
      <c r="AI40" s="60">
        <v>0</v>
      </c>
      <c r="AJ40" s="60">
        <v>-1</v>
      </c>
      <c r="AK40" s="60">
        <v>0</v>
      </c>
      <c r="AL40" s="60">
        <v>0</v>
      </c>
      <c r="AM40" s="59" t="s">
        <v>96</v>
      </c>
      <c r="AN40" s="59">
        <v>0</v>
      </c>
      <c r="AO40" s="243">
        <f t="shared" ref="AO40:AO41" si="23">FLOOR(AS40/4,1)</f>
        <v>14</v>
      </c>
      <c r="AP40" s="244">
        <f t="shared" ref="AP40:AP41" si="24">FLOOR(AS40/5*2,1)</f>
        <v>23</v>
      </c>
      <c r="AQ40" s="244">
        <f t="shared" ref="AQ40:AQ41" si="25">FLOOR(AS40/3*2,1)</f>
        <v>38</v>
      </c>
      <c r="AR40" s="244">
        <f t="shared" ref="AR40:AR41" si="26">FLOOR(AS40/5*4,1)</f>
        <v>46</v>
      </c>
      <c r="AS40" s="245">
        <v>58</v>
      </c>
      <c r="AT40">
        <f t="shared" si="3"/>
        <v>18</v>
      </c>
      <c r="AU40">
        <f t="shared" ref="AU40:AU41" si="27">IF(D40="3k6",3,IF(D40="2k6",2,1))+IF(M40="3k6",3,IF(M40="2k6",2,1))+IF(J40="3k6",3,IF(J40="2k6",2,1))+IF(G40="3k6",3,IF(G40="2k6",2,1))+IF(P40="3k6",3,IF(P40="2k6",2,1))+IF(S40="3k6",3,IF(S40="2k6",2,1))</f>
        <v>12</v>
      </c>
      <c r="AV40">
        <f t="shared" ref="AV40:AV41" si="28">AT40+AU40*4</f>
        <v>66</v>
      </c>
    </row>
    <row r="41" spans="2:48" x14ac:dyDescent="0.3">
      <c r="B41" s="59" t="s">
        <v>4937</v>
      </c>
      <c r="C41">
        <v>7</v>
      </c>
      <c r="D41" t="s">
        <v>552</v>
      </c>
      <c r="E41">
        <f t="shared" si="6"/>
        <v>22</v>
      </c>
      <c r="F41">
        <v>4</v>
      </c>
      <c r="G41" t="s">
        <v>552</v>
      </c>
      <c r="H41">
        <f t="shared" si="7"/>
        <v>19</v>
      </c>
      <c r="I41">
        <v>3</v>
      </c>
      <c r="J41" t="s">
        <v>552</v>
      </c>
      <c r="K41">
        <f t="shared" si="8"/>
        <v>18</v>
      </c>
      <c r="L41">
        <v>1</v>
      </c>
      <c r="M41" t="s">
        <v>552</v>
      </c>
      <c r="N41">
        <f t="shared" si="9"/>
        <v>16</v>
      </c>
      <c r="O41">
        <v>3</v>
      </c>
      <c r="P41" t="s">
        <v>552</v>
      </c>
      <c r="Q41">
        <f t="shared" si="10"/>
        <v>18</v>
      </c>
      <c r="R41">
        <v>0</v>
      </c>
      <c r="S41" t="s">
        <v>552</v>
      </c>
      <c r="T41">
        <f t="shared" si="11"/>
        <v>15</v>
      </c>
      <c r="U41" t="s">
        <v>4939</v>
      </c>
      <c r="V41" t="s">
        <v>4940</v>
      </c>
      <c r="W41" s="59" t="s">
        <v>295</v>
      </c>
      <c r="X41" s="59" t="s">
        <v>2477</v>
      </c>
      <c r="Y41" s="59" t="s">
        <v>1203</v>
      </c>
      <c r="Z41" s="59" t="s">
        <v>357</v>
      </c>
      <c r="AA41" s="60">
        <v>1</v>
      </c>
      <c r="AB41" s="60">
        <v>-1</v>
      </c>
      <c r="AC41" s="59" t="s">
        <v>17</v>
      </c>
      <c r="AD41" s="60">
        <v>1</v>
      </c>
      <c r="AE41" s="60">
        <v>2</v>
      </c>
      <c r="AF41" s="60" t="s">
        <v>2993</v>
      </c>
      <c r="AG41" s="60">
        <v>0</v>
      </c>
      <c r="AH41" s="60">
        <v>-1</v>
      </c>
      <c r="AI41" s="60">
        <v>0</v>
      </c>
      <c r="AJ41" s="60">
        <v>-1</v>
      </c>
      <c r="AK41" s="60">
        <v>0</v>
      </c>
      <c r="AL41" s="60">
        <v>0</v>
      </c>
      <c r="AM41" s="59" t="s">
        <v>96</v>
      </c>
      <c r="AN41" s="59">
        <v>0</v>
      </c>
      <c r="AO41" s="243">
        <f t="shared" si="23"/>
        <v>14</v>
      </c>
      <c r="AP41" s="244">
        <f t="shared" si="24"/>
        <v>23</v>
      </c>
      <c r="AQ41" s="244">
        <f t="shared" si="25"/>
        <v>38</v>
      </c>
      <c r="AR41" s="244">
        <f t="shared" si="26"/>
        <v>46</v>
      </c>
      <c r="AS41" s="245">
        <v>58</v>
      </c>
      <c r="AT41">
        <f t="shared" si="3"/>
        <v>18</v>
      </c>
      <c r="AU41">
        <f t="shared" si="27"/>
        <v>12</v>
      </c>
      <c r="AV41">
        <f t="shared" si="28"/>
        <v>66</v>
      </c>
    </row>
    <row r="42" spans="2:48" x14ac:dyDescent="0.3">
      <c r="B42" s="59" t="s">
        <v>3021</v>
      </c>
      <c r="C42">
        <v>11</v>
      </c>
      <c r="D42" t="s">
        <v>553</v>
      </c>
      <c r="E42">
        <f t="shared" si="6"/>
        <v>20</v>
      </c>
      <c r="F42">
        <v>10</v>
      </c>
      <c r="G42" t="s">
        <v>553</v>
      </c>
      <c r="H42">
        <f t="shared" si="7"/>
        <v>19</v>
      </c>
      <c r="I42">
        <v>7</v>
      </c>
      <c r="J42" t="s">
        <v>553</v>
      </c>
      <c r="K42">
        <f t="shared" si="8"/>
        <v>16</v>
      </c>
      <c r="L42">
        <v>5</v>
      </c>
      <c r="M42" t="s">
        <v>553</v>
      </c>
      <c r="N42">
        <f t="shared" si="9"/>
        <v>14</v>
      </c>
      <c r="O42">
        <v>7</v>
      </c>
      <c r="P42" t="s">
        <v>553</v>
      </c>
      <c r="Q42">
        <f t="shared" si="10"/>
        <v>16</v>
      </c>
      <c r="R42">
        <v>4</v>
      </c>
      <c r="S42" t="s">
        <v>553</v>
      </c>
      <c r="T42">
        <f t="shared" si="11"/>
        <v>13</v>
      </c>
      <c r="U42" t="s">
        <v>3670</v>
      </c>
      <c r="V42" t="s">
        <v>3671</v>
      </c>
      <c r="W42" s="59" t="s">
        <v>294</v>
      </c>
      <c r="X42" s="59" t="s">
        <v>196</v>
      </c>
      <c r="Y42" s="59" t="s">
        <v>1203</v>
      </c>
      <c r="Z42" s="59" t="s">
        <v>357</v>
      </c>
      <c r="AA42" s="60">
        <v>1</v>
      </c>
      <c r="AB42" s="60">
        <v>-1</v>
      </c>
      <c r="AC42" s="59" t="s">
        <v>17</v>
      </c>
      <c r="AD42" s="60">
        <v>0</v>
      </c>
      <c r="AE42" s="60">
        <v>1</v>
      </c>
      <c r="AF42" s="571" t="s">
        <v>3022</v>
      </c>
      <c r="AG42" s="571">
        <v>3</v>
      </c>
      <c r="AH42" s="571">
        <v>2</v>
      </c>
      <c r="AI42" s="60">
        <v>0</v>
      </c>
      <c r="AJ42" s="60">
        <v>-1</v>
      </c>
      <c r="AK42" s="60">
        <v>0</v>
      </c>
      <c r="AL42" s="60">
        <v>2</v>
      </c>
      <c r="AM42" s="59" t="s">
        <v>95</v>
      </c>
      <c r="AN42" s="59">
        <v>2</v>
      </c>
      <c r="AO42" s="243">
        <f t="shared" ref="AO42:AO49" si="29">FLOOR(AS42/4,1)</f>
        <v>22</v>
      </c>
      <c r="AP42" s="244">
        <f t="shared" ref="AP42:AP49" si="30">FLOOR(AS42/5*2,1)</f>
        <v>36</v>
      </c>
      <c r="AQ42" s="244">
        <f t="shared" ref="AQ42:AQ49" si="31">FLOOR(AS42/3*2,1)</f>
        <v>60</v>
      </c>
      <c r="AR42" s="244">
        <f t="shared" ref="AR42:AR49" si="32">FLOOR(AS42/5*4,1)</f>
        <v>72</v>
      </c>
      <c r="AS42" s="245">
        <v>90</v>
      </c>
      <c r="AT42">
        <f t="shared" si="3"/>
        <v>44</v>
      </c>
      <c r="AU42">
        <f t="shared" si="4"/>
        <v>6</v>
      </c>
      <c r="AV42">
        <f t="shared" si="5"/>
        <v>68</v>
      </c>
    </row>
    <row r="43" spans="2:48" x14ac:dyDescent="0.3">
      <c r="B43" s="59" t="s">
        <v>3020</v>
      </c>
      <c r="C43">
        <v>12</v>
      </c>
      <c r="D43" t="s">
        <v>553</v>
      </c>
      <c r="E43">
        <f t="shared" si="6"/>
        <v>21</v>
      </c>
      <c r="F43">
        <v>9</v>
      </c>
      <c r="G43" t="s">
        <v>553</v>
      </c>
      <c r="H43">
        <f t="shared" si="7"/>
        <v>18</v>
      </c>
      <c r="I43">
        <v>7</v>
      </c>
      <c r="J43" t="s">
        <v>553</v>
      </c>
      <c r="K43">
        <f t="shared" si="8"/>
        <v>16</v>
      </c>
      <c r="L43">
        <v>5</v>
      </c>
      <c r="M43" t="s">
        <v>553</v>
      </c>
      <c r="N43">
        <f t="shared" si="9"/>
        <v>14</v>
      </c>
      <c r="O43">
        <v>7</v>
      </c>
      <c r="P43" t="s">
        <v>553</v>
      </c>
      <c r="Q43">
        <f t="shared" si="10"/>
        <v>16</v>
      </c>
      <c r="R43">
        <v>4</v>
      </c>
      <c r="S43" t="s">
        <v>553</v>
      </c>
      <c r="T43">
        <f t="shared" si="11"/>
        <v>13</v>
      </c>
      <c r="U43" t="s">
        <v>3670</v>
      </c>
      <c r="V43" t="s">
        <v>3671</v>
      </c>
      <c r="W43" s="59" t="s">
        <v>294</v>
      </c>
      <c r="X43" s="59" t="s">
        <v>196</v>
      </c>
      <c r="Y43" s="59" t="s">
        <v>1203</v>
      </c>
      <c r="Z43" s="59" t="s">
        <v>357</v>
      </c>
      <c r="AA43" s="60">
        <v>1</v>
      </c>
      <c r="AB43" s="60">
        <v>-1</v>
      </c>
      <c r="AC43" s="59" t="s">
        <v>17</v>
      </c>
      <c r="AD43" s="60">
        <v>0</v>
      </c>
      <c r="AE43" s="60">
        <v>1</v>
      </c>
      <c r="AF43" s="571" t="s">
        <v>3022</v>
      </c>
      <c r="AG43" s="571">
        <v>3</v>
      </c>
      <c r="AH43" s="571">
        <v>2</v>
      </c>
      <c r="AI43" s="60">
        <v>0</v>
      </c>
      <c r="AJ43" s="60">
        <v>-1</v>
      </c>
      <c r="AK43" s="60">
        <v>0</v>
      </c>
      <c r="AL43" s="60">
        <v>2</v>
      </c>
      <c r="AM43" s="59" t="s">
        <v>95</v>
      </c>
      <c r="AN43" s="59">
        <v>2</v>
      </c>
      <c r="AO43" s="243">
        <f t="shared" si="29"/>
        <v>22</v>
      </c>
      <c r="AP43" s="244">
        <f t="shared" si="30"/>
        <v>36</v>
      </c>
      <c r="AQ43" s="244">
        <f t="shared" si="31"/>
        <v>60</v>
      </c>
      <c r="AR43" s="244">
        <f t="shared" si="32"/>
        <v>72</v>
      </c>
      <c r="AS43" s="245">
        <v>90</v>
      </c>
      <c r="AT43">
        <f t="shared" si="3"/>
        <v>44</v>
      </c>
      <c r="AU43">
        <f t="shared" si="4"/>
        <v>6</v>
      </c>
      <c r="AV43">
        <f t="shared" si="5"/>
        <v>68</v>
      </c>
    </row>
    <row r="44" spans="2:48" x14ac:dyDescent="0.3">
      <c r="B44" s="59" t="s">
        <v>544</v>
      </c>
      <c r="C44">
        <v>12</v>
      </c>
      <c r="D44" t="s">
        <v>553</v>
      </c>
      <c r="E44">
        <f t="shared" si="6"/>
        <v>21</v>
      </c>
      <c r="F44">
        <v>9</v>
      </c>
      <c r="G44" t="s">
        <v>553</v>
      </c>
      <c r="H44">
        <f t="shared" si="7"/>
        <v>18</v>
      </c>
      <c r="I44">
        <v>10</v>
      </c>
      <c r="J44" t="s">
        <v>553</v>
      </c>
      <c r="K44">
        <f t="shared" si="8"/>
        <v>19</v>
      </c>
      <c r="L44">
        <v>8</v>
      </c>
      <c r="M44" t="s">
        <v>553</v>
      </c>
      <c r="N44">
        <f t="shared" si="9"/>
        <v>17</v>
      </c>
      <c r="O44">
        <v>7</v>
      </c>
      <c r="P44" t="s">
        <v>553</v>
      </c>
      <c r="Q44">
        <f t="shared" si="10"/>
        <v>16</v>
      </c>
      <c r="R44">
        <v>7</v>
      </c>
      <c r="S44" t="s">
        <v>553</v>
      </c>
      <c r="T44">
        <f t="shared" si="11"/>
        <v>16</v>
      </c>
      <c r="U44" t="s">
        <v>3672</v>
      </c>
      <c r="V44" t="s">
        <v>3673</v>
      </c>
      <c r="W44" s="59" t="s">
        <v>296</v>
      </c>
      <c r="X44" s="59" t="s">
        <v>2477</v>
      </c>
      <c r="Y44" s="59" t="s">
        <v>1211</v>
      </c>
      <c r="Z44" s="59" t="s">
        <v>357</v>
      </c>
      <c r="AA44" s="60">
        <v>1</v>
      </c>
      <c r="AB44" s="60">
        <v>-1</v>
      </c>
      <c r="AC44" s="59" t="s">
        <v>17</v>
      </c>
      <c r="AD44" s="60">
        <v>0</v>
      </c>
      <c r="AE44" s="60">
        <v>1</v>
      </c>
      <c r="AF44" s="60" t="s">
        <v>2993</v>
      </c>
      <c r="AG44" s="60">
        <v>0</v>
      </c>
      <c r="AH44" s="60">
        <v>-1</v>
      </c>
      <c r="AI44" s="60">
        <v>0</v>
      </c>
      <c r="AJ44" s="60">
        <v>0</v>
      </c>
      <c r="AK44" s="60">
        <v>1</v>
      </c>
      <c r="AL44" s="60">
        <v>1</v>
      </c>
      <c r="AM44" s="59" t="s">
        <v>96</v>
      </c>
      <c r="AN44" s="59">
        <v>2</v>
      </c>
      <c r="AO44" s="243">
        <f t="shared" si="29"/>
        <v>25</v>
      </c>
      <c r="AP44" s="244">
        <f t="shared" si="30"/>
        <v>40</v>
      </c>
      <c r="AQ44" s="244">
        <f t="shared" si="31"/>
        <v>66</v>
      </c>
      <c r="AR44" s="244">
        <f t="shared" si="32"/>
        <v>80</v>
      </c>
      <c r="AS44" s="245">
        <v>100</v>
      </c>
      <c r="AT44">
        <f t="shared" si="3"/>
        <v>53</v>
      </c>
      <c r="AU44">
        <f t="shared" si="4"/>
        <v>6</v>
      </c>
      <c r="AV44">
        <f t="shared" si="5"/>
        <v>77</v>
      </c>
    </row>
    <row r="45" spans="2:48" ht="15.75" customHeight="1" x14ac:dyDescent="0.3">
      <c r="B45" s="59" t="s">
        <v>1039</v>
      </c>
      <c r="C45">
        <v>10</v>
      </c>
      <c r="D45" t="s">
        <v>553</v>
      </c>
      <c r="E45">
        <f t="shared" si="6"/>
        <v>19</v>
      </c>
      <c r="F45">
        <v>10</v>
      </c>
      <c r="G45" t="s">
        <v>553</v>
      </c>
      <c r="H45">
        <f t="shared" si="7"/>
        <v>19</v>
      </c>
      <c r="I45">
        <v>11</v>
      </c>
      <c r="J45" t="s">
        <v>553</v>
      </c>
      <c r="K45">
        <f t="shared" si="8"/>
        <v>20</v>
      </c>
      <c r="L45">
        <v>8</v>
      </c>
      <c r="M45" t="s">
        <v>553</v>
      </c>
      <c r="N45">
        <f t="shared" si="9"/>
        <v>17</v>
      </c>
      <c r="O45">
        <v>7</v>
      </c>
      <c r="P45" t="s">
        <v>553</v>
      </c>
      <c r="Q45">
        <f t="shared" si="10"/>
        <v>16</v>
      </c>
      <c r="R45">
        <v>7</v>
      </c>
      <c r="S45" t="s">
        <v>553</v>
      </c>
      <c r="T45">
        <f t="shared" si="11"/>
        <v>16</v>
      </c>
      <c r="U45" t="s">
        <v>3672</v>
      </c>
      <c r="V45" t="s">
        <v>3673</v>
      </c>
      <c r="W45" s="59" t="s">
        <v>296</v>
      </c>
      <c r="X45" s="59" t="s">
        <v>2477</v>
      </c>
      <c r="Y45" s="59" t="s">
        <v>1211</v>
      </c>
      <c r="Z45" s="59" t="s">
        <v>357</v>
      </c>
      <c r="AA45" s="60">
        <v>1</v>
      </c>
      <c r="AB45" s="60">
        <v>-1</v>
      </c>
      <c r="AC45" s="59" t="s">
        <v>17</v>
      </c>
      <c r="AD45" s="60">
        <v>0</v>
      </c>
      <c r="AE45" s="60">
        <v>1</v>
      </c>
      <c r="AF45" s="60" t="s">
        <v>2993</v>
      </c>
      <c r="AG45" s="60">
        <v>0</v>
      </c>
      <c r="AH45" s="60">
        <v>-1</v>
      </c>
      <c r="AI45" s="60">
        <v>0</v>
      </c>
      <c r="AJ45" s="60">
        <v>0</v>
      </c>
      <c r="AK45" s="60">
        <v>1</v>
      </c>
      <c r="AL45" s="60">
        <v>1</v>
      </c>
      <c r="AM45" s="59" t="s">
        <v>96</v>
      </c>
      <c r="AN45" s="59">
        <v>2</v>
      </c>
      <c r="AO45" s="243">
        <f t="shared" si="29"/>
        <v>25</v>
      </c>
      <c r="AP45" s="244">
        <f t="shared" si="30"/>
        <v>40</v>
      </c>
      <c r="AQ45" s="244">
        <f t="shared" si="31"/>
        <v>66</v>
      </c>
      <c r="AR45" s="244">
        <f t="shared" si="32"/>
        <v>80</v>
      </c>
      <c r="AS45" s="245">
        <v>100</v>
      </c>
      <c r="AT45">
        <f t="shared" si="3"/>
        <v>53</v>
      </c>
      <c r="AU45">
        <f t="shared" si="4"/>
        <v>6</v>
      </c>
      <c r="AV45">
        <f t="shared" si="5"/>
        <v>77</v>
      </c>
    </row>
    <row r="46" spans="2:48" x14ac:dyDescent="0.3">
      <c r="B46" s="531" t="s">
        <v>545</v>
      </c>
      <c r="C46">
        <v>4</v>
      </c>
      <c r="D46" t="s">
        <v>552</v>
      </c>
      <c r="E46">
        <f t="shared" si="6"/>
        <v>19</v>
      </c>
      <c r="F46">
        <v>6</v>
      </c>
      <c r="G46" t="s">
        <v>552</v>
      </c>
      <c r="H46">
        <f t="shared" si="7"/>
        <v>21</v>
      </c>
      <c r="I46">
        <v>5</v>
      </c>
      <c r="J46" t="s">
        <v>552</v>
      </c>
      <c r="K46">
        <f t="shared" si="8"/>
        <v>20</v>
      </c>
      <c r="L46">
        <v>1</v>
      </c>
      <c r="M46" t="s">
        <v>552</v>
      </c>
      <c r="N46">
        <f t="shared" si="9"/>
        <v>16</v>
      </c>
      <c r="O46">
        <v>2</v>
      </c>
      <c r="P46" t="s">
        <v>552</v>
      </c>
      <c r="Q46">
        <f t="shared" si="10"/>
        <v>17</v>
      </c>
      <c r="R46">
        <v>0</v>
      </c>
      <c r="S46" t="s">
        <v>552</v>
      </c>
      <c r="T46">
        <f t="shared" si="11"/>
        <v>15</v>
      </c>
      <c r="U46" t="s">
        <v>3674</v>
      </c>
      <c r="V46" t="s">
        <v>3653</v>
      </c>
      <c r="W46" s="59" t="s">
        <v>294</v>
      </c>
      <c r="X46" s="59" t="s">
        <v>191</v>
      </c>
      <c r="Y46" s="59" t="s">
        <v>1211</v>
      </c>
      <c r="Z46" s="59" t="s">
        <v>5639</v>
      </c>
      <c r="AA46" s="60">
        <v>2</v>
      </c>
      <c r="AB46" s="60">
        <v>0</v>
      </c>
      <c r="AC46" s="59" t="s">
        <v>17</v>
      </c>
      <c r="AD46" s="60">
        <v>0</v>
      </c>
      <c r="AE46" s="60">
        <v>1</v>
      </c>
      <c r="AF46" s="60" t="s">
        <v>2993</v>
      </c>
      <c r="AG46" s="571">
        <v>1</v>
      </c>
      <c r="AH46" s="571">
        <v>2</v>
      </c>
      <c r="AI46" s="60">
        <v>0</v>
      </c>
      <c r="AJ46" s="60">
        <v>0</v>
      </c>
      <c r="AK46" s="60">
        <v>0</v>
      </c>
      <c r="AL46" s="60">
        <v>1</v>
      </c>
      <c r="AM46" s="59" t="s">
        <v>95</v>
      </c>
      <c r="AN46" s="59">
        <v>1</v>
      </c>
      <c r="AO46" s="243">
        <f t="shared" si="29"/>
        <v>15</v>
      </c>
      <c r="AP46" s="244">
        <f t="shared" si="30"/>
        <v>25</v>
      </c>
      <c r="AQ46" s="244">
        <f t="shared" si="31"/>
        <v>42</v>
      </c>
      <c r="AR46" s="244">
        <f t="shared" si="32"/>
        <v>50</v>
      </c>
      <c r="AS46" s="245">
        <v>63</v>
      </c>
      <c r="AT46">
        <f t="shared" si="3"/>
        <v>18</v>
      </c>
      <c r="AU46">
        <f t="shared" si="4"/>
        <v>12</v>
      </c>
      <c r="AV46">
        <f t="shared" si="5"/>
        <v>66</v>
      </c>
    </row>
    <row r="47" spans="2:48" x14ac:dyDescent="0.3">
      <c r="B47" s="531" t="s">
        <v>1040</v>
      </c>
      <c r="C47">
        <v>3</v>
      </c>
      <c r="D47" t="s">
        <v>552</v>
      </c>
      <c r="E47">
        <f t="shared" si="6"/>
        <v>18</v>
      </c>
      <c r="F47">
        <v>7</v>
      </c>
      <c r="G47" t="s">
        <v>552</v>
      </c>
      <c r="H47">
        <f t="shared" si="7"/>
        <v>22</v>
      </c>
      <c r="I47">
        <v>5</v>
      </c>
      <c r="J47" t="s">
        <v>552</v>
      </c>
      <c r="K47">
        <f t="shared" si="8"/>
        <v>20</v>
      </c>
      <c r="L47">
        <v>1</v>
      </c>
      <c r="M47" t="s">
        <v>552</v>
      </c>
      <c r="N47">
        <f t="shared" si="9"/>
        <v>16</v>
      </c>
      <c r="O47">
        <v>2</v>
      </c>
      <c r="P47" t="s">
        <v>552</v>
      </c>
      <c r="Q47">
        <f t="shared" si="10"/>
        <v>17</v>
      </c>
      <c r="R47">
        <v>0</v>
      </c>
      <c r="S47" t="s">
        <v>552</v>
      </c>
      <c r="T47">
        <f t="shared" si="11"/>
        <v>15</v>
      </c>
      <c r="U47" t="s">
        <v>3674</v>
      </c>
      <c r="V47" t="s">
        <v>3653</v>
      </c>
      <c r="W47" s="59" t="s">
        <v>294</v>
      </c>
      <c r="X47" s="59" t="s">
        <v>191</v>
      </c>
      <c r="Y47" s="59" t="s">
        <v>1211</v>
      </c>
      <c r="Z47" s="59" t="s">
        <v>5639</v>
      </c>
      <c r="AA47" s="60">
        <v>2</v>
      </c>
      <c r="AB47" s="60">
        <v>0</v>
      </c>
      <c r="AC47" s="59" t="s">
        <v>17</v>
      </c>
      <c r="AD47" s="60">
        <v>0</v>
      </c>
      <c r="AE47" s="60">
        <v>1</v>
      </c>
      <c r="AF47" s="60" t="s">
        <v>2993</v>
      </c>
      <c r="AG47" s="571">
        <v>1</v>
      </c>
      <c r="AH47" s="571">
        <v>2</v>
      </c>
      <c r="AI47" s="60">
        <v>0</v>
      </c>
      <c r="AJ47" s="60">
        <v>0</v>
      </c>
      <c r="AK47" s="60">
        <v>0</v>
      </c>
      <c r="AL47" s="60">
        <v>1</v>
      </c>
      <c r="AM47" s="59" t="s">
        <v>95</v>
      </c>
      <c r="AN47" s="59">
        <v>1</v>
      </c>
      <c r="AO47" s="243">
        <f t="shared" si="29"/>
        <v>15</v>
      </c>
      <c r="AP47" s="244">
        <f t="shared" si="30"/>
        <v>25</v>
      </c>
      <c r="AQ47" s="244">
        <f t="shared" si="31"/>
        <v>42</v>
      </c>
      <c r="AR47" s="244">
        <f t="shared" si="32"/>
        <v>50</v>
      </c>
      <c r="AS47" s="245">
        <v>63</v>
      </c>
      <c r="AT47">
        <f t="shared" si="3"/>
        <v>18</v>
      </c>
      <c r="AU47">
        <f t="shared" si="4"/>
        <v>12</v>
      </c>
      <c r="AV47">
        <f t="shared" si="5"/>
        <v>66</v>
      </c>
    </row>
    <row r="48" spans="2:48" x14ac:dyDescent="0.3">
      <c r="B48" s="59" t="s">
        <v>223</v>
      </c>
      <c r="C48">
        <v>10</v>
      </c>
      <c r="D48" t="s">
        <v>553</v>
      </c>
      <c r="E48">
        <f t="shared" si="6"/>
        <v>19</v>
      </c>
      <c r="F48">
        <v>6</v>
      </c>
      <c r="G48" t="s">
        <v>553</v>
      </c>
      <c r="H48">
        <f t="shared" si="7"/>
        <v>15</v>
      </c>
      <c r="I48">
        <v>6</v>
      </c>
      <c r="J48" t="s">
        <v>553</v>
      </c>
      <c r="K48">
        <f t="shared" si="8"/>
        <v>15</v>
      </c>
      <c r="L48">
        <v>4</v>
      </c>
      <c r="M48" t="s">
        <v>553</v>
      </c>
      <c r="N48">
        <f t="shared" si="9"/>
        <v>13</v>
      </c>
      <c r="O48">
        <v>6</v>
      </c>
      <c r="P48" t="s">
        <v>553</v>
      </c>
      <c r="Q48">
        <f t="shared" si="10"/>
        <v>15</v>
      </c>
      <c r="R48">
        <v>1</v>
      </c>
      <c r="S48" t="s">
        <v>553</v>
      </c>
      <c r="T48">
        <f t="shared" si="11"/>
        <v>10</v>
      </c>
      <c r="U48" t="s">
        <v>3675</v>
      </c>
      <c r="V48" t="s">
        <v>3676</v>
      </c>
      <c r="W48" s="59" t="s">
        <v>199</v>
      </c>
      <c r="X48" s="59" t="s">
        <v>190</v>
      </c>
      <c r="Y48" s="59" t="s">
        <v>1206</v>
      </c>
      <c r="Z48" s="59" t="s">
        <v>357</v>
      </c>
      <c r="AA48" s="60">
        <v>1</v>
      </c>
      <c r="AB48" s="60">
        <v>-1</v>
      </c>
      <c r="AC48" s="59" t="s">
        <v>17</v>
      </c>
      <c r="AD48" s="60">
        <v>0</v>
      </c>
      <c r="AE48" s="60">
        <v>1</v>
      </c>
      <c r="AF48" s="571" t="s">
        <v>2997</v>
      </c>
      <c r="AG48" s="571">
        <v>1</v>
      </c>
      <c r="AH48" s="571">
        <v>1</v>
      </c>
      <c r="AI48" s="60">
        <v>0</v>
      </c>
      <c r="AJ48" s="60">
        <v>0</v>
      </c>
      <c r="AK48" s="60">
        <v>0</v>
      </c>
      <c r="AL48" s="60">
        <v>0</v>
      </c>
      <c r="AM48" s="59" t="s">
        <v>95</v>
      </c>
      <c r="AN48" s="59">
        <v>0</v>
      </c>
      <c r="AO48" s="243">
        <f t="shared" si="29"/>
        <v>17</v>
      </c>
      <c r="AP48" s="244">
        <f t="shared" si="30"/>
        <v>28</v>
      </c>
      <c r="AQ48" s="244">
        <f t="shared" si="31"/>
        <v>46</v>
      </c>
      <c r="AR48" s="244">
        <f t="shared" si="32"/>
        <v>56</v>
      </c>
      <c r="AS48" s="245">
        <v>70</v>
      </c>
      <c r="AT48">
        <f t="shared" ref="AT48:AT86" si="33">C48+L48+I48+F48+O48+R48</f>
        <v>33</v>
      </c>
      <c r="AU48">
        <f t="shared" ref="AU48:AU84" si="34">IF(D48="3k6",3,IF(D48="2k6",2,1))+IF(M48="3k6",3,IF(M48="2k6",2,1))+IF(J48="3k6",3,IF(J48="2k6",2,1))+IF(G48="3k6",3,IF(G48="2k6",2,1))+IF(P48="3k6",3,IF(P48="2k6",2,1))+IF(S48="3k6",3,IF(S48="2k6",2,1))</f>
        <v>6</v>
      </c>
      <c r="AV48">
        <f t="shared" ref="AV48:AV84" si="35">AT48+AU48*4</f>
        <v>57</v>
      </c>
    </row>
    <row r="49" spans="2:48" x14ac:dyDescent="0.3">
      <c r="B49" s="59" t="s">
        <v>1000</v>
      </c>
      <c r="C49">
        <v>9</v>
      </c>
      <c r="D49" t="s">
        <v>553</v>
      </c>
      <c r="E49">
        <f t="shared" si="6"/>
        <v>18</v>
      </c>
      <c r="F49">
        <v>6</v>
      </c>
      <c r="G49" t="s">
        <v>553</v>
      </c>
      <c r="H49">
        <f t="shared" si="7"/>
        <v>15</v>
      </c>
      <c r="I49">
        <v>6</v>
      </c>
      <c r="J49" t="s">
        <v>553</v>
      </c>
      <c r="K49">
        <f t="shared" si="8"/>
        <v>15</v>
      </c>
      <c r="L49">
        <v>3</v>
      </c>
      <c r="M49" t="s">
        <v>553</v>
      </c>
      <c r="N49">
        <f t="shared" si="9"/>
        <v>12</v>
      </c>
      <c r="O49">
        <v>6</v>
      </c>
      <c r="P49" t="s">
        <v>553</v>
      </c>
      <c r="Q49">
        <f t="shared" si="10"/>
        <v>15</v>
      </c>
      <c r="R49">
        <v>1</v>
      </c>
      <c r="S49" t="s">
        <v>553</v>
      </c>
      <c r="T49">
        <f t="shared" si="11"/>
        <v>10</v>
      </c>
      <c r="U49" t="s">
        <v>3675</v>
      </c>
      <c r="V49" t="s">
        <v>3676</v>
      </c>
      <c r="W49" s="59" t="s">
        <v>199</v>
      </c>
      <c r="X49" s="59" t="s">
        <v>190</v>
      </c>
      <c r="Y49" s="59" t="s">
        <v>1206</v>
      </c>
      <c r="Z49" s="59" t="s">
        <v>357</v>
      </c>
      <c r="AA49" s="60">
        <v>1</v>
      </c>
      <c r="AB49" s="60">
        <v>-1</v>
      </c>
      <c r="AC49" s="59" t="s">
        <v>17</v>
      </c>
      <c r="AD49" s="60">
        <v>0</v>
      </c>
      <c r="AE49" s="60">
        <v>1</v>
      </c>
      <c r="AF49" s="571" t="s">
        <v>2997</v>
      </c>
      <c r="AG49" s="571">
        <v>1</v>
      </c>
      <c r="AH49" s="571">
        <v>1</v>
      </c>
      <c r="AI49" s="60">
        <v>0</v>
      </c>
      <c r="AJ49" s="60">
        <v>0</v>
      </c>
      <c r="AK49" s="60">
        <v>0</v>
      </c>
      <c r="AL49" s="60">
        <v>0</v>
      </c>
      <c r="AM49" s="59" t="s">
        <v>95</v>
      </c>
      <c r="AN49" s="59">
        <v>0</v>
      </c>
      <c r="AO49" s="243">
        <f t="shared" si="29"/>
        <v>17</v>
      </c>
      <c r="AP49" s="244">
        <f t="shared" si="30"/>
        <v>28</v>
      </c>
      <c r="AQ49" s="244">
        <f t="shared" si="31"/>
        <v>46</v>
      </c>
      <c r="AR49" s="244">
        <f t="shared" si="32"/>
        <v>56</v>
      </c>
      <c r="AS49" s="245">
        <v>70</v>
      </c>
      <c r="AT49">
        <f t="shared" si="33"/>
        <v>31</v>
      </c>
      <c r="AU49">
        <f t="shared" si="34"/>
        <v>6</v>
      </c>
      <c r="AV49">
        <f t="shared" si="35"/>
        <v>55</v>
      </c>
    </row>
    <row r="50" spans="2:48" x14ac:dyDescent="0.3">
      <c r="B50" s="59" t="s">
        <v>3677</v>
      </c>
      <c r="C50">
        <v>10</v>
      </c>
      <c r="D50" t="s">
        <v>553</v>
      </c>
      <c r="E50">
        <f t="shared" si="6"/>
        <v>19</v>
      </c>
      <c r="F50">
        <v>17</v>
      </c>
      <c r="G50" t="s">
        <v>553</v>
      </c>
      <c r="H50">
        <f t="shared" si="7"/>
        <v>26</v>
      </c>
      <c r="I50">
        <v>7</v>
      </c>
      <c r="J50" t="s">
        <v>553</v>
      </c>
      <c r="K50">
        <f t="shared" si="8"/>
        <v>16</v>
      </c>
      <c r="L50">
        <v>9</v>
      </c>
      <c r="M50" t="s">
        <v>553</v>
      </c>
      <c r="N50">
        <f t="shared" si="9"/>
        <v>18</v>
      </c>
      <c r="O50">
        <v>9</v>
      </c>
      <c r="P50" t="s">
        <v>553</v>
      </c>
      <c r="Q50">
        <f t="shared" si="10"/>
        <v>18</v>
      </c>
      <c r="R50">
        <v>9</v>
      </c>
      <c r="S50" t="s">
        <v>553</v>
      </c>
      <c r="T50">
        <f t="shared" si="11"/>
        <v>18</v>
      </c>
      <c r="U50" t="s">
        <v>3678</v>
      </c>
      <c r="V50" t="s">
        <v>3679</v>
      </c>
      <c r="W50" s="59" t="s">
        <v>292</v>
      </c>
      <c r="X50" s="59" t="s">
        <v>193</v>
      </c>
      <c r="Y50" s="59" t="s">
        <v>1203</v>
      </c>
      <c r="Z50" s="59" t="s">
        <v>2996</v>
      </c>
      <c r="AA50" s="60">
        <v>4</v>
      </c>
      <c r="AB50" s="60">
        <v>3</v>
      </c>
      <c r="AC50" s="59" t="s">
        <v>17</v>
      </c>
      <c r="AD50" s="60">
        <v>0</v>
      </c>
      <c r="AE50" s="60">
        <v>1</v>
      </c>
      <c r="AF50" s="60" t="s">
        <v>2993</v>
      </c>
      <c r="AG50" s="573">
        <v>2</v>
      </c>
      <c r="AH50" s="571">
        <v>1</v>
      </c>
      <c r="AI50" s="60">
        <v>0</v>
      </c>
      <c r="AJ50" s="60">
        <v>2</v>
      </c>
      <c r="AK50" s="60">
        <v>0</v>
      </c>
      <c r="AL50" s="60">
        <v>0</v>
      </c>
      <c r="AM50" s="59" t="s">
        <v>96</v>
      </c>
      <c r="AN50" s="59">
        <v>5</v>
      </c>
      <c r="AO50" s="243">
        <v>33</v>
      </c>
      <c r="AP50" s="244">
        <v>333</v>
      </c>
      <c r="AQ50" s="244">
        <v>999</v>
      </c>
      <c r="AR50" s="244">
        <v>9999</v>
      </c>
      <c r="AS50" s="245">
        <v>99999</v>
      </c>
      <c r="AT50">
        <f t="shared" si="33"/>
        <v>61</v>
      </c>
      <c r="AU50">
        <f t="shared" si="34"/>
        <v>6</v>
      </c>
      <c r="AV50">
        <f t="shared" si="35"/>
        <v>85</v>
      </c>
    </row>
    <row r="51" spans="2:48" x14ac:dyDescent="0.3">
      <c r="B51" s="531" t="s">
        <v>224</v>
      </c>
      <c r="C51">
        <v>8</v>
      </c>
      <c r="D51" t="s">
        <v>552</v>
      </c>
      <c r="E51">
        <f t="shared" si="6"/>
        <v>23</v>
      </c>
      <c r="F51">
        <v>5</v>
      </c>
      <c r="G51" t="s">
        <v>552</v>
      </c>
      <c r="H51">
        <f t="shared" si="7"/>
        <v>20</v>
      </c>
      <c r="I51">
        <v>5</v>
      </c>
      <c r="J51" t="s">
        <v>553</v>
      </c>
      <c r="K51">
        <f t="shared" si="8"/>
        <v>14</v>
      </c>
      <c r="L51">
        <v>2</v>
      </c>
      <c r="M51" t="s">
        <v>553</v>
      </c>
      <c r="N51">
        <f t="shared" si="9"/>
        <v>11</v>
      </c>
      <c r="O51">
        <v>3</v>
      </c>
      <c r="P51" t="s">
        <v>552</v>
      </c>
      <c r="Q51">
        <f t="shared" si="10"/>
        <v>18</v>
      </c>
      <c r="R51">
        <v>1</v>
      </c>
      <c r="S51" t="s">
        <v>552</v>
      </c>
      <c r="T51">
        <f t="shared" si="11"/>
        <v>16</v>
      </c>
      <c r="U51" t="s">
        <v>3680</v>
      </c>
      <c r="V51" t="s">
        <v>3681</v>
      </c>
      <c r="W51" s="59" t="s">
        <v>296</v>
      </c>
      <c r="X51" s="59" t="s">
        <v>196</v>
      </c>
      <c r="Y51" s="59" t="s">
        <v>1207</v>
      </c>
      <c r="Z51" s="59" t="s">
        <v>357</v>
      </c>
      <c r="AA51" s="60">
        <v>1</v>
      </c>
      <c r="AB51" s="60">
        <v>-1</v>
      </c>
      <c r="AC51" s="59" t="s">
        <v>17</v>
      </c>
      <c r="AD51" s="60">
        <v>0</v>
      </c>
      <c r="AE51" s="60">
        <v>1</v>
      </c>
      <c r="AF51" s="60" t="s">
        <v>2993</v>
      </c>
      <c r="AG51" s="60">
        <v>0</v>
      </c>
      <c r="AH51" s="60">
        <v>-1</v>
      </c>
      <c r="AI51" s="60">
        <v>0</v>
      </c>
      <c r="AJ51" s="60">
        <v>-1</v>
      </c>
      <c r="AK51" s="60">
        <v>0</v>
      </c>
      <c r="AL51" s="60">
        <v>0</v>
      </c>
      <c r="AM51" s="59" t="s">
        <v>96</v>
      </c>
      <c r="AN51" s="59">
        <v>0</v>
      </c>
      <c r="AO51" s="243">
        <f t="shared" ref="AO51:AO83" si="36">FLOOR(AS51/4,1)</f>
        <v>13</v>
      </c>
      <c r="AP51" s="244">
        <f t="shared" ref="AP51:AP83" si="37">FLOOR(AS51/5*2,1)</f>
        <v>22</v>
      </c>
      <c r="AQ51" s="244">
        <f t="shared" ref="AQ51:AQ83" si="38">FLOOR(AS51/3*2,1)</f>
        <v>36</v>
      </c>
      <c r="AR51" s="244">
        <f t="shared" ref="AR51:AR83" si="39">FLOOR(AS51/5*4,1)</f>
        <v>44</v>
      </c>
      <c r="AS51" s="245">
        <v>55</v>
      </c>
      <c r="AT51">
        <f t="shared" si="33"/>
        <v>24</v>
      </c>
      <c r="AU51">
        <f t="shared" si="34"/>
        <v>10</v>
      </c>
      <c r="AV51">
        <f t="shared" si="35"/>
        <v>64</v>
      </c>
    </row>
    <row r="52" spans="2:48" x14ac:dyDescent="0.3">
      <c r="B52" s="531" t="s">
        <v>1001</v>
      </c>
      <c r="C52">
        <v>6</v>
      </c>
      <c r="D52" t="s">
        <v>552</v>
      </c>
      <c r="E52">
        <f t="shared" si="6"/>
        <v>21</v>
      </c>
      <c r="F52">
        <v>5</v>
      </c>
      <c r="G52" t="s">
        <v>552</v>
      </c>
      <c r="H52">
        <f t="shared" si="7"/>
        <v>20</v>
      </c>
      <c r="I52">
        <v>7</v>
      </c>
      <c r="J52" t="s">
        <v>553</v>
      </c>
      <c r="K52">
        <f t="shared" si="8"/>
        <v>16</v>
      </c>
      <c r="L52">
        <v>2</v>
      </c>
      <c r="M52" t="s">
        <v>553</v>
      </c>
      <c r="N52">
        <f t="shared" si="9"/>
        <v>11</v>
      </c>
      <c r="O52">
        <v>3</v>
      </c>
      <c r="P52" t="s">
        <v>552</v>
      </c>
      <c r="Q52">
        <f t="shared" si="10"/>
        <v>18</v>
      </c>
      <c r="R52">
        <v>1</v>
      </c>
      <c r="S52" t="s">
        <v>552</v>
      </c>
      <c r="T52">
        <f t="shared" si="11"/>
        <v>16</v>
      </c>
      <c r="U52" t="s">
        <v>3680</v>
      </c>
      <c r="V52" t="s">
        <v>3681</v>
      </c>
      <c r="W52" s="59" t="s">
        <v>296</v>
      </c>
      <c r="X52" s="59" t="s">
        <v>196</v>
      </c>
      <c r="Y52" s="59" t="s">
        <v>1207</v>
      </c>
      <c r="Z52" s="59" t="s">
        <v>357</v>
      </c>
      <c r="AA52" s="60">
        <v>1</v>
      </c>
      <c r="AB52" s="60">
        <v>-1</v>
      </c>
      <c r="AC52" s="59" t="s">
        <v>17</v>
      </c>
      <c r="AD52" s="60">
        <v>0</v>
      </c>
      <c r="AE52" s="60">
        <v>1</v>
      </c>
      <c r="AF52" s="60" t="s">
        <v>2993</v>
      </c>
      <c r="AG52" s="60">
        <v>0</v>
      </c>
      <c r="AH52" s="60">
        <v>-1</v>
      </c>
      <c r="AI52" s="60">
        <v>0</v>
      </c>
      <c r="AJ52" s="60">
        <v>-1</v>
      </c>
      <c r="AK52" s="60">
        <v>0</v>
      </c>
      <c r="AL52" s="60">
        <v>0</v>
      </c>
      <c r="AM52" s="59" t="s">
        <v>96</v>
      </c>
      <c r="AN52" s="59">
        <v>0</v>
      </c>
      <c r="AO52" s="243">
        <f t="shared" si="36"/>
        <v>13</v>
      </c>
      <c r="AP52" s="244">
        <f t="shared" si="37"/>
        <v>22</v>
      </c>
      <c r="AQ52" s="244">
        <f t="shared" si="38"/>
        <v>36</v>
      </c>
      <c r="AR52" s="244">
        <f t="shared" si="39"/>
        <v>44</v>
      </c>
      <c r="AS52" s="245">
        <v>55</v>
      </c>
      <c r="AT52">
        <f t="shared" si="33"/>
        <v>24</v>
      </c>
      <c r="AU52">
        <f t="shared" si="34"/>
        <v>10</v>
      </c>
      <c r="AV52">
        <f t="shared" si="35"/>
        <v>64</v>
      </c>
    </row>
    <row r="53" spans="2:48" x14ac:dyDescent="0.3">
      <c r="B53" s="531" t="s">
        <v>1002</v>
      </c>
      <c r="C53">
        <v>4</v>
      </c>
      <c r="D53" t="s">
        <v>552</v>
      </c>
      <c r="E53">
        <f t="shared" si="6"/>
        <v>19</v>
      </c>
      <c r="F53">
        <v>5</v>
      </c>
      <c r="G53" t="s">
        <v>552</v>
      </c>
      <c r="H53">
        <f t="shared" si="7"/>
        <v>20</v>
      </c>
      <c r="I53">
        <v>4</v>
      </c>
      <c r="J53" t="s">
        <v>552</v>
      </c>
      <c r="K53">
        <f t="shared" si="8"/>
        <v>19</v>
      </c>
      <c r="L53">
        <v>1</v>
      </c>
      <c r="M53" t="s">
        <v>552</v>
      </c>
      <c r="N53">
        <f t="shared" si="9"/>
        <v>16</v>
      </c>
      <c r="O53">
        <v>2</v>
      </c>
      <c r="P53" t="s">
        <v>552</v>
      </c>
      <c r="Q53">
        <f t="shared" si="10"/>
        <v>17</v>
      </c>
      <c r="R53">
        <v>1</v>
      </c>
      <c r="S53" t="s">
        <v>552</v>
      </c>
      <c r="T53">
        <f t="shared" si="11"/>
        <v>16</v>
      </c>
      <c r="U53" t="s">
        <v>3682</v>
      </c>
      <c r="V53" t="s">
        <v>3683</v>
      </c>
      <c r="W53" s="59" t="s">
        <v>294</v>
      </c>
      <c r="X53" s="59" t="s">
        <v>190</v>
      </c>
      <c r="Y53" s="59" t="s">
        <v>1207</v>
      </c>
      <c r="Z53" s="59" t="s">
        <v>357</v>
      </c>
      <c r="AA53" s="60">
        <v>1</v>
      </c>
      <c r="AB53" s="60">
        <v>-1</v>
      </c>
      <c r="AC53" s="59" t="s">
        <v>17</v>
      </c>
      <c r="AD53" s="60">
        <v>0</v>
      </c>
      <c r="AE53" s="60">
        <v>1</v>
      </c>
      <c r="AF53" s="60" t="s">
        <v>2993</v>
      </c>
      <c r="AG53" s="573">
        <v>1</v>
      </c>
      <c r="AH53" s="573">
        <v>3</v>
      </c>
      <c r="AI53" s="60">
        <v>0</v>
      </c>
      <c r="AJ53" s="60">
        <v>1</v>
      </c>
      <c r="AK53" s="60">
        <v>0</v>
      </c>
      <c r="AL53" s="60">
        <v>2</v>
      </c>
      <c r="AM53" s="59" t="s">
        <v>95</v>
      </c>
      <c r="AN53" s="59">
        <v>1</v>
      </c>
      <c r="AO53" s="243">
        <f t="shared" si="36"/>
        <v>18</v>
      </c>
      <c r="AP53" s="244">
        <f t="shared" si="37"/>
        <v>30</v>
      </c>
      <c r="AQ53" s="244">
        <f t="shared" si="38"/>
        <v>50</v>
      </c>
      <c r="AR53" s="244">
        <f t="shared" si="39"/>
        <v>60</v>
      </c>
      <c r="AS53" s="245">
        <v>75</v>
      </c>
      <c r="AT53">
        <f t="shared" si="33"/>
        <v>17</v>
      </c>
      <c r="AU53">
        <f t="shared" si="34"/>
        <v>12</v>
      </c>
      <c r="AV53">
        <f t="shared" si="35"/>
        <v>65</v>
      </c>
    </row>
    <row r="54" spans="2:48" x14ac:dyDescent="0.3">
      <c r="B54" s="531" t="s">
        <v>225</v>
      </c>
      <c r="C54">
        <v>4</v>
      </c>
      <c r="D54" t="s">
        <v>552</v>
      </c>
      <c r="E54">
        <f t="shared" si="6"/>
        <v>19</v>
      </c>
      <c r="F54">
        <v>5</v>
      </c>
      <c r="G54" t="s">
        <v>552</v>
      </c>
      <c r="H54">
        <f t="shared" si="7"/>
        <v>20</v>
      </c>
      <c r="I54">
        <v>4</v>
      </c>
      <c r="J54" t="s">
        <v>552</v>
      </c>
      <c r="K54">
        <f t="shared" si="8"/>
        <v>19</v>
      </c>
      <c r="L54">
        <v>1</v>
      </c>
      <c r="M54" t="s">
        <v>552</v>
      </c>
      <c r="N54">
        <f t="shared" si="9"/>
        <v>16</v>
      </c>
      <c r="O54">
        <v>2</v>
      </c>
      <c r="P54" t="s">
        <v>552</v>
      </c>
      <c r="Q54">
        <f t="shared" si="10"/>
        <v>17</v>
      </c>
      <c r="R54">
        <v>1</v>
      </c>
      <c r="S54" t="s">
        <v>552</v>
      </c>
      <c r="T54">
        <f t="shared" si="11"/>
        <v>16</v>
      </c>
      <c r="U54" t="s">
        <v>3682</v>
      </c>
      <c r="V54" t="s">
        <v>3683</v>
      </c>
      <c r="W54" s="59" t="s">
        <v>294</v>
      </c>
      <c r="X54" s="59" t="s">
        <v>190</v>
      </c>
      <c r="Y54" s="59" t="s">
        <v>1207</v>
      </c>
      <c r="Z54" s="59" t="s">
        <v>357</v>
      </c>
      <c r="AA54" s="60">
        <v>1</v>
      </c>
      <c r="AB54" s="60">
        <v>-1</v>
      </c>
      <c r="AC54" s="59" t="s">
        <v>17</v>
      </c>
      <c r="AD54" s="60">
        <v>0</v>
      </c>
      <c r="AE54" s="60">
        <v>1</v>
      </c>
      <c r="AF54" s="60" t="s">
        <v>2993</v>
      </c>
      <c r="AG54" s="573">
        <v>1</v>
      </c>
      <c r="AH54" s="573">
        <v>3</v>
      </c>
      <c r="AI54" s="60">
        <v>0</v>
      </c>
      <c r="AJ54" s="60">
        <v>1</v>
      </c>
      <c r="AK54" s="60">
        <v>0</v>
      </c>
      <c r="AL54" s="60">
        <v>2</v>
      </c>
      <c r="AM54" s="59" t="s">
        <v>95</v>
      </c>
      <c r="AN54" s="59">
        <v>1</v>
      </c>
      <c r="AO54" s="243">
        <f t="shared" si="36"/>
        <v>18</v>
      </c>
      <c r="AP54" s="244">
        <f t="shared" si="37"/>
        <v>30</v>
      </c>
      <c r="AQ54" s="244">
        <f t="shared" si="38"/>
        <v>50</v>
      </c>
      <c r="AR54" s="244">
        <f t="shared" si="39"/>
        <v>60</v>
      </c>
      <c r="AS54" s="245">
        <v>75</v>
      </c>
      <c r="AT54">
        <f t="shared" si="33"/>
        <v>17</v>
      </c>
      <c r="AU54">
        <f t="shared" si="34"/>
        <v>12</v>
      </c>
      <c r="AV54">
        <f t="shared" si="35"/>
        <v>65</v>
      </c>
    </row>
    <row r="55" spans="2:48" x14ac:dyDescent="0.3">
      <c r="B55" s="531" t="s">
        <v>1003</v>
      </c>
      <c r="C55">
        <v>0</v>
      </c>
      <c r="D55" t="s">
        <v>552</v>
      </c>
      <c r="E55">
        <f t="shared" si="6"/>
        <v>15</v>
      </c>
      <c r="F55">
        <v>5</v>
      </c>
      <c r="G55" t="s">
        <v>552</v>
      </c>
      <c r="H55">
        <f t="shared" si="7"/>
        <v>20</v>
      </c>
      <c r="I55">
        <v>5</v>
      </c>
      <c r="J55" t="s">
        <v>552</v>
      </c>
      <c r="K55">
        <f t="shared" si="8"/>
        <v>20</v>
      </c>
      <c r="L55">
        <v>3</v>
      </c>
      <c r="M55" t="s">
        <v>552</v>
      </c>
      <c r="N55">
        <f t="shared" si="9"/>
        <v>18</v>
      </c>
      <c r="O55">
        <v>4</v>
      </c>
      <c r="P55" t="s">
        <v>552</v>
      </c>
      <c r="Q55">
        <f t="shared" si="10"/>
        <v>19</v>
      </c>
      <c r="R55">
        <v>1</v>
      </c>
      <c r="S55" t="s">
        <v>552</v>
      </c>
      <c r="T55">
        <f t="shared" si="11"/>
        <v>16</v>
      </c>
      <c r="U55" t="s">
        <v>3686</v>
      </c>
      <c r="V55" t="s">
        <v>3687</v>
      </c>
      <c r="W55" s="59" t="s">
        <v>295</v>
      </c>
      <c r="X55" s="59" t="s">
        <v>2477</v>
      </c>
      <c r="Y55" s="59" t="s">
        <v>1207</v>
      </c>
      <c r="Z55" s="59" t="s">
        <v>357</v>
      </c>
      <c r="AA55" s="60">
        <v>1</v>
      </c>
      <c r="AB55" s="60">
        <v>-1</v>
      </c>
      <c r="AC55" s="59" t="s">
        <v>17</v>
      </c>
      <c r="AD55" s="60">
        <v>0</v>
      </c>
      <c r="AE55" s="60">
        <v>1</v>
      </c>
      <c r="AF55" s="60" t="s">
        <v>2993</v>
      </c>
      <c r="AG55" s="60">
        <v>0</v>
      </c>
      <c r="AH55" s="60">
        <v>-1</v>
      </c>
      <c r="AI55" s="60">
        <v>0</v>
      </c>
      <c r="AJ55" s="60">
        <v>0</v>
      </c>
      <c r="AK55" s="60">
        <v>0</v>
      </c>
      <c r="AL55" s="60">
        <v>0</v>
      </c>
      <c r="AM55" s="59" t="s">
        <v>260</v>
      </c>
      <c r="AN55" s="59">
        <v>0</v>
      </c>
      <c r="AO55" s="243">
        <f t="shared" si="36"/>
        <v>25</v>
      </c>
      <c r="AP55" s="244">
        <f t="shared" si="37"/>
        <v>40</v>
      </c>
      <c r="AQ55" s="244">
        <f t="shared" si="38"/>
        <v>66</v>
      </c>
      <c r="AR55" s="244">
        <f t="shared" si="39"/>
        <v>80</v>
      </c>
      <c r="AS55" s="245">
        <v>100</v>
      </c>
      <c r="AT55">
        <f t="shared" si="33"/>
        <v>18</v>
      </c>
      <c r="AU55">
        <f t="shared" si="34"/>
        <v>12</v>
      </c>
      <c r="AV55">
        <f t="shared" si="35"/>
        <v>66</v>
      </c>
    </row>
    <row r="56" spans="2:48" x14ac:dyDescent="0.3">
      <c r="B56" s="531" t="s">
        <v>226</v>
      </c>
      <c r="C56">
        <v>0</v>
      </c>
      <c r="D56" t="s">
        <v>552</v>
      </c>
      <c r="E56">
        <f t="shared" si="6"/>
        <v>15</v>
      </c>
      <c r="F56">
        <v>4</v>
      </c>
      <c r="G56" t="s">
        <v>552</v>
      </c>
      <c r="H56">
        <f t="shared" si="7"/>
        <v>19</v>
      </c>
      <c r="I56">
        <v>6</v>
      </c>
      <c r="J56" t="s">
        <v>552</v>
      </c>
      <c r="K56">
        <f t="shared" si="8"/>
        <v>21</v>
      </c>
      <c r="L56">
        <v>3</v>
      </c>
      <c r="M56" t="s">
        <v>552</v>
      </c>
      <c r="N56">
        <f t="shared" si="9"/>
        <v>18</v>
      </c>
      <c r="O56">
        <v>4</v>
      </c>
      <c r="P56" t="s">
        <v>552</v>
      </c>
      <c r="Q56">
        <f t="shared" si="10"/>
        <v>19</v>
      </c>
      <c r="R56">
        <v>1</v>
      </c>
      <c r="S56" t="s">
        <v>552</v>
      </c>
      <c r="T56">
        <f t="shared" si="11"/>
        <v>16</v>
      </c>
      <c r="U56" t="s">
        <v>3686</v>
      </c>
      <c r="V56" t="s">
        <v>3687</v>
      </c>
      <c r="W56" s="59" t="s">
        <v>295</v>
      </c>
      <c r="X56" s="59" t="s">
        <v>2477</v>
      </c>
      <c r="Y56" s="59" t="s">
        <v>1207</v>
      </c>
      <c r="Z56" s="59" t="s">
        <v>357</v>
      </c>
      <c r="AA56" s="60">
        <v>1</v>
      </c>
      <c r="AB56" s="60">
        <v>-1</v>
      </c>
      <c r="AC56" s="59" t="s">
        <v>17</v>
      </c>
      <c r="AD56" s="60">
        <v>0</v>
      </c>
      <c r="AE56" s="60">
        <v>1</v>
      </c>
      <c r="AF56" s="60" t="s">
        <v>2993</v>
      </c>
      <c r="AG56" s="60">
        <v>0</v>
      </c>
      <c r="AH56" s="60">
        <v>-1</v>
      </c>
      <c r="AI56" s="60">
        <v>0</v>
      </c>
      <c r="AJ56" s="60">
        <v>0</v>
      </c>
      <c r="AK56" s="60">
        <v>0</v>
      </c>
      <c r="AL56" s="60">
        <v>0</v>
      </c>
      <c r="AM56" s="59" t="s">
        <v>260</v>
      </c>
      <c r="AN56" s="59">
        <v>0</v>
      </c>
      <c r="AO56" s="243">
        <f t="shared" si="36"/>
        <v>25</v>
      </c>
      <c r="AP56" s="244">
        <f t="shared" si="37"/>
        <v>40</v>
      </c>
      <c r="AQ56" s="244">
        <f t="shared" si="38"/>
        <v>66</v>
      </c>
      <c r="AR56" s="244">
        <f t="shared" si="39"/>
        <v>80</v>
      </c>
      <c r="AS56" s="245">
        <v>100</v>
      </c>
      <c r="AT56">
        <f t="shared" si="33"/>
        <v>18</v>
      </c>
      <c r="AU56">
        <f t="shared" si="34"/>
        <v>12</v>
      </c>
      <c r="AV56">
        <f t="shared" si="35"/>
        <v>66</v>
      </c>
    </row>
    <row r="57" spans="2:48" x14ac:dyDescent="0.3">
      <c r="B57" s="59" t="s">
        <v>3688</v>
      </c>
      <c r="C57">
        <v>18</v>
      </c>
      <c r="D57" t="s">
        <v>553</v>
      </c>
      <c r="E57">
        <f t="shared" si="6"/>
        <v>27</v>
      </c>
      <c r="F57">
        <v>10</v>
      </c>
      <c r="G57" t="s">
        <v>553</v>
      </c>
      <c r="H57">
        <f t="shared" si="7"/>
        <v>19</v>
      </c>
      <c r="I57">
        <v>8</v>
      </c>
      <c r="J57" t="s">
        <v>553</v>
      </c>
      <c r="K57">
        <f t="shared" si="8"/>
        <v>17</v>
      </c>
      <c r="L57">
        <v>3</v>
      </c>
      <c r="M57" t="s">
        <v>553</v>
      </c>
      <c r="N57">
        <f t="shared" si="9"/>
        <v>12</v>
      </c>
      <c r="O57">
        <v>7</v>
      </c>
      <c r="P57" t="s">
        <v>553</v>
      </c>
      <c r="Q57">
        <f t="shared" si="10"/>
        <v>16</v>
      </c>
      <c r="R57">
        <v>6</v>
      </c>
      <c r="S57" t="s">
        <v>553</v>
      </c>
      <c r="T57">
        <f t="shared" si="11"/>
        <v>15</v>
      </c>
      <c r="U57" t="s">
        <v>3689</v>
      </c>
      <c r="V57" t="s">
        <v>3690</v>
      </c>
      <c r="W57" s="59" t="s">
        <v>294</v>
      </c>
      <c r="X57" s="59" t="s">
        <v>196</v>
      </c>
      <c r="Y57" s="59" t="s">
        <v>1203</v>
      </c>
      <c r="Z57" s="59" t="s">
        <v>357</v>
      </c>
      <c r="AA57" s="60">
        <v>2</v>
      </c>
      <c r="AB57" s="60">
        <v>0</v>
      </c>
      <c r="AC57" s="59" t="s">
        <v>17</v>
      </c>
      <c r="AD57" s="60">
        <v>1</v>
      </c>
      <c r="AE57" s="60">
        <v>2</v>
      </c>
      <c r="AF57" s="60" t="s">
        <v>2993</v>
      </c>
      <c r="AG57" s="573">
        <v>1</v>
      </c>
      <c r="AH57" s="573">
        <v>0</v>
      </c>
      <c r="AI57" s="60">
        <v>0</v>
      </c>
      <c r="AJ57" s="60">
        <v>-1</v>
      </c>
      <c r="AK57" s="60">
        <v>0</v>
      </c>
      <c r="AL57" s="60">
        <v>0</v>
      </c>
      <c r="AM57" s="59" t="s">
        <v>97</v>
      </c>
      <c r="AN57" s="59">
        <v>2</v>
      </c>
      <c r="AO57" s="243">
        <f t="shared" si="36"/>
        <v>30</v>
      </c>
      <c r="AP57" s="244">
        <f t="shared" si="37"/>
        <v>48</v>
      </c>
      <c r="AQ57" s="244">
        <f t="shared" si="38"/>
        <v>80</v>
      </c>
      <c r="AR57" s="244">
        <f t="shared" si="39"/>
        <v>96</v>
      </c>
      <c r="AS57" s="245">
        <v>120</v>
      </c>
      <c r="AT57">
        <f t="shared" si="33"/>
        <v>52</v>
      </c>
      <c r="AU57">
        <f t="shared" si="34"/>
        <v>6</v>
      </c>
      <c r="AV57">
        <f t="shared" si="35"/>
        <v>76</v>
      </c>
    </row>
    <row r="58" spans="2:48" x14ac:dyDescent="0.3">
      <c r="B58" s="59" t="s">
        <v>3700</v>
      </c>
      <c r="C58">
        <v>1</v>
      </c>
      <c r="D58" t="s">
        <v>553</v>
      </c>
      <c r="E58">
        <f t="shared" si="6"/>
        <v>10</v>
      </c>
      <c r="F58">
        <v>17</v>
      </c>
      <c r="G58" t="s">
        <v>553</v>
      </c>
      <c r="H58">
        <f t="shared" si="7"/>
        <v>26</v>
      </c>
      <c r="I58">
        <v>14</v>
      </c>
      <c r="J58" t="s">
        <v>553</v>
      </c>
      <c r="K58">
        <f t="shared" si="8"/>
        <v>23</v>
      </c>
      <c r="L58">
        <v>8</v>
      </c>
      <c r="M58" t="s">
        <v>553</v>
      </c>
      <c r="N58">
        <f t="shared" si="9"/>
        <v>17</v>
      </c>
      <c r="O58">
        <v>16</v>
      </c>
      <c r="P58" t="s">
        <v>553</v>
      </c>
      <c r="Q58">
        <f t="shared" si="10"/>
        <v>25</v>
      </c>
      <c r="R58">
        <v>12</v>
      </c>
      <c r="S58" t="s">
        <v>553</v>
      </c>
      <c r="T58">
        <f t="shared" si="11"/>
        <v>21</v>
      </c>
      <c r="U58" t="s">
        <v>3701</v>
      </c>
      <c r="V58" t="s">
        <v>3702</v>
      </c>
      <c r="W58" s="59" t="s">
        <v>293</v>
      </c>
      <c r="X58" s="59" t="s">
        <v>186</v>
      </c>
      <c r="Y58" s="59" t="s">
        <v>1207</v>
      </c>
      <c r="Z58" s="59" t="s">
        <v>3703</v>
      </c>
      <c r="AA58" s="60">
        <v>0</v>
      </c>
      <c r="AB58" s="60">
        <v>-2</v>
      </c>
      <c r="AC58" s="59" t="s">
        <v>17</v>
      </c>
      <c r="AD58" s="60">
        <v>0</v>
      </c>
      <c r="AE58" s="60">
        <v>0</v>
      </c>
      <c r="AF58" s="60" t="s">
        <v>2993</v>
      </c>
      <c r="AG58" s="60">
        <v>0</v>
      </c>
      <c r="AH58" s="60">
        <v>-2</v>
      </c>
      <c r="AI58" s="60">
        <v>0</v>
      </c>
      <c r="AJ58" s="60">
        <v>2</v>
      </c>
      <c r="AK58" s="60">
        <v>0</v>
      </c>
      <c r="AL58" s="60">
        <v>0</v>
      </c>
      <c r="AM58" s="59" t="s">
        <v>260</v>
      </c>
      <c r="AN58" s="59">
        <v>0</v>
      </c>
      <c r="AO58" s="243">
        <f t="shared" si="36"/>
        <v>40</v>
      </c>
      <c r="AP58" s="244">
        <f t="shared" si="37"/>
        <v>64</v>
      </c>
      <c r="AQ58" s="244">
        <f t="shared" si="38"/>
        <v>106</v>
      </c>
      <c r="AR58" s="244">
        <f t="shared" si="39"/>
        <v>128</v>
      </c>
      <c r="AS58" s="245">
        <v>160</v>
      </c>
      <c r="AT58">
        <f t="shared" si="33"/>
        <v>68</v>
      </c>
      <c r="AU58">
        <f t="shared" si="34"/>
        <v>6</v>
      </c>
      <c r="AV58">
        <f t="shared" si="35"/>
        <v>92</v>
      </c>
    </row>
    <row r="59" spans="2:48" x14ac:dyDescent="0.3">
      <c r="B59" s="59" t="s">
        <v>1056</v>
      </c>
      <c r="C59">
        <v>9</v>
      </c>
      <c r="D59" t="s">
        <v>553</v>
      </c>
      <c r="E59">
        <f t="shared" si="6"/>
        <v>18</v>
      </c>
      <c r="F59">
        <v>8</v>
      </c>
      <c r="G59" t="s">
        <v>553</v>
      </c>
      <c r="H59">
        <f t="shared" si="7"/>
        <v>17</v>
      </c>
      <c r="I59">
        <v>7</v>
      </c>
      <c r="J59" t="s">
        <v>553</v>
      </c>
      <c r="K59">
        <f t="shared" si="8"/>
        <v>16</v>
      </c>
      <c r="L59">
        <v>8</v>
      </c>
      <c r="M59" t="s">
        <v>553</v>
      </c>
      <c r="N59">
        <f t="shared" si="9"/>
        <v>17</v>
      </c>
      <c r="O59">
        <v>8</v>
      </c>
      <c r="P59" t="s">
        <v>553</v>
      </c>
      <c r="Q59">
        <f t="shared" si="10"/>
        <v>17</v>
      </c>
      <c r="R59">
        <v>0</v>
      </c>
      <c r="S59" t="s">
        <v>552</v>
      </c>
      <c r="T59">
        <f t="shared" si="11"/>
        <v>15</v>
      </c>
      <c r="U59" t="s">
        <v>3649</v>
      </c>
      <c r="V59" t="s">
        <v>3661</v>
      </c>
      <c r="W59" s="59" t="s">
        <v>199</v>
      </c>
      <c r="X59" s="59" t="s">
        <v>190</v>
      </c>
      <c r="Y59" s="59" t="s">
        <v>1211</v>
      </c>
      <c r="Z59" s="59" t="s">
        <v>357</v>
      </c>
      <c r="AA59" s="60">
        <v>1</v>
      </c>
      <c r="AB59" s="60">
        <v>-1</v>
      </c>
      <c r="AC59" s="59" t="s">
        <v>17</v>
      </c>
      <c r="AD59" s="60">
        <v>0</v>
      </c>
      <c r="AE59" s="60">
        <v>1</v>
      </c>
      <c r="AF59" s="60" t="s">
        <v>2993</v>
      </c>
      <c r="AG59" s="60">
        <v>0</v>
      </c>
      <c r="AH59" s="60">
        <v>-1</v>
      </c>
      <c r="AI59" s="60">
        <v>0</v>
      </c>
      <c r="AJ59" s="60">
        <v>0</v>
      </c>
      <c r="AK59" s="60">
        <v>0</v>
      </c>
      <c r="AL59" s="60">
        <v>0</v>
      </c>
      <c r="AM59" s="59" t="s">
        <v>95</v>
      </c>
      <c r="AN59" s="59">
        <v>1</v>
      </c>
      <c r="AO59" s="243">
        <f t="shared" si="36"/>
        <v>112</v>
      </c>
      <c r="AP59" s="244">
        <f t="shared" si="37"/>
        <v>180</v>
      </c>
      <c r="AQ59" s="244">
        <f t="shared" si="38"/>
        <v>300</v>
      </c>
      <c r="AR59" s="244">
        <f t="shared" si="39"/>
        <v>360</v>
      </c>
      <c r="AS59" s="245">
        <v>450</v>
      </c>
      <c r="AT59">
        <f t="shared" si="33"/>
        <v>40</v>
      </c>
      <c r="AU59">
        <f t="shared" si="34"/>
        <v>7</v>
      </c>
      <c r="AV59">
        <f t="shared" si="35"/>
        <v>68</v>
      </c>
    </row>
    <row r="60" spans="2:48" x14ac:dyDescent="0.3">
      <c r="B60" s="59" t="s">
        <v>1031</v>
      </c>
      <c r="C60">
        <v>7</v>
      </c>
      <c r="D60" t="s">
        <v>553</v>
      </c>
      <c r="E60">
        <f t="shared" si="6"/>
        <v>16</v>
      </c>
      <c r="F60">
        <v>8</v>
      </c>
      <c r="G60" t="s">
        <v>553</v>
      </c>
      <c r="H60">
        <f t="shared" si="7"/>
        <v>17</v>
      </c>
      <c r="I60">
        <v>7</v>
      </c>
      <c r="J60" t="s">
        <v>553</v>
      </c>
      <c r="K60">
        <f t="shared" si="8"/>
        <v>16</v>
      </c>
      <c r="L60">
        <v>7</v>
      </c>
      <c r="M60" t="s">
        <v>553</v>
      </c>
      <c r="N60">
        <f t="shared" si="9"/>
        <v>16</v>
      </c>
      <c r="O60">
        <v>7</v>
      </c>
      <c r="P60" t="s">
        <v>553</v>
      </c>
      <c r="Q60">
        <f t="shared" si="10"/>
        <v>16</v>
      </c>
      <c r="R60">
        <v>5</v>
      </c>
      <c r="S60" t="s">
        <v>553</v>
      </c>
      <c r="T60">
        <f t="shared" si="11"/>
        <v>14</v>
      </c>
      <c r="U60" t="s">
        <v>3657</v>
      </c>
      <c r="V60" t="s">
        <v>3694</v>
      </c>
      <c r="W60" s="59" t="s">
        <v>294</v>
      </c>
      <c r="X60" s="59" t="s">
        <v>190</v>
      </c>
      <c r="Y60" s="59" t="s">
        <v>1211</v>
      </c>
      <c r="Z60" s="572" t="s">
        <v>2996</v>
      </c>
      <c r="AA60" s="573">
        <v>2</v>
      </c>
      <c r="AB60" s="573">
        <v>2</v>
      </c>
      <c r="AC60" s="59" t="s">
        <v>17</v>
      </c>
      <c r="AD60" s="60">
        <v>0</v>
      </c>
      <c r="AE60" s="60">
        <v>1</v>
      </c>
      <c r="AF60" s="60" t="s">
        <v>2993</v>
      </c>
      <c r="AG60" s="573">
        <v>2</v>
      </c>
      <c r="AH60" s="573">
        <v>2</v>
      </c>
      <c r="AI60" s="60">
        <v>0</v>
      </c>
      <c r="AJ60" s="60">
        <v>1</v>
      </c>
      <c r="AK60" s="60">
        <v>0</v>
      </c>
      <c r="AL60" s="60">
        <v>0</v>
      </c>
      <c r="AM60" s="59" t="s">
        <v>95</v>
      </c>
      <c r="AN60" s="59">
        <v>3</v>
      </c>
      <c r="AO60" s="243">
        <f t="shared" si="36"/>
        <v>22</v>
      </c>
      <c r="AP60" s="244">
        <f t="shared" si="37"/>
        <v>36</v>
      </c>
      <c r="AQ60" s="244">
        <f t="shared" si="38"/>
        <v>60</v>
      </c>
      <c r="AR60" s="244">
        <f t="shared" si="39"/>
        <v>72</v>
      </c>
      <c r="AS60" s="245">
        <v>90</v>
      </c>
      <c r="AT60">
        <f t="shared" si="33"/>
        <v>41</v>
      </c>
      <c r="AU60">
        <f t="shared" si="34"/>
        <v>6</v>
      </c>
      <c r="AV60">
        <f t="shared" si="35"/>
        <v>65</v>
      </c>
    </row>
    <row r="61" spans="2:48" x14ac:dyDescent="0.3">
      <c r="B61" s="59" t="s">
        <v>1041</v>
      </c>
      <c r="C61">
        <v>7</v>
      </c>
      <c r="D61" t="s">
        <v>553</v>
      </c>
      <c r="E61">
        <f t="shared" si="6"/>
        <v>16</v>
      </c>
      <c r="F61">
        <v>8</v>
      </c>
      <c r="G61" t="s">
        <v>553</v>
      </c>
      <c r="H61">
        <f t="shared" si="7"/>
        <v>17</v>
      </c>
      <c r="I61">
        <v>7</v>
      </c>
      <c r="J61" t="s">
        <v>553</v>
      </c>
      <c r="K61">
        <f t="shared" si="8"/>
        <v>16</v>
      </c>
      <c r="L61">
        <v>7</v>
      </c>
      <c r="M61" t="s">
        <v>553</v>
      </c>
      <c r="N61">
        <f t="shared" si="9"/>
        <v>16</v>
      </c>
      <c r="O61">
        <v>7</v>
      </c>
      <c r="P61" t="s">
        <v>553</v>
      </c>
      <c r="Q61">
        <f t="shared" si="10"/>
        <v>16</v>
      </c>
      <c r="R61">
        <v>5</v>
      </c>
      <c r="S61" t="s">
        <v>553</v>
      </c>
      <c r="T61">
        <f t="shared" si="11"/>
        <v>14</v>
      </c>
      <c r="U61" t="s">
        <v>3657</v>
      </c>
      <c r="V61" t="s">
        <v>3694</v>
      </c>
      <c r="W61" s="59" t="s">
        <v>294</v>
      </c>
      <c r="X61" s="59" t="s">
        <v>190</v>
      </c>
      <c r="Y61" s="59" t="s">
        <v>1211</v>
      </c>
      <c r="Z61" s="572" t="s">
        <v>2996</v>
      </c>
      <c r="AA61" s="573">
        <v>2</v>
      </c>
      <c r="AB61" s="573">
        <v>2</v>
      </c>
      <c r="AC61" s="59" t="s">
        <v>17</v>
      </c>
      <c r="AD61" s="60">
        <v>0</v>
      </c>
      <c r="AE61" s="60">
        <v>1</v>
      </c>
      <c r="AF61" s="60" t="s">
        <v>2993</v>
      </c>
      <c r="AG61" s="573">
        <v>2</v>
      </c>
      <c r="AH61" s="573">
        <v>2</v>
      </c>
      <c r="AI61" s="60">
        <v>0</v>
      </c>
      <c r="AJ61" s="60">
        <v>1</v>
      </c>
      <c r="AK61" s="60">
        <v>0</v>
      </c>
      <c r="AL61" s="60">
        <v>0</v>
      </c>
      <c r="AM61" s="59" t="s">
        <v>95</v>
      </c>
      <c r="AN61" s="59">
        <v>3</v>
      </c>
      <c r="AO61" s="243">
        <f t="shared" si="36"/>
        <v>22</v>
      </c>
      <c r="AP61" s="244">
        <f t="shared" si="37"/>
        <v>36</v>
      </c>
      <c r="AQ61" s="244">
        <f t="shared" si="38"/>
        <v>60</v>
      </c>
      <c r="AR61" s="244">
        <f t="shared" si="39"/>
        <v>72</v>
      </c>
      <c r="AS61" s="245">
        <v>90</v>
      </c>
      <c r="AT61">
        <f t="shared" si="33"/>
        <v>41</v>
      </c>
      <c r="AU61">
        <f t="shared" si="34"/>
        <v>6</v>
      </c>
      <c r="AV61">
        <f t="shared" si="35"/>
        <v>65</v>
      </c>
    </row>
    <row r="62" spans="2:48" x14ac:dyDescent="0.3">
      <c r="B62" s="59" t="s">
        <v>3704</v>
      </c>
      <c r="C62">
        <v>15</v>
      </c>
      <c r="D62" t="s">
        <v>553</v>
      </c>
      <c r="E62">
        <f t="shared" si="6"/>
        <v>24</v>
      </c>
      <c r="F62">
        <v>9</v>
      </c>
      <c r="G62" t="s">
        <v>553</v>
      </c>
      <c r="H62">
        <f t="shared" si="7"/>
        <v>18</v>
      </c>
      <c r="I62">
        <v>8</v>
      </c>
      <c r="J62" t="s">
        <v>553</v>
      </c>
      <c r="K62">
        <f t="shared" si="8"/>
        <v>17</v>
      </c>
      <c r="L62">
        <v>9</v>
      </c>
      <c r="M62" t="s">
        <v>553</v>
      </c>
      <c r="N62">
        <f t="shared" si="9"/>
        <v>18</v>
      </c>
      <c r="O62">
        <v>11</v>
      </c>
      <c r="P62" t="s">
        <v>553</v>
      </c>
      <c r="Q62">
        <f t="shared" si="10"/>
        <v>20</v>
      </c>
      <c r="R62">
        <v>10</v>
      </c>
      <c r="S62" t="s">
        <v>553</v>
      </c>
      <c r="T62">
        <f t="shared" si="11"/>
        <v>19</v>
      </c>
      <c r="U62" t="s">
        <v>3706</v>
      </c>
      <c r="V62" t="s">
        <v>3707</v>
      </c>
      <c r="W62" s="59" t="s">
        <v>294</v>
      </c>
      <c r="X62" s="59" t="s">
        <v>196</v>
      </c>
      <c r="Y62" s="59" t="s">
        <v>1211</v>
      </c>
      <c r="Z62" s="59" t="s">
        <v>357</v>
      </c>
      <c r="AA62" s="60">
        <v>2</v>
      </c>
      <c r="AB62" s="60">
        <v>0</v>
      </c>
      <c r="AC62" s="59" t="s">
        <v>17</v>
      </c>
      <c r="AD62" s="60">
        <v>0</v>
      </c>
      <c r="AE62" s="60">
        <v>1</v>
      </c>
      <c r="AF62" s="572" t="s">
        <v>3022</v>
      </c>
      <c r="AG62" s="573">
        <v>4</v>
      </c>
      <c r="AH62" s="573">
        <v>2</v>
      </c>
      <c r="AI62" s="60">
        <v>0</v>
      </c>
      <c r="AJ62" s="60">
        <v>-1</v>
      </c>
      <c r="AK62" s="60">
        <v>0</v>
      </c>
      <c r="AL62" s="60">
        <v>0</v>
      </c>
      <c r="AM62" s="59" t="s">
        <v>96</v>
      </c>
      <c r="AN62" s="59">
        <v>2</v>
      </c>
      <c r="AO62" s="243">
        <f t="shared" si="36"/>
        <v>50</v>
      </c>
      <c r="AP62" s="244">
        <f t="shared" si="37"/>
        <v>80</v>
      </c>
      <c r="AQ62" s="244">
        <f t="shared" si="38"/>
        <v>133</v>
      </c>
      <c r="AR62" s="244">
        <f t="shared" si="39"/>
        <v>160</v>
      </c>
      <c r="AS62" s="245">
        <v>200</v>
      </c>
      <c r="AT62">
        <f t="shared" si="33"/>
        <v>62</v>
      </c>
      <c r="AU62">
        <f t="shared" si="34"/>
        <v>6</v>
      </c>
      <c r="AV62">
        <f t="shared" si="35"/>
        <v>86</v>
      </c>
    </row>
    <row r="63" spans="2:48" x14ac:dyDescent="0.3">
      <c r="B63" s="59" t="s">
        <v>3705</v>
      </c>
      <c r="C63">
        <v>13</v>
      </c>
      <c r="D63" t="s">
        <v>553</v>
      </c>
      <c r="E63">
        <f t="shared" si="6"/>
        <v>22</v>
      </c>
      <c r="F63">
        <v>10</v>
      </c>
      <c r="G63" t="s">
        <v>553</v>
      </c>
      <c r="H63">
        <f t="shared" si="7"/>
        <v>19</v>
      </c>
      <c r="I63">
        <v>9</v>
      </c>
      <c r="J63" t="s">
        <v>553</v>
      </c>
      <c r="K63">
        <f t="shared" si="8"/>
        <v>18</v>
      </c>
      <c r="L63">
        <v>9</v>
      </c>
      <c r="M63" t="s">
        <v>553</v>
      </c>
      <c r="N63">
        <f t="shared" si="9"/>
        <v>18</v>
      </c>
      <c r="O63">
        <v>11</v>
      </c>
      <c r="P63" t="s">
        <v>553</v>
      </c>
      <c r="Q63">
        <f t="shared" si="10"/>
        <v>20</v>
      </c>
      <c r="R63">
        <v>10</v>
      </c>
      <c r="S63" t="s">
        <v>553</v>
      </c>
      <c r="T63">
        <f t="shared" si="11"/>
        <v>19</v>
      </c>
      <c r="U63" t="s">
        <v>3706</v>
      </c>
      <c r="V63" t="s">
        <v>3707</v>
      </c>
      <c r="W63" s="59" t="s">
        <v>294</v>
      </c>
      <c r="X63" s="59" t="s">
        <v>196</v>
      </c>
      <c r="Y63" s="59" t="s">
        <v>1211</v>
      </c>
      <c r="Z63" s="59" t="s">
        <v>357</v>
      </c>
      <c r="AA63" s="60">
        <v>2</v>
      </c>
      <c r="AB63" s="60">
        <v>0</v>
      </c>
      <c r="AC63" s="59" t="s">
        <v>17</v>
      </c>
      <c r="AD63" s="60">
        <v>0</v>
      </c>
      <c r="AE63" s="60">
        <v>1</v>
      </c>
      <c r="AF63" s="572" t="s">
        <v>3022</v>
      </c>
      <c r="AG63" s="573">
        <v>2</v>
      </c>
      <c r="AH63" s="573">
        <v>1</v>
      </c>
      <c r="AI63" s="60">
        <v>0</v>
      </c>
      <c r="AJ63" s="60">
        <v>-1</v>
      </c>
      <c r="AK63" s="60">
        <v>0</v>
      </c>
      <c r="AL63" s="60">
        <v>0</v>
      </c>
      <c r="AM63" s="59" t="s">
        <v>96</v>
      </c>
      <c r="AN63" s="59">
        <v>2</v>
      </c>
      <c r="AO63" s="243">
        <f t="shared" si="36"/>
        <v>50</v>
      </c>
      <c r="AP63" s="244">
        <f t="shared" si="37"/>
        <v>80</v>
      </c>
      <c r="AQ63" s="244">
        <f t="shared" si="38"/>
        <v>133</v>
      </c>
      <c r="AR63" s="244">
        <f t="shared" si="39"/>
        <v>160</v>
      </c>
      <c r="AS63" s="245">
        <v>200</v>
      </c>
      <c r="AT63">
        <f t="shared" si="33"/>
        <v>62</v>
      </c>
      <c r="AU63">
        <f t="shared" si="34"/>
        <v>6</v>
      </c>
      <c r="AV63">
        <f t="shared" si="35"/>
        <v>86</v>
      </c>
    </row>
    <row r="64" spans="2:48" x14ac:dyDescent="0.3">
      <c r="B64" s="59" t="s">
        <v>1060</v>
      </c>
      <c r="C64">
        <v>11</v>
      </c>
      <c r="D64" t="s">
        <v>553</v>
      </c>
      <c r="E64">
        <f t="shared" si="6"/>
        <v>20</v>
      </c>
      <c r="F64">
        <v>9</v>
      </c>
      <c r="G64" t="s">
        <v>553</v>
      </c>
      <c r="H64">
        <f t="shared" si="7"/>
        <v>18</v>
      </c>
      <c r="I64">
        <v>8</v>
      </c>
      <c r="J64" t="s">
        <v>553</v>
      </c>
      <c r="K64">
        <f t="shared" si="8"/>
        <v>17</v>
      </c>
      <c r="L64">
        <v>10</v>
      </c>
      <c r="M64" t="s">
        <v>553</v>
      </c>
      <c r="N64">
        <f t="shared" si="9"/>
        <v>19</v>
      </c>
      <c r="O64">
        <v>8</v>
      </c>
      <c r="P64" t="s">
        <v>553</v>
      </c>
      <c r="Q64">
        <f t="shared" si="10"/>
        <v>17</v>
      </c>
      <c r="R64">
        <v>11</v>
      </c>
      <c r="S64" t="s">
        <v>553</v>
      </c>
      <c r="T64">
        <f t="shared" si="11"/>
        <v>20</v>
      </c>
      <c r="U64" t="s">
        <v>3730</v>
      </c>
      <c r="V64" t="s">
        <v>3746</v>
      </c>
      <c r="W64" s="59" t="s">
        <v>199</v>
      </c>
      <c r="X64" s="59" t="s">
        <v>190</v>
      </c>
      <c r="Y64" s="59" t="s">
        <v>1208</v>
      </c>
      <c r="Z64" s="59" t="s">
        <v>357</v>
      </c>
      <c r="AA64" s="60">
        <v>1</v>
      </c>
      <c r="AB64" s="60">
        <v>-1</v>
      </c>
      <c r="AC64" s="59" t="s">
        <v>17</v>
      </c>
      <c r="AD64" s="60">
        <v>0</v>
      </c>
      <c r="AE64" s="60">
        <v>1</v>
      </c>
      <c r="AF64" s="60" t="s">
        <v>2993</v>
      </c>
      <c r="AG64" s="60">
        <v>0</v>
      </c>
      <c r="AH64" s="60">
        <v>-1</v>
      </c>
      <c r="AI64" s="60">
        <v>0</v>
      </c>
      <c r="AJ64" s="60">
        <v>1</v>
      </c>
      <c r="AK64" s="60">
        <v>1</v>
      </c>
      <c r="AL64" s="60">
        <v>0</v>
      </c>
      <c r="AM64" s="59" t="s">
        <v>95</v>
      </c>
      <c r="AN64" s="59">
        <v>1</v>
      </c>
      <c r="AO64" s="243">
        <f t="shared" si="36"/>
        <v>112</v>
      </c>
      <c r="AP64" s="244">
        <f t="shared" si="37"/>
        <v>180</v>
      </c>
      <c r="AQ64" s="244">
        <f t="shared" si="38"/>
        <v>300</v>
      </c>
      <c r="AR64" s="244">
        <f t="shared" si="39"/>
        <v>360</v>
      </c>
      <c r="AS64" s="245">
        <v>450</v>
      </c>
      <c r="AT64">
        <f t="shared" si="33"/>
        <v>57</v>
      </c>
      <c r="AU64">
        <f t="shared" si="34"/>
        <v>6</v>
      </c>
      <c r="AV64">
        <f t="shared" si="35"/>
        <v>81</v>
      </c>
    </row>
    <row r="65" spans="2:48" x14ac:dyDescent="0.3">
      <c r="B65" s="59" t="s">
        <v>3709</v>
      </c>
      <c r="C65">
        <v>13</v>
      </c>
      <c r="D65" t="s">
        <v>553</v>
      </c>
      <c r="E65">
        <f t="shared" si="6"/>
        <v>22</v>
      </c>
      <c r="F65">
        <v>10</v>
      </c>
      <c r="G65" t="s">
        <v>553</v>
      </c>
      <c r="H65">
        <f t="shared" si="7"/>
        <v>19</v>
      </c>
      <c r="I65">
        <v>7</v>
      </c>
      <c r="J65" t="s">
        <v>553</v>
      </c>
      <c r="K65">
        <f t="shared" si="8"/>
        <v>16</v>
      </c>
      <c r="L65">
        <v>7</v>
      </c>
      <c r="M65" t="s">
        <v>553</v>
      </c>
      <c r="N65">
        <f t="shared" si="9"/>
        <v>16</v>
      </c>
      <c r="O65">
        <v>8</v>
      </c>
      <c r="P65" t="s">
        <v>553</v>
      </c>
      <c r="Q65">
        <f t="shared" si="10"/>
        <v>17</v>
      </c>
      <c r="R65">
        <v>4</v>
      </c>
      <c r="S65" t="s">
        <v>552</v>
      </c>
      <c r="T65">
        <f t="shared" si="11"/>
        <v>19</v>
      </c>
      <c r="U65" t="s">
        <v>3710</v>
      </c>
      <c r="V65" t="s">
        <v>3711</v>
      </c>
      <c r="W65" s="59" t="s">
        <v>294</v>
      </c>
      <c r="X65" s="59" t="s">
        <v>196</v>
      </c>
      <c r="Y65" s="59" t="s">
        <v>1203</v>
      </c>
      <c r="Z65" s="59" t="s">
        <v>2996</v>
      </c>
      <c r="AA65" s="60">
        <v>5</v>
      </c>
      <c r="AB65" s="60">
        <v>4</v>
      </c>
      <c r="AC65" s="59" t="s">
        <v>17</v>
      </c>
      <c r="AD65" s="60">
        <v>0</v>
      </c>
      <c r="AE65" s="60">
        <v>1</v>
      </c>
      <c r="AF65" s="60" t="s">
        <v>2993</v>
      </c>
      <c r="AG65" s="60">
        <v>2</v>
      </c>
      <c r="AH65" s="60">
        <v>6</v>
      </c>
      <c r="AI65" s="60">
        <v>0</v>
      </c>
      <c r="AJ65" s="60">
        <v>-1</v>
      </c>
      <c r="AK65" s="60">
        <v>0</v>
      </c>
      <c r="AL65" s="60">
        <v>3</v>
      </c>
      <c r="AM65" s="59" t="s">
        <v>95</v>
      </c>
      <c r="AN65" s="59">
        <v>0</v>
      </c>
      <c r="AO65" s="243">
        <f t="shared" si="36"/>
        <v>40</v>
      </c>
      <c r="AP65" s="244">
        <f t="shared" si="37"/>
        <v>64</v>
      </c>
      <c r="AQ65" s="244">
        <f t="shared" si="38"/>
        <v>106</v>
      </c>
      <c r="AR65" s="244">
        <f t="shared" si="39"/>
        <v>128</v>
      </c>
      <c r="AS65" s="245">
        <v>160</v>
      </c>
      <c r="AT65">
        <f t="shared" si="33"/>
        <v>49</v>
      </c>
      <c r="AU65">
        <f t="shared" si="34"/>
        <v>7</v>
      </c>
      <c r="AV65">
        <f t="shared" si="35"/>
        <v>77</v>
      </c>
    </row>
    <row r="66" spans="2:48" x14ac:dyDescent="0.3">
      <c r="B66" s="59" t="s">
        <v>3708</v>
      </c>
      <c r="C66">
        <v>14</v>
      </c>
      <c r="D66" t="s">
        <v>553</v>
      </c>
      <c r="E66">
        <f t="shared" si="6"/>
        <v>23</v>
      </c>
      <c r="F66">
        <v>9</v>
      </c>
      <c r="G66" t="s">
        <v>553</v>
      </c>
      <c r="H66">
        <f t="shared" si="7"/>
        <v>18</v>
      </c>
      <c r="I66">
        <v>7</v>
      </c>
      <c r="J66" t="s">
        <v>553</v>
      </c>
      <c r="K66">
        <f t="shared" si="8"/>
        <v>16</v>
      </c>
      <c r="L66">
        <v>7</v>
      </c>
      <c r="M66" t="s">
        <v>553</v>
      </c>
      <c r="N66">
        <f t="shared" si="9"/>
        <v>16</v>
      </c>
      <c r="O66">
        <v>9</v>
      </c>
      <c r="P66" t="s">
        <v>553</v>
      </c>
      <c r="Q66">
        <f t="shared" si="10"/>
        <v>18</v>
      </c>
      <c r="R66">
        <v>4</v>
      </c>
      <c r="S66" t="s">
        <v>552</v>
      </c>
      <c r="T66">
        <f t="shared" si="11"/>
        <v>19</v>
      </c>
      <c r="U66" t="s">
        <v>3710</v>
      </c>
      <c r="V66" t="s">
        <v>3711</v>
      </c>
      <c r="W66" s="59" t="s">
        <v>294</v>
      </c>
      <c r="X66" s="59" t="s">
        <v>196</v>
      </c>
      <c r="Y66" s="59" t="s">
        <v>1203</v>
      </c>
      <c r="Z66" s="59" t="s">
        <v>2996</v>
      </c>
      <c r="AA66" s="60">
        <v>5</v>
      </c>
      <c r="AB66" s="60">
        <v>4</v>
      </c>
      <c r="AC66" s="59" t="s">
        <v>17</v>
      </c>
      <c r="AD66" s="60">
        <v>0</v>
      </c>
      <c r="AE66" s="60">
        <v>1</v>
      </c>
      <c r="AF66" s="60" t="s">
        <v>2993</v>
      </c>
      <c r="AG66" s="60">
        <v>2</v>
      </c>
      <c r="AH66" s="60">
        <v>6</v>
      </c>
      <c r="AI66" s="60">
        <v>0</v>
      </c>
      <c r="AJ66" s="60">
        <v>-1</v>
      </c>
      <c r="AK66" s="60">
        <v>0</v>
      </c>
      <c r="AL66" s="60">
        <v>3</v>
      </c>
      <c r="AM66" s="59" t="s">
        <v>95</v>
      </c>
      <c r="AN66" s="59">
        <v>0</v>
      </c>
      <c r="AO66" s="243">
        <f t="shared" si="36"/>
        <v>40</v>
      </c>
      <c r="AP66" s="244">
        <f t="shared" si="37"/>
        <v>64</v>
      </c>
      <c r="AQ66" s="244">
        <f t="shared" si="38"/>
        <v>106</v>
      </c>
      <c r="AR66" s="244">
        <f t="shared" si="39"/>
        <v>128</v>
      </c>
      <c r="AS66" s="245">
        <v>160</v>
      </c>
      <c r="AT66">
        <f t="shared" si="33"/>
        <v>50</v>
      </c>
      <c r="AU66">
        <f t="shared" si="34"/>
        <v>7</v>
      </c>
      <c r="AV66">
        <f t="shared" si="35"/>
        <v>78</v>
      </c>
    </row>
    <row r="67" spans="2:48" x14ac:dyDescent="0.3">
      <c r="B67" s="59" t="s">
        <v>2450</v>
      </c>
      <c r="C67">
        <v>7</v>
      </c>
      <c r="D67" t="s">
        <v>553</v>
      </c>
      <c r="E67">
        <f t="shared" si="6"/>
        <v>16</v>
      </c>
      <c r="F67">
        <v>10</v>
      </c>
      <c r="G67" t="s">
        <v>553</v>
      </c>
      <c r="H67">
        <f t="shared" si="7"/>
        <v>19</v>
      </c>
      <c r="I67">
        <v>7</v>
      </c>
      <c r="J67" t="s">
        <v>553</v>
      </c>
      <c r="K67">
        <f t="shared" si="8"/>
        <v>16</v>
      </c>
      <c r="L67">
        <v>3</v>
      </c>
      <c r="M67" t="s">
        <v>552</v>
      </c>
      <c r="N67">
        <f t="shared" si="9"/>
        <v>18</v>
      </c>
      <c r="O67">
        <v>7</v>
      </c>
      <c r="P67" t="s">
        <v>553</v>
      </c>
      <c r="Q67">
        <f t="shared" si="10"/>
        <v>16</v>
      </c>
      <c r="R67">
        <v>3</v>
      </c>
      <c r="S67" t="s">
        <v>552</v>
      </c>
      <c r="T67">
        <f t="shared" si="11"/>
        <v>18</v>
      </c>
      <c r="U67" t="s">
        <v>3713</v>
      </c>
      <c r="V67" t="s">
        <v>3714</v>
      </c>
      <c r="W67" s="59" t="s">
        <v>296</v>
      </c>
      <c r="X67" s="59" t="s">
        <v>193</v>
      </c>
      <c r="Y67" s="59" t="s">
        <v>1206</v>
      </c>
      <c r="Z67" s="59" t="s">
        <v>357</v>
      </c>
      <c r="AA67" s="60">
        <v>1</v>
      </c>
      <c r="AB67" s="60">
        <v>-1</v>
      </c>
      <c r="AC67" s="59" t="s">
        <v>17</v>
      </c>
      <c r="AD67" s="60">
        <v>0</v>
      </c>
      <c r="AE67" s="60">
        <v>1</v>
      </c>
      <c r="AF67" s="60" t="s">
        <v>2993</v>
      </c>
      <c r="AG67" s="60">
        <v>0</v>
      </c>
      <c r="AH67" s="60">
        <v>-1</v>
      </c>
      <c r="AI67" s="60">
        <v>0</v>
      </c>
      <c r="AJ67" s="60">
        <v>0</v>
      </c>
      <c r="AK67" s="60">
        <v>0</v>
      </c>
      <c r="AL67" s="60">
        <v>0</v>
      </c>
      <c r="AM67" s="59" t="s">
        <v>95</v>
      </c>
      <c r="AN67" s="59">
        <v>1</v>
      </c>
      <c r="AO67" s="243">
        <f t="shared" si="36"/>
        <v>18</v>
      </c>
      <c r="AP67" s="244">
        <f t="shared" si="37"/>
        <v>28</v>
      </c>
      <c r="AQ67" s="244">
        <f t="shared" si="38"/>
        <v>48</v>
      </c>
      <c r="AR67" s="244">
        <f t="shared" si="39"/>
        <v>57</v>
      </c>
      <c r="AS67" s="245">
        <v>72</v>
      </c>
      <c r="AT67">
        <f t="shared" si="33"/>
        <v>37</v>
      </c>
      <c r="AU67">
        <f t="shared" si="34"/>
        <v>8</v>
      </c>
      <c r="AV67">
        <f t="shared" si="35"/>
        <v>69</v>
      </c>
    </row>
    <row r="68" spans="2:48" x14ac:dyDescent="0.3">
      <c r="B68" s="59" t="s">
        <v>2449</v>
      </c>
      <c r="C68">
        <v>9</v>
      </c>
      <c r="D68" t="s">
        <v>553</v>
      </c>
      <c r="E68">
        <f t="shared" si="6"/>
        <v>18</v>
      </c>
      <c r="F68">
        <v>9</v>
      </c>
      <c r="G68" t="s">
        <v>553</v>
      </c>
      <c r="H68">
        <f t="shared" si="7"/>
        <v>18</v>
      </c>
      <c r="I68">
        <v>7</v>
      </c>
      <c r="J68" t="s">
        <v>553</v>
      </c>
      <c r="K68">
        <f t="shared" si="8"/>
        <v>16</v>
      </c>
      <c r="L68">
        <v>3</v>
      </c>
      <c r="M68" t="s">
        <v>552</v>
      </c>
      <c r="N68">
        <f t="shared" si="9"/>
        <v>18</v>
      </c>
      <c r="O68">
        <v>7</v>
      </c>
      <c r="P68" t="s">
        <v>553</v>
      </c>
      <c r="Q68">
        <f t="shared" si="10"/>
        <v>16</v>
      </c>
      <c r="R68">
        <v>1</v>
      </c>
      <c r="S68" t="s">
        <v>552</v>
      </c>
      <c r="T68">
        <f t="shared" si="11"/>
        <v>16</v>
      </c>
      <c r="U68" t="s">
        <v>3713</v>
      </c>
      <c r="V68" t="s">
        <v>3714</v>
      </c>
      <c r="W68" s="59" t="s">
        <v>296</v>
      </c>
      <c r="X68" s="59" t="s">
        <v>193</v>
      </c>
      <c r="Y68" s="59" t="s">
        <v>1206</v>
      </c>
      <c r="Z68" s="59" t="s">
        <v>357</v>
      </c>
      <c r="AA68" s="60">
        <v>1</v>
      </c>
      <c r="AB68" s="60">
        <v>-1</v>
      </c>
      <c r="AC68" s="59" t="s">
        <v>17</v>
      </c>
      <c r="AD68" s="60">
        <v>0</v>
      </c>
      <c r="AE68" s="60">
        <v>1</v>
      </c>
      <c r="AF68" s="60" t="s">
        <v>2993</v>
      </c>
      <c r="AG68" s="60">
        <v>0</v>
      </c>
      <c r="AH68" s="60">
        <v>-1</v>
      </c>
      <c r="AI68" s="60">
        <v>0</v>
      </c>
      <c r="AJ68" s="60">
        <v>0</v>
      </c>
      <c r="AK68" s="60">
        <v>0</v>
      </c>
      <c r="AL68" s="60">
        <v>0</v>
      </c>
      <c r="AM68" s="59" t="s">
        <v>95</v>
      </c>
      <c r="AN68" s="59">
        <v>1</v>
      </c>
      <c r="AO68" s="243">
        <f t="shared" si="36"/>
        <v>18</v>
      </c>
      <c r="AP68" s="244">
        <f t="shared" si="37"/>
        <v>28</v>
      </c>
      <c r="AQ68" s="244">
        <f t="shared" si="38"/>
        <v>48</v>
      </c>
      <c r="AR68" s="244">
        <f t="shared" si="39"/>
        <v>57</v>
      </c>
      <c r="AS68" s="245">
        <v>72</v>
      </c>
      <c r="AT68">
        <f t="shared" si="33"/>
        <v>36</v>
      </c>
      <c r="AU68">
        <f t="shared" si="34"/>
        <v>8</v>
      </c>
      <c r="AV68">
        <f t="shared" si="35"/>
        <v>68</v>
      </c>
    </row>
    <row r="69" spans="2:48" x14ac:dyDescent="0.3">
      <c r="B69" s="59" t="s">
        <v>3715</v>
      </c>
      <c r="C69">
        <v>15</v>
      </c>
      <c r="D69" t="s">
        <v>553</v>
      </c>
      <c r="E69">
        <f t="shared" ref="E69:E124" si="40">IF(D69="1k6",6,IF(D69="2k6",12,IF(D69="3k6",18,0)))+C69+3</f>
        <v>24</v>
      </c>
      <c r="F69">
        <v>7</v>
      </c>
      <c r="G69" t="s">
        <v>553</v>
      </c>
      <c r="H69">
        <f t="shared" ref="H69:H124" si="41">IF(G69="1k6",6,IF(G69="2k6",12,IF(G69="3k6",18,0)))+F69+3</f>
        <v>16</v>
      </c>
      <c r="I69">
        <v>5</v>
      </c>
      <c r="J69" t="s">
        <v>553</v>
      </c>
      <c r="K69">
        <f t="shared" ref="K69:K124" si="42">IF(J69="1k6",6,IF(J69="2k6",12,IF(J69="3k6",18,0)))+I69+3</f>
        <v>14</v>
      </c>
      <c r="L69">
        <v>2</v>
      </c>
      <c r="M69" t="s">
        <v>553</v>
      </c>
      <c r="N69">
        <f t="shared" ref="N69:N124" si="43">IF(M69="1k6",6,IF(M69="2k6",12,IF(M69="3k6",18,0)))+L69+3</f>
        <v>11</v>
      </c>
      <c r="O69">
        <v>9</v>
      </c>
      <c r="P69" t="s">
        <v>553</v>
      </c>
      <c r="Q69">
        <f t="shared" ref="Q69:Q124" si="44">IF(P69="1k6",6,IF(P69="2k6",12,IF(P69="3k6",18,0)))+O69+3</f>
        <v>18</v>
      </c>
      <c r="R69">
        <v>6</v>
      </c>
      <c r="S69" t="s">
        <v>553</v>
      </c>
      <c r="T69">
        <f t="shared" ref="T69:T124" si="45">IF(S69="1k6",6,IF(S69="2k6",12,IF(S69="3k6",18,0)))+R69+3</f>
        <v>15</v>
      </c>
      <c r="U69" t="s">
        <v>3717</v>
      </c>
      <c r="V69" t="s">
        <v>3718</v>
      </c>
      <c r="W69" s="59" t="s">
        <v>294</v>
      </c>
      <c r="X69" s="59" t="s">
        <v>196</v>
      </c>
      <c r="Y69" s="59" t="s">
        <v>1203</v>
      </c>
      <c r="Z69" s="59" t="s">
        <v>357</v>
      </c>
      <c r="AA69" s="60">
        <v>1</v>
      </c>
      <c r="AB69" s="60">
        <v>-1</v>
      </c>
      <c r="AC69" s="572" t="s">
        <v>2999</v>
      </c>
      <c r="AD69" s="573">
        <v>3</v>
      </c>
      <c r="AE69" s="573">
        <v>2</v>
      </c>
      <c r="AF69" s="60" t="s">
        <v>2993</v>
      </c>
      <c r="AG69" s="60">
        <v>0</v>
      </c>
      <c r="AH69" s="60">
        <v>-1</v>
      </c>
      <c r="AI69" s="60">
        <v>0</v>
      </c>
      <c r="AJ69" s="60">
        <v>-1</v>
      </c>
      <c r="AK69" s="60">
        <v>0</v>
      </c>
      <c r="AL69" s="60">
        <v>0</v>
      </c>
      <c r="AM69" s="59" t="s">
        <v>96</v>
      </c>
      <c r="AN69" s="59">
        <v>2</v>
      </c>
      <c r="AO69" s="243">
        <f t="shared" si="36"/>
        <v>20</v>
      </c>
      <c r="AP69" s="244">
        <f t="shared" si="37"/>
        <v>32</v>
      </c>
      <c r="AQ69" s="244">
        <f t="shared" si="38"/>
        <v>53</v>
      </c>
      <c r="AR69" s="244">
        <f t="shared" si="39"/>
        <v>64</v>
      </c>
      <c r="AS69" s="245">
        <v>80</v>
      </c>
      <c r="AT69">
        <f t="shared" si="33"/>
        <v>44</v>
      </c>
      <c r="AU69">
        <f t="shared" si="34"/>
        <v>6</v>
      </c>
      <c r="AV69">
        <f t="shared" si="35"/>
        <v>68</v>
      </c>
    </row>
    <row r="70" spans="2:48" x14ac:dyDescent="0.3">
      <c r="B70" s="59" t="s">
        <v>3716</v>
      </c>
      <c r="C70">
        <v>13</v>
      </c>
      <c r="D70" t="s">
        <v>553</v>
      </c>
      <c r="E70">
        <f t="shared" si="40"/>
        <v>22</v>
      </c>
      <c r="F70">
        <v>7</v>
      </c>
      <c r="G70" t="s">
        <v>553</v>
      </c>
      <c r="H70">
        <f t="shared" si="41"/>
        <v>16</v>
      </c>
      <c r="I70">
        <v>7</v>
      </c>
      <c r="J70" t="s">
        <v>553</v>
      </c>
      <c r="K70">
        <f t="shared" si="42"/>
        <v>16</v>
      </c>
      <c r="L70">
        <v>2</v>
      </c>
      <c r="M70" t="s">
        <v>553</v>
      </c>
      <c r="N70">
        <f t="shared" si="43"/>
        <v>11</v>
      </c>
      <c r="O70">
        <v>9</v>
      </c>
      <c r="P70" t="s">
        <v>553</v>
      </c>
      <c r="Q70">
        <f t="shared" si="44"/>
        <v>18</v>
      </c>
      <c r="R70">
        <v>6</v>
      </c>
      <c r="S70" t="s">
        <v>553</v>
      </c>
      <c r="T70">
        <f t="shared" si="45"/>
        <v>15</v>
      </c>
      <c r="U70" t="s">
        <v>3717</v>
      </c>
      <c r="V70" t="s">
        <v>3718</v>
      </c>
      <c r="W70" s="59" t="s">
        <v>294</v>
      </c>
      <c r="X70" s="59" t="s">
        <v>196</v>
      </c>
      <c r="Y70" s="59" t="s">
        <v>1203</v>
      </c>
      <c r="Z70" s="59" t="s">
        <v>357</v>
      </c>
      <c r="AA70" s="60">
        <v>1</v>
      </c>
      <c r="AB70" s="60">
        <v>-1</v>
      </c>
      <c r="AC70" s="572" t="s">
        <v>2999</v>
      </c>
      <c r="AD70" s="573">
        <v>3</v>
      </c>
      <c r="AE70" s="573">
        <v>2</v>
      </c>
      <c r="AF70" s="60" t="s">
        <v>2993</v>
      </c>
      <c r="AG70" s="60">
        <v>0</v>
      </c>
      <c r="AH70" s="60">
        <v>-1</v>
      </c>
      <c r="AI70" s="60">
        <v>0</v>
      </c>
      <c r="AJ70" s="60">
        <v>-1</v>
      </c>
      <c r="AK70" s="60">
        <v>0</v>
      </c>
      <c r="AL70" s="60">
        <v>0</v>
      </c>
      <c r="AM70" s="59" t="s">
        <v>96</v>
      </c>
      <c r="AN70" s="59">
        <v>2</v>
      </c>
      <c r="AO70" s="243">
        <f t="shared" si="36"/>
        <v>20</v>
      </c>
      <c r="AP70" s="244">
        <f t="shared" si="37"/>
        <v>32</v>
      </c>
      <c r="AQ70" s="244">
        <f t="shared" si="38"/>
        <v>53</v>
      </c>
      <c r="AR70" s="244">
        <f t="shared" si="39"/>
        <v>64</v>
      </c>
      <c r="AS70" s="245">
        <v>80</v>
      </c>
      <c r="AT70">
        <f t="shared" si="33"/>
        <v>44</v>
      </c>
      <c r="AU70">
        <f t="shared" si="34"/>
        <v>6</v>
      </c>
      <c r="AV70">
        <f t="shared" si="35"/>
        <v>68</v>
      </c>
    </row>
    <row r="71" spans="2:48" x14ac:dyDescent="0.3">
      <c r="B71" s="59" t="s">
        <v>4593</v>
      </c>
      <c r="C71">
        <v>9</v>
      </c>
      <c r="D71" t="s">
        <v>553</v>
      </c>
      <c r="E71">
        <f t="shared" si="40"/>
        <v>18</v>
      </c>
      <c r="F71">
        <v>10</v>
      </c>
      <c r="G71" t="s">
        <v>553</v>
      </c>
      <c r="H71">
        <f t="shared" si="41"/>
        <v>19</v>
      </c>
      <c r="I71">
        <v>9</v>
      </c>
      <c r="J71" t="s">
        <v>553</v>
      </c>
      <c r="K71">
        <f t="shared" si="42"/>
        <v>18</v>
      </c>
      <c r="L71">
        <v>6</v>
      </c>
      <c r="M71" t="s">
        <v>553</v>
      </c>
      <c r="N71">
        <f t="shared" si="43"/>
        <v>15</v>
      </c>
      <c r="O71">
        <v>7</v>
      </c>
      <c r="P71" t="s">
        <v>553</v>
      </c>
      <c r="Q71">
        <f t="shared" si="44"/>
        <v>16</v>
      </c>
      <c r="R71">
        <v>3</v>
      </c>
      <c r="S71" t="s">
        <v>552</v>
      </c>
      <c r="T71">
        <f t="shared" si="45"/>
        <v>18</v>
      </c>
      <c r="U71" t="s">
        <v>3670</v>
      </c>
      <c r="V71" t="s">
        <v>4594</v>
      </c>
      <c r="W71" s="59" t="s">
        <v>294</v>
      </c>
      <c r="X71" s="59" t="s">
        <v>4595</v>
      </c>
      <c r="Y71" s="59" t="s">
        <v>1203</v>
      </c>
      <c r="Z71" s="59" t="s">
        <v>2996</v>
      </c>
      <c r="AA71" s="60">
        <v>2</v>
      </c>
      <c r="AB71" s="60">
        <v>1</v>
      </c>
      <c r="AC71" s="59" t="s">
        <v>17</v>
      </c>
      <c r="AD71" s="60">
        <v>0</v>
      </c>
      <c r="AE71" s="60">
        <v>1</v>
      </c>
      <c r="AF71" s="60" t="s">
        <v>2993</v>
      </c>
      <c r="AG71" s="573">
        <v>3</v>
      </c>
      <c r="AH71" s="573">
        <v>2</v>
      </c>
      <c r="AI71" s="60">
        <v>0</v>
      </c>
      <c r="AJ71" s="60">
        <v>0</v>
      </c>
      <c r="AK71" s="60">
        <v>0</v>
      </c>
      <c r="AL71" s="60">
        <v>0</v>
      </c>
      <c r="AM71" s="59" t="s">
        <v>95</v>
      </c>
      <c r="AN71" s="59">
        <v>1</v>
      </c>
      <c r="AO71" s="243">
        <f t="shared" si="36"/>
        <v>27</v>
      </c>
      <c r="AP71" s="244">
        <f t="shared" si="37"/>
        <v>44</v>
      </c>
      <c r="AQ71" s="244">
        <f t="shared" si="38"/>
        <v>73</v>
      </c>
      <c r="AR71" s="244">
        <f t="shared" si="39"/>
        <v>88</v>
      </c>
      <c r="AS71" s="245">
        <v>110</v>
      </c>
      <c r="AT71">
        <f t="shared" si="33"/>
        <v>44</v>
      </c>
      <c r="AU71">
        <f t="shared" si="34"/>
        <v>7</v>
      </c>
      <c r="AV71">
        <f>AT71+AU71*4</f>
        <v>72</v>
      </c>
    </row>
    <row r="72" spans="2:48" x14ac:dyDescent="0.3">
      <c r="B72" s="59" t="s">
        <v>4596</v>
      </c>
      <c r="C72">
        <v>7</v>
      </c>
      <c r="D72" t="s">
        <v>553</v>
      </c>
      <c r="E72">
        <f t="shared" si="40"/>
        <v>16</v>
      </c>
      <c r="F72">
        <v>9</v>
      </c>
      <c r="G72" t="s">
        <v>553</v>
      </c>
      <c r="H72">
        <f t="shared" si="41"/>
        <v>18</v>
      </c>
      <c r="I72">
        <v>8</v>
      </c>
      <c r="J72" t="s">
        <v>553</v>
      </c>
      <c r="K72">
        <f t="shared" si="42"/>
        <v>17</v>
      </c>
      <c r="L72">
        <v>8</v>
      </c>
      <c r="M72" t="s">
        <v>553</v>
      </c>
      <c r="N72">
        <f t="shared" si="43"/>
        <v>17</v>
      </c>
      <c r="O72">
        <v>8</v>
      </c>
      <c r="P72" t="s">
        <v>553</v>
      </c>
      <c r="Q72">
        <f t="shared" si="44"/>
        <v>17</v>
      </c>
      <c r="R72">
        <v>4</v>
      </c>
      <c r="S72" t="s">
        <v>552</v>
      </c>
      <c r="T72">
        <f t="shared" si="45"/>
        <v>19</v>
      </c>
      <c r="U72" t="s">
        <v>3670</v>
      </c>
      <c r="V72" t="s">
        <v>4594</v>
      </c>
      <c r="W72" s="59" t="s">
        <v>294</v>
      </c>
      <c r="X72" s="59" t="s">
        <v>4595</v>
      </c>
      <c r="Y72" s="59" t="s">
        <v>1203</v>
      </c>
      <c r="Z72" s="59" t="s">
        <v>2996</v>
      </c>
      <c r="AA72" s="60">
        <v>2</v>
      </c>
      <c r="AB72" s="60">
        <v>1</v>
      </c>
      <c r="AC72" s="59" t="s">
        <v>17</v>
      </c>
      <c r="AD72" s="60">
        <v>0</v>
      </c>
      <c r="AE72" s="60">
        <v>1</v>
      </c>
      <c r="AF72" s="60" t="s">
        <v>2993</v>
      </c>
      <c r="AG72" s="573">
        <v>3</v>
      </c>
      <c r="AH72" s="573">
        <v>2</v>
      </c>
      <c r="AI72" s="60">
        <v>0</v>
      </c>
      <c r="AJ72" s="60">
        <v>0</v>
      </c>
      <c r="AK72" s="60">
        <v>0</v>
      </c>
      <c r="AL72" s="60">
        <v>0</v>
      </c>
      <c r="AM72" s="59" t="s">
        <v>95</v>
      </c>
      <c r="AN72" s="59">
        <v>1</v>
      </c>
      <c r="AO72" s="243">
        <f t="shared" si="36"/>
        <v>27</v>
      </c>
      <c r="AP72" s="244">
        <f t="shared" si="37"/>
        <v>44</v>
      </c>
      <c r="AQ72" s="244">
        <f t="shared" si="38"/>
        <v>73</v>
      </c>
      <c r="AR72" s="244">
        <f t="shared" si="39"/>
        <v>88</v>
      </c>
      <c r="AS72" s="245">
        <v>110</v>
      </c>
      <c r="AT72">
        <f t="shared" si="33"/>
        <v>44</v>
      </c>
      <c r="AU72">
        <f t="shared" si="34"/>
        <v>7</v>
      </c>
      <c r="AV72">
        <f t="shared" ref="AV72" si="46">AT72+AU72*4</f>
        <v>72</v>
      </c>
    </row>
    <row r="73" spans="2:48" x14ac:dyDescent="0.3">
      <c r="B73" s="59" t="s">
        <v>1037</v>
      </c>
      <c r="C73">
        <v>9</v>
      </c>
      <c r="D73" t="s">
        <v>553</v>
      </c>
      <c r="E73">
        <f t="shared" si="40"/>
        <v>18</v>
      </c>
      <c r="F73">
        <v>12</v>
      </c>
      <c r="G73" t="s">
        <v>553</v>
      </c>
      <c r="H73">
        <f t="shared" si="41"/>
        <v>21</v>
      </c>
      <c r="I73">
        <v>10</v>
      </c>
      <c r="J73" t="s">
        <v>553</v>
      </c>
      <c r="K73">
        <f t="shared" si="42"/>
        <v>19</v>
      </c>
      <c r="L73">
        <v>7</v>
      </c>
      <c r="M73" t="s">
        <v>553</v>
      </c>
      <c r="N73">
        <f t="shared" si="43"/>
        <v>16</v>
      </c>
      <c r="O73">
        <v>7</v>
      </c>
      <c r="P73" t="s">
        <v>553</v>
      </c>
      <c r="Q73">
        <f t="shared" si="44"/>
        <v>16</v>
      </c>
      <c r="R73">
        <v>3</v>
      </c>
      <c r="S73" t="s">
        <v>552</v>
      </c>
      <c r="T73">
        <f t="shared" si="45"/>
        <v>18</v>
      </c>
      <c r="U73" t="s">
        <v>3720</v>
      </c>
      <c r="V73" t="s">
        <v>3671</v>
      </c>
      <c r="W73" s="59" t="s">
        <v>294</v>
      </c>
      <c r="X73" s="59" t="s">
        <v>2477</v>
      </c>
      <c r="Y73" s="59" t="s">
        <v>1210</v>
      </c>
      <c r="Z73" s="59" t="s">
        <v>357</v>
      </c>
      <c r="AA73" s="60">
        <v>1</v>
      </c>
      <c r="AB73" s="60">
        <v>-1</v>
      </c>
      <c r="AC73" s="59" t="s">
        <v>17</v>
      </c>
      <c r="AD73" s="60">
        <v>0</v>
      </c>
      <c r="AE73" s="60">
        <v>1</v>
      </c>
      <c r="AF73" s="60" t="s">
        <v>2993</v>
      </c>
      <c r="AG73" s="60">
        <v>0</v>
      </c>
      <c r="AH73" s="60">
        <v>-1</v>
      </c>
      <c r="AI73" s="60">
        <v>1</v>
      </c>
      <c r="AJ73" s="60">
        <v>1</v>
      </c>
      <c r="AK73" s="60">
        <v>-1</v>
      </c>
      <c r="AL73" s="60">
        <v>0</v>
      </c>
      <c r="AM73" s="59" t="s">
        <v>95</v>
      </c>
      <c r="AN73" s="59">
        <v>2</v>
      </c>
      <c r="AO73" s="243">
        <f t="shared" si="36"/>
        <v>27</v>
      </c>
      <c r="AP73" s="244">
        <f t="shared" si="37"/>
        <v>44</v>
      </c>
      <c r="AQ73" s="244">
        <f t="shared" si="38"/>
        <v>73</v>
      </c>
      <c r="AR73" s="244">
        <f t="shared" si="39"/>
        <v>88</v>
      </c>
      <c r="AS73" s="245">
        <v>110</v>
      </c>
      <c r="AT73">
        <f t="shared" si="33"/>
        <v>48</v>
      </c>
      <c r="AU73">
        <f t="shared" si="34"/>
        <v>7</v>
      </c>
      <c r="AV73">
        <f t="shared" si="35"/>
        <v>76</v>
      </c>
    </row>
    <row r="74" spans="2:48" x14ac:dyDescent="0.3">
      <c r="B74" s="59" t="s">
        <v>1044</v>
      </c>
      <c r="C74">
        <v>10</v>
      </c>
      <c r="D74" t="s">
        <v>553</v>
      </c>
      <c r="E74">
        <f t="shared" si="40"/>
        <v>19</v>
      </c>
      <c r="F74">
        <v>11</v>
      </c>
      <c r="G74" t="s">
        <v>553</v>
      </c>
      <c r="H74">
        <f t="shared" si="41"/>
        <v>20</v>
      </c>
      <c r="I74">
        <v>9</v>
      </c>
      <c r="J74" t="s">
        <v>553</v>
      </c>
      <c r="K74">
        <f t="shared" si="42"/>
        <v>18</v>
      </c>
      <c r="L74">
        <v>7</v>
      </c>
      <c r="M74" t="s">
        <v>553</v>
      </c>
      <c r="N74">
        <f t="shared" si="43"/>
        <v>16</v>
      </c>
      <c r="O74">
        <v>7</v>
      </c>
      <c r="P74" t="s">
        <v>553</v>
      </c>
      <c r="Q74">
        <f t="shared" si="44"/>
        <v>16</v>
      </c>
      <c r="R74">
        <v>3</v>
      </c>
      <c r="S74" t="s">
        <v>552</v>
      </c>
      <c r="T74">
        <f t="shared" si="45"/>
        <v>18</v>
      </c>
      <c r="U74" t="s">
        <v>3720</v>
      </c>
      <c r="V74" t="s">
        <v>3671</v>
      </c>
      <c r="W74" s="59" t="s">
        <v>294</v>
      </c>
      <c r="X74" s="59" t="s">
        <v>2477</v>
      </c>
      <c r="Y74" s="59" t="s">
        <v>1210</v>
      </c>
      <c r="Z74" s="59" t="s">
        <v>357</v>
      </c>
      <c r="AA74" s="60">
        <v>1</v>
      </c>
      <c r="AB74" s="60">
        <v>-1</v>
      </c>
      <c r="AC74" s="59" t="s">
        <v>17</v>
      </c>
      <c r="AD74" s="60">
        <v>0</v>
      </c>
      <c r="AE74" s="60">
        <v>1</v>
      </c>
      <c r="AF74" s="60" t="s">
        <v>2993</v>
      </c>
      <c r="AG74" s="60">
        <v>0</v>
      </c>
      <c r="AH74" s="60">
        <v>-1</v>
      </c>
      <c r="AI74" s="60">
        <v>1</v>
      </c>
      <c r="AJ74" s="60">
        <v>1</v>
      </c>
      <c r="AK74" s="60">
        <v>-1</v>
      </c>
      <c r="AL74" s="60">
        <v>0</v>
      </c>
      <c r="AM74" s="59" t="s">
        <v>95</v>
      </c>
      <c r="AN74" s="59">
        <v>2</v>
      </c>
      <c r="AO74" s="243">
        <f t="shared" si="36"/>
        <v>27</v>
      </c>
      <c r="AP74" s="244">
        <f t="shared" si="37"/>
        <v>44</v>
      </c>
      <c r="AQ74" s="244">
        <f t="shared" si="38"/>
        <v>73</v>
      </c>
      <c r="AR74" s="244">
        <f t="shared" si="39"/>
        <v>88</v>
      </c>
      <c r="AS74" s="245">
        <v>110</v>
      </c>
      <c r="AT74">
        <f t="shared" si="33"/>
        <v>47</v>
      </c>
      <c r="AU74">
        <f t="shared" si="34"/>
        <v>7</v>
      </c>
      <c r="AV74">
        <f t="shared" si="35"/>
        <v>75</v>
      </c>
    </row>
    <row r="75" spans="2:48" ht="15.75" customHeight="1" x14ac:dyDescent="0.3">
      <c r="B75" s="59" t="s">
        <v>2444</v>
      </c>
      <c r="C75">
        <v>5</v>
      </c>
      <c r="D75" t="s">
        <v>553</v>
      </c>
      <c r="E75">
        <f t="shared" si="40"/>
        <v>14</v>
      </c>
      <c r="F75">
        <v>10</v>
      </c>
      <c r="G75" t="s">
        <v>553</v>
      </c>
      <c r="H75">
        <f t="shared" si="41"/>
        <v>19</v>
      </c>
      <c r="I75">
        <v>8</v>
      </c>
      <c r="J75" t="s">
        <v>553</v>
      </c>
      <c r="K75">
        <f t="shared" si="42"/>
        <v>17</v>
      </c>
      <c r="L75">
        <v>9</v>
      </c>
      <c r="M75" t="s">
        <v>553</v>
      </c>
      <c r="N75">
        <f t="shared" si="43"/>
        <v>18</v>
      </c>
      <c r="O75">
        <v>9</v>
      </c>
      <c r="P75" t="s">
        <v>553</v>
      </c>
      <c r="Q75">
        <f t="shared" si="44"/>
        <v>18</v>
      </c>
      <c r="R75">
        <v>6</v>
      </c>
      <c r="S75" t="s">
        <v>552</v>
      </c>
      <c r="T75">
        <f t="shared" si="45"/>
        <v>21</v>
      </c>
      <c r="U75" t="s">
        <v>3721</v>
      </c>
      <c r="V75" t="s">
        <v>3722</v>
      </c>
      <c r="W75" s="59" t="s">
        <v>293</v>
      </c>
      <c r="X75" s="59" t="s">
        <v>277</v>
      </c>
      <c r="Y75" s="59" t="s">
        <v>1205</v>
      </c>
      <c r="Z75" s="59" t="s">
        <v>357</v>
      </c>
      <c r="AA75" s="60">
        <v>1</v>
      </c>
      <c r="AB75" s="60">
        <v>-1</v>
      </c>
      <c r="AC75" s="59" t="s">
        <v>17</v>
      </c>
      <c r="AD75" s="60">
        <v>0</v>
      </c>
      <c r="AE75" s="60">
        <v>1</v>
      </c>
      <c r="AF75" s="60" t="s">
        <v>2993</v>
      </c>
      <c r="AG75" s="60">
        <v>0</v>
      </c>
      <c r="AH75" s="60">
        <v>-1</v>
      </c>
      <c r="AI75" s="60">
        <v>0</v>
      </c>
      <c r="AJ75" s="60">
        <v>2</v>
      </c>
      <c r="AK75" s="60">
        <v>0</v>
      </c>
      <c r="AL75" s="60">
        <v>0</v>
      </c>
      <c r="AM75" s="59" t="s">
        <v>95</v>
      </c>
      <c r="AN75" s="59">
        <v>0</v>
      </c>
      <c r="AO75" s="243">
        <f t="shared" si="36"/>
        <v>40</v>
      </c>
      <c r="AP75" s="244">
        <f t="shared" si="37"/>
        <v>64</v>
      </c>
      <c r="AQ75" s="244">
        <f t="shared" si="38"/>
        <v>106</v>
      </c>
      <c r="AR75" s="244">
        <f t="shared" si="39"/>
        <v>128</v>
      </c>
      <c r="AS75" s="245">
        <v>160</v>
      </c>
      <c r="AT75">
        <f t="shared" si="33"/>
        <v>47</v>
      </c>
      <c r="AU75">
        <f t="shared" si="34"/>
        <v>7</v>
      </c>
      <c r="AV75">
        <f t="shared" si="35"/>
        <v>75</v>
      </c>
    </row>
    <row r="76" spans="2:48" ht="15.75" customHeight="1" x14ac:dyDescent="0.3">
      <c r="B76" s="59" t="s">
        <v>1045</v>
      </c>
      <c r="C76">
        <v>19</v>
      </c>
      <c r="D76" t="s">
        <v>553</v>
      </c>
      <c r="E76">
        <f t="shared" si="40"/>
        <v>28</v>
      </c>
      <c r="F76">
        <v>5</v>
      </c>
      <c r="G76" t="s">
        <v>553</v>
      </c>
      <c r="H76">
        <f t="shared" si="41"/>
        <v>14</v>
      </c>
      <c r="I76">
        <v>4</v>
      </c>
      <c r="J76" t="s">
        <v>553</v>
      </c>
      <c r="K76">
        <f t="shared" si="42"/>
        <v>13</v>
      </c>
      <c r="L76">
        <v>3</v>
      </c>
      <c r="M76" t="s">
        <v>553</v>
      </c>
      <c r="N76">
        <f t="shared" si="43"/>
        <v>12</v>
      </c>
      <c r="O76">
        <v>7</v>
      </c>
      <c r="P76" t="s">
        <v>553</v>
      </c>
      <c r="Q76">
        <f t="shared" si="44"/>
        <v>16</v>
      </c>
      <c r="R76">
        <v>6</v>
      </c>
      <c r="S76" t="s">
        <v>553</v>
      </c>
      <c r="T76">
        <f t="shared" si="45"/>
        <v>15</v>
      </c>
      <c r="U76" t="s">
        <v>3723</v>
      </c>
      <c r="V76" t="s">
        <v>3724</v>
      </c>
      <c r="W76" s="59" t="s">
        <v>292</v>
      </c>
      <c r="X76" s="59" t="s">
        <v>196</v>
      </c>
      <c r="Y76" s="59" t="s">
        <v>1203</v>
      </c>
      <c r="Z76" s="59" t="s">
        <v>357</v>
      </c>
      <c r="AA76" s="60">
        <v>1</v>
      </c>
      <c r="AB76" s="60">
        <v>-1</v>
      </c>
      <c r="AC76" s="59" t="s">
        <v>17</v>
      </c>
      <c r="AD76" s="60">
        <v>0</v>
      </c>
      <c r="AE76" s="60">
        <v>1</v>
      </c>
      <c r="AF76" s="60" t="s">
        <v>2993</v>
      </c>
      <c r="AG76" s="60">
        <v>0</v>
      </c>
      <c r="AH76" s="60">
        <v>-1</v>
      </c>
      <c r="AI76" s="60">
        <v>0</v>
      </c>
      <c r="AJ76" s="60">
        <v>-2</v>
      </c>
      <c r="AK76" s="60">
        <v>1</v>
      </c>
      <c r="AL76" s="60">
        <v>0</v>
      </c>
      <c r="AM76" s="59" t="s">
        <v>97</v>
      </c>
      <c r="AN76" s="59">
        <v>0</v>
      </c>
      <c r="AO76" s="243">
        <f t="shared" si="36"/>
        <v>27</v>
      </c>
      <c r="AP76" s="244">
        <f t="shared" si="37"/>
        <v>44</v>
      </c>
      <c r="AQ76" s="244">
        <f t="shared" si="38"/>
        <v>73</v>
      </c>
      <c r="AR76" s="244">
        <f t="shared" si="39"/>
        <v>88</v>
      </c>
      <c r="AS76" s="245">
        <v>110</v>
      </c>
      <c r="AT76">
        <f t="shared" si="33"/>
        <v>44</v>
      </c>
      <c r="AU76">
        <f t="shared" si="34"/>
        <v>6</v>
      </c>
      <c r="AV76">
        <f t="shared" si="35"/>
        <v>68</v>
      </c>
    </row>
    <row r="77" spans="2:48" x14ac:dyDescent="0.3">
      <c r="B77" s="59" t="s">
        <v>1360</v>
      </c>
      <c r="C77">
        <v>19</v>
      </c>
      <c r="D77" t="s">
        <v>553</v>
      </c>
      <c r="E77">
        <f t="shared" si="40"/>
        <v>28</v>
      </c>
      <c r="F77">
        <v>11</v>
      </c>
      <c r="G77" t="s">
        <v>553</v>
      </c>
      <c r="H77">
        <f t="shared" si="41"/>
        <v>20</v>
      </c>
      <c r="I77">
        <v>2</v>
      </c>
      <c r="J77" t="s">
        <v>553</v>
      </c>
      <c r="K77">
        <f t="shared" si="42"/>
        <v>11</v>
      </c>
      <c r="L77">
        <v>1</v>
      </c>
      <c r="M77" t="s">
        <v>553</v>
      </c>
      <c r="N77">
        <f t="shared" si="43"/>
        <v>10</v>
      </c>
      <c r="O77">
        <v>9</v>
      </c>
      <c r="P77" t="s">
        <v>553</v>
      </c>
      <c r="Q77">
        <f t="shared" si="44"/>
        <v>18</v>
      </c>
      <c r="R77">
        <v>4</v>
      </c>
      <c r="S77" t="s">
        <v>553</v>
      </c>
      <c r="T77">
        <f t="shared" si="45"/>
        <v>13</v>
      </c>
      <c r="U77" t="s">
        <v>3725</v>
      </c>
      <c r="V77" t="s">
        <v>3726</v>
      </c>
      <c r="W77" s="59" t="s">
        <v>296</v>
      </c>
      <c r="X77" s="59" t="s">
        <v>196</v>
      </c>
      <c r="Y77" s="59" t="s">
        <v>1203</v>
      </c>
      <c r="Z77" s="59" t="s">
        <v>357</v>
      </c>
      <c r="AA77" s="60">
        <v>1</v>
      </c>
      <c r="AB77" s="60">
        <v>-1</v>
      </c>
      <c r="AC77" s="59" t="s">
        <v>17</v>
      </c>
      <c r="AD77" s="60">
        <v>0</v>
      </c>
      <c r="AE77" s="60">
        <v>1</v>
      </c>
      <c r="AF77" s="60" t="s">
        <v>2993</v>
      </c>
      <c r="AG77" s="60">
        <v>0</v>
      </c>
      <c r="AH77" s="60">
        <v>-1</v>
      </c>
      <c r="AI77" s="60">
        <v>0</v>
      </c>
      <c r="AJ77" s="60">
        <v>-2</v>
      </c>
      <c r="AK77" s="60">
        <v>1</v>
      </c>
      <c r="AL77" s="60">
        <v>0</v>
      </c>
      <c r="AM77" s="59" t="s">
        <v>97</v>
      </c>
      <c r="AN77" s="59">
        <v>0</v>
      </c>
      <c r="AO77" s="243">
        <f t="shared" si="36"/>
        <v>25</v>
      </c>
      <c r="AP77" s="244">
        <f t="shared" si="37"/>
        <v>40</v>
      </c>
      <c r="AQ77" s="244">
        <f t="shared" si="38"/>
        <v>66</v>
      </c>
      <c r="AR77" s="244">
        <f t="shared" si="39"/>
        <v>80</v>
      </c>
      <c r="AS77" s="245">
        <v>100</v>
      </c>
      <c r="AT77">
        <f t="shared" si="33"/>
        <v>46</v>
      </c>
      <c r="AU77">
        <f t="shared" si="34"/>
        <v>6</v>
      </c>
      <c r="AV77">
        <f t="shared" si="35"/>
        <v>70</v>
      </c>
    </row>
    <row r="78" spans="2:48" x14ac:dyDescent="0.3">
      <c r="B78" s="59" t="s">
        <v>4738</v>
      </c>
      <c r="C78">
        <v>20</v>
      </c>
      <c r="D78" t="s">
        <v>553</v>
      </c>
      <c r="E78">
        <f t="shared" si="40"/>
        <v>29</v>
      </c>
      <c r="F78">
        <v>6</v>
      </c>
      <c r="G78" t="s">
        <v>553</v>
      </c>
      <c r="H78">
        <f t="shared" si="41"/>
        <v>15</v>
      </c>
      <c r="I78">
        <v>7</v>
      </c>
      <c r="J78" t="s">
        <v>553</v>
      </c>
      <c r="K78">
        <f t="shared" si="42"/>
        <v>16</v>
      </c>
      <c r="L78">
        <v>10</v>
      </c>
      <c r="M78" t="s">
        <v>553</v>
      </c>
      <c r="N78">
        <f t="shared" si="43"/>
        <v>19</v>
      </c>
      <c r="O78">
        <v>10</v>
      </c>
      <c r="P78" t="s">
        <v>553</v>
      </c>
      <c r="Q78">
        <f t="shared" si="44"/>
        <v>19</v>
      </c>
      <c r="R78">
        <v>9</v>
      </c>
      <c r="S78" t="s">
        <v>553</v>
      </c>
      <c r="T78">
        <f t="shared" si="45"/>
        <v>18</v>
      </c>
      <c r="U78" t="s">
        <v>4739</v>
      </c>
      <c r="V78" t="s">
        <v>4740</v>
      </c>
      <c r="W78" s="59" t="s">
        <v>292</v>
      </c>
      <c r="X78" s="59" t="s">
        <v>4595</v>
      </c>
      <c r="Y78" s="59" t="s">
        <v>1203</v>
      </c>
      <c r="Z78" s="59" t="s">
        <v>357</v>
      </c>
      <c r="AA78" s="60">
        <v>4</v>
      </c>
      <c r="AB78" s="60">
        <v>-1</v>
      </c>
      <c r="AC78" s="59" t="s">
        <v>17</v>
      </c>
      <c r="AD78" s="60">
        <v>0</v>
      </c>
      <c r="AE78" s="60">
        <v>1</v>
      </c>
      <c r="AF78" s="60" t="s">
        <v>2993</v>
      </c>
      <c r="AG78" s="60">
        <v>2</v>
      </c>
      <c r="AH78" s="60">
        <v>0</v>
      </c>
      <c r="AI78" s="60">
        <v>0</v>
      </c>
      <c r="AJ78" s="60">
        <v>0</v>
      </c>
      <c r="AK78" s="60">
        <v>1</v>
      </c>
      <c r="AL78" s="60">
        <v>0</v>
      </c>
      <c r="AM78" s="59" t="s">
        <v>98</v>
      </c>
      <c r="AN78" s="59">
        <v>2</v>
      </c>
      <c r="AO78" s="243">
        <f>FLOOR(AS78/4,1)</f>
        <v>87</v>
      </c>
      <c r="AP78" s="244">
        <f t="shared" si="37"/>
        <v>140</v>
      </c>
      <c r="AQ78" s="244">
        <f t="shared" si="38"/>
        <v>233</v>
      </c>
      <c r="AR78" s="244">
        <f t="shared" si="39"/>
        <v>280</v>
      </c>
      <c r="AS78" s="245">
        <v>350</v>
      </c>
      <c r="AT78">
        <f t="shared" si="33"/>
        <v>62</v>
      </c>
      <c r="AU78">
        <f t="shared" ref="AU78" si="47">IF(D78="3k6",3,IF(D78="2k6",2,1))+IF(M78="3k6",3,IF(M78="2k6",2,1))+IF(J78="3k6",3,IF(J78="2k6",2,1))+IF(G78="3k6",3,IF(G78="2k6",2,1))+IF(P78="3k6",3,IF(P78="2k6",2,1))+IF(S78="3k6",3,IF(S78="2k6",2,1))</f>
        <v>6</v>
      </c>
      <c r="AV78">
        <f t="shared" ref="AV78" si="48">AT78+AU78*4</f>
        <v>86</v>
      </c>
    </row>
    <row r="79" spans="2:48" x14ac:dyDescent="0.3">
      <c r="B79" s="59" t="s">
        <v>2433</v>
      </c>
      <c r="C79">
        <v>19</v>
      </c>
      <c r="D79" t="s">
        <v>553</v>
      </c>
      <c r="E79">
        <f t="shared" si="40"/>
        <v>28</v>
      </c>
      <c r="F79">
        <v>7</v>
      </c>
      <c r="G79" t="s">
        <v>553</v>
      </c>
      <c r="H79">
        <f t="shared" si="41"/>
        <v>16</v>
      </c>
      <c r="I79">
        <v>6</v>
      </c>
      <c r="J79" t="s">
        <v>553</v>
      </c>
      <c r="K79">
        <f t="shared" si="42"/>
        <v>15</v>
      </c>
      <c r="L79">
        <v>6</v>
      </c>
      <c r="M79" t="s">
        <v>553</v>
      </c>
      <c r="N79">
        <f t="shared" si="43"/>
        <v>15</v>
      </c>
      <c r="O79">
        <v>9</v>
      </c>
      <c r="P79" t="s">
        <v>553</v>
      </c>
      <c r="Q79">
        <f t="shared" si="44"/>
        <v>18</v>
      </c>
      <c r="R79">
        <v>4</v>
      </c>
      <c r="S79" t="s">
        <v>553</v>
      </c>
      <c r="T79">
        <f t="shared" si="45"/>
        <v>13</v>
      </c>
      <c r="U79" t="s">
        <v>3727</v>
      </c>
      <c r="V79" t="s">
        <v>3728</v>
      </c>
      <c r="W79" s="59" t="s">
        <v>296</v>
      </c>
      <c r="X79" s="59" t="s">
        <v>196</v>
      </c>
      <c r="Y79" s="59" t="s">
        <v>1203</v>
      </c>
      <c r="Z79" s="59" t="s">
        <v>357</v>
      </c>
      <c r="AA79" s="60">
        <v>1</v>
      </c>
      <c r="AB79" s="60">
        <v>-1</v>
      </c>
      <c r="AC79" s="59" t="s">
        <v>17</v>
      </c>
      <c r="AD79" s="60">
        <v>0</v>
      </c>
      <c r="AE79" s="60">
        <v>1</v>
      </c>
      <c r="AF79" s="60" t="s">
        <v>2993</v>
      </c>
      <c r="AG79" s="60">
        <v>0</v>
      </c>
      <c r="AH79" s="60">
        <v>-1</v>
      </c>
      <c r="AI79" s="60">
        <v>0</v>
      </c>
      <c r="AJ79" s="60">
        <v>0</v>
      </c>
      <c r="AK79" s="60">
        <v>1</v>
      </c>
      <c r="AL79" s="60">
        <v>0</v>
      </c>
      <c r="AM79" s="59" t="s">
        <v>97</v>
      </c>
      <c r="AN79" s="59">
        <v>3</v>
      </c>
      <c r="AO79" s="243">
        <f t="shared" si="36"/>
        <v>32</v>
      </c>
      <c r="AP79" s="244">
        <f t="shared" si="37"/>
        <v>52</v>
      </c>
      <c r="AQ79" s="244">
        <f t="shared" si="38"/>
        <v>86</v>
      </c>
      <c r="AR79" s="244">
        <f t="shared" si="39"/>
        <v>104</v>
      </c>
      <c r="AS79" s="245">
        <v>130</v>
      </c>
      <c r="AT79">
        <f t="shared" si="33"/>
        <v>51</v>
      </c>
      <c r="AU79">
        <f t="shared" si="34"/>
        <v>6</v>
      </c>
      <c r="AV79">
        <f t="shared" si="35"/>
        <v>75</v>
      </c>
    </row>
    <row r="80" spans="2:48" x14ac:dyDescent="0.3">
      <c r="B80" s="59" t="s">
        <v>1046</v>
      </c>
      <c r="C80">
        <v>18</v>
      </c>
      <c r="D80" t="s">
        <v>553</v>
      </c>
      <c r="E80">
        <f t="shared" si="40"/>
        <v>27</v>
      </c>
      <c r="F80">
        <v>6</v>
      </c>
      <c r="G80" t="s">
        <v>553</v>
      </c>
      <c r="H80">
        <f t="shared" si="41"/>
        <v>15</v>
      </c>
      <c r="I80">
        <v>4</v>
      </c>
      <c r="J80" t="s">
        <v>553</v>
      </c>
      <c r="K80">
        <f t="shared" si="42"/>
        <v>13</v>
      </c>
      <c r="L80">
        <v>3</v>
      </c>
      <c r="M80" t="s">
        <v>553</v>
      </c>
      <c r="N80">
        <f t="shared" si="43"/>
        <v>12</v>
      </c>
      <c r="O80">
        <v>7</v>
      </c>
      <c r="P80" t="s">
        <v>553</v>
      </c>
      <c r="Q80">
        <f t="shared" si="44"/>
        <v>16</v>
      </c>
      <c r="R80">
        <v>6</v>
      </c>
      <c r="S80" t="s">
        <v>553</v>
      </c>
      <c r="T80">
        <f t="shared" si="45"/>
        <v>15</v>
      </c>
      <c r="U80" t="s">
        <v>3723</v>
      </c>
      <c r="V80" t="s">
        <v>3724</v>
      </c>
      <c r="W80" s="59" t="s">
        <v>292</v>
      </c>
      <c r="X80" s="59" t="s">
        <v>196</v>
      </c>
      <c r="Y80" s="59" t="s">
        <v>1203</v>
      </c>
      <c r="Z80" s="59" t="s">
        <v>357</v>
      </c>
      <c r="AA80" s="60">
        <v>1</v>
      </c>
      <c r="AB80" s="60">
        <v>-1</v>
      </c>
      <c r="AC80" s="59" t="s">
        <v>17</v>
      </c>
      <c r="AD80" s="60">
        <v>0</v>
      </c>
      <c r="AE80" s="60">
        <v>1</v>
      </c>
      <c r="AF80" s="60" t="s">
        <v>2993</v>
      </c>
      <c r="AG80" s="60">
        <v>0</v>
      </c>
      <c r="AH80" s="60">
        <v>-1</v>
      </c>
      <c r="AI80" s="60">
        <v>0</v>
      </c>
      <c r="AJ80" s="60">
        <v>-2</v>
      </c>
      <c r="AK80" s="60">
        <v>1</v>
      </c>
      <c r="AL80" s="60">
        <v>0</v>
      </c>
      <c r="AM80" s="59" t="s">
        <v>97</v>
      </c>
      <c r="AN80" s="59">
        <v>0</v>
      </c>
      <c r="AO80" s="243">
        <f t="shared" si="36"/>
        <v>27</v>
      </c>
      <c r="AP80" s="244">
        <f t="shared" si="37"/>
        <v>44</v>
      </c>
      <c r="AQ80" s="244">
        <f t="shared" si="38"/>
        <v>73</v>
      </c>
      <c r="AR80" s="244">
        <f t="shared" si="39"/>
        <v>88</v>
      </c>
      <c r="AS80" s="245">
        <v>110</v>
      </c>
      <c r="AT80">
        <f t="shared" si="33"/>
        <v>44</v>
      </c>
      <c r="AU80">
        <f t="shared" si="34"/>
        <v>6</v>
      </c>
      <c r="AV80">
        <f t="shared" si="35"/>
        <v>68</v>
      </c>
    </row>
    <row r="81" spans="2:48" x14ac:dyDescent="0.3">
      <c r="B81" s="59" t="s">
        <v>2434</v>
      </c>
      <c r="C81">
        <v>18</v>
      </c>
      <c r="D81" t="s">
        <v>553</v>
      </c>
      <c r="E81">
        <f t="shared" si="40"/>
        <v>27</v>
      </c>
      <c r="F81">
        <v>7</v>
      </c>
      <c r="G81" t="s">
        <v>553</v>
      </c>
      <c r="H81">
        <f t="shared" si="41"/>
        <v>16</v>
      </c>
      <c r="I81">
        <v>7</v>
      </c>
      <c r="J81" t="s">
        <v>553</v>
      </c>
      <c r="K81">
        <f t="shared" si="42"/>
        <v>16</v>
      </c>
      <c r="L81">
        <v>6</v>
      </c>
      <c r="M81" t="s">
        <v>553</v>
      </c>
      <c r="N81">
        <f t="shared" si="43"/>
        <v>15</v>
      </c>
      <c r="O81">
        <v>9</v>
      </c>
      <c r="P81" t="s">
        <v>553</v>
      </c>
      <c r="Q81">
        <f t="shared" si="44"/>
        <v>18</v>
      </c>
      <c r="R81">
        <v>4</v>
      </c>
      <c r="S81" t="s">
        <v>553</v>
      </c>
      <c r="T81">
        <f t="shared" si="45"/>
        <v>13</v>
      </c>
      <c r="U81" t="s">
        <v>3727</v>
      </c>
      <c r="V81" t="s">
        <v>3728</v>
      </c>
      <c r="W81" s="59" t="s">
        <v>296</v>
      </c>
      <c r="X81" s="59" t="s">
        <v>196</v>
      </c>
      <c r="Y81" s="59" t="s">
        <v>1203</v>
      </c>
      <c r="Z81" s="59" t="s">
        <v>357</v>
      </c>
      <c r="AA81" s="60">
        <v>1</v>
      </c>
      <c r="AB81" s="60">
        <v>-1</v>
      </c>
      <c r="AC81" s="59" t="s">
        <v>17</v>
      </c>
      <c r="AD81" s="60">
        <v>0</v>
      </c>
      <c r="AE81" s="60">
        <v>1</v>
      </c>
      <c r="AF81" s="60" t="s">
        <v>2993</v>
      </c>
      <c r="AG81" s="60">
        <v>0</v>
      </c>
      <c r="AH81" s="60">
        <v>-1</v>
      </c>
      <c r="AI81" s="60">
        <v>0</v>
      </c>
      <c r="AJ81" s="60">
        <v>0</v>
      </c>
      <c r="AK81" s="60">
        <v>1</v>
      </c>
      <c r="AL81" s="60">
        <v>0</v>
      </c>
      <c r="AM81" s="59" t="s">
        <v>97</v>
      </c>
      <c r="AN81" s="59">
        <v>3</v>
      </c>
      <c r="AO81" s="243">
        <f t="shared" si="36"/>
        <v>32</v>
      </c>
      <c r="AP81" s="244">
        <f t="shared" si="37"/>
        <v>52</v>
      </c>
      <c r="AQ81" s="244">
        <f t="shared" si="38"/>
        <v>86</v>
      </c>
      <c r="AR81" s="244">
        <f t="shared" si="39"/>
        <v>104</v>
      </c>
      <c r="AS81" s="245">
        <v>130</v>
      </c>
      <c r="AT81">
        <f t="shared" si="33"/>
        <v>51</v>
      </c>
      <c r="AU81">
        <f t="shared" si="34"/>
        <v>6</v>
      </c>
      <c r="AV81">
        <f t="shared" si="35"/>
        <v>75</v>
      </c>
    </row>
    <row r="82" spans="2:48" x14ac:dyDescent="0.3">
      <c r="B82" s="59" t="s">
        <v>1004</v>
      </c>
      <c r="C82">
        <v>5</v>
      </c>
      <c r="D82" t="s">
        <v>553</v>
      </c>
      <c r="E82">
        <f t="shared" si="40"/>
        <v>14</v>
      </c>
      <c r="F82">
        <v>4</v>
      </c>
      <c r="G82" t="s">
        <v>553</v>
      </c>
      <c r="H82">
        <f t="shared" si="41"/>
        <v>13</v>
      </c>
      <c r="I82">
        <v>4</v>
      </c>
      <c r="J82" t="s">
        <v>553</v>
      </c>
      <c r="K82">
        <f t="shared" si="42"/>
        <v>13</v>
      </c>
      <c r="L82">
        <v>2</v>
      </c>
      <c r="M82" t="s">
        <v>553</v>
      </c>
      <c r="N82">
        <f t="shared" si="43"/>
        <v>11</v>
      </c>
      <c r="O82">
        <v>3</v>
      </c>
      <c r="P82" t="s">
        <v>553</v>
      </c>
      <c r="Q82">
        <f t="shared" si="44"/>
        <v>12</v>
      </c>
      <c r="R82">
        <v>0</v>
      </c>
      <c r="S82" t="s">
        <v>553</v>
      </c>
      <c r="T82">
        <f t="shared" si="45"/>
        <v>9</v>
      </c>
      <c r="U82" t="s">
        <v>3729</v>
      </c>
      <c r="V82" t="s">
        <v>3685</v>
      </c>
      <c r="W82" s="59" t="s">
        <v>296</v>
      </c>
      <c r="X82" s="59" t="s">
        <v>193</v>
      </c>
      <c r="Y82" s="59" t="s">
        <v>1203</v>
      </c>
      <c r="Z82" s="59" t="s">
        <v>357</v>
      </c>
      <c r="AA82" s="60">
        <v>1</v>
      </c>
      <c r="AB82" s="60">
        <v>-1</v>
      </c>
      <c r="AC82" s="59" t="s">
        <v>17</v>
      </c>
      <c r="AD82" s="60">
        <v>0</v>
      </c>
      <c r="AE82" s="60">
        <v>1</v>
      </c>
      <c r="AF82" s="60" t="s">
        <v>2993</v>
      </c>
      <c r="AG82" s="60">
        <v>0</v>
      </c>
      <c r="AH82" s="573">
        <v>1</v>
      </c>
      <c r="AI82" s="60">
        <v>0</v>
      </c>
      <c r="AJ82" s="60">
        <v>-1</v>
      </c>
      <c r="AK82" s="60">
        <v>0</v>
      </c>
      <c r="AL82" s="60">
        <v>0</v>
      </c>
      <c r="AM82" s="59" t="s">
        <v>260</v>
      </c>
      <c r="AN82" s="59">
        <v>0</v>
      </c>
      <c r="AO82" s="243">
        <f t="shared" si="36"/>
        <v>7</v>
      </c>
      <c r="AP82" s="244">
        <f t="shared" si="37"/>
        <v>12</v>
      </c>
      <c r="AQ82" s="244">
        <f t="shared" si="38"/>
        <v>20</v>
      </c>
      <c r="AR82" s="244">
        <f t="shared" si="39"/>
        <v>24</v>
      </c>
      <c r="AS82" s="245">
        <v>30</v>
      </c>
      <c r="AT82">
        <f t="shared" si="33"/>
        <v>18</v>
      </c>
      <c r="AU82">
        <f t="shared" si="34"/>
        <v>6</v>
      </c>
      <c r="AV82">
        <f t="shared" si="35"/>
        <v>42</v>
      </c>
    </row>
    <row r="83" spans="2:48" x14ac:dyDescent="0.3">
      <c r="B83" s="59" t="s">
        <v>227</v>
      </c>
      <c r="C83">
        <v>6</v>
      </c>
      <c r="D83" t="s">
        <v>553</v>
      </c>
      <c r="E83">
        <f t="shared" si="40"/>
        <v>15</v>
      </c>
      <c r="F83">
        <v>4</v>
      </c>
      <c r="G83" t="s">
        <v>553</v>
      </c>
      <c r="H83">
        <f t="shared" si="41"/>
        <v>13</v>
      </c>
      <c r="I83">
        <v>3</v>
      </c>
      <c r="J83" t="s">
        <v>553</v>
      </c>
      <c r="K83">
        <f t="shared" si="42"/>
        <v>12</v>
      </c>
      <c r="L83">
        <v>2</v>
      </c>
      <c r="M83" t="s">
        <v>553</v>
      </c>
      <c r="N83">
        <f t="shared" si="43"/>
        <v>11</v>
      </c>
      <c r="O83">
        <v>3</v>
      </c>
      <c r="P83" t="s">
        <v>553</v>
      </c>
      <c r="Q83">
        <f t="shared" si="44"/>
        <v>12</v>
      </c>
      <c r="R83">
        <v>0</v>
      </c>
      <c r="S83" t="s">
        <v>553</v>
      </c>
      <c r="T83">
        <f t="shared" si="45"/>
        <v>9</v>
      </c>
      <c r="U83" t="s">
        <v>3729</v>
      </c>
      <c r="V83" t="s">
        <v>3685</v>
      </c>
      <c r="W83" s="59" t="s">
        <v>296</v>
      </c>
      <c r="X83" s="59" t="s">
        <v>193</v>
      </c>
      <c r="Y83" s="59" t="s">
        <v>1203</v>
      </c>
      <c r="Z83" s="59" t="s">
        <v>357</v>
      </c>
      <c r="AA83" s="60">
        <v>1</v>
      </c>
      <c r="AB83" s="60">
        <v>-1</v>
      </c>
      <c r="AC83" s="59" t="s">
        <v>17</v>
      </c>
      <c r="AD83" s="60">
        <v>0</v>
      </c>
      <c r="AE83" s="60">
        <v>1</v>
      </c>
      <c r="AF83" s="60" t="s">
        <v>2993</v>
      </c>
      <c r="AG83" s="60">
        <v>0</v>
      </c>
      <c r="AH83" s="573">
        <v>1</v>
      </c>
      <c r="AI83" s="60">
        <v>0</v>
      </c>
      <c r="AJ83" s="60">
        <v>-1</v>
      </c>
      <c r="AK83" s="60">
        <v>0</v>
      </c>
      <c r="AL83" s="60">
        <v>0</v>
      </c>
      <c r="AM83" s="59" t="s">
        <v>260</v>
      </c>
      <c r="AN83" s="59">
        <v>0</v>
      </c>
      <c r="AO83" s="243">
        <f t="shared" si="36"/>
        <v>7</v>
      </c>
      <c r="AP83" s="244">
        <f t="shared" si="37"/>
        <v>12</v>
      </c>
      <c r="AQ83" s="244">
        <f t="shared" si="38"/>
        <v>20</v>
      </c>
      <c r="AR83" s="244">
        <f t="shared" si="39"/>
        <v>24</v>
      </c>
      <c r="AS83" s="245">
        <v>30</v>
      </c>
      <c r="AT83">
        <f t="shared" si="33"/>
        <v>18</v>
      </c>
      <c r="AU83">
        <f t="shared" si="34"/>
        <v>6</v>
      </c>
      <c r="AV83">
        <f t="shared" si="35"/>
        <v>42</v>
      </c>
    </row>
    <row r="84" spans="2:48" x14ac:dyDescent="0.3">
      <c r="B84" s="59" t="s">
        <v>2445</v>
      </c>
      <c r="C84">
        <v>7</v>
      </c>
      <c r="D84" t="s">
        <v>553</v>
      </c>
      <c r="E84">
        <f t="shared" si="40"/>
        <v>16</v>
      </c>
      <c r="F84">
        <v>8</v>
      </c>
      <c r="G84" t="s">
        <v>553</v>
      </c>
      <c r="H84">
        <f t="shared" si="41"/>
        <v>17</v>
      </c>
      <c r="I84">
        <v>8</v>
      </c>
      <c r="J84" t="s">
        <v>553</v>
      </c>
      <c r="K84">
        <f t="shared" si="42"/>
        <v>17</v>
      </c>
      <c r="L84">
        <v>6</v>
      </c>
      <c r="M84" t="s">
        <v>553</v>
      </c>
      <c r="N84">
        <f t="shared" si="43"/>
        <v>15</v>
      </c>
      <c r="O84">
        <v>7</v>
      </c>
      <c r="P84" t="s">
        <v>553</v>
      </c>
      <c r="Q84">
        <f t="shared" si="44"/>
        <v>16</v>
      </c>
      <c r="R84">
        <v>3</v>
      </c>
      <c r="S84" t="s">
        <v>552</v>
      </c>
      <c r="T84">
        <f t="shared" si="45"/>
        <v>18</v>
      </c>
      <c r="U84" t="s">
        <v>3730</v>
      </c>
      <c r="V84" t="s">
        <v>3731</v>
      </c>
      <c r="W84" s="59" t="s">
        <v>293</v>
      </c>
      <c r="X84" s="59" t="s">
        <v>191</v>
      </c>
      <c r="Y84" s="59" t="s">
        <v>1205</v>
      </c>
      <c r="Z84" s="572" t="s">
        <v>2996</v>
      </c>
      <c r="AA84" s="573">
        <v>3</v>
      </c>
      <c r="AB84" s="573">
        <v>3</v>
      </c>
      <c r="AC84" s="59" t="s">
        <v>17</v>
      </c>
      <c r="AD84" s="60">
        <v>0</v>
      </c>
      <c r="AE84" s="60">
        <v>1</v>
      </c>
      <c r="AF84" s="573" t="s">
        <v>2998</v>
      </c>
      <c r="AG84" s="573">
        <v>3</v>
      </c>
      <c r="AH84" s="573">
        <v>4</v>
      </c>
      <c r="AI84" s="60">
        <v>0</v>
      </c>
      <c r="AJ84" s="60">
        <v>1</v>
      </c>
      <c r="AK84" s="60">
        <v>0</v>
      </c>
      <c r="AL84" s="60">
        <v>1</v>
      </c>
      <c r="AM84" s="59" t="s">
        <v>95</v>
      </c>
      <c r="AN84" s="59">
        <v>0</v>
      </c>
      <c r="AO84" s="243">
        <v>33</v>
      </c>
      <c r="AP84" s="244">
        <v>333</v>
      </c>
      <c r="AQ84" s="244">
        <v>999</v>
      </c>
      <c r="AR84" s="244">
        <v>9999</v>
      </c>
      <c r="AS84" s="245">
        <v>99999</v>
      </c>
      <c r="AT84">
        <f t="shared" si="33"/>
        <v>39</v>
      </c>
      <c r="AU84">
        <f t="shared" si="34"/>
        <v>7</v>
      </c>
      <c r="AV84">
        <f t="shared" si="35"/>
        <v>67</v>
      </c>
    </row>
    <row r="85" spans="2:48" x14ac:dyDescent="0.3">
      <c r="B85" s="531" t="s">
        <v>4743</v>
      </c>
      <c r="C85">
        <v>9</v>
      </c>
      <c r="D85" t="s">
        <v>552</v>
      </c>
      <c r="E85">
        <f t="shared" si="40"/>
        <v>24</v>
      </c>
      <c r="F85">
        <v>2</v>
      </c>
      <c r="G85" t="s">
        <v>552</v>
      </c>
      <c r="H85">
        <f t="shared" si="41"/>
        <v>17</v>
      </c>
      <c r="I85">
        <v>1</v>
      </c>
      <c r="J85" t="s">
        <v>552</v>
      </c>
      <c r="K85">
        <f t="shared" si="42"/>
        <v>16</v>
      </c>
      <c r="L85">
        <v>0</v>
      </c>
      <c r="M85" t="s">
        <v>552</v>
      </c>
      <c r="N85">
        <f t="shared" si="43"/>
        <v>15</v>
      </c>
      <c r="O85">
        <v>4</v>
      </c>
      <c r="P85" t="s">
        <v>552</v>
      </c>
      <c r="Q85">
        <f t="shared" si="44"/>
        <v>19</v>
      </c>
      <c r="R85">
        <v>2</v>
      </c>
      <c r="S85" t="s">
        <v>552</v>
      </c>
      <c r="T85">
        <f t="shared" si="45"/>
        <v>17</v>
      </c>
      <c r="U85" t="s">
        <v>4745</v>
      </c>
      <c r="V85" t="s">
        <v>4746</v>
      </c>
      <c r="W85" s="59" t="s">
        <v>199</v>
      </c>
      <c r="X85" s="59" t="s">
        <v>196</v>
      </c>
      <c r="Y85" s="59" t="s">
        <v>1207</v>
      </c>
      <c r="Z85" s="59" t="s">
        <v>357</v>
      </c>
      <c r="AA85" s="60">
        <v>1</v>
      </c>
      <c r="AB85" s="60">
        <v>-1</v>
      </c>
      <c r="AC85" s="59" t="s">
        <v>17</v>
      </c>
      <c r="AD85" s="60">
        <v>0</v>
      </c>
      <c r="AE85" s="60">
        <v>1</v>
      </c>
      <c r="AF85" s="60" t="s">
        <v>2993</v>
      </c>
      <c r="AG85" s="60">
        <v>0</v>
      </c>
      <c r="AH85" s="60">
        <v>-1</v>
      </c>
      <c r="AI85" s="60">
        <v>0</v>
      </c>
      <c r="AJ85" s="60">
        <v>0</v>
      </c>
      <c r="AK85" s="60">
        <v>0</v>
      </c>
      <c r="AL85" s="60">
        <v>0</v>
      </c>
      <c r="AM85" s="59" t="s">
        <v>96</v>
      </c>
      <c r="AN85" s="59">
        <v>0</v>
      </c>
      <c r="AO85" s="243">
        <f t="shared" ref="AO85:AO86" si="49">FLOOR(AS85/4,1)</f>
        <v>15</v>
      </c>
      <c r="AP85" s="244">
        <f t="shared" ref="AP85:AP86" si="50">FLOOR(AS85/5*2,1)</f>
        <v>24</v>
      </c>
      <c r="AQ85" s="244">
        <f t="shared" ref="AQ85:AQ86" si="51">FLOOR(AS85/3*2,1)</f>
        <v>40</v>
      </c>
      <c r="AR85" s="244">
        <f t="shared" ref="AR85:AR86" si="52">FLOOR(AS85/5*4,1)</f>
        <v>48</v>
      </c>
      <c r="AS85" s="245">
        <v>60</v>
      </c>
      <c r="AT85">
        <f t="shared" si="33"/>
        <v>18</v>
      </c>
      <c r="AU85">
        <f t="shared" ref="AU85:AU86" si="53">IF(D85="3k6",3,IF(D85="2k6",2,1))+IF(M85="3k6",3,IF(M85="2k6",2,1))+IF(J85="3k6",3,IF(J85="2k6",2,1))+IF(G85="3k6",3,IF(G85="2k6",2,1))+IF(P85="3k6",3,IF(P85="2k6",2,1))+IF(S85="3k6",3,IF(S85="2k6",2,1))</f>
        <v>12</v>
      </c>
      <c r="AV85">
        <f t="shared" ref="AV85:AV86" si="54">AT85+AU85*4</f>
        <v>66</v>
      </c>
    </row>
    <row r="86" spans="2:48" x14ac:dyDescent="0.3">
      <c r="B86" s="531" t="s">
        <v>4744</v>
      </c>
      <c r="C86">
        <v>7</v>
      </c>
      <c r="D86" t="s">
        <v>552</v>
      </c>
      <c r="E86">
        <f t="shared" si="40"/>
        <v>22</v>
      </c>
      <c r="F86">
        <v>3</v>
      </c>
      <c r="G86" t="s">
        <v>552</v>
      </c>
      <c r="H86">
        <f t="shared" si="41"/>
        <v>18</v>
      </c>
      <c r="I86">
        <v>2</v>
      </c>
      <c r="J86" t="s">
        <v>552</v>
      </c>
      <c r="K86">
        <f t="shared" si="42"/>
        <v>17</v>
      </c>
      <c r="L86">
        <v>0</v>
      </c>
      <c r="M86" t="s">
        <v>552</v>
      </c>
      <c r="N86">
        <f t="shared" si="43"/>
        <v>15</v>
      </c>
      <c r="O86">
        <v>4</v>
      </c>
      <c r="P86" t="s">
        <v>552</v>
      </c>
      <c r="Q86">
        <f t="shared" si="44"/>
        <v>19</v>
      </c>
      <c r="R86">
        <v>2</v>
      </c>
      <c r="S86" t="s">
        <v>552</v>
      </c>
      <c r="T86">
        <f t="shared" si="45"/>
        <v>17</v>
      </c>
      <c r="U86" t="s">
        <v>4745</v>
      </c>
      <c r="V86" t="s">
        <v>4746</v>
      </c>
      <c r="W86" s="59" t="s">
        <v>199</v>
      </c>
      <c r="X86" s="59" t="s">
        <v>196</v>
      </c>
      <c r="Y86" s="59" t="s">
        <v>1207</v>
      </c>
      <c r="Z86" s="59" t="s">
        <v>357</v>
      </c>
      <c r="AA86" s="60">
        <v>1</v>
      </c>
      <c r="AB86" s="60">
        <v>-1</v>
      </c>
      <c r="AC86" s="59" t="s">
        <v>17</v>
      </c>
      <c r="AD86" s="60">
        <v>0</v>
      </c>
      <c r="AE86" s="60">
        <v>1</v>
      </c>
      <c r="AF86" s="60" t="s">
        <v>2993</v>
      </c>
      <c r="AG86" s="60">
        <v>0</v>
      </c>
      <c r="AH86" s="60">
        <v>-1</v>
      </c>
      <c r="AI86" s="60">
        <v>0</v>
      </c>
      <c r="AJ86" s="60">
        <v>0</v>
      </c>
      <c r="AK86" s="60">
        <v>0</v>
      </c>
      <c r="AL86" s="60">
        <v>0</v>
      </c>
      <c r="AM86" s="59" t="s">
        <v>96</v>
      </c>
      <c r="AN86" s="59">
        <v>0</v>
      </c>
      <c r="AO86" s="243">
        <f t="shared" si="49"/>
        <v>15</v>
      </c>
      <c r="AP86" s="244">
        <f t="shared" si="50"/>
        <v>24</v>
      </c>
      <c r="AQ86" s="244">
        <f t="shared" si="51"/>
        <v>40</v>
      </c>
      <c r="AR86" s="244">
        <f t="shared" si="52"/>
        <v>48</v>
      </c>
      <c r="AS86" s="245">
        <v>60</v>
      </c>
      <c r="AT86">
        <f t="shared" si="33"/>
        <v>18</v>
      </c>
      <c r="AU86">
        <f t="shared" si="53"/>
        <v>12</v>
      </c>
      <c r="AV86">
        <f t="shared" si="54"/>
        <v>66</v>
      </c>
    </row>
    <row r="87" spans="2:48" x14ac:dyDescent="0.3">
      <c r="B87" s="531" t="s">
        <v>2068</v>
      </c>
      <c r="C87">
        <v>2</v>
      </c>
      <c r="D87" t="s">
        <v>552</v>
      </c>
      <c r="E87">
        <f t="shared" si="40"/>
        <v>17</v>
      </c>
      <c r="F87">
        <v>3</v>
      </c>
      <c r="G87" t="s">
        <v>552</v>
      </c>
      <c r="H87">
        <f t="shared" si="41"/>
        <v>18</v>
      </c>
      <c r="I87">
        <v>4</v>
      </c>
      <c r="J87" t="s">
        <v>552</v>
      </c>
      <c r="K87">
        <f t="shared" si="42"/>
        <v>19</v>
      </c>
      <c r="L87">
        <v>4</v>
      </c>
      <c r="M87" t="s">
        <v>552</v>
      </c>
      <c r="N87">
        <f t="shared" si="43"/>
        <v>19</v>
      </c>
      <c r="O87">
        <v>2</v>
      </c>
      <c r="P87" t="s">
        <v>552</v>
      </c>
      <c r="Q87">
        <f t="shared" si="44"/>
        <v>17</v>
      </c>
      <c r="R87">
        <v>3</v>
      </c>
      <c r="S87" t="s">
        <v>552</v>
      </c>
      <c r="T87">
        <f t="shared" si="45"/>
        <v>18</v>
      </c>
      <c r="U87" t="s">
        <v>3668</v>
      </c>
      <c r="V87" t="s">
        <v>3691</v>
      </c>
      <c r="W87" s="59" t="s">
        <v>292</v>
      </c>
      <c r="X87" s="59" t="s">
        <v>2477</v>
      </c>
      <c r="Y87" s="59" t="s">
        <v>1205</v>
      </c>
      <c r="Z87" s="59" t="s">
        <v>357</v>
      </c>
      <c r="AA87" s="60">
        <v>1</v>
      </c>
      <c r="AB87" s="60">
        <v>-1</v>
      </c>
      <c r="AC87" s="59" t="s">
        <v>17</v>
      </c>
      <c r="AD87" s="60">
        <v>0</v>
      </c>
      <c r="AE87" s="60">
        <v>1</v>
      </c>
      <c r="AF87" s="60" t="s">
        <v>2993</v>
      </c>
      <c r="AG87" s="60">
        <v>0</v>
      </c>
      <c r="AH87" s="60">
        <v>-1</v>
      </c>
      <c r="AI87" s="60">
        <v>0</v>
      </c>
      <c r="AJ87" s="60">
        <v>0</v>
      </c>
      <c r="AK87" s="60">
        <v>0</v>
      </c>
      <c r="AL87" s="60">
        <v>0</v>
      </c>
      <c r="AM87" s="59" t="s">
        <v>95</v>
      </c>
      <c r="AN87" s="59">
        <v>0</v>
      </c>
      <c r="AO87" s="243">
        <f t="shared" ref="AO87:AO124" si="55">FLOOR(AS87/4,1)</f>
        <v>26</v>
      </c>
      <c r="AP87" s="244">
        <f t="shared" ref="AP87:AP124" si="56">FLOOR(AS87/5*2,1)</f>
        <v>41</v>
      </c>
      <c r="AQ87" s="244">
        <f t="shared" ref="AQ87:AQ124" si="57">FLOOR(AS87/3*2,1)</f>
        <v>69</v>
      </c>
      <c r="AR87" s="244">
        <f t="shared" ref="AR87:AR124" si="58">FLOOR(AS87/5*4,1)</f>
        <v>83</v>
      </c>
      <c r="AS87" s="245">
        <v>104</v>
      </c>
      <c r="AT87">
        <f t="shared" ref="AT87:AT124" si="59">C87+L87+I87+F87+O87+R87</f>
        <v>18</v>
      </c>
      <c r="AU87">
        <f t="shared" ref="AU87:AU122" si="60">IF(D87="3k6",3,IF(D87="2k6",2,1))+IF(M87="3k6",3,IF(M87="2k6",2,1))+IF(J87="3k6",3,IF(J87="2k6",2,1))+IF(G87="3k6",3,IF(G87="2k6",2,1))+IF(P87="3k6",3,IF(P87="2k6",2,1))+IF(S87="3k6",3,IF(S87="2k6",2,1))</f>
        <v>12</v>
      </c>
      <c r="AV87">
        <f t="shared" ref="AV87:AV122" si="61">AT87+AU87*4</f>
        <v>66</v>
      </c>
    </row>
    <row r="88" spans="2:48" x14ac:dyDescent="0.3">
      <c r="B88" s="531" t="s">
        <v>2874</v>
      </c>
      <c r="C88">
        <v>1</v>
      </c>
      <c r="D88" t="s">
        <v>552</v>
      </c>
      <c r="E88">
        <f t="shared" si="40"/>
        <v>16</v>
      </c>
      <c r="F88">
        <v>3</v>
      </c>
      <c r="G88" t="s">
        <v>552</v>
      </c>
      <c r="H88">
        <f t="shared" si="41"/>
        <v>18</v>
      </c>
      <c r="I88">
        <v>4</v>
      </c>
      <c r="J88" t="s">
        <v>552</v>
      </c>
      <c r="K88">
        <f t="shared" si="42"/>
        <v>19</v>
      </c>
      <c r="L88">
        <v>4</v>
      </c>
      <c r="M88" t="s">
        <v>552</v>
      </c>
      <c r="N88">
        <f t="shared" si="43"/>
        <v>19</v>
      </c>
      <c r="O88">
        <v>2</v>
      </c>
      <c r="P88" t="s">
        <v>552</v>
      </c>
      <c r="Q88">
        <f t="shared" si="44"/>
        <v>17</v>
      </c>
      <c r="R88">
        <v>4</v>
      </c>
      <c r="S88" t="s">
        <v>552</v>
      </c>
      <c r="T88">
        <f t="shared" si="45"/>
        <v>19</v>
      </c>
      <c r="U88" t="s">
        <v>3668</v>
      </c>
      <c r="V88" t="s">
        <v>3691</v>
      </c>
      <c r="W88" s="59" t="s">
        <v>292</v>
      </c>
      <c r="X88" s="59" t="s">
        <v>2477</v>
      </c>
      <c r="Y88" s="59" t="s">
        <v>1205</v>
      </c>
      <c r="Z88" s="59" t="s">
        <v>357</v>
      </c>
      <c r="AA88" s="60">
        <v>1</v>
      </c>
      <c r="AB88" s="60">
        <v>-1</v>
      </c>
      <c r="AC88" s="59" t="s">
        <v>17</v>
      </c>
      <c r="AD88" s="60">
        <v>0</v>
      </c>
      <c r="AE88" s="60">
        <v>1</v>
      </c>
      <c r="AF88" s="60" t="s">
        <v>2993</v>
      </c>
      <c r="AG88" s="60">
        <v>0</v>
      </c>
      <c r="AH88" s="60">
        <v>-1</v>
      </c>
      <c r="AI88" s="60">
        <v>0</v>
      </c>
      <c r="AJ88" s="60">
        <v>0</v>
      </c>
      <c r="AK88" s="60">
        <v>0</v>
      </c>
      <c r="AL88" s="60">
        <v>0</v>
      </c>
      <c r="AM88" s="59" t="s">
        <v>95</v>
      </c>
      <c r="AN88" s="59">
        <v>0</v>
      </c>
      <c r="AO88" s="243">
        <f t="shared" si="55"/>
        <v>26</v>
      </c>
      <c r="AP88" s="244">
        <f t="shared" si="56"/>
        <v>41</v>
      </c>
      <c r="AQ88" s="244">
        <f t="shared" si="57"/>
        <v>69</v>
      </c>
      <c r="AR88" s="244">
        <f t="shared" si="58"/>
        <v>83</v>
      </c>
      <c r="AS88" s="245">
        <v>104</v>
      </c>
      <c r="AT88">
        <f t="shared" si="59"/>
        <v>18</v>
      </c>
      <c r="AU88">
        <f t="shared" si="60"/>
        <v>12</v>
      </c>
      <c r="AV88">
        <f t="shared" si="61"/>
        <v>66</v>
      </c>
    </row>
    <row r="89" spans="2:48" x14ac:dyDescent="0.3">
      <c r="B89" s="59" t="s">
        <v>3732</v>
      </c>
      <c r="C89">
        <v>15</v>
      </c>
      <c r="D89" t="s">
        <v>553</v>
      </c>
      <c r="E89">
        <f t="shared" si="40"/>
        <v>24</v>
      </c>
      <c r="F89">
        <v>8</v>
      </c>
      <c r="G89" t="s">
        <v>553</v>
      </c>
      <c r="H89">
        <f t="shared" si="41"/>
        <v>17</v>
      </c>
      <c r="I89">
        <v>8</v>
      </c>
      <c r="J89" t="s">
        <v>553</v>
      </c>
      <c r="K89">
        <f t="shared" si="42"/>
        <v>17</v>
      </c>
      <c r="L89">
        <v>5</v>
      </c>
      <c r="M89" t="s">
        <v>553</v>
      </c>
      <c r="N89">
        <f t="shared" si="43"/>
        <v>14</v>
      </c>
      <c r="O89">
        <v>8</v>
      </c>
      <c r="P89" t="s">
        <v>553</v>
      </c>
      <c r="Q89">
        <f t="shared" si="44"/>
        <v>17</v>
      </c>
      <c r="R89">
        <v>7</v>
      </c>
      <c r="S89" t="s">
        <v>553</v>
      </c>
      <c r="T89">
        <f t="shared" si="45"/>
        <v>16</v>
      </c>
      <c r="U89" t="s">
        <v>3734</v>
      </c>
      <c r="V89" t="s">
        <v>3707</v>
      </c>
      <c r="W89" s="59" t="s">
        <v>294</v>
      </c>
      <c r="X89" s="59" t="s">
        <v>196</v>
      </c>
      <c r="Y89" s="59" t="s">
        <v>1211</v>
      </c>
      <c r="Z89" s="59" t="s">
        <v>357</v>
      </c>
      <c r="AA89" s="60">
        <v>1</v>
      </c>
      <c r="AB89" s="60">
        <v>-1</v>
      </c>
      <c r="AC89" s="59" t="s">
        <v>3735</v>
      </c>
      <c r="AD89" s="60">
        <v>4</v>
      </c>
      <c r="AE89" s="60">
        <v>4</v>
      </c>
      <c r="AF89" s="60" t="s">
        <v>2993</v>
      </c>
      <c r="AG89" s="60">
        <v>0</v>
      </c>
      <c r="AH89" s="60">
        <v>-1</v>
      </c>
      <c r="AI89" s="60">
        <v>0</v>
      </c>
      <c r="AJ89" s="60">
        <v>-1</v>
      </c>
      <c r="AK89" s="60">
        <v>0</v>
      </c>
      <c r="AL89" s="60">
        <v>0</v>
      </c>
      <c r="AM89" s="59" t="s">
        <v>96</v>
      </c>
      <c r="AN89" s="59">
        <v>3</v>
      </c>
      <c r="AO89" s="243">
        <f t="shared" si="55"/>
        <v>40</v>
      </c>
      <c r="AP89" s="244">
        <f t="shared" si="56"/>
        <v>64</v>
      </c>
      <c r="AQ89" s="244">
        <f t="shared" si="57"/>
        <v>106</v>
      </c>
      <c r="AR89" s="244">
        <f t="shared" si="58"/>
        <v>128</v>
      </c>
      <c r="AS89" s="245">
        <v>160</v>
      </c>
      <c r="AT89">
        <f t="shared" si="59"/>
        <v>51</v>
      </c>
      <c r="AU89">
        <f t="shared" si="60"/>
        <v>6</v>
      </c>
      <c r="AV89">
        <f t="shared" si="61"/>
        <v>75</v>
      </c>
    </row>
    <row r="90" spans="2:48" x14ac:dyDescent="0.3">
      <c r="B90" s="59" t="s">
        <v>3733</v>
      </c>
      <c r="C90">
        <v>13</v>
      </c>
      <c r="D90" t="s">
        <v>553</v>
      </c>
      <c r="E90">
        <f t="shared" si="40"/>
        <v>22</v>
      </c>
      <c r="F90">
        <v>9</v>
      </c>
      <c r="G90" t="s">
        <v>553</v>
      </c>
      <c r="H90">
        <f t="shared" si="41"/>
        <v>18</v>
      </c>
      <c r="I90">
        <v>9</v>
      </c>
      <c r="J90" t="s">
        <v>553</v>
      </c>
      <c r="K90">
        <f t="shared" si="42"/>
        <v>18</v>
      </c>
      <c r="L90">
        <v>5</v>
      </c>
      <c r="M90" t="s">
        <v>553</v>
      </c>
      <c r="N90">
        <f t="shared" si="43"/>
        <v>14</v>
      </c>
      <c r="O90">
        <v>8</v>
      </c>
      <c r="P90" t="s">
        <v>553</v>
      </c>
      <c r="Q90">
        <f t="shared" si="44"/>
        <v>17</v>
      </c>
      <c r="R90">
        <v>7</v>
      </c>
      <c r="S90" t="s">
        <v>553</v>
      </c>
      <c r="T90">
        <f t="shared" si="45"/>
        <v>16</v>
      </c>
      <c r="U90" t="s">
        <v>3734</v>
      </c>
      <c r="V90" t="s">
        <v>3707</v>
      </c>
      <c r="W90" s="59" t="s">
        <v>294</v>
      </c>
      <c r="X90" s="59" t="s">
        <v>196</v>
      </c>
      <c r="Y90" s="59" t="s">
        <v>1211</v>
      </c>
      <c r="Z90" s="59" t="s">
        <v>357</v>
      </c>
      <c r="AA90" s="60">
        <v>1</v>
      </c>
      <c r="AB90" s="60">
        <v>-1</v>
      </c>
      <c r="AC90" s="59" t="s">
        <v>3735</v>
      </c>
      <c r="AD90" s="60">
        <v>4</v>
      </c>
      <c r="AE90" s="60">
        <v>4</v>
      </c>
      <c r="AF90" s="60" t="s">
        <v>2993</v>
      </c>
      <c r="AG90" s="60">
        <v>0</v>
      </c>
      <c r="AH90" s="60">
        <v>-1</v>
      </c>
      <c r="AI90" s="60">
        <v>0</v>
      </c>
      <c r="AJ90" s="60">
        <v>-1</v>
      </c>
      <c r="AK90" s="60">
        <v>0</v>
      </c>
      <c r="AL90" s="60">
        <v>0</v>
      </c>
      <c r="AM90" s="59" t="s">
        <v>96</v>
      </c>
      <c r="AN90" s="59">
        <v>3</v>
      </c>
      <c r="AO90" s="243">
        <f t="shared" si="55"/>
        <v>40</v>
      </c>
      <c r="AP90" s="244">
        <f t="shared" si="56"/>
        <v>64</v>
      </c>
      <c r="AQ90" s="244">
        <f t="shared" si="57"/>
        <v>106</v>
      </c>
      <c r="AR90" s="244">
        <f t="shared" si="58"/>
        <v>128</v>
      </c>
      <c r="AS90" s="245">
        <v>160</v>
      </c>
      <c r="AT90">
        <f t="shared" si="59"/>
        <v>51</v>
      </c>
      <c r="AU90">
        <f t="shared" si="60"/>
        <v>6</v>
      </c>
      <c r="AV90">
        <f t="shared" si="61"/>
        <v>75</v>
      </c>
    </row>
    <row r="91" spans="2:48" x14ac:dyDescent="0.3">
      <c r="B91" s="59" t="s">
        <v>1047</v>
      </c>
      <c r="C91">
        <v>11</v>
      </c>
      <c r="D91" t="s">
        <v>553</v>
      </c>
      <c r="E91">
        <f t="shared" si="40"/>
        <v>20</v>
      </c>
      <c r="F91">
        <v>11</v>
      </c>
      <c r="G91" t="s">
        <v>553</v>
      </c>
      <c r="H91">
        <f t="shared" si="41"/>
        <v>20</v>
      </c>
      <c r="I91">
        <v>2</v>
      </c>
      <c r="J91" t="s">
        <v>553</v>
      </c>
      <c r="K91">
        <f t="shared" si="42"/>
        <v>11</v>
      </c>
      <c r="L91">
        <v>1</v>
      </c>
      <c r="M91" t="s">
        <v>553</v>
      </c>
      <c r="N91">
        <f t="shared" si="43"/>
        <v>10</v>
      </c>
      <c r="O91">
        <v>4</v>
      </c>
      <c r="P91" t="s">
        <v>553</v>
      </c>
      <c r="Q91">
        <f t="shared" si="44"/>
        <v>13</v>
      </c>
      <c r="R91">
        <v>0</v>
      </c>
      <c r="S91" t="s">
        <v>553</v>
      </c>
      <c r="T91">
        <f t="shared" si="45"/>
        <v>9</v>
      </c>
      <c r="U91" t="s">
        <v>3736</v>
      </c>
      <c r="V91" t="s">
        <v>3737</v>
      </c>
      <c r="W91" s="59" t="s">
        <v>199</v>
      </c>
      <c r="X91" s="59" t="s">
        <v>196</v>
      </c>
      <c r="Y91" s="59" t="s">
        <v>1203</v>
      </c>
      <c r="Z91" s="59" t="s">
        <v>357</v>
      </c>
      <c r="AA91" s="60">
        <v>1</v>
      </c>
      <c r="AB91" s="60">
        <v>-1</v>
      </c>
      <c r="AC91" s="59" t="s">
        <v>17</v>
      </c>
      <c r="AD91" s="60">
        <v>0</v>
      </c>
      <c r="AE91" s="60">
        <v>1</v>
      </c>
      <c r="AF91" s="60" t="s">
        <v>2993</v>
      </c>
      <c r="AG91" s="60">
        <v>0</v>
      </c>
      <c r="AH91" s="60">
        <v>-1</v>
      </c>
      <c r="AI91" s="60">
        <v>0</v>
      </c>
      <c r="AJ91" s="60">
        <v>-2</v>
      </c>
      <c r="AK91" s="60">
        <v>0</v>
      </c>
      <c r="AL91" s="60">
        <v>0</v>
      </c>
      <c r="AM91" s="59" t="s">
        <v>96</v>
      </c>
      <c r="AN91" s="59">
        <v>2</v>
      </c>
      <c r="AO91" s="243">
        <f t="shared" si="55"/>
        <v>9</v>
      </c>
      <c r="AP91" s="244">
        <f t="shared" si="56"/>
        <v>14</v>
      </c>
      <c r="AQ91" s="244">
        <f t="shared" si="57"/>
        <v>24</v>
      </c>
      <c r="AR91" s="244">
        <f t="shared" si="58"/>
        <v>28</v>
      </c>
      <c r="AS91" s="245">
        <v>36</v>
      </c>
      <c r="AT91">
        <f t="shared" si="59"/>
        <v>29</v>
      </c>
      <c r="AU91">
        <f t="shared" si="60"/>
        <v>6</v>
      </c>
      <c r="AV91">
        <f t="shared" si="61"/>
        <v>53</v>
      </c>
    </row>
    <row r="92" spans="2:48" x14ac:dyDescent="0.3">
      <c r="B92" s="59" t="s">
        <v>1048</v>
      </c>
      <c r="C92">
        <v>10</v>
      </c>
      <c r="D92" t="s">
        <v>553</v>
      </c>
      <c r="E92">
        <f t="shared" si="40"/>
        <v>19</v>
      </c>
      <c r="F92">
        <v>11</v>
      </c>
      <c r="G92" t="s">
        <v>553</v>
      </c>
      <c r="H92">
        <f t="shared" si="41"/>
        <v>20</v>
      </c>
      <c r="I92">
        <v>2</v>
      </c>
      <c r="J92" t="s">
        <v>553</v>
      </c>
      <c r="K92">
        <f t="shared" si="42"/>
        <v>11</v>
      </c>
      <c r="L92">
        <v>1</v>
      </c>
      <c r="M92" t="s">
        <v>553</v>
      </c>
      <c r="N92">
        <f t="shared" si="43"/>
        <v>10</v>
      </c>
      <c r="O92">
        <v>4</v>
      </c>
      <c r="P92" t="s">
        <v>553</v>
      </c>
      <c r="Q92">
        <f t="shared" si="44"/>
        <v>13</v>
      </c>
      <c r="R92">
        <v>0</v>
      </c>
      <c r="S92" t="s">
        <v>553</v>
      </c>
      <c r="T92">
        <f t="shared" si="45"/>
        <v>9</v>
      </c>
      <c r="U92" t="s">
        <v>3736</v>
      </c>
      <c r="V92" t="s">
        <v>3737</v>
      </c>
      <c r="W92" s="59" t="s">
        <v>199</v>
      </c>
      <c r="X92" s="59" t="s">
        <v>196</v>
      </c>
      <c r="Y92" s="59" t="s">
        <v>1203</v>
      </c>
      <c r="Z92" s="59" t="s">
        <v>357</v>
      </c>
      <c r="AA92" s="60">
        <v>1</v>
      </c>
      <c r="AB92" s="60">
        <v>-1</v>
      </c>
      <c r="AC92" s="59" t="s">
        <v>17</v>
      </c>
      <c r="AD92" s="60">
        <v>0</v>
      </c>
      <c r="AE92" s="60">
        <v>1</v>
      </c>
      <c r="AF92" s="60" t="s">
        <v>2993</v>
      </c>
      <c r="AG92" s="60">
        <v>0</v>
      </c>
      <c r="AH92" s="60">
        <v>-1</v>
      </c>
      <c r="AI92" s="60">
        <v>0</v>
      </c>
      <c r="AJ92" s="60">
        <v>-2</v>
      </c>
      <c r="AK92" s="60">
        <v>0</v>
      </c>
      <c r="AL92" s="60">
        <v>0</v>
      </c>
      <c r="AM92" s="59" t="s">
        <v>96</v>
      </c>
      <c r="AN92" s="59">
        <v>2</v>
      </c>
      <c r="AO92" s="243">
        <f t="shared" si="55"/>
        <v>9</v>
      </c>
      <c r="AP92" s="244">
        <f t="shared" si="56"/>
        <v>14</v>
      </c>
      <c r="AQ92" s="244">
        <f t="shared" si="57"/>
        <v>24</v>
      </c>
      <c r="AR92" s="244">
        <f t="shared" si="58"/>
        <v>28</v>
      </c>
      <c r="AS92" s="245">
        <v>36</v>
      </c>
      <c r="AT92">
        <f t="shared" si="59"/>
        <v>28</v>
      </c>
      <c r="AU92">
        <f t="shared" si="60"/>
        <v>6</v>
      </c>
      <c r="AV92">
        <f t="shared" si="61"/>
        <v>52</v>
      </c>
    </row>
    <row r="93" spans="2:48" x14ac:dyDescent="0.3">
      <c r="B93" s="59" t="s">
        <v>1030</v>
      </c>
      <c r="C93">
        <v>7</v>
      </c>
      <c r="D93" t="s">
        <v>553</v>
      </c>
      <c r="E93">
        <f t="shared" si="40"/>
        <v>16</v>
      </c>
      <c r="F93">
        <v>9</v>
      </c>
      <c r="G93" t="s">
        <v>553</v>
      </c>
      <c r="H93">
        <f t="shared" si="41"/>
        <v>18</v>
      </c>
      <c r="I93">
        <v>9</v>
      </c>
      <c r="J93" t="s">
        <v>553</v>
      </c>
      <c r="K93">
        <f t="shared" si="42"/>
        <v>18</v>
      </c>
      <c r="L93">
        <v>10</v>
      </c>
      <c r="M93" t="s">
        <v>553</v>
      </c>
      <c r="N93">
        <f t="shared" si="43"/>
        <v>19</v>
      </c>
      <c r="O93">
        <v>6</v>
      </c>
      <c r="P93" t="s">
        <v>553</v>
      </c>
      <c r="Q93">
        <f t="shared" si="44"/>
        <v>15</v>
      </c>
      <c r="R93">
        <v>10</v>
      </c>
      <c r="S93" t="s">
        <v>553</v>
      </c>
      <c r="T93">
        <f t="shared" si="45"/>
        <v>19</v>
      </c>
      <c r="U93" t="s">
        <v>3657</v>
      </c>
      <c r="V93" t="s">
        <v>3687</v>
      </c>
      <c r="W93" s="59" t="s">
        <v>295</v>
      </c>
      <c r="X93" s="59" t="s">
        <v>2478</v>
      </c>
      <c r="Y93" s="59" t="s">
        <v>1207</v>
      </c>
      <c r="Z93" s="59" t="s">
        <v>357</v>
      </c>
      <c r="AA93" s="60">
        <v>1</v>
      </c>
      <c r="AB93" s="60">
        <v>-1</v>
      </c>
      <c r="AC93" s="572" t="s">
        <v>2999</v>
      </c>
      <c r="AD93" s="573">
        <v>1</v>
      </c>
      <c r="AE93" s="60">
        <v>1</v>
      </c>
      <c r="AF93" s="60" t="s">
        <v>2993</v>
      </c>
      <c r="AG93" s="60">
        <v>0</v>
      </c>
      <c r="AH93" s="573">
        <v>0</v>
      </c>
      <c r="AI93" s="60">
        <v>0</v>
      </c>
      <c r="AJ93" s="60">
        <v>2</v>
      </c>
      <c r="AK93" s="60">
        <v>-1</v>
      </c>
      <c r="AL93" s="60">
        <v>0</v>
      </c>
      <c r="AM93" s="59" t="s">
        <v>95</v>
      </c>
      <c r="AN93" s="59">
        <v>3</v>
      </c>
      <c r="AO93" s="243">
        <f t="shared" si="55"/>
        <v>22</v>
      </c>
      <c r="AP93" s="244">
        <f t="shared" si="56"/>
        <v>36</v>
      </c>
      <c r="AQ93" s="244">
        <f t="shared" si="57"/>
        <v>60</v>
      </c>
      <c r="AR93" s="244">
        <f t="shared" si="58"/>
        <v>72</v>
      </c>
      <c r="AS93" s="245">
        <v>90</v>
      </c>
      <c r="AT93">
        <f t="shared" si="59"/>
        <v>51</v>
      </c>
      <c r="AU93">
        <f t="shared" si="60"/>
        <v>6</v>
      </c>
      <c r="AV93">
        <f t="shared" si="61"/>
        <v>75</v>
      </c>
    </row>
    <row r="94" spans="2:48" x14ac:dyDescent="0.3">
      <c r="B94" s="59" t="s">
        <v>4943</v>
      </c>
      <c r="C94">
        <v>2</v>
      </c>
      <c r="D94" t="s">
        <v>552</v>
      </c>
      <c r="E94">
        <f t="shared" si="40"/>
        <v>17</v>
      </c>
      <c r="F94">
        <v>0</v>
      </c>
      <c r="G94" t="s">
        <v>552</v>
      </c>
      <c r="H94">
        <f t="shared" si="41"/>
        <v>15</v>
      </c>
      <c r="I94">
        <v>0</v>
      </c>
      <c r="J94" t="s">
        <v>552</v>
      </c>
      <c r="K94">
        <f t="shared" si="42"/>
        <v>15</v>
      </c>
      <c r="L94">
        <v>7</v>
      </c>
      <c r="M94" t="s">
        <v>552</v>
      </c>
      <c r="N94">
        <f t="shared" si="43"/>
        <v>22</v>
      </c>
      <c r="O94">
        <v>5</v>
      </c>
      <c r="P94" t="s">
        <v>552</v>
      </c>
      <c r="Q94">
        <f t="shared" si="44"/>
        <v>20</v>
      </c>
      <c r="R94">
        <v>3</v>
      </c>
      <c r="S94" t="s">
        <v>552</v>
      </c>
      <c r="T94">
        <f t="shared" si="45"/>
        <v>18</v>
      </c>
      <c r="U94" t="s">
        <v>4944</v>
      </c>
      <c r="V94" t="s">
        <v>3678</v>
      </c>
      <c r="W94" s="59" t="s">
        <v>199</v>
      </c>
      <c r="X94" s="59" t="s">
        <v>186</v>
      </c>
      <c r="Y94" s="59" t="s">
        <v>1207</v>
      </c>
      <c r="Z94" s="59" t="s">
        <v>357</v>
      </c>
      <c r="AA94" s="60">
        <v>1</v>
      </c>
      <c r="AB94" s="60">
        <v>-1</v>
      </c>
      <c r="AC94" s="59" t="s">
        <v>17</v>
      </c>
      <c r="AD94" s="60">
        <v>0</v>
      </c>
      <c r="AE94" s="60">
        <v>1</v>
      </c>
      <c r="AF94" s="60" t="s">
        <v>2993</v>
      </c>
      <c r="AG94" s="60">
        <v>0</v>
      </c>
      <c r="AH94" s="60">
        <v>-1</v>
      </c>
      <c r="AI94" s="60">
        <v>0</v>
      </c>
      <c r="AJ94" s="60">
        <v>1</v>
      </c>
      <c r="AK94" s="60">
        <v>0</v>
      </c>
      <c r="AL94" s="60">
        <v>0</v>
      </c>
      <c r="AM94" s="59" t="s">
        <v>96</v>
      </c>
      <c r="AN94" s="59">
        <v>4</v>
      </c>
      <c r="AO94" s="243">
        <f t="shared" si="55"/>
        <v>25</v>
      </c>
      <c r="AP94" s="244">
        <f t="shared" si="56"/>
        <v>40</v>
      </c>
      <c r="AQ94" s="244">
        <f t="shared" si="57"/>
        <v>66</v>
      </c>
      <c r="AR94" s="244">
        <f t="shared" si="58"/>
        <v>80</v>
      </c>
      <c r="AS94" s="245">
        <v>100</v>
      </c>
      <c r="AT94">
        <f t="shared" ref="AT94" si="62">C94+L94+I94+F94+O94+R94</f>
        <v>17</v>
      </c>
      <c r="AU94">
        <f t="shared" ref="AU94" si="63">IF(D94="3k6",3,IF(D94="2k6",2,1))+IF(M94="3k6",3,IF(M94="2k6",2,1))+IF(J94="3k6",3,IF(J94="2k6",2,1))+IF(G94="3k6",3,IF(G94="2k6",2,1))+IF(P94="3k6",3,IF(P94="2k6",2,1))+IF(S94="3k6",3,IF(S94="2k6",2,1))</f>
        <v>12</v>
      </c>
      <c r="AV94">
        <f t="shared" ref="AV94" si="64">AT94+AU94*4</f>
        <v>65</v>
      </c>
    </row>
    <row r="95" spans="2:48" x14ac:dyDescent="0.3">
      <c r="B95" s="59" t="s">
        <v>228</v>
      </c>
      <c r="C95">
        <v>5</v>
      </c>
      <c r="D95" t="s">
        <v>553</v>
      </c>
      <c r="E95">
        <f t="shared" si="40"/>
        <v>14</v>
      </c>
      <c r="F95">
        <v>4</v>
      </c>
      <c r="G95" t="s">
        <v>553</v>
      </c>
      <c r="H95">
        <f t="shared" si="41"/>
        <v>13</v>
      </c>
      <c r="I95">
        <v>2</v>
      </c>
      <c r="J95" t="s">
        <v>553</v>
      </c>
      <c r="K95">
        <f t="shared" si="42"/>
        <v>11</v>
      </c>
      <c r="L95">
        <v>1</v>
      </c>
      <c r="M95" t="s">
        <v>553</v>
      </c>
      <c r="N95">
        <f t="shared" si="43"/>
        <v>10</v>
      </c>
      <c r="O95">
        <v>2</v>
      </c>
      <c r="P95" t="s">
        <v>553</v>
      </c>
      <c r="Q95">
        <f t="shared" si="44"/>
        <v>11</v>
      </c>
      <c r="R95">
        <v>0</v>
      </c>
      <c r="S95" t="s">
        <v>553</v>
      </c>
      <c r="T95">
        <f t="shared" si="45"/>
        <v>9</v>
      </c>
      <c r="U95" t="s">
        <v>3711</v>
      </c>
      <c r="V95" t="s">
        <v>3685</v>
      </c>
      <c r="W95" s="59" t="s">
        <v>294</v>
      </c>
      <c r="X95" s="59" t="s">
        <v>190</v>
      </c>
      <c r="Y95" s="59" t="s">
        <v>1203</v>
      </c>
      <c r="Z95" s="59" t="s">
        <v>357</v>
      </c>
      <c r="AA95" s="60">
        <v>1</v>
      </c>
      <c r="AB95" s="60">
        <v>-1</v>
      </c>
      <c r="AC95" s="59" t="s">
        <v>17</v>
      </c>
      <c r="AD95" s="60">
        <v>0</v>
      </c>
      <c r="AE95" s="60">
        <v>1</v>
      </c>
      <c r="AF95" s="60" t="s">
        <v>2993</v>
      </c>
      <c r="AG95" s="60">
        <v>0</v>
      </c>
      <c r="AH95" s="60">
        <v>-1</v>
      </c>
      <c r="AI95" s="60">
        <v>0</v>
      </c>
      <c r="AJ95" s="60">
        <v>-2</v>
      </c>
      <c r="AK95" s="60">
        <v>0</v>
      </c>
      <c r="AL95" s="60">
        <v>1</v>
      </c>
      <c r="AM95" s="59" t="s">
        <v>260</v>
      </c>
      <c r="AN95" s="59">
        <v>0</v>
      </c>
      <c r="AO95" s="243">
        <f t="shared" si="55"/>
        <v>6</v>
      </c>
      <c r="AP95" s="244">
        <f t="shared" si="56"/>
        <v>10</v>
      </c>
      <c r="AQ95" s="244">
        <f t="shared" si="57"/>
        <v>17</v>
      </c>
      <c r="AR95" s="244">
        <f t="shared" si="58"/>
        <v>20</v>
      </c>
      <c r="AS95" s="245">
        <v>26</v>
      </c>
      <c r="AT95">
        <f t="shared" si="59"/>
        <v>14</v>
      </c>
      <c r="AU95">
        <f t="shared" si="60"/>
        <v>6</v>
      </c>
      <c r="AV95">
        <f t="shared" si="61"/>
        <v>38</v>
      </c>
    </row>
    <row r="96" spans="2:48" x14ac:dyDescent="0.3">
      <c r="B96" s="59" t="s">
        <v>1005</v>
      </c>
      <c r="C96">
        <v>3</v>
      </c>
      <c r="D96" t="s">
        <v>553</v>
      </c>
      <c r="E96">
        <f t="shared" si="40"/>
        <v>12</v>
      </c>
      <c r="F96">
        <v>5</v>
      </c>
      <c r="G96" t="s">
        <v>553</v>
      </c>
      <c r="H96">
        <f t="shared" si="41"/>
        <v>14</v>
      </c>
      <c r="I96">
        <v>3</v>
      </c>
      <c r="J96" t="s">
        <v>553</v>
      </c>
      <c r="K96">
        <f t="shared" si="42"/>
        <v>12</v>
      </c>
      <c r="L96">
        <v>1</v>
      </c>
      <c r="M96" t="s">
        <v>553</v>
      </c>
      <c r="N96">
        <f t="shared" si="43"/>
        <v>10</v>
      </c>
      <c r="O96">
        <v>2</v>
      </c>
      <c r="P96" t="s">
        <v>553</v>
      </c>
      <c r="Q96">
        <f t="shared" si="44"/>
        <v>11</v>
      </c>
      <c r="R96">
        <v>0</v>
      </c>
      <c r="S96" t="s">
        <v>553</v>
      </c>
      <c r="T96">
        <f t="shared" si="45"/>
        <v>9</v>
      </c>
      <c r="U96" t="s">
        <v>3711</v>
      </c>
      <c r="V96" t="s">
        <v>3685</v>
      </c>
      <c r="W96" s="59" t="s">
        <v>294</v>
      </c>
      <c r="X96" s="59" t="s">
        <v>190</v>
      </c>
      <c r="Y96" s="59" t="s">
        <v>1203</v>
      </c>
      <c r="Z96" s="59" t="s">
        <v>357</v>
      </c>
      <c r="AA96" s="60">
        <v>1</v>
      </c>
      <c r="AB96" s="60">
        <v>-1</v>
      </c>
      <c r="AC96" s="59" t="s">
        <v>17</v>
      </c>
      <c r="AD96" s="60">
        <v>0</v>
      </c>
      <c r="AE96" s="60">
        <v>1</v>
      </c>
      <c r="AF96" s="60" t="s">
        <v>2993</v>
      </c>
      <c r="AG96" s="60">
        <v>0</v>
      </c>
      <c r="AH96" s="60">
        <v>-1</v>
      </c>
      <c r="AI96" s="60">
        <v>0</v>
      </c>
      <c r="AJ96" s="60">
        <v>-2</v>
      </c>
      <c r="AK96" s="60">
        <v>0</v>
      </c>
      <c r="AL96" s="60">
        <v>1</v>
      </c>
      <c r="AM96" s="59" t="s">
        <v>260</v>
      </c>
      <c r="AN96" s="59">
        <v>0</v>
      </c>
      <c r="AO96" s="243">
        <f t="shared" si="55"/>
        <v>6</v>
      </c>
      <c r="AP96" s="244">
        <f t="shared" si="56"/>
        <v>10</v>
      </c>
      <c r="AQ96" s="244">
        <f t="shared" si="57"/>
        <v>17</v>
      </c>
      <c r="AR96" s="244">
        <f t="shared" si="58"/>
        <v>20</v>
      </c>
      <c r="AS96" s="245">
        <v>26</v>
      </c>
      <c r="AT96">
        <f t="shared" si="59"/>
        <v>14</v>
      </c>
      <c r="AU96">
        <f t="shared" si="60"/>
        <v>6</v>
      </c>
      <c r="AV96">
        <f t="shared" si="61"/>
        <v>38</v>
      </c>
    </row>
    <row r="97" spans="2:48" x14ac:dyDescent="0.3">
      <c r="B97" s="59" t="s">
        <v>1054</v>
      </c>
      <c r="C97">
        <v>0</v>
      </c>
      <c r="D97" t="s">
        <v>553</v>
      </c>
      <c r="E97">
        <f t="shared" si="40"/>
        <v>9</v>
      </c>
      <c r="F97">
        <v>13</v>
      </c>
      <c r="G97" t="s">
        <v>553</v>
      </c>
      <c r="H97">
        <f t="shared" si="41"/>
        <v>22</v>
      </c>
      <c r="I97">
        <v>11</v>
      </c>
      <c r="J97" t="s">
        <v>553</v>
      </c>
      <c r="K97">
        <f t="shared" si="42"/>
        <v>20</v>
      </c>
      <c r="L97">
        <v>9</v>
      </c>
      <c r="M97" t="s">
        <v>553</v>
      </c>
      <c r="N97">
        <f t="shared" si="43"/>
        <v>18</v>
      </c>
      <c r="O97">
        <v>7</v>
      </c>
      <c r="P97" t="s">
        <v>553</v>
      </c>
      <c r="Q97">
        <f t="shared" si="44"/>
        <v>16</v>
      </c>
      <c r="R97">
        <v>9</v>
      </c>
      <c r="S97" t="s">
        <v>553</v>
      </c>
      <c r="T97">
        <f t="shared" si="45"/>
        <v>18</v>
      </c>
      <c r="U97" t="s">
        <v>3738</v>
      </c>
      <c r="V97">
        <v>1</v>
      </c>
      <c r="W97" s="59" t="s">
        <v>295</v>
      </c>
      <c r="X97" s="59" t="s">
        <v>186</v>
      </c>
      <c r="Y97" s="59" t="s">
        <v>1205</v>
      </c>
      <c r="Z97" s="59" t="s">
        <v>357</v>
      </c>
      <c r="AA97" s="60">
        <v>1</v>
      </c>
      <c r="AB97" s="60">
        <v>-1</v>
      </c>
      <c r="AC97" s="59" t="s">
        <v>17</v>
      </c>
      <c r="AD97" s="60">
        <v>0</v>
      </c>
      <c r="AE97" s="60">
        <v>1</v>
      </c>
      <c r="AF97" s="60" t="s">
        <v>2993</v>
      </c>
      <c r="AG97" s="60">
        <v>0</v>
      </c>
      <c r="AH97" s="60">
        <v>-1</v>
      </c>
      <c r="AI97" s="60">
        <v>0</v>
      </c>
      <c r="AJ97" s="60">
        <v>2</v>
      </c>
      <c r="AK97" s="60">
        <v>-2</v>
      </c>
      <c r="AL97" s="60">
        <v>0</v>
      </c>
      <c r="AM97" s="59" t="s">
        <v>93</v>
      </c>
      <c r="AN97" s="59">
        <v>0</v>
      </c>
      <c r="AO97" s="243">
        <f t="shared" si="55"/>
        <v>57</v>
      </c>
      <c r="AP97" s="244">
        <f t="shared" si="56"/>
        <v>92</v>
      </c>
      <c r="AQ97" s="244">
        <f t="shared" si="57"/>
        <v>153</v>
      </c>
      <c r="AR97" s="244">
        <f t="shared" si="58"/>
        <v>184</v>
      </c>
      <c r="AS97" s="245">
        <v>230</v>
      </c>
      <c r="AT97">
        <f t="shared" si="59"/>
        <v>49</v>
      </c>
      <c r="AU97">
        <f t="shared" si="60"/>
        <v>6</v>
      </c>
      <c r="AV97">
        <f t="shared" si="61"/>
        <v>73</v>
      </c>
    </row>
    <row r="98" spans="2:48" x14ac:dyDescent="0.3">
      <c r="B98" s="59" t="s">
        <v>1053</v>
      </c>
      <c r="C98">
        <v>0</v>
      </c>
      <c r="D98" t="s">
        <v>553</v>
      </c>
      <c r="E98">
        <f t="shared" si="40"/>
        <v>9</v>
      </c>
      <c r="F98">
        <v>13</v>
      </c>
      <c r="G98" t="s">
        <v>553</v>
      </c>
      <c r="H98">
        <f t="shared" si="41"/>
        <v>22</v>
      </c>
      <c r="I98">
        <v>11</v>
      </c>
      <c r="J98" t="s">
        <v>553</v>
      </c>
      <c r="K98">
        <f t="shared" si="42"/>
        <v>20</v>
      </c>
      <c r="L98">
        <v>9</v>
      </c>
      <c r="M98" t="s">
        <v>553</v>
      </c>
      <c r="N98">
        <f t="shared" si="43"/>
        <v>18</v>
      </c>
      <c r="O98">
        <v>7</v>
      </c>
      <c r="P98" t="s">
        <v>553</v>
      </c>
      <c r="Q98">
        <f t="shared" si="44"/>
        <v>16</v>
      </c>
      <c r="R98">
        <v>10</v>
      </c>
      <c r="S98" t="s">
        <v>553</v>
      </c>
      <c r="T98">
        <f t="shared" si="45"/>
        <v>19</v>
      </c>
      <c r="U98" t="s">
        <v>3738</v>
      </c>
      <c r="V98">
        <v>1</v>
      </c>
      <c r="W98" s="59" t="s">
        <v>295</v>
      </c>
      <c r="X98" s="59" t="s">
        <v>186</v>
      </c>
      <c r="Y98" s="59" t="s">
        <v>1205</v>
      </c>
      <c r="Z98" s="59" t="s">
        <v>357</v>
      </c>
      <c r="AA98" s="60">
        <v>1</v>
      </c>
      <c r="AB98" s="60">
        <v>-1</v>
      </c>
      <c r="AC98" s="59" t="s">
        <v>17</v>
      </c>
      <c r="AD98" s="60">
        <v>0</v>
      </c>
      <c r="AE98" s="60">
        <v>1</v>
      </c>
      <c r="AF98" s="60" t="s">
        <v>2993</v>
      </c>
      <c r="AG98" s="60">
        <v>0</v>
      </c>
      <c r="AH98" s="60">
        <v>-1</v>
      </c>
      <c r="AI98" s="60">
        <v>0</v>
      </c>
      <c r="AJ98" s="60">
        <v>2</v>
      </c>
      <c r="AK98" s="60">
        <v>-2</v>
      </c>
      <c r="AL98" s="60">
        <v>0</v>
      </c>
      <c r="AM98" s="59" t="s">
        <v>93</v>
      </c>
      <c r="AN98" s="59">
        <v>0</v>
      </c>
      <c r="AO98" s="243">
        <f t="shared" si="55"/>
        <v>57</v>
      </c>
      <c r="AP98" s="244">
        <f t="shared" si="56"/>
        <v>92</v>
      </c>
      <c r="AQ98" s="244">
        <f t="shared" si="57"/>
        <v>153</v>
      </c>
      <c r="AR98" s="244">
        <f t="shared" si="58"/>
        <v>184</v>
      </c>
      <c r="AS98" s="245">
        <v>230</v>
      </c>
      <c r="AT98">
        <f t="shared" si="59"/>
        <v>50</v>
      </c>
      <c r="AU98">
        <f t="shared" si="60"/>
        <v>6</v>
      </c>
      <c r="AV98">
        <f t="shared" si="61"/>
        <v>74</v>
      </c>
    </row>
    <row r="99" spans="2:48" x14ac:dyDescent="0.3">
      <c r="B99" s="59" t="s">
        <v>229</v>
      </c>
      <c r="C99">
        <v>10</v>
      </c>
      <c r="D99" t="s">
        <v>553</v>
      </c>
      <c r="E99">
        <f t="shared" si="40"/>
        <v>19</v>
      </c>
      <c r="F99">
        <v>8</v>
      </c>
      <c r="G99" t="s">
        <v>553</v>
      </c>
      <c r="H99">
        <f t="shared" si="41"/>
        <v>17</v>
      </c>
      <c r="I99">
        <v>2</v>
      </c>
      <c r="J99" t="s">
        <v>553</v>
      </c>
      <c r="K99">
        <f t="shared" si="42"/>
        <v>11</v>
      </c>
      <c r="L99">
        <v>1</v>
      </c>
      <c r="M99" t="s">
        <v>553</v>
      </c>
      <c r="N99">
        <f t="shared" si="43"/>
        <v>10</v>
      </c>
      <c r="O99">
        <v>5</v>
      </c>
      <c r="P99" t="s">
        <v>553</v>
      </c>
      <c r="Q99">
        <f t="shared" si="44"/>
        <v>14</v>
      </c>
      <c r="R99">
        <v>0</v>
      </c>
      <c r="S99" t="s">
        <v>553</v>
      </c>
      <c r="T99">
        <f t="shared" si="45"/>
        <v>9</v>
      </c>
      <c r="U99" t="s">
        <v>3675</v>
      </c>
      <c r="V99" t="s">
        <v>3739</v>
      </c>
      <c r="W99" s="59" t="s">
        <v>294</v>
      </c>
      <c r="X99" s="59" t="s">
        <v>190</v>
      </c>
      <c r="Y99" s="59" t="s">
        <v>1203</v>
      </c>
      <c r="Z99" s="59" t="s">
        <v>357</v>
      </c>
      <c r="AA99" s="60">
        <v>1</v>
      </c>
      <c r="AB99" s="60">
        <v>-1</v>
      </c>
      <c r="AC99" s="59" t="s">
        <v>17</v>
      </c>
      <c r="AD99" s="60">
        <v>0</v>
      </c>
      <c r="AE99" s="60">
        <v>1</v>
      </c>
      <c r="AF99" s="60" t="s">
        <v>2993</v>
      </c>
      <c r="AG99" s="60">
        <v>0</v>
      </c>
      <c r="AH99" s="60">
        <v>-1</v>
      </c>
      <c r="AI99" s="60">
        <v>0</v>
      </c>
      <c r="AJ99" s="60">
        <v>-2</v>
      </c>
      <c r="AK99" s="60">
        <v>0</v>
      </c>
      <c r="AL99" s="60">
        <v>0</v>
      </c>
      <c r="AM99" s="59" t="s">
        <v>95</v>
      </c>
      <c r="AN99" s="59">
        <v>0</v>
      </c>
      <c r="AO99" s="243">
        <f t="shared" si="55"/>
        <v>8</v>
      </c>
      <c r="AP99" s="244">
        <f t="shared" si="56"/>
        <v>13</v>
      </c>
      <c r="AQ99" s="244">
        <f t="shared" si="57"/>
        <v>22</v>
      </c>
      <c r="AR99" s="244">
        <f t="shared" si="58"/>
        <v>27</v>
      </c>
      <c r="AS99" s="245">
        <v>34</v>
      </c>
      <c r="AT99">
        <f t="shared" si="59"/>
        <v>26</v>
      </c>
      <c r="AU99">
        <f t="shared" si="60"/>
        <v>6</v>
      </c>
      <c r="AV99">
        <f t="shared" si="61"/>
        <v>50</v>
      </c>
    </row>
    <row r="100" spans="2:48" x14ac:dyDescent="0.3">
      <c r="B100" s="59" t="s">
        <v>1032</v>
      </c>
      <c r="C100">
        <v>8</v>
      </c>
      <c r="D100" t="s">
        <v>553</v>
      </c>
      <c r="E100">
        <f t="shared" si="40"/>
        <v>17</v>
      </c>
      <c r="F100">
        <v>6</v>
      </c>
      <c r="G100" t="s">
        <v>553</v>
      </c>
      <c r="H100">
        <f t="shared" si="41"/>
        <v>15</v>
      </c>
      <c r="I100">
        <v>9</v>
      </c>
      <c r="J100" t="s">
        <v>553</v>
      </c>
      <c r="K100">
        <f t="shared" si="42"/>
        <v>18</v>
      </c>
      <c r="L100">
        <v>2</v>
      </c>
      <c r="M100" t="s">
        <v>553</v>
      </c>
      <c r="N100">
        <f t="shared" si="43"/>
        <v>11</v>
      </c>
      <c r="O100">
        <v>8</v>
      </c>
      <c r="P100" t="s">
        <v>553</v>
      </c>
      <c r="Q100">
        <f t="shared" si="44"/>
        <v>17</v>
      </c>
      <c r="R100">
        <v>3</v>
      </c>
      <c r="S100" t="s">
        <v>553</v>
      </c>
      <c r="T100">
        <f t="shared" si="45"/>
        <v>12</v>
      </c>
      <c r="U100" t="s">
        <v>3686</v>
      </c>
      <c r="V100" t="s">
        <v>3691</v>
      </c>
      <c r="W100" s="59" t="s">
        <v>293</v>
      </c>
      <c r="X100" s="59" t="s">
        <v>196</v>
      </c>
      <c r="Y100" s="59" t="s">
        <v>1209</v>
      </c>
      <c r="Z100" s="59" t="s">
        <v>357</v>
      </c>
      <c r="AA100" s="60">
        <v>1</v>
      </c>
      <c r="AB100" s="60">
        <v>-1</v>
      </c>
      <c r="AC100" s="59" t="s">
        <v>17</v>
      </c>
      <c r="AD100" s="60">
        <v>0</v>
      </c>
      <c r="AE100" s="60">
        <v>1</v>
      </c>
      <c r="AF100" s="60" t="s">
        <v>2993</v>
      </c>
      <c r="AG100" s="60">
        <v>0</v>
      </c>
      <c r="AH100" s="573">
        <v>1</v>
      </c>
      <c r="AI100" s="60">
        <v>1</v>
      </c>
      <c r="AJ100" s="60">
        <v>-2</v>
      </c>
      <c r="AK100" s="60">
        <v>0</v>
      </c>
      <c r="AL100" s="60">
        <v>-1</v>
      </c>
      <c r="AM100" s="59" t="s">
        <v>260</v>
      </c>
      <c r="AN100" s="59">
        <v>0</v>
      </c>
      <c r="AO100" s="243">
        <f t="shared" si="55"/>
        <v>25</v>
      </c>
      <c r="AP100" s="244">
        <f t="shared" si="56"/>
        <v>40</v>
      </c>
      <c r="AQ100" s="244">
        <f t="shared" si="57"/>
        <v>68</v>
      </c>
      <c r="AR100" s="244">
        <f t="shared" si="58"/>
        <v>81</v>
      </c>
      <c r="AS100" s="245">
        <v>102</v>
      </c>
      <c r="AT100">
        <f t="shared" si="59"/>
        <v>36</v>
      </c>
      <c r="AU100">
        <f t="shared" si="60"/>
        <v>6</v>
      </c>
      <c r="AV100">
        <f t="shared" si="61"/>
        <v>60</v>
      </c>
    </row>
    <row r="101" spans="2:48" ht="14.25" customHeight="1" x14ac:dyDescent="0.3">
      <c r="B101" s="59" t="s">
        <v>1042</v>
      </c>
      <c r="C101">
        <v>8</v>
      </c>
      <c r="D101" t="s">
        <v>553</v>
      </c>
      <c r="E101">
        <f t="shared" si="40"/>
        <v>17</v>
      </c>
      <c r="F101">
        <v>7</v>
      </c>
      <c r="G101" t="s">
        <v>553</v>
      </c>
      <c r="H101">
        <f t="shared" si="41"/>
        <v>16</v>
      </c>
      <c r="I101">
        <v>9</v>
      </c>
      <c r="J101" t="s">
        <v>553</v>
      </c>
      <c r="K101">
        <f t="shared" si="42"/>
        <v>18</v>
      </c>
      <c r="L101">
        <v>2</v>
      </c>
      <c r="M101" t="s">
        <v>553</v>
      </c>
      <c r="N101">
        <f t="shared" si="43"/>
        <v>11</v>
      </c>
      <c r="O101">
        <v>8</v>
      </c>
      <c r="P101" t="s">
        <v>553</v>
      </c>
      <c r="Q101">
        <f t="shared" si="44"/>
        <v>17</v>
      </c>
      <c r="R101">
        <v>2</v>
      </c>
      <c r="S101" t="s">
        <v>553</v>
      </c>
      <c r="T101">
        <f t="shared" si="45"/>
        <v>11</v>
      </c>
      <c r="U101" t="s">
        <v>3686</v>
      </c>
      <c r="V101" t="s">
        <v>3691</v>
      </c>
      <c r="W101" s="59" t="s">
        <v>293</v>
      </c>
      <c r="X101" s="59" t="s">
        <v>196</v>
      </c>
      <c r="Y101" s="59" t="s">
        <v>1209</v>
      </c>
      <c r="Z101" s="59" t="s">
        <v>357</v>
      </c>
      <c r="AA101" s="60">
        <v>1</v>
      </c>
      <c r="AB101" s="60">
        <v>-1</v>
      </c>
      <c r="AC101" s="59" t="s">
        <v>17</v>
      </c>
      <c r="AD101" s="60">
        <v>0</v>
      </c>
      <c r="AE101" s="60">
        <v>1</v>
      </c>
      <c r="AF101" s="60" t="s">
        <v>2993</v>
      </c>
      <c r="AG101" s="60">
        <v>0</v>
      </c>
      <c r="AH101" s="573">
        <v>1</v>
      </c>
      <c r="AI101" s="60">
        <v>1</v>
      </c>
      <c r="AJ101" s="60">
        <v>-2</v>
      </c>
      <c r="AK101" s="60">
        <v>0</v>
      </c>
      <c r="AL101" s="60">
        <v>-1</v>
      </c>
      <c r="AM101" s="59" t="s">
        <v>260</v>
      </c>
      <c r="AN101" s="59">
        <v>0</v>
      </c>
      <c r="AO101" s="243">
        <f t="shared" si="55"/>
        <v>25</v>
      </c>
      <c r="AP101" s="244">
        <f t="shared" si="56"/>
        <v>40</v>
      </c>
      <c r="AQ101" s="244">
        <f t="shared" si="57"/>
        <v>68</v>
      </c>
      <c r="AR101" s="244">
        <f t="shared" si="58"/>
        <v>81</v>
      </c>
      <c r="AS101" s="245">
        <v>102</v>
      </c>
      <c r="AT101">
        <f t="shared" si="59"/>
        <v>36</v>
      </c>
      <c r="AU101">
        <f t="shared" si="60"/>
        <v>6</v>
      </c>
      <c r="AV101">
        <f t="shared" si="61"/>
        <v>60</v>
      </c>
    </row>
    <row r="102" spans="2:48" x14ac:dyDescent="0.3">
      <c r="B102" s="531" t="s">
        <v>1006</v>
      </c>
      <c r="C102">
        <v>1</v>
      </c>
      <c r="D102" t="s">
        <v>553</v>
      </c>
      <c r="E102">
        <f t="shared" si="40"/>
        <v>10</v>
      </c>
      <c r="F102">
        <v>7</v>
      </c>
      <c r="G102" t="s">
        <v>552</v>
      </c>
      <c r="H102">
        <f t="shared" si="41"/>
        <v>22</v>
      </c>
      <c r="I102">
        <v>5</v>
      </c>
      <c r="J102" t="s">
        <v>552</v>
      </c>
      <c r="K102">
        <f t="shared" si="42"/>
        <v>20</v>
      </c>
      <c r="L102">
        <v>0</v>
      </c>
      <c r="M102" t="s">
        <v>552</v>
      </c>
      <c r="N102">
        <f t="shared" si="43"/>
        <v>15</v>
      </c>
      <c r="O102">
        <v>4</v>
      </c>
      <c r="P102" t="s">
        <v>553</v>
      </c>
      <c r="Q102">
        <f t="shared" si="44"/>
        <v>13</v>
      </c>
      <c r="R102">
        <v>6</v>
      </c>
      <c r="S102" t="s">
        <v>552</v>
      </c>
      <c r="T102">
        <f t="shared" si="45"/>
        <v>21</v>
      </c>
      <c r="U102" t="s">
        <v>3695</v>
      </c>
      <c r="V102" t="s">
        <v>3696</v>
      </c>
      <c r="W102" s="59" t="s">
        <v>296</v>
      </c>
      <c r="X102" s="59" t="s">
        <v>2478</v>
      </c>
      <c r="Y102" s="59" t="s">
        <v>1208</v>
      </c>
      <c r="Z102" s="59" t="s">
        <v>357</v>
      </c>
      <c r="AA102" s="60">
        <v>1</v>
      </c>
      <c r="AB102" s="60">
        <v>-1</v>
      </c>
      <c r="AC102" s="59" t="s">
        <v>17</v>
      </c>
      <c r="AD102" s="60">
        <v>0</v>
      </c>
      <c r="AE102" s="60">
        <v>1</v>
      </c>
      <c r="AF102" s="60" t="s">
        <v>2993</v>
      </c>
      <c r="AG102" s="60">
        <v>0</v>
      </c>
      <c r="AH102" s="60">
        <v>-1</v>
      </c>
      <c r="AI102" s="60">
        <v>0</v>
      </c>
      <c r="AJ102" s="60">
        <v>1</v>
      </c>
      <c r="AK102" s="60">
        <v>0</v>
      </c>
      <c r="AL102" s="60">
        <v>0</v>
      </c>
      <c r="AM102" s="59" t="s">
        <v>260</v>
      </c>
      <c r="AN102" s="59">
        <v>0</v>
      </c>
      <c r="AO102" s="243">
        <f t="shared" si="55"/>
        <v>15</v>
      </c>
      <c r="AP102" s="244">
        <f t="shared" si="56"/>
        <v>24</v>
      </c>
      <c r="AQ102" s="244">
        <f t="shared" si="57"/>
        <v>40</v>
      </c>
      <c r="AR102" s="244">
        <f t="shared" si="58"/>
        <v>48</v>
      </c>
      <c r="AS102" s="245">
        <v>60</v>
      </c>
      <c r="AT102">
        <f t="shared" si="59"/>
        <v>23</v>
      </c>
      <c r="AU102">
        <f t="shared" si="60"/>
        <v>10</v>
      </c>
      <c r="AV102">
        <f t="shared" si="61"/>
        <v>63</v>
      </c>
    </row>
    <row r="103" spans="2:48" x14ac:dyDescent="0.3">
      <c r="B103" s="531" t="s">
        <v>230</v>
      </c>
      <c r="C103">
        <v>1</v>
      </c>
      <c r="D103" t="s">
        <v>553</v>
      </c>
      <c r="E103">
        <f t="shared" si="40"/>
        <v>10</v>
      </c>
      <c r="F103">
        <v>7</v>
      </c>
      <c r="G103" t="s">
        <v>552</v>
      </c>
      <c r="H103">
        <f t="shared" si="41"/>
        <v>22</v>
      </c>
      <c r="I103">
        <v>6</v>
      </c>
      <c r="J103" t="s">
        <v>552</v>
      </c>
      <c r="K103">
        <f t="shared" si="42"/>
        <v>21</v>
      </c>
      <c r="L103">
        <v>0</v>
      </c>
      <c r="M103" t="s">
        <v>552</v>
      </c>
      <c r="N103">
        <f t="shared" si="43"/>
        <v>15</v>
      </c>
      <c r="O103">
        <v>4</v>
      </c>
      <c r="P103" t="s">
        <v>553</v>
      </c>
      <c r="Q103">
        <f t="shared" si="44"/>
        <v>13</v>
      </c>
      <c r="R103">
        <v>5</v>
      </c>
      <c r="S103" t="s">
        <v>552</v>
      </c>
      <c r="T103">
        <f t="shared" si="45"/>
        <v>20</v>
      </c>
      <c r="U103" t="s">
        <v>3695</v>
      </c>
      <c r="V103" t="s">
        <v>3696</v>
      </c>
      <c r="W103" s="59" t="s">
        <v>296</v>
      </c>
      <c r="X103" s="59" t="s">
        <v>2478</v>
      </c>
      <c r="Y103" s="59" t="s">
        <v>1208</v>
      </c>
      <c r="Z103" s="59" t="s">
        <v>357</v>
      </c>
      <c r="AA103" s="60">
        <v>1</v>
      </c>
      <c r="AB103" s="60">
        <v>-1</v>
      </c>
      <c r="AC103" s="59" t="s">
        <v>17</v>
      </c>
      <c r="AD103" s="60">
        <v>0</v>
      </c>
      <c r="AE103" s="60">
        <v>1</v>
      </c>
      <c r="AF103" s="60" t="s">
        <v>2993</v>
      </c>
      <c r="AG103" s="60">
        <v>0</v>
      </c>
      <c r="AH103" s="60">
        <v>-1</v>
      </c>
      <c r="AI103" s="60">
        <v>0</v>
      </c>
      <c r="AJ103" s="60">
        <v>1</v>
      </c>
      <c r="AK103" s="60">
        <v>0</v>
      </c>
      <c r="AL103" s="60">
        <v>0</v>
      </c>
      <c r="AM103" s="59" t="s">
        <v>260</v>
      </c>
      <c r="AN103" s="59">
        <v>0</v>
      </c>
      <c r="AO103" s="243">
        <f t="shared" si="55"/>
        <v>15</v>
      </c>
      <c r="AP103" s="244">
        <f t="shared" si="56"/>
        <v>24</v>
      </c>
      <c r="AQ103" s="244">
        <f t="shared" si="57"/>
        <v>40</v>
      </c>
      <c r="AR103" s="244">
        <f t="shared" si="58"/>
        <v>48</v>
      </c>
      <c r="AS103" s="245">
        <v>60</v>
      </c>
      <c r="AT103">
        <f t="shared" si="59"/>
        <v>23</v>
      </c>
      <c r="AU103">
        <f t="shared" si="60"/>
        <v>10</v>
      </c>
      <c r="AV103">
        <f t="shared" si="61"/>
        <v>63</v>
      </c>
    </row>
    <row r="104" spans="2:48" x14ac:dyDescent="0.3">
      <c r="B104" s="59" t="s">
        <v>1007</v>
      </c>
      <c r="C104">
        <v>14</v>
      </c>
      <c r="D104" t="s">
        <v>553</v>
      </c>
      <c r="E104">
        <f t="shared" si="40"/>
        <v>23</v>
      </c>
      <c r="F104">
        <v>5</v>
      </c>
      <c r="G104" t="s">
        <v>553</v>
      </c>
      <c r="H104">
        <f t="shared" si="41"/>
        <v>14</v>
      </c>
      <c r="I104">
        <v>0</v>
      </c>
      <c r="J104" t="s">
        <v>553</v>
      </c>
      <c r="K104">
        <f t="shared" si="42"/>
        <v>9</v>
      </c>
      <c r="L104">
        <v>4</v>
      </c>
      <c r="M104" t="s">
        <v>553</v>
      </c>
      <c r="N104">
        <f t="shared" si="43"/>
        <v>13</v>
      </c>
      <c r="O104">
        <v>5</v>
      </c>
      <c r="P104" t="s">
        <v>553</v>
      </c>
      <c r="Q104">
        <f t="shared" si="44"/>
        <v>14</v>
      </c>
      <c r="R104">
        <v>-1</v>
      </c>
      <c r="S104" t="s">
        <v>552</v>
      </c>
      <c r="T104">
        <f t="shared" si="45"/>
        <v>14</v>
      </c>
      <c r="U104" t="s">
        <v>3742</v>
      </c>
      <c r="V104" t="s">
        <v>3743</v>
      </c>
      <c r="W104" s="59" t="s">
        <v>199</v>
      </c>
      <c r="X104" s="59" t="s">
        <v>196</v>
      </c>
      <c r="Y104" s="59" t="s">
        <v>1203</v>
      </c>
      <c r="Z104" s="59" t="s">
        <v>357</v>
      </c>
      <c r="AA104" s="60">
        <v>1</v>
      </c>
      <c r="AB104" s="60">
        <v>-1</v>
      </c>
      <c r="AC104" s="59" t="s">
        <v>17</v>
      </c>
      <c r="AD104" s="60">
        <v>0</v>
      </c>
      <c r="AE104" s="60">
        <v>1</v>
      </c>
      <c r="AF104" s="60" t="s">
        <v>2993</v>
      </c>
      <c r="AG104" s="60">
        <v>0</v>
      </c>
      <c r="AH104" s="573">
        <v>1</v>
      </c>
      <c r="AI104" s="60">
        <v>0</v>
      </c>
      <c r="AJ104" s="60">
        <v>-2</v>
      </c>
      <c r="AK104" s="60">
        <v>0</v>
      </c>
      <c r="AL104" s="60">
        <v>0</v>
      </c>
      <c r="AM104" s="59" t="s">
        <v>96</v>
      </c>
      <c r="AN104" s="59">
        <v>3</v>
      </c>
      <c r="AO104" s="243">
        <f t="shared" si="55"/>
        <v>18</v>
      </c>
      <c r="AP104" s="244">
        <f t="shared" si="56"/>
        <v>30</v>
      </c>
      <c r="AQ104" s="244">
        <f t="shared" si="57"/>
        <v>50</v>
      </c>
      <c r="AR104" s="244">
        <f t="shared" si="58"/>
        <v>60</v>
      </c>
      <c r="AS104" s="245">
        <v>75</v>
      </c>
      <c r="AT104">
        <f t="shared" si="59"/>
        <v>27</v>
      </c>
      <c r="AU104">
        <f t="shared" si="60"/>
        <v>7</v>
      </c>
      <c r="AV104">
        <f t="shared" si="61"/>
        <v>55</v>
      </c>
    </row>
    <row r="105" spans="2:48" x14ac:dyDescent="0.3">
      <c r="B105" s="59" t="s">
        <v>4295</v>
      </c>
      <c r="C105">
        <v>9</v>
      </c>
      <c r="D105" t="s">
        <v>553</v>
      </c>
      <c r="E105">
        <f t="shared" si="40"/>
        <v>18</v>
      </c>
      <c r="F105">
        <v>9</v>
      </c>
      <c r="G105" t="s">
        <v>553</v>
      </c>
      <c r="H105">
        <f t="shared" si="41"/>
        <v>18</v>
      </c>
      <c r="I105">
        <v>7</v>
      </c>
      <c r="J105" t="s">
        <v>553</v>
      </c>
      <c r="K105">
        <f t="shared" si="42"/>
        <v>16</v>
      </c>
      <c r="L105">
        <v>3</v>
      </c>
      <c r="M105" t="s">
        <v>552</v>
      </c>
      <c r="N105">
        <f t="shared" si="43"/>
        <v>18</v>
      </c>
      <c r="O105">
        <v>7</v>
      </c>
      <c r="P105" t="s">
        <v>553</v>
      </c>
      <c r="Q105">
        <f t="shared" si="44"/>
        <v>16</v>
      </c>
      <c r="R105">
        <v>1</v>
      </c>
      <c r="S105" t="s">
        <v>552</v>
      </c>
      <c r="T105">
        <f t="shared" si="45"/>
        <v>16</v>
      </c>
      <c r="U105" t="s">
        <v>3713</v>
      </c>
      <c r="V105" t="s">
        <v>3714</v>
      </c>
      <c r="W105" s="59" t="s">
        <v>296</v>
      </c>
      <c r="X105" s="59" t="s">
        <v>193</v>
      </c>
      <c r="Y105" s="59" t="s">
        <v>1206</v>
      </c>
      <c r="Z105" s="59" t="s">
        <v>357</v>
      </c>
      <c r="AA105" s="60">
        <v>1</v>
      </c>
      <c r="AB105" s="60">
        <v>-1</v>
      </c>
      <c r="AC105" s="59" t="s">
        <v>17</v>
      </c>
      <c r="AD105" s="60">
        <v>0</v>
      </c>
      <c r="AE105" s="60">
        <v>1</v>
      </c>
      <c r="AF105" s="60" t="s">
        <v>2993</v>
      </c>
      <c r="AG105" s="60">
        <v>0</v>
      </c>
      <c r="AH105" s="60">
        <v>-1</v>
      </c>
      <c r="AI105" s="60">
        <v>0</v>
      </c>
      <c r="AJ105" s="60">
        <v>0</v>
      </c>
      <c r="AK105" s="60">
        <v>0</v>
      </c>
      <c r="AL105" s="60">
        <v>0</v>
      </c>
      <c r="AM105" s="59" t="s">
        <v>95</v>
      </c>
      <c r="AN105" s="59">
        <v>1</v>
      </c>
      <c r="AO105" s="243">
        <f t="shared" si="55"/>
        <v>18</v>
      </c>
      <c r="AP105" s="244">
        <f t="shared" si="56"/>
        <v>28</v>
      </c>
      <c r="AQ105" s="244">
        <f t="shared" si="57"/>
        <v>48</v>
      </c>
      <c r="AR105" s="244">
        <f t="shared" si="58"/>
        <v>57</v>
      </c>
      <c r="AS105" s="245">
        <v>72</v>
      </c>
      <c r="AT105">
        <f t="shared" si="59"/>
        <v>36</v>
      </c>
      <c r="AU105">
        <f t="shared" si="60"/>
        <v>8</v>
      </c>
      <c r="AV105">
        <f t="shared" si="61"/>
        <v>68</v>
      </c>
    </row>
    <row r="106" spans="2:48" x14ac:dyDescent="0.3">
      <c r="B106" s="59" t="s">
        <v>4296</v>
      </c>
      <c r="C106">
        <v>7</v>
      </c>
      <c r="D106" t="s">
        <v>553</v>
      </c>
      <c r="E106">
        <f t="shared" si="40"/>
        <v>16</v>
      </c>
      <c r="F106">
        <v>10</v>
      </c>
      <c r="G106" t="s">
        <v>553</v>
      </c>
      <c r="H106">
        <f t="shared" si="41"/>
        <v>19</v>
      </c>
      <c r="I106">
        <v>7</v>
      </c>
      <c r="J106" t="s">
        <v>553</v>
      </c>
      <c r="K106">
        <f t="shared" si="42"/>
        <v>16</v>
      </c>
      <c r="L106">
        <v>3</v>
      </c>
      <c r="M106" t="s">
        <v>552</v>
      </c>
      <c r="N106">
        <f t="shared" si="43"/>
        <v>18</v>
      </c>
      <c r="O106">
        <v>7</v>
      </c>
      <c r="P106" t="s">
        <v>553</v>
      </c>
      <c r="Q106">
        <f t="shared" si="44"/>
        <v>16</v>
      </c>
      <c r="R106">
        <v>3</v>
      </c>
      <c r="S106" t="s">
        <v>552</v>
      </c>
      <c r="T106">
        <f t="shared" si="45"/>
        <v>18</v>
      </c>
      <c r="U106" t="s">
        <v>3713</v>
      </c>
      <c r="V106" t="s">
        <v>3714</v>
      </c>
      <c r="W106" s="59" t="s">
        <v>296</v>
      </c>
      <c r="X106" s="59" t="s">
        <v>193</v>
      </c>
      <c r="Y106" s="59" t="s">
        <v>1206</v>
      </c>
      <c r="Z106" s="59" t="s">
        <v>357</v>
      </c>
      <c r="AA106" s="60">
        <v>1</v>
      </c>
      <c r="AB106" s="60">
        <v>-1</v>
      </c>
      <c r="AC106" s="59" t="s">
        <v>17</v>
      </c>
      <c r="AD106" s="60">
        <v>0</v>
      </c>
      <c r="AE106" s="60">
        <v>1</v>
      </c>
      <c r="AF106" s="60" t="s">
        <v>2993</v>
      </c>
      <c r="AG106" s="60">
        <v>0</v>
      </c>
      <c r="AH106" s="60">
        <v>-1</v>
      </c>
      <c r="AI106" s="60">
        <v>0</v>
      </c>
      <c r="AJ106" s="60">
        <v>0</v>
      </c>
      <c r="AK106" s="60">
        <v>0</v>
      </c>
      <c r="AL106" s="60">
        <v>0</v>
      </c>
      <c r="AM106" s="59" t="s">
        <v>95</v>
      </c>
      <c r="AN106" s="59">
        <v>1</v>
      </c>
      <c r="AO106" s="243">
        <f t="shared" si="55"/>
        <v>18</v>
      </c>
      <c r="AP106" s="244">
        <f t="shared" si="56"/>
        <v>28</v>
      </c>
      <c r="AQ106" s="244">
        <f t="shared" si="57"/>
        <v>48</v>
      </c>
      <c r="AR106" s="244">
        <f t="shared" si="58"/>
        <v>57</v>
      </c>
      <c r="AS106" s="245">
        <v>72</v>
      </c>
      <c r="AT106">
        <f t="shared" si="59"/>
        <v>37</v>
      </c>
      <c r="AU106">
        <f t="shared" si="60"/>
        <v>8</v>
      </c>
      <c r="AV106">
        <f t="shared" si="61"/>
        <v>69</v>
      </c>
    </row>
    <row r="107" spans="2:48" x14ac:dyDescent="0.3">
      <c r="B107" s="59" t="s">
        <v>3741</v>
      </c>
      <c r="C107">
        <v>8</v>
      </c>
      <c r="D107" t="s">
        <v>553</v>
      </c>
      <c r="E107">
        <f t="shared" si="40"/>
        <v>17</v>
      </c>
      <c r="F107">
        <v>6</v>
      </c>
      <c r="G107" t="s">
        <v>553</v>
      </c>
      <c r="H107">
        <f t="shared" si="41"/>
        <v>15</v>
      </c>
      <c r="I107">
        <v>4</v>
      </c>
      <c r="J107" t="s">
        <v>553</v>
      </c>
      <c r="K107">
        <f t="shared" si="42"/>
        <v>13</v>
      </c>
      <c r="L107">
        <v>3</v>
      </c>
      <c r="M107" t="s">
        <v>553</v>
      </c>
      <c r="N107">
        <f t="shared" si="43"/>
        <v>12</v>
      </c>
      <c r="O107">
        <v>6</v>
      </c>
      <c r="P107" t="s">
        <v>553</v>
      </c>
      <c r="Q107">
        <f t="shared" si="44"/>
        <v>15</v>
      </c>
      <c r="R107">
        <v>2</v>
      </c>
      <c r="S107" t="s">
        <v>553</v>
      </c>
      <c r="T107">
        <f t="shared" si="45"/>
        <v>11</v>
      </c>
      <c r="U107" t="s">
        <v>3662</v>
      </c>
      <c r="V107" t="s">
        <v>3740</v>
      </c>
      <c r="W107" s="59" t="s">
        <v>296</v>
      </c>
      <c r="X107" s="59" t="s">
        <v>196</v>
      </c>
      <c r="Y107" s="59" t="s">
        <v>1203</v>
      </c>
      <c r="Z107" s="59" t="s">
        <v>357</v>
      </c>
      <c r="AA107" s="60">
        <v>1</v>
      </c>
      <c r="AB107" s="60">
        <v>-1</v>
      </c>
      <c r="AC107" s="59" t="s">
        <v>17</v>
      </c>
      <c r="AD107" s="60">
        <v>0</v>
      </c>
      <c r="AE107" s="60">
        <v>1</v>
      </c>
      <c r="AF107" s="60" t="s">
        <v>2993</v>
      </c>
      <c r="AG107" s="573">
        <v>2</v>
      </c>
      <c r="AH107" s="573">
        <v>3</v>
      </c>
      <c r="AI107" s="60">
        <v>0</v>
      </c>
      <c r="AJ107" s="60">
        <v>-2</v>
      </c>
      <c r="AK107" s="60">
        <v>0</v>
      </c>
      <c r="AL107" s="60">
        <v>0</v>
      </c>
      <c r="AM107" s="59" t="s">
        <v>260</v>
      </c>
      <c r="AN107" s="59">
        <v>1</v>
      </c>
      <c r="AO107" s="243">
        <f t="shared" si="55"/>
        <v>7</v>
      </c>
      <c r="AP107" s="244">
        <f t="shared" si="56"/>
        <v>11</v>
      </c>
      <c r="AQ107" s="244">
        <f t="shared" si="57"/>
        <v>19</v>
      </c>
      <c r="AR107" s="244">
        <f t="shared" si="58"/>
        <v>23</v>
      </c>
      <c r="AS107" s="245">
        <v>29</v>
      </c>
      <c r="AT107">
        <f t="shared" si="59"/>
        <v>29</v>
      </c>
      <c r="AU107">
        <f t="shared" si="60"/>
        <v>6</v>
      </c>
      <c r="AV107">
        <f t="shared" si="61"/>
        <v>53</v>
      </c>
    </row>
    <row r="108" spans="2:48" x14ac:dyDescent="0.3">
      <c r="B108" s="59" t="s">
        <v>1026</v>
      </c>
      <c r="C108">
        <v>15</v>
      </c>
      <c r="D108" t="s">
        <v>553</v>
      </c>
      <c r="E108">
        <f t="shared" si="40"/>
        <v>24</v>
      </c>
      <c r="F108">
        <v>4</v>
      </c>
      <c r="G108" t="s">
        <v>553</v>
      </c>
      <c r="H108">
        <f t="shared" si="41"/>
        <v>13</v>
      </c>
      <c r="I108">
        <v>0</v>
      </c>
      <c r="J108" t="s">
        <v>553</v>
      </c>
      <c r="K108">
        <f t="shared" si="42"/>
        <v>9</v>
      </c>
      <c r="L108">
        <v>4</v>
      </c>
      <c r="M108" t="s">
        <v>553</v>
      </c>
      <c r="N108">
        <f t="shared" si="43"/>
        <v>13</v>
      </c>
      <c r="O108">
        <v>5</v>
      </c>
      <c r="P108" t="s">
        <v>553</v>
      </c>
      <c r="Q108">
        <f t="shared" si="44"/>
        <v>14</v>
      </c>
      <c r="R108">
        <v>-1</v>
      </c>
      <c r="S108" t="s">
        <v>552</v>
      </c>
      <c r="T108">
        <f t="shared" si="45"/>
        <v>14</v>
      </c>
      <c r="U108" t="s">
        <v>3742</v>
      </c>
      <c r="V108" t="s">
        <v>3743</v>
      </c>
      <c r="W108" s="59" t="s">
        <v>199</v>
      </c>
      <c r="X108" s="59" t="s">
        <v>196</v>
      </c>
      <c r="Y108" s="59" t="s">
        <v>1203</v>
      </c>
      <c r="Z108" s="59" t="s">
        <v>357</v>
      </c>
      <c r="AA108" s="60">
        <v>1</v>
      </c>
      <c r="AB108" s="60">
        <v>-1</v>
      </c>
      <c r="AC108" s="59" t="s">
        <v>17</v>
      </c>
      <c r="AD108" s="60">
        <v>0</v>
      </c>
      <c r="AE108" s="60">
        <v>1</v>
      </c>
      <c r="AF108" s="60" t="s">
        <v>2993</v>
      </c>
      <c r="AG108" s="60">
        <v>0</v>
      </c>
      <c r="AH108" s="573">
        <v>1</v>
      </c>
      <c r="AI108" s="60">
        <v>0</v>
      </c>
      <c r="AJ108" s="60">
        <v>-2</v>
      </c>
      <c r="AK108" s="60">
        <v>0</v>
      </c>
      <c r="AL108" s="60">
        <v>0</v>
      </c>
      <c r="AM108" s="59" t="s">
        <v>96</v>
      </c>
      <c r="AN108" s="59">
        <v>3</v>
      </c>
      <c r="AO108" s="243">
        <f t="shared" si="55"/>
        <v>18</v>
      </c>
      <c r="AP108" s="244">
        <f t="shared" si="56"/>
        <v>30</v>
      </c>
      <c r="AQ108" s="244">
        <f t="shared" si="57"/>
        <v>50</v>
      </c>
      <c r="AR108" s="244">
        <f t="shared" si="58"/>
        <v>60</v>
      </c>
      <c r="AS108" s="245">
        <v>75</v>
      </c>
      <c r="AT108">
        <f t="shared" si="59"/>
        <v>27</v>
      </c>
      <c r="AU108">
        <f t="shared" si="60"/>
        <v>7</v>
      </c>
      <c r="AV108">
        <f t="shared" si="61"/>
        <v>55</v>
      </c>
    </row>
    <row r="109" spans="2:48" x14ac:dyDescent="0.3">
      <c r="B109" s="531" t="s">
        <v>1008</v>
      </c>
      <c r="C109">
        <v>6</v>
      </c>
      <c r="D109" t="s">
        <v>553</v>
      </c>
      <c r="E109">
        <f t="shared" si="40"/>
        <v>15</v>
      </c>
      <c r="F109">
        <v>3</v>
      </c>
      <c r="G109" t="s">
        <v>552</v>
      </c>
      <c r="H109">
        <f t="shared" si="41"/>
        <v>18</v>
      </c>
      <c r="I109">
        <v>6</v>
      </c>
      <c r="J109" t="s">
        <v>552</v>
      </c>
      <c r="K109">
        <f t="shared" si="42"/>
        <v>21</v>
      </c>
      <c r="L109">
        <v>1</v>
      </c>
      <c r="M109" t="s">
        <v>552</v>
      </c>
      <c r="N109">
        <f t="shared" si="43"/>
        <v>16</v>
      </c>
      <c r="O109">
        <v>7</v>
      </c>
      <c r="P109" t="s">
        <v>553</v>
      </c>
      <c r="Q109">
        <f t="shared" si="44"/>
        <v>16</v>
      </c>
      <c r="R109">
        <v>0</v>
      </c>
      <c r="S109" t="s">
        <v>552</v>
      </c>
      <c r="T109">
        <f t="shared" si="45"/>
        <v>15</v>
      </c>
      <c r="U109" t="s">
        <v>3692</v>
      </c>
      <c r="V109" t="s">
        <v>3693</v>
      </c>
      <c r="W109" s="59" t="s">
        <v>293</v>
      </c>
      <c r="X109" s="59" t="s">
        <v>196</v>
      </c>
      <c r="Y109" s="59" t="s">
        <v>1209</v>
      </c>
      <c r="Z109" s="59" t="s">
        <v>357</v>
      </c>
      <c r="AA109" s="60">
        <v>1</v>
      </c>
      <c r="AB109" s="60">
        <v>-1</v>
      </c>
      <c r="AC109" s="59" t="s">
        <v>17</v>
      </c>
      <c r="AD109" s="60">
        <v>0</v>
      </c>
      <c r="AE109" s="60">
        <v>1</v>
      </c>
      <c r="AF109" s="60" t="s">
        <v>2993</v>
      </c>
      <c r="AG109" s="60">
        <v>0</v>
      </c>
      <c r="AH109" s="60">
        <v>-1</v>
      </c>
      <c r="AI109" s="60">
        <v>1</v>
      </c>
      <c r="AJ109" s="60">
        <v>-1</v>
      </c>
      <c r="AK109" s="60">
        <v>0</v>
      </c>
      <c r="AL109" s="60">
        <v>-1</v>
      </c>
      <c r="AM109" s="59" t="s">
        <v>260</v>
      </c>
      <c r="AN109" s="59">
        <v>0</v>
      </c>
      <c r="AO109" s="243">
        <f t="shared" si="55"/>
        <v>27</v>
      </c>
      <c r="AP109" s="244">
        <f t="shared" si="56"/>
        <v>44</v>
      </c>
      <c r="AQ109" s="244">
        <f t="shared" si="57"/>
        <v>73</v>
      </c>
      <c r="AR109" s="244">
        <f t="shared" si="58"/>
        <v>88</v>
      </c>
      <c r="AS109" s="245">
        <v>110</v>
      </c>
      <c r="AT109">
        <f t="shared" si="59"/>
        <v>23</v>
      </c>
      <c r="AU109">
        <f t="shared" si="60"/>
        <v>10</v>
      </c>
      <c r="AV109">
        <f t="shared" si="61"/>
        <v>63</v>
      </c>
    </row>
    <row r="110" spans="2:48" x14ac:dyDescent="0.3">
      <c r="B110" s="531" t="s">
        <v>204</v>
      </c>
      <c r="C110">
        <v>7</v>
      </c>
      <c r="D110" t="s">
        <v>553</v>
      </c>
      <c r="E110">
        <f t="shared" si="40"/>
        <v>16</v>
      </c>
      <c r="F110">
        <v>2</v>
      </c>
      <c r="G110" t="s">
        <v>552</v>
      </c>
      <c r="H110">
        <f t="shared" si="41"/>
        <v>17</v>
      </c>
      <c r="I110">
        <v>5</v>
      </c>
      <c r="J110" t="s">
        <v>552</v>
      </c>
      <c r="K110">
        <f t="shared" si="42"/>
        <v>20</v>
      </c>
      <c r="L110">
        <v>1</v>
      </c>
      <c r="M110" t="s">
        <v>552</v>
      </c>
      <c r="N110">
        <f t="shared" si="43"/>
        <v>16</v>
      </c>
      <c r="O110">
        <v>7</v>
      </c>
      <c r="P110" t="s">
        <v>553</v>
      </c>
      <c r="Q110">
        <f t="shared" si="44"/>
        <v>16</v>
      </c>
      <c r="R110">
        <v>1</v>
      </c>
      <c r="S110" t="s">
        <v>552</v>
      </c>
      <c r="T110">
        <f t="shared" si="45"/>
        <v>16</v>
      </c>
      <c r="U110" t="s">
        <v>3692</v>
      </c>
      <c r="V110" t="s">
        <v>3693</v>
      </c>
      <c r="W110" s="59" t="s">
        <v>293</v>
      </c>
      <c r="X110" s="59" t="s">
        <v>196</v>
      </c>
      <c r="Y110" s="59" t="s">
        <v>1209</v>
      </c>
      <c r="Z110" s="59" t="s">
        <v>357</v>
      </c>
      <c r="AA110" s="60">
        <v>1</v>
      </c>
      <c r="AB110" s="60">
        <v>-1</v>
      </c>
      <c r="AC110" s="59" t="s">
        <v>17</v>
      </c>
      <c r="AD110" s="60">
        <v>0</v>
      </c>
      <c r="AE110" s="60">
        <v>1</v>
      </c>
      <c r="AF110" s="60" t="s">
        <v>2993</v>
      </c>
      <c r="AG110" s="60">
        <v>0</v>
      </c>
      <c r="AH110" s="60">
        <v>-1</v>
      </c>
      <c r="AI110" s="60">
        <v>1</v>
      </c>
      <c r="AJ110" s="60">
        <v>-1</v>
      </c>
      <c r="AK110" s="60">
        <v>0</v>
      </c>
      <c r="AL110" s="60">
        <v>-1</v>
      </c>
      <c r="AM110" s="59" t="s">
        <v>260</v>
      </c>
      <c r="AN110" s="59">
        <v>0</v>
      </c>
      <c r="AO110" s="243">
        <f t="shared" si="55"/>
        <v>33</v>
      </c>
      <c r="AP110" s="244">
        <f t="shared" si="56"/>
        <v>54</v>
      </c>
      <c r="AQ110" s="244">
        <f t="shared" si="57"/>
        <v>90</v>
      </c>
      <c r="AR110" s="244">
        <f t="shared" si="58"/>
        <v>108</v>
      </c>
      <c r="AS110" s="245">
        <v>135</v>
      </c>
      <c r="AT110">
        <f t="shared" si="59"/>
        <v>23</v>
      </c>
      <c r="AU110">
        <f t="shared" si="60"/>
        <v>10</v>
      </c>
      <c r="AV110">
        <f t="shared" si="61"/>
        <v>63</v>
      </c>
    </row>
    <row r="111" spans="2:48" x14ac:dyDescent="0.3">
      <c r="B111" s="59" t="s">
        <v>1043</v>
      </c>
      <c r="C111">
        <v>11</v>
      </c>
      <c r="D111" t="s">
        <v>553</v>
      </c>
      <c r="E111">
        <f t="shared" si="40"/>
        <v>20</v>
      </c>
      <c r="F111">
        <v>11</v>
      </c>
      <c r="G111" t="s">
        <v>553</v>
      </c>
      <c r="H111">
        <f t="shared" si="41"/>
        <v>20</v>
      </c>
      <c r="I111">
        <v>10</v>
      </c>
      <c r="J111" t="s">
        <v>553</v>
      </c>
      <c r="K111">
        <f t="shared" si="42"/>
        <v>19</v>
      </c>
      <c r="L111">
        <v>6</v>
      </c>
      <c r="M111" t="s">
        <v>553</v>
      </c>
      <c r="N111">
        <f t="shared" si="43"/>
        <v>15</v>
      </c>
      <c r="O111">
        <v>7</v>
      </c>
      <c r="P111" t="s">
        <v>553</v>
      </c>
      <c r="Q111">
        <f t="shared" si="44"/>
        <v>16</v>
      </c>
      <c r="R111">
        <v>4</v>
      </c>
      <c r="S111" t="s">
        <v>552</v>
      </c>
      <c r="T111">
        <f t="shared" si="45"/>
        <v>19</v>
      </c>
      <c r="U111" t="s">
        <v>3744</v>
      </c>
      <c r="V111" t="s">
        <v>3745</v>
      </c>
      <c r="W111" s="59" t="s">
        <v>294</v>
      </c>
      <c r="X111" s="59" t="s">
        <v>190</v>
      </c>
      <c r="Y111" s="59" t="s">
        <v>1211</v>
      </c>
      <c r="Z111" s="572" t="s">
        <v>2996</v>
      </c>
      <c r="AA111" s="573">
        <v>3</v>
      </c>
      <c r="AB111" s="573">
        <v>2</v>
      </c>
      <c r="AC111" s="59" t="s">
        <v>17</v>
      </c>
      <c r="AD111" s="60">
        <v>0</v>
      </c>
      <c r="AE111" s="60">
        <v>1</v>
      </c>
      <c r="AF111" s="60" t="s">
        <v>2993</v>
      </c>
      <c r="AG111" s="573">
        <v>1</v>
      </c>
      <c r="AH111" s="573">
        <v>4</v>
      </c>
      <c r="AI111" s="60">
        <v>0</v>
      </c>
      <c r="AJ111" s="60">
        <v>0</v>
      </c>
      <c r="AK111" s="60">
        <v>0</v>
      </c>
      <c r="AL111" s="60">
        <v>1</v>
      </c>
      <c r="AM111" s="59" t="s">
        <v>95</v>
      </c>
      <c r="AN111" s="59">
        <v>1</v>
      </c>
      <c r="AO111" s="243">
        <f t="shared" si="55"/>
        <v>28</v>
      </c>
      <c r="AP111" s="244">
        <f t="shared" si="56"/>
        <v>46</v>
      </c>
      <c r="AQ111" s="244">
        <f t="shared" si="57"/>
        <v>76</v>
      </c>
      <c r="AR111" s="244">
        <f t="shared" si="58"/>
        <v>92</v>
      </c>
      <c r="AS111" s="245">
        <v>115</v>
      </c>
      <c r="AT111">
        <f t="shared" si="59"/>
        <v>49</v>
      </c>
      <c r="AU111">
        <f t="shared" si="60"/>
        <v>7</v>
      </c>
      <c r="AV111">
        <f t="shared" si="61"/>
        <v>77</v>
      </c>
    </row>
    <row r="112" spans="2:48" x14ac:dyDescent="0.3">
      <c r="B112" s="59" t="s">
        <v>1035</v>
      </c>
      <c r="C112">
        <v>12</v>
      </c>
      <c r="D112" t="s">
        <v>553</v>
      </c>
      <c r="E112">
        <f t="shared" si="40"/>
        <v>21</v>
      </c>
      <c r="F112">
        <v>10</v>
      </c>
      <c r="G112" t="s">
        <v>553</v>
      </c>
      <c r="H112">
        <f t="shared" si="41"/>
        <v>19</v>
      </c>
      <c r="I112">
        <v>10</v>
      </c>
      <c r="J112" t="s">
        <v>553</v>
      </c>
      <c r="K112">
        <f t="shared" si="42"/>
        <v>19</v>
      </c>
      <c r="L112">
        <v>6</v>
      </c>
      <c r="M112" t="s">
        <v>553</v>
      </c>
      <c r="N112">
        <f t="shared" si="43"/>
        <v>15</v>
      </c>
      <c r="O112">
        <v>7</v>
      </c>
      <c r="P112" t="s">
        <v>553</v>
      </c>
      <c r="Q112">
        <f t="shared" si="44"/>
        <v>16</v>
      </c>
      <c r="R112">
        <v>3</v>
      </c>
      <c r="S112" t="s">
        <v>552</v>
      </c>
      <c r="T112">
        <f t="shared" si="45"/>
        <v>18</v>
      </c>
      <c r="U112" t="s">
        <v>3744</v>
      </c>
      <c r="V112" t="s">
        <v>3745</v>
      </c>
      <c r="W112" s="59" t="s">
        <v>294</v>
      </c>
      <c r="X112" s="59" t="s">
        <v>190</v>
      </c>
      <c r="Y112" s="59" t="s">
        <v>1211</v>
      </c>
      <c r="Z112" s="572" t="s">
        <v>2996</v>
      </c>
      <c r="AA112" s="573">
        <v>3</v>
      </c>
      <c r="AB112" s="573">
        <v>2</v>
      </c>
      <c r="AC112" s="59" t="s">
        <v>17</v>
      </c>
      <c r="AD112" s="60">
        <v>0</v>
      </c>
      <c r="AE112" s="60">
        <v>1</v>
      </c>
      <c r="AF112" s="60" t="s">
        <v>2993</v>
      </c>
      <c r="AG112" s="573">
        <v>1</v>
      </c>
      <c r="AH112" s="573">
        <v>4</v>
      </c>
      <c r="AI112" s="60">
        <v>0</v>
      </c>
      <c r="AJ112" s="60">
        <v>0</v>
      </c>
      <c r="AK112" s="60">
        <v>0</v>
      </c>
      <c r="AL112" s="60">
        <v>1</v>
      </c>
      <c r="AM112" s="59" t="s">
        <v>95</v>
      </c>
      <c r="AN112" s="59">
        <v>1</v>
      </c>
      <c r="AO112" s="243">
        <f t="shared" si="55"/>
        <v>28</v>
      </c>
      <c r="AP112" s="244">
        <f t="shared" si="56"/>
        <v>46</v>
      </c>
      <c r="AQ112" s="244">
        <f t="shared" si="57"/>
        <v>76</v>
      </c>
      <c r="AR112" s="244">
        <f t="shared" si="58"/>
        <v>92</v>
      </c>
      <c r="AS112" s="245">
        <v>115</v>
      </c>
      <c r="AT112">
        <f t="shared" si="59"/>
        <v>48</v>
      </c>
      <c r="AU112">
        <f t="shared" si="60"/>
        <v>7</v>
      </c>
      <c r="AV112">
        <f t="shared" si="61"/>
        <v>76</v>
      </c>
    </row>
    <row r="113" spans="2:48" x14ac:dyDescent="0.3">
      <c r="B113" s="59" t="s">
        <v>1034</v>
      </c>
      <c r="C113">
        <v>11</v>
      </c>
      <c r="D113" t="s">
        <v>553</v>
      </c>
      <c r="E113">
        <f t="shared" si="40"/>
        <v>20</v>
      </c>
      <c r="F113">
        <v>9</v>
      </c>
      <c r="G113" t="s">
        <v>553</v>
      </c>
      <c r="H113">
        <f t="shared" si="41"/>
        <v>18</v>
      </c>
      <c r="I113">
        <v>8</v>
      </c>
      <c r="J113" t="s">
        <v>553</v>
      </c>
      <c r="K113">
        <f t="shared" si="42"/>
        <v>17</v>
      </c>
      <c r="L113">
        <v>10</v>
      </c>
      <c r="M113" t="s">
        <v>553</v>
      </c>
      <c r="N113">
        <f t="shared" si="43"/>
        <v>19</v>
      </c>
      <c r="O113">
        <v>8</v>
      </c>
      <c r="P113" t="s">
        <v>553</v>
      </c>
      <c r="Q113">
        <f t="shared" si="44"/>
        <v>17</v>
      </c>
      <c r="R113">
        <v>11</v>
      </c>
      <c r="S113" t="s">
        <v>553</v>
      </c>
      <c r="T113">
        <f t="shared" si="45"/>
        <v>20</v>
      </c>
      <c r="U113" t="s">
        <v>3730</v>
      </c>
      <c r="V113" t="s">
        <v>3746</v>
      </c>
      <c r="W113" s="59" t="s">
        <v>199</v>
      </c>
      <c r="X113" s="59" t="s">
        <v>190</v>
      </c>
      <c r="Y113" s="59" t="s">
        <v>1208</v>
      </c>
      <c r="Z113" s="59" t="s">
        <v>357</v>
      </c>
      <c r="AA113" s="60">
        <v>1</v>
      </c>
      <c r="AB113" s="60">
        <v>-1</v>
      </c>
      <c r="AC113" s="59" t="s">
        <v>17</v>
      </c>
      <c r="AD113" s="60">
        <v>0</v>
      </c>
      <c r="AE113" s="60">
        <v>1</v>
      </c>
      <c r="AF113" s="60" t="s">
        <v>2993</v>
      </c>
      <c r="AG113" s="60">
        <v>0</v>
      </c>
      <c r="AH113" s="60">
        <v>-1</v>
      </c>
      <c r="AI113" s="60">
        <v>0</v>
      </c>
      <c r="AJ113" s="60">
        <v>1</v>
      </c>
      <c r="AK113" s="60">
        <v>1</v>
      </c>
      <c r="AL113" s="60">
        <v>0</v>
      </c>
      <c r="AM113" s="59" t="s">
        <v>95</v>
      </c>
      <c r="AN113" s="59">
        <v>1</v>
      </c>
      <c r="AO113" s="243">
        <f t="shared" si="55"/>
        <v>112</v>
      </c>
      <c r="AP113" s="244">
        <f t="shared" si="56"/>
        <v>180</v>
      </c>
      <c r="AQ113" s="244">
        <f t="shared" si="57"/>
        <v>300</v>
      </c>
      <c r="AR113" s="244">
        <f t="shared" si="58"/>
        <v>360</v>
      </c>
      <c r="AS113" s="245">
        <v>450</v>
      </c>
      <c r="AT113">
        <f t="shared" si="59"/>
        <v>57</v>
      </c>
      <c r="AU113">
        <f t="shared" si="60"/>
        <v>6</v>
      </c>
      <c r="AV113">
        <f t="shared" si="61"/>
        <v>81</v>
      </c>
    </row>
    <row r="114" spans="2:48" x14ac:dyDescent="0.3">
      <c r="B114" s="59" t="s">
        <v>4941</v>
      </c>
      <c r="C114">
        <v>1</v>
      </c>
      <c r="D114" t="s">
        <v>552</v>
      </c>
      <c r="E114">
        <f t="shared" si="40"/>
        <v>16</v>
      </c>
      <c r="F114">
        <v>4</v>
      </c>
      <c r="G114" t="s">
        <v>552</v>
      </c>
      <c r="H114">
        <f t="shared" si="41"/>
        <v>19</v>
      </c>
      <c r="I114">
        <v>2</v>
      </c>
      <c r="J114" t="s">
        <v>552</v>
      </c>
      <c r="K114">
        <f t="shared" si="42"/>
        <v>17</v>
      </c>
      <c r="L114">
        <v>5</v>
      </c>
      <c r="M114" t="s">
        <v>552</v>
      </c>
      <c r="N114">
        <f t="shared" si="43"/>
        <v>20</v>
      </c>
      <c r="O114">
        <v>4</v>
      </c>
      <c r="P114" t="s">
        <v>552</v>
      </c>
      <c r="Q114">
        <f t="shared" si="44"/>
        <v>19</v>
      </c>
      <c r="R114">
        <v>2</v>
      </c>
      <c r="S114" t="s">
        <v>552</v>
      </c>
      <c r="T114">
        <f t="shared" si="45"/>
        <v>17</v>
      </c>
      <c r="U114" t="s">
        <v>3674</v>
      </c>
      <c r="V114" t="s">
        <v>3676</v>
      </c>
      <c r="W114" s="59" t="s">
        <v>199</v>
      </c>
      <c r="X114" s="59" t="s">
        <v>193</v>
      </c>
      <c r="Y114" s="59" t="s">
        <v>1207</v>
      </c>
      <c r="Z114" s="59" t="s">
        <v>357</v>
      </c>
      <c r="AA114" s="60">
        <v>1</v>
      </c>
      <c r="AB114" s="60">
        <v>1</v>
      </c>
      <c r="AC114" s="59" t="s">
        <v>2999</v>
      </c>
      <c r="AD114" s="60">
        <v>1</v>
      </c>
      <c r="AE114" s="60">
        <v>1</v>
      </c>
      <c r="AF114" s="60" t="s">
        <v>2993</v>
      </c>
      <c r="AG114" s="60">
        <v>0</v>
      </c>
      <c r="AH114" s="60">
        <v>0</v>
      </c>
      <c r="AI114" s="60">
        <v>0</v>
      </c>
      <c r="AJ114" s="60">
        <v>0</v>
      </c>
      <c r="AK114" s="60">
        <v>0</v>
      </c>
      <c r="AL114" s="60">
        <v>0</v>
      </c>
      <c r="AM114" s="59" t="s">
        <v>95</v>
      </c>
      <c r="AN114" s="59">
        <v>0</v>
      </c>
      <c r="AO114" s="243">
        <f t="shared" si="55"/>
        <v>28</v>
      </c>
      <c r="AP114" s="244">
        <f t="shared" si="56"/>
        <v>44</v>
      </c>
      <c r="AQ114" s="244">
        <f t="shared" si="57"/>
        <v>74</v>
      </c>
      <c r="AR114" s="244">
        <f t="shared" si="58"/>
        <v>89</v>
      </c>
      <c r="AS114" s="245">
        <v>112</v>
      </c>
      <c r="AT114">
        <f t="shared" si="59"/>
        <v>18</v>
      </c>
      <c r="AU114">
        <f t="shared" ref="AU114:AU115" si="65">IF(D114="3k6",3,IF(D114="2k6",2,1))+IF(M114="3k6",3,IF(M114="2k6",2,1))+IF(J114="3k6",3,IF(J114="2k6",2,1))+IF(G114="3k6",3,IF(G114="2k6",2,1))+IF(P114="3k6",3,IF(P114="2k6",2,1))+IF(S114="3k6",3,IF(S114="2k6",2,1))</f>
        <v>12</v>
      </c>
      <c r="AV114">
        <f t="shared" ref="AV114:AV115" si="66">AT114+AU114*4</f>
        <v>66</v>
      </c>
    </row>
    <row r="115" spans="2:48" x14ac:dyDescent="0.3">
      <c r="B115" s="59" t="s">
        <v>4942</v>
      </c>
      <c r="C115">
        <v>0</v>
      </c>
      <c r="D115" t="s">
        <v>552</v>
      </c>
      <c r="E115">
        <f t="shared" si="40"/>
        <v>15</v>
      </c>
      <c r="F115">
        <v>4</v>
      </c>
      <c r="G115" t="s">
        <v>552</v>
      </c>
      <c r="H115">
        <f t="shared" si="41"/>
        <v>19</v>
      </c>
      <c r="I115">
        <v>2</v>
      </c>
      <c r="J115" t="s">
        <v>552</v>
      </c>
      <c r="K115">
        <f t="shared" si="42"/>
        <v>17</v>
      </c>
      <c r="L115">
        <v>5</v>
      </c>
      <c r="M115" t="s">
        <v>552</v>
      </c>
      <c r="N115">
        <f t="shared" si="43"/>
        <v>20</v>
      </c>
      <c r="O115">
        <v>4</v>
      </c>
      <c r="P115" t="s">
        <v>552</v>
      </c>
      <c r="Q115">
        <f t="shared" si="44"/>
        <v>19</v>
      </c>
      <c r="R115">
        <v>3</v>
      </c>
      <c r="S115" t="s">
        <v>552</v>
      </c>
      <c r="T115">
        <f t="shared" si="45"/>
        <v>18</v>
      </c>
      <c r="U115" t="s">
        <v>3674</v>
      </c>
      <c r="V115" t="s">
        <v>3676</v>
      </c>
      <c r="W115" s="59" t="s">
        <v>199</v>
      </c>
      <c r="X115" s="59" t="s">
        <v>193</v>
      </c>
      <c r="Y115" s="59" t="s">
        <v>1207</v>
      </c>
      <c r="Z115" s="59" t="s">
        <v>357</v>
      </c>
      <c r="AA115" s="60">
        <v>1</v>
      </c>
      <c r="AB115" s="60">
        <v>1</v>
      </c>
      <c r="AC115" s="59" t="s">
        <v>2999</v>
      </c>
      <c r="AD115" s="60">
        <v>1</v>
      </c>
      <c r="AE115" s="60">
        <v>1</v>
      </c>
      <c r="AF115" s="60" t="s">
        <v>2993</v>
      </c>
      <c r="AG115" s="60">
        <v>0</v>
      </c>
      <c r="AH115" s="60">
        <v>0</v>
      </c>
      <c r="AI115" s="60">
        <v>0</v>
      </c>
      <c r="AJ115" s="60">
        <v>0</v>
      </c>
      <c r="AK115" s="60">
        <v>0</v>
      </c>
      <c r="AL115" s="60">
        <v>0</v>
      </c>
      <c r="AM115" s="59" t="s">
        <v>95</v>
      </c>
      <c r="AN115" s="59">
        <v>0</v>
      </c>
      <c r="AO115" s="243">
        <f t="shared" si="55"/>
        <v>28</v>
      </c>
      <c r="AP115" s="244">
        <f t="shared" si="56"/>
        <v>44</v>
      </c>
      <c r="AQ115" s="244">
        <f t="shared" si="57"/>
        <v>74</v>
      </c>
      <c r="AR115" s="244">
        <f t="shared" si="58"/>
        <v>89</v>
      </c>
      <c r="AS115" s="245">
        <v>112</v>
      </c>
      <c r="AT115">
        <f t="shared" si="59"/>
        <v>18</v>
      </c>
      <c r="AU115">
        <f t="shared" si="65"/>
        <v>12</v>
      </c>
      <c r="AV115">
        <f t="shared" si="66"/>
        <v>66</v>
      </c>
    </row>
    <row r="116" spans="2:48" x14ac:dyDescent="0.3">
      <c r="B116" s="59" t="s">
        <v>3747</v>
      </c>
      <c r="C116">
        <v>0</v>
      </c>
      <c r="D116" t="s">
        <v>553</v>
      </c>
      <c r="E116">
        <f t="shared" si="40"/>
        <v>9</v>
      </c>
      <c r="F116">
        <v>17</v>
      </c>
      <c r="G116" t="s">
        <v>553</v>
      </c>
      <c r="H116">
        <f t="shared" si="41"/>
        <v>26</v>
      </c>
      <c r="I116">
        <v>10</v>
      </c>
      <c r="J116" t="s">
        <v>553</v>
      </c>
      <c r="K116">
        <f t="shared" si="42"/>
        <v>19</v>
      </c>
      <c r="L116">
        <v>9</v>
      </c>
      <c r="M116" t="s">
        <v>553</v>
      </c>
      <c r="N116">
        <f t="shared" si="43"/>
        <v>18</v>
      </c>
      <c r="O116">
        <v>7</v>
      </c>
      <c r="P116" t="s">
        <v>553</v>
      </c>
      <c r="Q116">
        <f t="shared" si="44"/>
        <v>16</v>
      </c>
      <c r="R116">
        <v>7</v>
      </c>
      <c r="S116" t="s">
        <v>553</v>
      </c>
      <c r="T116">
        <f t="shared" si="45"/>
        <v>16</v>
      </c>
      <c r="U116" t="s">
        <v>3748</v>
      </c>
      <c r="V116" t="s">
        <v>3749</v>
      </c>
      <c r="W116" s="59" t="s">
        <v>295</v>
      </c>
      <c r="X116" s="59" t="s">
        <v>186</v>
      </c>
      <c r="Y116" s="59" t="s">
        <v>1205</v>
      </c>
      <c r="Z116" s="59" t="s">
        <v>357</v>
      </c>
      <c r="AA116" s="573">
        <v>0</v>
      </c>
      <c r="AB116" s="573">
        <v>-2</v>
      </c>
      <c r="AC116" s="59" t="s">
        <v>17</v>
      </c>
      <c r="AD116" s="60">
        <v>0</v>
      </c>
      <c r="AE116" s="60">
        <v>1</v>
      </c>
      <c r="AF116" s="60" t="s">
        <v>2993</v>
      </c>
      <c r="AG116" s="60">
        <v>0</v>
      </c>
      <c r="AH116" s="60">
        <v>-1</v>
      </c>
      <c r="AI116" s="60">
        <v>0</v>
      </c>
      <c r="AJ116" s="60">
        <v>3</v>
      </c>
      <c r="AK116" s="60">
        <v>0</v>
      </c>
      <c r="AL116" s="60">
        <v>0</v>
      </c>
      <c r="AM116" s="59" t="s">
        <v>260</v>
      </c>
      <c r="AN116" s="59">
        <v>0</v>
      </c>
      <c r="AO116" s="243">
        <f t="shared" si="55"/>
        <v>52</v>
      </c>
      <c r="AP116" s="244">
        <f t="shared" si="56"/>
        <v>84</v>
      </c>
      <c r="AQ116" s="244">
        <f t="shared" si="57"/>
        <v>140</v>
      </c>
      <c r="AR116" s="244">
        <f t="shared" si="58"/>
        <v>168</v>
      </c>
      <c r="AS116" s="245">
        <v>210</v>
      </c>
      <c r="AT116">
        <f t="shared" si="59"/>
        <v>50</v>
      </c>
      <c r="AU116">
        <f t="shared" si="60"/>
        <v>6</v>
      </c>
      <c r="AV116">
        <f t="shared" si="61"/>
        <v>74</v>
      </c>
    </row>
    <row r="117" spans="2:48" x14ac:dyDescent="0.3">
      <c r="B117" s="59" t="s">
        <v>4709</v>
      </c>
      <c r="C117">
        <v>3</v>
      </c>
      <c r="D117" t="s">
        <v>553</v>
      </c>
      <c r="E117">
        <f t="shared" si="40"/>
        <v>12</v>
      </c>
      <c r="F117">
        <v>16</v>
      </c>
      <c r="G117" t="s">
        <v>553</v>
      </c>
      <c r="H117">
        <f t="shared" si="41"/>
        <v>25</v>
      </c>
      <c r="I117">
        <v>12</v>
      </c>
      <c r="J117" t="s">
        <v>553</v>
      </c>
      <c r="K117">
        <f t="shared" si="42"/>
        <v>21</v>
      </c>
      <c r="L117">
        <v>10</v>
      </c>
      <c r="M117" t="s">
        <v>553</v>
      </c>
      <c r="N117">
        <f t="shared" si="43"/>
        <v>19</v>
      </c>
      <c r="O117">
        <v>13</v>
      </c>
      <c r="P117" t="s">
        <v>553</v>
      </c>
      <c r="Q117">
        <f t="shared" si="44"/>
        <v>22</v>
      </c>
      <c r="R117">
        <v>18</v>
      </c>
      <c r="S117" t="s">
        <v>553</v>
      </c>
      <c r="T117">
        <f t="shared" si="45"/>
        <v>27</v>
      </c>
      <c r="U117" t="s">
        <v>4710</v>
      </c>
      <c r="V117" t="s">
        <v>4711</v>
      </c>
      <c r="W117" s="59" t="s">
        <v>296</v>
      </c>
      <c r="X117" s="59" t="s">
        <v>186</v>
      </c>
      <c r="Y117" s="59" t="s">
        <v>1205</v>
      </c>
      <c r="Z117" s="59" t="s">
        <v>357</v>
      </c>
      <c r="AA117" s="60">
        <v>1</v>
      </c>
      <c r="AB117" s="60">
        <v>-1</v>
      </c>
      <c r="AC117" s="59" t="s">
        <v>17</v>
      </c>
      <c r="AD117" s="60">
        <v>0</v>
      </c>
      <c r="AE117" s="60">
        <v>1</v>
      </c>
      <c r="AF117" s="60" t="s">
        <v>2993</v>
      </c>
      <c r="AG117" s="60">
        <v>0</v>
      </c>
      <c r="AH117" s="60">
        <v>-1</v>
      </c>
      <c r="AI117" s="60">
        <v>0</v>
      </c>
      <c r="AJ117" s="60">
        <v>2</v>
      </c>
      <c r="AK117" s="60">
        <v>0</v>
      </c>
      <c r="AL117" s="60">
        <v>0</v>
      </c>
      <c r="AM117" s="59" t="s">
        <v>95</v>
      </c>
      <c r="AN117" s="59">
        <v>0</v>
      </c>
      <c r="AO117" s="243">
        <v>33</v>
      </c>
      <c r="AP117" s="244">
        <v>333</v>
      </c>
      <c r="AQ117" s="244">
        <v>999</v>
      </c>
      <c r="AR117" s="244">
        <v>9999</v>
      </c>
      <c r="AS117" s="245">
        <v>99999</v>
      </c>
      <c r="AT117">
        <f t="shared" si="59"/>
        <v>72</v>
      </c>
      <c r="AU117">
        <f t="shared" si="60"/>
        <v>6</v>
      </c>
      <c r="AV117">
        <f t="shared" si="61"/>
        <v>96</v>
      </c>
    </row>
    <row r="118" spans="2:48" x14ac:dyDescent="0.3">
      <c r="B118" s="59" t="s">
        <v>1009</v>
      </c>
      <c r="C118">
        <v>9</v>
      </c>
      <c r="D118" t="s">
        <v>553</v>
      </c>
      <c r="E118">
        <f t="shared" si="40"/>
        <v>18</v>
      </c>
      <c r="F118">
        <v>8</v>
      </c>
      <c r="G118" t="s">
        <v>553</v>
      </c>
      <c r="H118">
        <f t="shared" si="41"/>
        <v>17</v>
      </c>
      <c r="I118">
        <v>6</v>
      </c>
      <c r="J118" t="s">
        <v>553</v>
      </c>
      <c r="K118">
        <f t="shared" si="42"/>
        <v>15</v>
      </c>
      <c r="L118">
        <v>5</v>
      </c>
      <c r="M118" t="s">
        <v>553</v>
      </c>
      <c r="N118">
        <f t="shared" si="43"/>
        <v>14</v>
      </c>
      <c r="O118">
        <v>7</v>
      </c>
      <c r="P118" t="s">
        <v>553</v>
      </c>
      <c r="Q118">
        <f t="shared" si="44"/>
        <v>16</v>
      </c>
      <c r="R118">
        <v>0</v>
      </c>
      <c r="S118" t="s">
        <v>552</v>
      </c>
      <c r="T118">
        <f t="shared" si="45"/>
        <v>15</v>
      </c>
      <c r="U118" t="s">
        <v>3750</v>
      </c>
      <c r="V118" t="s">
        <v>3661</v>
      </c>
      <c r="W118" s="59" t="s">
        <v>294</v>
      </c>
      <c r="X118" s="59" t="s">
        <v>190</v>
      </c>
      <c r="Y118" s="59" t="s">
        <v>1207</v>
      </c>
      <c r="Z118" s="572" t="s">
        <v>2996</v>
      </c>
      <c r="AA118" s="573">
        <v>4</v>
      </c>
      <c r="AB118" s="573">
        <v>2</v>
      </c>
      <c r="AC118" s="59" t="s">
        <v>17</v>
      </c>
      <c r="AD118" s="60">
        <v>0</v>
      </c>
      <c r="AE118" s="60">
        <v>1</v>
      </c>
      <c r="AF118" s="60" t="s">
        <v>2993</v>
      </c>
      <c r="AG118" s="573">
        <v>3</v>
      </c>
      <c r="AH118" s="573">
        <v>3</v>
      </c>
      <c r="AI118" s="60">
        <v>0</v>
      </c>
      <c r="AJ118" s="60">
        <v>0</v>
      </c>
      <c r="AK118" s="60">
        <v>0</v>
      </c>
      <c r="AL118" s="60">
        <v>1</v>
      </c>
      <c r="AM118" s="59" t="s">
        <v>95</v>
      </c>
      <c r="AN118" s="59">
        <v>1</v>
      </c>
      <c r="AO118" s="243">
        <f t="shared" si="55"/>
        <v>21</v>
      </c>
      <c r="AP118" s="244">
        <f t="shared" si="56"/>
        <v>34</v>
      </c>
      <c r="AQ118" s="244">
        <f t="shared" si="57"/>
        <v>56</v>
      </c>
      <c r="AR118" s="244">
        <f t="shared" si="58"/>
        <v>68</v>
      </c>
      <c r="AS118" s="245">
        <v>85</v>
      </c>
      <c r="AT118">
        <f t="shared" si="59"/>
        <v>35</v>
      </c>
      <c r="AU118">
        <f t="shared" si="60"/>
        <v>7</v>
      </c>
      <c r="AV118">
        <f t="shared" si="61"/>
        <v>63</v>
      </c>
    </row>
    <row r="119" spans="2:48" x14ac:dyDescent="0.3">
      <c r="B119" s="59" t="s">
        <v>231</v>
      </c>
      <c r="C119">
        <v>9</v>
      </c>
      <c r="D119" t="s">
        <v>553</v>
      </c>
      <c r="E119">
        <f t="shared" si="40"/>
        <v>18</v>
      </c>
      <c r="F119">
        <v>8</v>
      </c>
      <c r="G119" t="s">
        <v>553</v>
      </c>
      <c r="H119">
        <f t="shared" si="41"/>
        <v>17</v>
      </c>
      <c r="I119">
        <v>6</v>
      </c>
      <c r="J119" t="s">
        <v>553</v>
      </c>
      <c r="K119">
        <f t="shared" si="42"/>
        <v>15</v>
      </c>
      <c r="L119">
        <v>5</v>
      </c>
      <c r="M119" t="s">
        <v>553</v>
      </c>
      <c r="N119">
        <f t="shared" si="43"/>
        <v>14</v>
      </c>
      <c r="O119">
        <v>7</v>
      </c>
      <c r="P119" t="s">
        <v>553</v>
      </c>
      <c r="Q119">
        <f t="shared" si="44"/>
        <v>16</v>
      </c>
      <c r="R119">
        <v>0</v>
      </c>
      <c r="S119" t="s">
        <v>552</v>
      </c>
      <c r="T119">
        <f t="shared" si="45"/>
        <v>15</v>
      </c>
      <c r="U119" t="s">
        <v>3750</v>
      </c>
      <c r="V119" t="s">
        <v>3661</v>
      </c>
      <c r="W119" s="59" t="s">
        <v>294</v>
      </c>
      <c r="X119" s="59" t="s">
        <v>190</v>
      </c>
      <c r="Y119" s="59" t="s">
        <v>1207</v>
      </c>
      <c r="Z119" s="572" t="s">
        <v>2996</v>
      </c>
      <c r="AA119" s="573">
        <v>4</v>
      </c>
      <c r="AB119" s="573">
        <v>2</v>
      </c>
      <c r="AC119" s="59" t="s">
        <v>17</v>
      </c>
      <c r="AD119" s="60">
        <v>0</v>
      </c>
      <c r="AE119" s="60">
        <v>1</v>
      </c>
      <c r="AF119" s="60" t="s">
        <v>2993</v>
      </c>
      <c r="AG119" s="573">
        <v>3</v>
      </c>
      <c r="AH119" s="573">
        <v>3</v>
      </c>
      <c r="AI119" s="60">
        <v>0</v>
      </c>
      <c r="AJ119" s="60">
        <v>0</v>
      </c>
      <c r="AK119" s="60">
        <v>0</v>
      </c>
      <c r="AL119" s="60">
        <v>1</v>
      </c>
      <c r="AM119" s="59" t="s">
        <v>95</v>
      </c>
      <c r="AN119" s="59">
        <v>1</v>
      </c>
      <c r="AO119" s="243">
        <f t="shared" si="55"/>
        <v>21</v>
      </c>
      <c r="AP119" s="244">
        <f t="shared" si="56"/>
        <v>34</v>
      </c>
      <c r="AQ119" s="244">
        <f t="shared" si="57"/>
        <v>56</v>
      </c>
      <c r="AR119" s="244">
        <f t="shared" si="58"/>
        <v>68</v>
      </c>
      <c r="AS119" s="245">
        <v>85</v>
      </c>
      <c r="AT119">
        <f t="shared" si="59"/>
        <v>35</v>
      </c>
      <c r="AU119">
        <f t="shared" si="60"/>
        <v>7</v>
      </c>
      <c r="AV119">
        <f t="shared" si="61"/>
        <v>63</v>
      </c>
    </row>
    <row r="120" spans="2:48" x14ac:dyDescent="0.3">
      <c r="B120" s="59" t="s">
        <v>3751</v>
      </c>
      <c r="C120">
        <v>8</v>
      </c>
      <c r="D120" t="s">
        <v>553</v>
      </c>
      <c r="E120">
        <f t="shared" si="40"/>
        <v>17</v>
      </c>
      <c r="F120">
        <v>9</v>
      </c>
      <c r="G120" t="s">
        <v>553</v>
      </c>
      <c r="H120">
        <f t="shared" si="41"/>
        <v>18</v>
      </c>
      <c r="I120">
        <v>8</v>
      </c>
      <c r="J120" t="s">
        <v>553</v>
      </c>
      <c r="K120">
        <f t="shared" si="42"/>
        <v>17</v>
      </c>
      <c r="L120">
        <v>8</v>
      </c>
      <c r="M120" t="s">
        <v>553</v>
      </c>
      <c r="N120">
        <f t="shared" si="43"/>
        <v>17</v>
      </c>
      <c r="O120">
        <v>9</v>
      </c>
      <c r="P120" t="s">
        <v>553</v>
      </c>
      <c r="Q120">
        <f t="shared" si="44"/>
        <v>18</v>
      </c>
      <c r="R120">
        <v>4</v>
      </c>
      <c r="S120" t="s">
        <v>552</v>
      </c>
      <c r="T120">
        <f t="shared" si="45"/>
        <v>19</v>
      </c>
      <c r="U120" t="s">
        <v>3752</v>
      </c>
      <c r="V120" t="s">
        <v>3666</v>
      </c>
      <c r="W120" s="59" t="s">
        <v>277</v>
      </c>
      <c r="X120" s="59" t="s">
        <v>186</v>
      </c>
      <c r="Y120" s="59" t="s">
        <v>1207</v>
      </c>
      <c r="Z120" s="59" t="s">
        <v>357</v>
      </c>
      <c r="AA120" s="60">
        <v>1</v>
      </c>
      <c r="AB120" s="60">
        <v>-1</v>
      </c>
      <c r="AC120" s="59" t="s">
        <v>17</v>
      </c>
      <c r="AD120" s="60">
        <v>0</v>
      </c>
      <c r="AE120" s="60">
        <v>1</v>
      </c>
      <c r="AF120" s="60" t="s">
        <v>2993</v>
      </c>
      <c r="AG120" s="60">
        <v>0</v>
      </c>
      <c r="AH120" s="60">
        <v>-1</v>
      </c>
      <c r="AI120" s="60">
        <v>0</v>
      </c>
      <c r="AJ120" s="60">
        <v>1</v>
      </c>
      <c r="AK120" s="60">
        <v>0</v>
      </c>
      <c r="AL120" s="60">
        <v>0</v>
      </c>
      <c r="AM120" s="59" t="s">
        <v>95</v>
      </c>
      <c r="AN120" s="59">
        <v>0</v>
      </c>
      <c r="AO120" s="243">
        <f t="shared" si="55"/>
        <v>30</v>
      </c>
      <c r="AP120" s="244">
        <f t="shared" si="56"/>
        <v>48</v>
      </c>
      <c r="AQ120" s="244">
        <f t="shared" si="57"/>
        <v>80</v>
      </c>
      <c r="AR120" s="244">
        <f t="shared" si="58"/>
        <v>96</v>
      </c>
      <c r="AS120" s="245">
        <v>120</v>
      </c>
      <c r="AT120">
        <f t="shared" si="59"/>
        <v>46</v>
      </c>
      <c r="AU120">
        <f t="shared" si="60"/>
        <v>7</v>
      </c>
      <c r="AV120">
        <f t="shared" si="61"/>
        <v>74</v>
      </c>
    </row>
    <row r="121" spans="2:48" x14ac:dyDescent="0.3">
      <c r="B121" s="59" t="s">
        <v>1049</v>
      </c>
      <c r="C121">
        <v>18</v>
      </c>
      <c r="D121" t="s">
        <v>553</v>
      </c>
      <c r="E121">
        <f t="shared" si="40"/>
        <v>27</v>
      </c>
      <c r="F121">
        <v>7</v>
      </c>
      <c r="G121" t="s">
        <v>553</v>
      </c>
      <c r="H121">
        <f t="shared" si="41"/>
        <v>16</v>
      </c>
      <c r="I121">
        <v>3</v>
      </c>
      <c r="J121" t="s">
        <v>553</v>
      </c>
      <c r="K121">
        <f t="shared" si="42"/>
        <v>12</v>
      </c>
      <c r="L121">
        <v>2</v>
      </c>
      <c r="M121" t="s">
        <v>553</v>
      </c>
      <c r="N121">
        <f t="shared" si="43"/>
        <v>11</v>
      </c>
      <c r="O121">
        <v>8</v>
      </c>
      <c r="P121" t="s">
        <v>553</v>
      </c>
      <c r="Q121">
        <f t="shared" si="44"/>
        <v>17</v>
      </c>
      <c r="R121">
        <v>4</v>
      </c>
      <c r="S121" t="s">
        <v>553</v>
      </c>
      <c r="T121">
        <f t="shared" si="45"/>
        <v>13</v>
      </c>
      <c r="U121" t="s">
        <v>3753</v>
      </c>
      <c r="V121" t="s">
        <v>3754</v>
      </c>
      <c r="W121" s="59" t="s">
        <v>199</v>
      </c>
      <c r="X121" s="59" t="s">
        <v>196</v>
      </c>
      <c r="Y121" s="59" t="s">
        <v>1209</v>
      </c>
      <c r="Z121" s="59" t="s">
        <v>357</v>
      </c>
      <c r="AA121" s="573">
        <v>4</v>
      </c>
      <c r="AB121" s="573">
        <v>2</v>
      </c>
      <c r="AC121" s="59" t="s">
        <v>17</v>
      </c>
      <c r="AD121" s="60">
        <v>0</v>
      </c>
      <c r="AE121" s="60">
        <v>1</v>
      </c>
      <c r="AF121" s="60" t="s">
        <v>2993</v>
      </c>
      <c r="AG121" s="60">
        <v>0</v>
      </c>
      <c r="AH121" s="573">
        <v>0</v>
      </c>
      <c r="AI121" s="60">
        <v>0</v>
      </c>
      <c r="AJ121" s="60">
        <v>-2</v>
      </c>
      <c r="AK121" s="60">
        <v>-1</v>
      </c>
      <c r="AL121" s="60">
        <v>0</v>
      </c>
      <c r="AM121" s="59" t="s">
        <v>97</v>
      </c>
      <c r="AN121" s="59">
        <v>6</v>
      </c>
      <c r="AO121" s="243">
        <f t="shared" si="55"/>
        <v>50</v>
      </c>
      <c r="AP121" s="244">
        <f t="shared" si="56"/>
        <v>80</v>
      </c>
      <c r="AQ121" s="244">
        <f t="shared" si="57"/>
        <v>133</v>
      </c>
      <c r="AR121" s="244">
        <f t="shared" si="58"/>
        <v>160</v>
      </c>
      <c r="AS121" s="245">
        <v>200</v>
      </c>
      <c r="AT121">
        <f t="shared" si="59"/>
        <v>42</v>
      </c>
      <c r="AU121">
        <f t="shared" si="60"/>
        <v>6</v>
      </c>
      <c r="AV121">
        <f t="shared" si="61"/>
        <v>66</v>
      </c>
    </row>
    <row r="122" spans="2:48" x14ac:dyDescent="0.3">
      <c r="B122" s="59" t="s">
        <v>1050</v>
      </c>
      <c r="C122">
        <v>17</v>
      </c>
      <c r="D122" t="s">
        <v>553</v>
      </c>
      <c r="E122">
        <f t="shared" si="40"/>
        <v>26</v>
      </c>
      <c r="F122">
        <v>7</v>
      </c>
      <c r="G122" t="s">
        <v>553</v>
      </c>
      <c r="H122">
        <f t="shared" si="41"/>
        <v>16</v>
      </c>
      <c r="I122">
        <v>4</v>
      </c>
      <c r="J122" t="s">
        <v>553</v>
      </c>
      <c r="K122">
        <f t="shared" si="42"/>
        <v>13</v>
      </c>
      <c r="L122">
        <v>2</v>
      </c>
      <c r="M122" t="s">
        <v>553</v>
      </c>
      <c r="N122">
        <f t="shared" si="43"/>
        <v>11</v>
      </c>
      <c r="O122">
        <v>8</v>
      </c>
      <c r="P122" t="s">
        <v>553</v>
      </c>
      <c r="Q122">
        <f t="shared" si="44"/>
        <v>17</v>
      </c>
      <c r="R122">
        <v>4</v>
      </c>
      <c r="S122" t="s">
        <v>553</v>
      </c>
      <c r="T122">
        <f t="shared" si="45"/>
        <v>13</v>
      </c>
      <c r="U122" t="s">
        <v>3753</v>
      </c>
      <c r="V122" t="s">
        <v>3754</v>
      </c>
      <c r="W122" s="59" t="s">
        <v>199</v>
      </c>
      <c r="X122" s="59" t="s">
        <v>196</v>
      </c>
      <c r="Y122" s="59" t="s">
        <v>1209</v>
      </c>
      <c r="Z122" s="59" t="s">
        <v>357</v>
      </c>
      <c r="AA122" s="573">
        <v>4</v>
      </c>
      <c r="AB122" s="573">
        <v>2</v>
      </c>
      <c r="AC122" s="59" t="s">
        <v>17</v>
      </c>
      <c r="AD122" s="60">
        <v>0</v>
      </c>
      <c r="AE122" s="60">
        <v>1</v>
      </c>
      <c r="AF122" s="60" t="s">
        <v>2993</v>
      </c>
      <c r="AG122" s="60">
        <v>0</v>
      </c>
      <c r="AH122" s="573">
        <v>0</v>
      </c>
      <c r="AI122" s="60">
        <v>0</v>
      </c>
      <c r="AJ122" s="60">
        <v>-2</v>
      </c>
      <c r="AK122" s="60">
        <v>-1</v>
      </c>
      <c r="AL122" s="60">
        <v>0</v>
      </c>
      <c r="AM122" s="59" t="s">
        <v>97</v>
      </c>
      <c r="AN122" s="59">
        <v>6</v>
      </c>
      <c r="AO122" s="243">
        <f t="shared" si="55"/>
        <v>50</v>
      </c>
      <c r="AP122" s="244">
        <f t="shared" si="56"/>
        <v>80</v>
      </c>
      <c r="AQ122" s="244">
        <f t="shared" si="57"/>
        <v>133</v>
      </c>
      <c r="AR122" s="244">
        <f t="shared" si="58"/>
        <v>160</v>
      </c>
      <c r="AS122" s="245">
        <v>200</v>
      </c>
      <c r="AT122">
        <f t="shared" si="59"/>
        <v>42</v>
      </c>
      <c r="AU122">
        <f t="shared" si="60"/>
        <v>6</v>
      </c>
      <c r="AV122">
        <f t="shared" si="61"/>
        <v>66</v>
      </c>
    </row>
    <row r="123" spans="2:48" x14ac:dyDescent="0.3">
      <c r="B123" s="59" t="s">
        <v>5018</v>
      </c>
      <c r="C123">
        <v>14</v>
      </c>
      <c r="D123" t="s">
        <v>553</v>
      </c>
      <c r="E123">
        <f t="shared" si="40"/>
        <v>23</v>
      </c>
      <c r="F123">
        <v>12</v>
      </c>
      <c r="G123" t="s">
        <v>553</v>
      </c>
      <c r="H123">
        <f t="shared" si="41"/>
        <v>21</v>
      </c>
      <c r="I123">
        <v>5</v>
      </c>
      <c r="J123" t="s">
        <v>553</v>
      </c>
      <c r="K123">
        <f t="shared" si="42"/>
        <v>14</v>
      </c>
      <c r="L123">
        <v>2</v>
      </c>
      <c r="M123" t="s">
        <v>553</v>
      </c>
      <c r="N123">
        <f t="shared" si="43"/>
        <v>11</v>
      </c>
      <c r="O123">
        <v>7</v>
      </c>
      <c r="P123" t="s">
        <v>553</v>
      </c>
      <c r="Q123">
        <f t="shared" si="44"/>
        <v>16</v>
      </c>
      <c r="R123">
        <v>4</v>
      </c>
      <c r="S123" t="s">
        <v>553</v>
      </c>
      <c r="T123">
        <f t="shared" si="45"/>
        <v>13</v>
      </c>
      <c r="U123" t="s">
        <v>5020</v>
      </c>
      <c r="V123" t="s">
        <v>5021</v>
      </c>
      <c r="W123" s="59" t="s">
        <v>199</v>
      </c>
      <c r="X123" s="59" t="s">
        <v>2478</v>
      </c>
      <c r="Y123" s="59" t="s">
        <v>1203</v>
      </c>
      <c r="Z123" s="59" t="s">
        <v>357</v>
      </c>
      <c r="AA123" s="60">
        <v>1</v>
      </c>
      <c r="AB123" s="60">
        <v>1</v>
      </c>
      <c r="AC123" s="59" t="s">
        <v>17</v>
      </c>
      <c r="AD123" s="60">
        <v>0</v>
      </c>
      <c r="AE123" s="60">
        <v>1</v>
      </c>
      <c r="AF123" s="60" t="s">
        <v>2993</v>
      </c>
      <c r="AG123" s="573">
        <v>5</v>
      </c>
      <c r="AH123" s="573">
        <v>5</v>
      </c>
      <c r="AI123" s="60">
        <v>0</v>
      </c>
      <c r="AJ123" s="60">
        <v>0</v>
      </c>
      <c r="AK123" s="60">
        <v>0</v>
      </c>
      <c r="AL123" s="60">
        <v>0</v>
      </c>
      <c r="AM123" s="59" t="s">
        <v>96</v>
      </c>
      <c r="AN123" s="59">
        <v>2</v>
      </c>
      <c r="AO123" s="243">
        <f t="shared" si="55"/>
        <v>19</v>
      </c>
      <c r="AP123" s="244">
        <f t="shared" si="56"/>
        <v>31</v>
      </c>
      <c r="AQ123" s="244">
        <f t="shared" si="57"/>
        <v>52</v>
      </c>
      <c r="AR123" s="244">
        <f t="shared" si="58"/>
        <v>62</v>
      </c>
      <c r="AS123" s="245">
        <v>78</v>
      </c>
      <c r="AT123">
        <f t="shared" si="59"/>
        <v>44</v>
      </c>
      <c r="AU123">
        <f t="shared" ref="AU123:AU124" si="67">IF(D123="3k6",3,IF(D123="2k6",2,1))+IF(M123="3k6",3,IF(M123="2k6",2,1))+IF(J123="3k6",3,IF(J123="2k6",2,1))+IF(G123="3k6",3,IF(G123="2k6",2,1))+IF(P123="3k6",3,IF(P123="2k6",2,1))+IF(S123="3k6",3,IF(S123="2k6",2,1))</f>
        <v>6</v>
      </c>
      <c r="AV123">
        <f t="shared" ref="AV123:AV124" si="68">AT123+AU123*4</f>
        <v>68</v>
      </c>
    </row>
    <row r="124" spans="2:48" x14ac:dyDescent="0.3">
      <c r="B124" s="59" t="s">
        <v>5019</v>
      </c>
      <c r="C124">
        <v>13</v>
      </c>
      <c r="D124" t="s">
        <v>553</v>
      </c>
      <c r="E124">
        <f t="shared" si="40"/>
        <v>22</v>
      </c>
      <c r="F124">
        <v>13</v>
      </c>
      <c r="G124" t="s">
        <v>553</v>
      </c>
      <c r="H124">
        <f t="shared" si="41"/>
        <v>22</v>
      </c>
      <c r="I124">
        <v>5</v>
      </c>
      <c r="J124" t="s">
        <v>553</v>
      </c>
      <c r="K124">
        <f t="shared" si="42"/>
        <v>14</v>
      </c>
      <c r="L124">
        <v>2</v>
      </c>
      <c r="M124" t="s">
        <v>553</v>
      </c>
      <c r="N124">
        <f t="shared" si="43"/>
        <v>11</v>
      </c>
      <c r="O124">
        <v>7</v>
      </c>
      <c r="P124" t="s">
        <v>553</v>
      </c>
      <c r="Q124">
        <f t="shared" si="44"/>
        <v>16</v>
      </c>
      <c r="R124">
        <v>4</v>
      </c>
      <c r="S124" t="s">
        <v>553</v>
      </c>
      <c r="T124">
        <f t="shared" si="45"/>
        <v>13</v>
      </c>
      <c r="U124" t="s">
        <v>5020</v>
      </c>
      <c r="V124" t="s">
        <v>5021</v>
      </c>
      <c r="W124" s="59" t="s">
        <v>199</v>
      </c>
      <c r="X124" s="59" t="s">
        <v>2478</v>
      </c>
      <c r="Y124" s="59" t="s">
        <v>1203</v>
      </c>
      <c r="Z124" s="59" t="s">
        <v>357</v>
      </c>
      <c r="AA124" s="60">
        <v>1</v>
      </c>
      <c r="AB124" s="60">
        <v>1</v>
      </c>
      <c r="AC124" s="59" t="s">
        <v>17</v>
      </c>
      <c r="AD124" s="60">
        <v>0</v>
      </c>
      <c r="AE124" s="60">
        <v>1</v>
      </c>
      <c r="AF124" s="60" t="s">
        <v>2993</v>
      </c>
      <c r="AG124" s="573">
        <v>5</v>
      </c>
      <c r="AH124" s="573">
        <v>5</v>
      </c>
      <c r="AI124" s="60">
        <v>0</v>
      </c>
      <c r="AJ124" s="60">
        <v>0</v>
      </c>
      <c r="AK124" s="60">
        <v>0</v>
      </c>
      <c r="AL124" s="60">
        <v>0</v>
      </c>
      <c r="AM124" s="59" t="s">
        <v>96</v>
      </c>
      <c r="AN124" s="59">
        <v>2</v>
      </c>
      <c r="AO124" s="243">
        <f t="shared" si="55"/>
        <v>19</v>
      </c>
      <c r="AP124" s="244">
        <f t="shared" si="56"/>
        <v>31</v>
      </c>
      <c r="AQ124" s="244">
        <f t="shared" si="57"/>
        <v>52</v>
      </c>
      <c r="AR124" s="244">
        <f t="shared" si="58"/>
        <v>62</v>
      </c>
      <c r="AS124" s="245">
        <v>78</v>
      </c>
      <c r="AT124">
        <f t="shared" si="59"/>
        <v>44</v>
      </c>
      <c r="AU124">
        <f t="shared" si="67"/>
        <v>6</v>
      </c>
      <c r="AV124">
        <f t="shared" si="68"/>
        <v>68</v>
      </c>
    </row>
    <row r="125" spans="2:48" x14ac:dyDescent="0.3">
      <c r="B125" s="59"/>
      <c r="C125" t="s">
        <v>199</v>
      </c>
      <c r="D125" t="s">
        <v>199</v>
      </c>
      <c r="E125" t="s">
        <v>199</v>
      </c>
      <c r="F125" t="s">
        <v>199</v>
      </c>
      <c r="G125" t="s">
        <v>199</v>
      </c>
      <c r="H125" t="s">
        <v>199</v>
      </c>
      <c r="I125" t="s">
        <v>199</v>
      </c>
      <c r="J125" t="s">
        <v>199</v>
      </c>
      <c r="K125" t="s">
        <v>199</v>
      </c>
      <c r="L125" t="s">
        <v>199</v>
      </c>
      <c r="M125" t="s">
        <v>199</v>
      </c>
      <c r="N125" t="s">
        <v>199</v>
      </c>
      <c r="O125" t="s">
        <v>199</v>
      </c>
      <c r="P125" t="s">
        <v>199</v>
      </c>
      <c r="Q125" t="s">
        <v>199</v>
      </c>
      <c r="R125" t="s">
        <v>199</v>
      </c>
      <c r="S125" t="s">
        <v>199</v>
      </c>
      <c r="T125" t="s">
        <v>199</v>
      </c>
      <c r="U125" t="s">
        <v>199</v>
      </c>
      <c r="V125" t="s">
        <v>199</v>
      </c>
      <c r="W125" s="59" t="s">
        <v>199</v>
      </c>
      <c r="X125" s="59" t="s">
        <v>199</v>
      </c>
      <c r="Y125" s="59" t="s">
        <v>199</v>
      </c>
      <c r="Z125" s="59" t="s">
        <v>357</v>
      </c>
      <c r="AA125" s="60">
        <v>1</v>
      </c>
      <c r="AB125" s="60">
        <v>-1</v>
      </c>
      <c r="AC125" s="59" t="s">
        <v>17</v>
      </c>
      <c r="AD125" s="60">
        <v>0</v>
      </c>
      <c r="AE125" s="60">
        <v>1</v>
      </c>
      <c r="AF125" s="60" t="s">
        <v>2993</v>
      </c>
      <c r="AG125" s="60">
        <v>0</v>
      </c>
      <c r="AH125" s="60">
        <v>-1</v>
      </c>
      <c r="AI125" s="60" t="s">
        <v>199</v>
      </c>
      <c r="AJ125" s="60" t="s">
        <v>199</v>
      </c>
      <c r="AK125" s="60" t="s">
        <v>199</v>
      </c>
      <c r="AL125" s="60" t="s">
        <v>199</v>
      </c>
      <c r="AM125" s="59" t="s">
        <v>199</v>
      </c>
      <c r="AN125" s="59" t="s">
        <v>199</v>
      </c>
      <c r="AO125" s="243" t="s">
        <v>199</v>
      </c>
      <c r="AP125" s="244" t="s">
        <v>199</v>
      </c>
      <c r="AQ125" s="244" t="s">
        <v>199</v>
      </c>
      <c r="AR125" s="244" t="s">
        <v>199</v>
      </c>
      <c r="AS125" s="245" t="s">
        <v>199</v>
      </c>
    </row>
    <row r="126" spans="2:48" x14ac:dyDescent="0.3">
      <c r="AO126" s="161">
        <f>LOOKUP('2-Vzhled a charakter'!$B$2,$B$4:$B$125,AO4:AO125)</f>
        <v>33</v>
      </c>
      <c r="AP126" s="161">
        <f>LOOKUP('2-Vzhled a charakter'!$B$2,$B$4:$B$125,AP4:AP125)</f>
        <v>54</v>
      </c>
      <c r="AQ126" s="161">
        <f>LOOKUP('2-Vzhled a charakter'!$B$2,$B$4:$B$125,AQ4:AQ125)</f>
        <v>90</v>
      </c>
      <c r="AR126" s="161">
        <f>LOOKUP('2-Vzhled a charakter'!$B$2,$B$4:$B$125,AR4:AR125)</f>
        <v>108</v>
      </c>
      <c r="AS126" s="161">
        <f>LOOKUP('2-Vzhled a charakter'!$B$2,$B$4:$B$125,AS4:AS125)</f>
        <v>135</v>
      </c>
    </row>
    <row r="128" spans="2:48" x14ac:dyDescent="0.3">
      <c r="B128" s="59" t="s">
        <v>169</v>
      </c>
    </row>
    <row r="129" spans="2:2" x14ac:dyDescent="0.3">
      <c r="B129" t="s">
        <v>1203</v>
      </c>
    </row>
    <row r="130" spans="2:2" x14ac:dyDescent="0.3">
      <c r="B130" t="s">
        <v>1204</v>
      </c>
    </row>
    <row r="131" spans="2:2" x14ac:dyDescent="0.3">
      <c r="B131" t="s">
        <v>1205</v>
      </c>
    </row>
    <row r="132" spans="2:2" x14ac:dyDescent="0.3">
      <c r="B132" t="s">
        <v>1206</v>
      </c>
    </row>
    <row r="133" spans="2:2" x14ac:dyDescent="0.3">
      <c r="B133" t="s">
        <v>1207</v>
      </c>
    </row>
    <row r="134" spans="2:2" x14ac:dyDescent="0.3">
      <c r="B134" t="s">
        <v>1208</v>
      </c>
    </row>
    <row r="135" spans="2:2" x14ac:dyDescent="0.3">
      <c r="B135" t="s">
        <v>1209</v>
      </c>
    </row>
    <row r="136" spans="2:2" x14ac:dyDescent="0.3">
      <c r="B136" t="s">
        <v>1210</v>
      </c>
    </row>
    <row r="137" spans="2:2" x14ac:dyDescent="0.3">
      <c r="B137" t="s">
        <v>1211</v>
      </c>
    </row>
  </sheetData>
  <sortState ref="B17:AV25">
    <sortCondition ref="B17:B25"/>
  </sortState>
  <conditionalFormatting sqref="D5 G5 J5 M5 P5 S5 D30:D34 G30:G34 J30:J34 M30:M34 P30:P34 S30:S34 D69:D70 G69:G70 J69:J70 M69:M70 P69:P70 S69:S70 G7 J7:J9 M7:M9 P7 S7 G9 S9 P9 G14:G28 J14:J28 M14:M28 P14:P28 S14:S28 D38:D39 G38:G39 J39 M39 P38:P39 S39 D42:D66 G42:G66 J42:J66 M42:M66 P42:P66 S42:S66 D73:D125 G73:G125 D7:D28 J73:J125 M73:M125 P73:P125 S73:S125">
    <cfRule type="cellIs" dxfId="368" priority="65" operator="notEqual">
      <formula>"1k6"</formula>
    </cfRule>
  </conditionalFormatting>
  <conditionalFormatting sqref="D6 G6 J6 M6 P6 S6">
    <cfRule type="cellIs" dxfId="367" priority="62" operator="notEqual">
      <formula>"1k6"</formula>
    </cfRule>
  </conditionalFormatting>
  <conditionalFormatting sqref="D29 G29 J29 M29 P29 S29">
    <cfRule type="cellIs" dxfId="366" priority="61" operator="notEqual">
      <formula>"1k6"</formula>
    </cfRule>
  </conditionalFormatting>
  <conditionalFormatting sqref="D37">
    <cfRule type="cellIs" dxfId="365" priority="59" operator="notEqual">
      <formula>"1k6"</formula>
    </cfRule>
  </conditionalFormatting>
  <conditionalFormatting sqref="P37 G37">
    <cfRule type="cellIs" dxfId="364" priority="58" operator="notEqual">
      <formula>"1k6"</formula>
    </cfRule>
  </conditionalFormatting>
  <conditionalFormatting sqref="D71:D72 G71:G72 J71:J72 M71:M72 P71:P72 S71:S72">
    <cfRule type="cellIs" dxfId="363" priority="57" operator="notEqual">
      <formula>"1k6"</formula>
    </cfRule>
  </conditionalFormatting>
  <conditionalFormatting sqref="D67 G67 J67 M67 P67 S67">
    <cfRule type="cellIs" dxfId="362" priority="56" operator="notEqual">
      <formula>"1k6"</formula>
    </cfRule>
  </conditionalFormatting>
  <conditionalFormatting sqref="D68 G68 J68 M68 P68 S68">
    <cfRule type="cellIs" dxfId="361" priority="55" operator="notEqual">
      <formula>"1k6"</formula>
    </cfRule>
  </conditionalFormatting>
  <conditionalFormatting sqref="G10:G11">
    <cfRule type="cellIs" dxfId="360" priority="49" operator="notEqual">
      <formula>"1k6"</formula>
    </cfRule>
  </conditionalFormatting>
  <conditionalFormatting sqref="J10:J11">
    <cfRule type="cellIs" dxfId="359" priority="48" operator="notEqual">
      <formula>"1k6"</formula>
    </cfRule>
  </conditionalFormatting>
  <conditionalFormatting sqref="M10:M11">
    <cfRule type="cellIs" dxfId="358" priority="47" operator="notEqual">
      <formula>"1k6"</formula>
    </cfRule>
  </conditionalFormatting>
  <conditionalFormatting sqref="P10:P11">
    <cfRule type="cellIs" dxfId="357" priority="46" operator="notEqual">
      <formula>"1k6"</formula>
    </cfRule>
  </conditionalFormatting>
  <conditionalFormatting sqref="S10:S11">
    <cfRule type="cellIs" dxfId="356" priority="45" operator="notEqual">
      <formula>"1k6"</formula>
    </cfRule>
  </conditionalFormatting>
  <conditionalFormatting sqref="D4">
    <cfRule type="cellIs" dxfId="355" priority="44" operator="notEqual">
      <formula>"1k6"</formula>
    </cfRule>
  </conditionalFormatting>
  <conditionalFormatting sqref="G4">
    <cfRule type="cellIs" dxfId="354" priority="43" operator="notEqual">
      <formula>"1k6"</formula>
    </cfRule>
  </conditionalFormatting>
  <conditionalFormatting sqref="J4">
    <cfRule type="cellIs" dxfId="353" priority="42" operator="notEqual">
      <formula>"1k6"</formula>
    </cfRule>
  </conditionalFormatting>
  <conditionalFormatting sqref="M4">
    <cfRule type="cellIs" dxfId="352" priority="41" operator="notEqual">
      <formula>"1k6"</formula>
    </cfRule>
  </conditionalFormatting>
  <conditionalFormatting sqref="P4">
    <cfRule type="cellIs" dxfId="351" priority="40" operator="notEqual">
      <formula>"1k6"</formula>
    </cfRule>
  </conditionalFormatting>
  <conditionalFormatting sqref="S4">
    <cfRule type="cellIs" dxfId="350" priority="39" operator="notEqual">
      <formula>"1k6"</formula>
    </cfRule>
  </conditionalFormatting>
  <conditionalFormatting sqref="G8">
    <cfRule type="cellIs" dxfId="349" priority="38" operator="notEqual">
      <formula>"1k6"</formula>
    </cfRule>
  </conditionalFormatting>
  <conditionalFormatting sqref="P8">
    <cfRule type="cellIs" dxfId="348" priority="37" operator="notEqual">
      <formula>"1k6"</formula>
    </cfRule>
  </conditionalFormatting>
  <conditionalFormatting sqref="S8">
    <cfRule type="cellIs" dxfId="347" priority="36" operator="notEqual">
      <formula>"1k6"</formula>
    </cfRule>
  </conditionalFormatting>
  <conditionalFormatting sqref="J38">
    <cfRule type="cellIs" dxfId="346" priority="35" operator="notEqual">
      <formula>"1k6"</formula>
    </cfRule>
  </conditionalFormatting>
  <conditionalFormatting sqref="J37">
    <cfRule type="cellIs" dxfId="345" priority="34" operator="notEqual">
      <formula>"1k6"</formula>
    </cfRule>
  </conditionalFormatting>
  <conditionalFormatting sqref="M38">
    <cfRule type="cellIs" dxfId="344" priority="33" operator="notEqual">
      <formula>"1k6"</formula>
    </cfRule>
  </conditionalFormatting>
  <conditionalFormatting sqref="M37">
    <cfRule type="cellIs" dxfId="343" priority="32" operator="notEqual">
      <formula>"1k6"</formula>
    </cfRule>
  </conditionalFormatting>
  <conditionalFormatting sqref="S38">
    <cfRule type="cellIs" dxfId="342" priority="31" operator="notEqual">
      <formula>"1k6"</formula>
    </cfRule>
  </conditionalFormatting>
  <conditionalFormatting sqref="S37">
    <cfRule type="cellIs" dxfId="341" priority="30" operator="notEqual">
      <formula>"1k6"</formula>
    </cfRule>
  </conditionalFormatting>
  <conditionalFormatting sqref="D36">
    <cfRule type="cellIs" dxfId="340" priority="29" operator="notEqual">
      <formula>"1k6"</formula>
    </cfRule>
  </conditionalFormatting>
  <conditionalFormatting sqref="D35">
    <cfRule type="cellIs" dxfId="339" priority="28" operator="notEqual">
      <formula>"1k6"</formula>
    </cfRule>
  </conditionalFormatting>
  <conditionalFormatting sqref="G36">
    <cfRule type="cellIs" dxfId="338" priority="27" operator="notEqual">
      <formula>"1k6"</formula>
    </cfRule>
  </conditionalFormatting>
  <conditionalFormatting sqref="G35">
    <cfRule type="cellIs" dxfId="337" priority="26" operator="notEqual">
      <formula>"1k6"</formula>
    </cfRule>
  </conditionalFormatting>
  <conditionalFormatting sqref="J36">
    <cfRule type="cellIs" dxfId="336" priority="25" operator="notEqual">
      <formula>"1k6"</formula>
    </cfRule>
  </conditionalFormatting>
  <conditionalFormatting sqref="J35">
    <cfRule type="cellIs" dxfId="335" priority="24" operator="notEqual">
      <formula>"1k6"</formula>
    </cfRule>
  </conditionalFormatting>
  <conditionalFormatting sqref="M36">
    <cfRule type="cellIs" dxfId="334" priority="23" operator="notEqual">
      <formula>"1k6"</formula>
    </cfRule>
  </conditionalFormatting>
  <conditionalFormatting sqref="M35">
    <cfRule type="cellIs" dxfId="333" priority="22" operator="notEqual">
      <formula>"1k6"</formula>
    </cfRule>
  </conditionalFormatting>
  <conditionalFormatting sqref="P36">
    <cfRule type="cellIs" dxfId="332" priority="21" operator="notEqual">
      <formula>"1k6"</formula>
    </cfRule>
  </conditionalFormatting>
  <conditionalFormatting sqref="P35">
    <cfRule type="cellIs" dxfId="331" priority="20" operator="notEqual">
      <formula>"1k6"</formula>
    </cfRule>
  </conditionalFormatting>
  <conditionalFormatting sqref="S36">
    <cfRule type="cellIs" dxfId="330" priority="19" operator="notEqual">
      <formula>"1k6"</formula>
    </cfRule>
  </conditionalFormatting>
  <conditionalFormatting sqref="S35">
    <cfRule type="cellIs" dxfId="329" priority="18" operator="notEqual">
      <formula>"1k6"</formula>
    </cfRule>
  </conditionalFormatting>
  <conditionalFormatting sqref="D41">
    <cfRule type="cellIs" dxfId="328" priority="17" operator="notEqual">
      <formula>"1k6"</formula>
    </cfRule>
  </conditionalFormatting>
  <conditionalFormatting sqref="D40">
    <cfRule type="cellIs" dxfId="327" priority="16" operator="notEqual">
      <formula>"1k6"</formula>
    </cfRule>
  </conditionalFormatting>
  <conditionalFormatting sqref="G41">
    <cfRule type="cellIs" dxfId="326" priority="15" operator="notEqual">
      <formula>"1k6"</formula>
    </cfRule>
  </conditionalFormatting>
  <conditionalFormatting sqref="G40">
    <cfRule type="cellIs" dxfId="325" priority="14" operator="notEqual">
      <formula>"1k6"</formula>
    </cfRule>
  </conditionalFormatting>
  <conditionalFormatting sqref="J41">
    <cfRule type="cellIs" dxfId="324" priority="13" operator="notEqual">
      <formula>"1k6"</formula>
    </cfRule>
  </conditionalFormatting>
  <conditionalFormatting sqref="J40">
    <cfRule type="cellIs" dxfId="323" priority="12" operator="notEqual">
      <formula>"1k6"</formula>
    </cfRule>
  </conditionalFormatting>
  <conditionalFormatting sqref="M41">
    <cfRule type="cellIs" dxfId="322" priority="11" operator="notEqual">
      <formula>"1k6"</formula>
    </cfRule>
  </conditionalFormatting>
  <conditionalFormatting sqref="M40">
    <cfRule type="cellIs" dxfId="321" priority="10" operator="notEqual">
      <formula>"1k6"</formula>
    </cfRule>
  </conditionalFormatting>
  <conditionalFormatting sqref="P41">
    <cfRule type="cellIs" dxfId="320" priority="9" operator="notEqual">
      <formula>"1k6"</formula>
    </cfRule>
  </conditionalFormatting>
  <conditionalFormatting sqref="P40">
    <cfRule type="cellIs" dxfId="319" priority="8" operator="notEqual">
      <formula>"1k6"</formula>
    </cfRule>
  </conditionalFormatting>
  <conditionalFormatting sqref="S41">
    <cfRule type="cellIs" dxfId="318" priority="7" operator="notEqual">
      <formula>"1k6"</formula>
    </cfRule>
  </conditionalFormatting>
  <conditionalFormatting sqref="S40">
    <cfRule type="cellIs" dxfId="317" priority="6" operator="notEqual">
      <formula>"1k6"</formula>
    </cfRule>
  </conditionalFormatting>
  <conditionalFormatting sqref="G12:G13">
    <cfRule type="cellIs" dxfId="316" priority="5" operator="notEqual">
      <formula>"1k6"</formula>
    </cfRule>
  </conditionalFormatting>
  <conditionalFormatting sqref="J12:J13">
    <cfRule type="cellIs" dxfId="315" priority="4" operator="notEqual">
      <formula>"1k6"</formula>
    </cfRule>
  </conditionalFormatting>
  <conditionalFormatting sqref="M12:M13">
    <cfRule type="cellIs" dxfId="314" priority="3" operator="notEqual">
      <formula>"1k6"</formula>
    </cfRule>
  </conditionalFormatting>
  <conditionalFormatting sqref="P12:P13">
    <cfRule type="cellIs" dxfId="313" priority="2" operator="notEqual">
      <formula>"1k6"</formula>
    </cfRule>
  </conditionalFormatting>
  <conditionalFormatting sqref="S12:S13">
    <cfRule type="cellIs" dxfId="312" priority="1" operator="notEqual">
      <formula>"1k6"</formula>
    </cfRule>
  </conditionalFormatting>
  <dataValidations count="1">
    <dataValidation type="list" allowBlank="1" showInputMessage="1" showErrorMessage="1" sqref="Y5:Y125">
      <formula1>$B$129:$B$137</formula1>
    </dataValidation>
  </dataValidations>
  <pageMargins left="0.7" right="0.7" top="0.78740157499999996" bottom="0.78740157499999996" header="0.3" footer="0.3"/>
  <pageSetup paperSize="9" orientation="portrait" horizontalDpi="0" verticalDpi="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theme="0" tint="-0.249977111117893"/>
  </sheetPr>
  <dimension ref="B1:AU66"/>
  <sheetViews>
    <sheetView workbookViewId="0">
      <pane ySplit="3" topLeftCell="A4" activePane="bottomLeft" state="frozen"/>
      <selection activeCell="Y8" sqref="Y8"/>
      <selection pane="bottomLeft" activeCell="M6" sqref="M6"/>
    </sheetView>
  </sheetViews>
  <sheetFormatPr defaultRowHeight="14.4" x14ac:dyDescent="0.3"/>
  <cols>
    <col min="1" max="1" width="3.109375" customWidth="1"/>
    <col min="2" max="2" width="16" customWidth="1"/>
    <col min="3" max="3" width="11.88671875" customWidth="1"/>
    <col min="4" max="4" width="4.5546875" bestFit="1" customWidth="1"/>
    <col min="5" max="5" width="4" bestFit="1" customWidth="1"/>
    <col min="6" max="6" width="4.6640625" bestFit="1" customWidth="1"/>
    <col min="7" max="7" width="3.44140625" bestFit="1" customWidth="1"/>
    <col min="8" max="8" width="4.5546875" bestFit="1" customWidth="1"/>
    <col min="9" max="9" width="4.88671875" customWidth="1"/>
    <col min="10" max="15" width="5.33203125" customWidth="1"/>
    <col min="16" max="16" width="3.6640625" bestFit="1" customWidth="1"/>
    <col min="17" max="17" width="4.6640625" bestFit="1" customWidth="1"/>
    <col min="18" max="47" width="3.6640625" customWidth="1"/>
  </cols>
  <sheetData>
    <row r="1" spans="2:47" ht="23.4" x14ac:dyDescent="0.45">
      <c r="B1" s="282" t="s">
        <v>254</v>
      </c>
    </row>
    <row r="2" spans="2:47" x14ac:dyDescent="0.3">
      <c r="D2" s="1547"/>
      <c r="E2" s="1547"/>
      <c r="F2" s="1547"/>
      <c r="G2" s="1547"/>
      <c r="H2" s="1547"/>
      <c r="I2" s="1547"/>
      <c r="J2" s="612" t="s">
        <v>3260</v>
      </c>
      <c r="K2" s="610"/>
      <c r="L2" s="610"/>
      <c r="M2" s="610"/>
      <c r="N2" s="610"/>
      <c r="O2" s="610"/>
      <c r="Q2" s="579"/>
      <c r="R2" s="1548" t="s">
        <v>1063</v>
      </c>
      <c r="S2" s="1310"/>
      <c r="T2" s="1310"/>
      <c r="U2" s="1310"/>
      <c r="V2" s="1310"/>
      <c r="W2" s="1310"/>
      <c r="X2" s="1310"/>
      <c r="Y2" s="1310"/>
      <c r="Z2" s="1310"/>
      <c r="AA2" s="1310"/>
      <c r="AB2" s="1310"/>
      <c r="AC2" s="1310"/>
      <c r="AD2" s="1310"/>
      <c r="AE2" s="1310"/>
      <c r="AF2" s="1310"/>
      <c r="AG2" s="1310"/>
      <c r="AH2" s="1310"/>
      <c r="AI2" s="1310"/>
      <c r="AJ2" s="1310"/>
      <c r="AK2" s="1310"/>
      <c r="AL2" s="1310"/>
      <c r="AM2" s="1310"/>
      <c r="AN2" s="1310"/>
      <c r="AO2" s="1310"/>
      <c r="AP2" s="1310"/>
      <c r="AQ2" s="1310"/>
      <c r="AR2" s="1310"/>
      <c r="AS2" s="1310"/>
      <c r="AT2" s="1310"/>
      <c r="AU2" s="1549"/>
    </row>
    <row r="3" spans="2:47" x14ac:dyDescent="0.3">
      <c r="B3" t="s">
        <v>25</v>
      </c>
      <c r="C3" t="s">
        <v>255</v>
      </c>
      <c r="D3" t="s">
        <v>173</v>
      </c>
      <c r="E3" t="s">
        <v>178</v>
      </c>
      <c r="F3" t="s">
        <v>188</v>
      </c>
      <c r="G3" t="s">
        <v>175</v>
      </c>
      <c r="H3" t="s">
        <v>185</v>
      </c>
      <c r="I3" t="s">
        <v>168</v>
      </c>
      <c r="J3" s="611" t="s">
        <v>3261</v>
      </c>
      <c r="K3" s="611" t="s">
        <v>3262</v>
      </c>
      <c r="L3" s="611" t="s">
        <v>3263</v>
      </c>
      <c r="M3" s="611" t="s">
        <v>3264</v>
      </c>
      <c r="N3" s="611" t="s">
        <v>3265</v>
      </c>
      <c r="O3" s="611" t="s">
        <v>3266</v>
      </c>
      <c r="P3" t="s">
        <v>297</v>
      </c>
      <c r="Q3" s="582" t="s">
        <v>3101</v>
      </c>
      <c r="R3" s="7">
        <v>1</v>
      </c>
      <c r="S3" s="283">
        <v>2</v>
      </c>
      <c r="T3" s="283">
        <v>3</v>
      </c>
      <c r="U3" s="283">
        <v>4</v>
      </c>
      <c r="V3" s="283">
        <v>5</v>
      </c>
      <c r="W3" s="197">
        <v>6</v>
      </c>
      <c r="X3" s="197">
        <v>7</v>
      </c>
      <c r="Y3" s="197">
        <v>8</v>
      </c>
      <c r="Z3" s="197">
        <v>9</v>
      </c>
      <c r="AA3" s="283">
        <v>10</v>
      </c>
      <c r="AB3" s="283">
        <v>11</v>
      </c>
      <c r="AC3" s="283">
        <v>12</v>
      </c>
      <c r="AD3" s="283">
        <v>13</v>
      </c>
      <c r="AE3" s="197">
        <v>14</v>
      </c>
      <c r="AF3" s="197">
        <v>15</v>
      </c>
      <c r="AG3" s="284">
        <v>16</v>
      </c>
      <c r="AH3" s="284">
        <v>17</v>
      </c>
      <c r="AI3" s="284">
        <v>18</v>
      </c>
      <c r="AJ3" s="284">
        <v>19</v>
      </c>
      <c r="AK3" s="284">
        <v>20</v>
      </c>
      <c r="AL3" s="284">
        <v>21</v>
      </c>
      <c r="AM3" s="284">
        <v>22</v>
      </c>
      <c r="AN3" s="284">
        <v>23</v>
      </c>
      <c r="AO3" s="284">
        <v>24</v>
      </c>
      <c r="AP3" s="284">
        <v>25</v>
      </c>
      <c r="AQ3" s="284">
        <v>26</v>
      </c>
      <c r="AR3" s="284">
        <v>27</v>
      </c>
      <c r="AS3" s="284">
        <v>28</v>
      </c>
      <c r="AT3" s="285">
        <v>29</v>
      </c>
      <c r="AU3" s="285">
        <v>30</v>
      </c>
    </row>
    <row r="4" spans="2:47" x14ac:dyDescent="0.3">
      <c r="B4" s="59" t="s">
        <v>232</v>
      </c>
      <c r="C4" t="s">
        <v>199</v>
      </c>
      <c r="D4" s="583" t="s">
        <v>278</v>
      </c>
      <c r="E4" s="583" t="s">
        <v>278</v>
      </c>
      <c r="F4" s="583" t="s">
        <v>278</v>
      </c>
      <c r="G4" s="583" t="s">
        <v>278</v>
      </c>
      <c r="H4" s="583" t="s">
        <v>278</v>
      </c>
      <c r="I4" s="583" t="s">
        <v>278</v>
      </c>
      <c r="J4" s="197">
        <v>0</v>
      </c>
      <c r="K4" s="197">
        <v>0</v>
      </c>
      <c r="L4" s="197">
        <v>0</v>
      </c>
      <c r="M4" s="197">
        <v>0</v>
      </c>
      <c r="N4" s="197">
        <v>0</v>
      </c>
      <c r="O4" s="197">
        <v>0</v>
      </c>
      <c r="P4" s="583">
        <v>1</v>
      </c>
      <c r="Q4" s="581">
        <v>2</v>
      </c>
      <c r="R4" s="7">
        <v>0</v>
      </c>
      <c r="S4" s="143">
        <v>0</v>
      </c>
      <c r="T4" s="197">
        <v>0</v>
      </c>
      <c r="U4" s="197">
        <v>0</v>
      </c>
      <c r="V4" s="197">
        <v>0</v>
      </c>
      <c r="W4" s="197">
        <v>0</v>
      </c>
      <c r="X4" s="197">
        <v>0</v>
      </c>
      <c r="Y4" s="197">
        <v>0</v>
      </c>
      <c r="Z4" s="197">
        <v>0</v>
      </c>
      <c r="AA4" s="197">
        <v>0</v>
      </c>
      <c r="AB4" s="197">
        <v>0</v>
      </c>
      <c r="AC4" s="197">
        <v>0</v>
      </c>
      <c r="AD4" s="197">
        <v>0</v>
      </c>
      <c r="AE4" s="197">
        <v>0</v>
      </c>
      <c r="AF4" s="197">
        <v>0</v>
      </c>
      <c r="AG4" s="197">
        <v>0</v>
      </c>
      <c r="AH4" s="197">
        <v>0</v>
      </c>
      <c r="AI4" s="197">
        <v>0</v>
      </c>
      <c r="AJ4" s="197">
        <v>0</v>
      </c>
      <c r="AK4" s="197">
        <v>0</v>
      </c>
      <c r="AL4" s="197">
        <v>0</v>
      </c>
      <c r="AM4" s="197">
        <v>0</v>
      </c>
      <c r="AN4" s="197">
        <v>0</v>
      </c>
      <c r="AO4" s="197">
        <v>0</v>
      </c>
      <c r="AP4" s="197">
        <v>0</v>
      </c>
      <c r="AQ4" s="197">
        <v>0</v>
      </c>
      <c r="AR4" s="197">
        <v>0</v>
      </c>
      <c r="AS4" s="197">
        <v>0</v>
      </c>
      <c r="AT4" s="197">
        <v>0</v>
      </c>
      <c r="AU4" s="197">
        <v>0</v>
      </c>
    </row>
    <row r="5" spans="2:47" x14ac:dyDescent="0.3">
      <c r="B5" s="59" t="s">
        <v>5667</v>
      </c>
      <c r="C5" t="s">
        <v>2287</v>
      </c>
      <c r="D5" s="583" t="s">
        <v>278</v>
      </c>
      <c r="E5" s="583" t="s">
        <v>278</v>
      </c>
      <c r="F5" s="583" t="s">
        <v>279</v>
      </c>
      <c r="G5" s="583" t="s">
        <v>279</v>
      </c>
      <c r="H5" s="583" t="s">
        <v>278</v>
      </c>
      <c r="I5" s="583" t="s">
        <v>278</v>
      </c>
      <c r="J5" s="197">
        <v>0</v>
      </c>
      <c r="K5" s="197">
        <v>0</v>
      </c>
      <c r="L5" s="613">
        <v>1</v>
      </c>
      <c r="M5" s="613">
        <v>1</v>
      </c>
      <c r="N5" s="143">
        <v>0</v>
      </c>
      <c r="O5" s="143">
        <v>0</v>
      </c>
      <c r="P5" s="583">
        <v>5</v>
      </c>
      <c r="Q5" s="581">
        <v>2</v>
      </c>
      <c r="R5" s="580">
        <v>5</v>
      </c>
      <c r="S5" s="581">
        <f t="shared" ref="S5:AB16" si="0">$R5*S$3</f>
        <v>10</v>
      </c>
      <c r="T5" s="581">
        <f t="shared" si="0"/>
        <v>15</v>
      </c>
      <c r="U5" s="581">
        <f t="shared" si="0"/>
        <v>20</v>
      </c>
      <c r="V5" s="581">
        <f t="shared" si="0"/>
        <v>25</v>
      </c>
      <c r="W5" s="581">
        <f t="shared" si="0"/>
        <v>30</v>
      </c>
      <c r="X5" s="581">
        <f t="shared" si="0"/>
        <v>35</v>
      </c>
      <c r="Y5" s="581">
        <f t="shared" si="0"/>
        <v>40</v>
      </c>
      <c r="Z5" s="581">
        <f t="shared" si="0"/>
        <v>45</v>
      </c>
      <c r="AA5" s="581">
        <f t="shared" si="0"/>
        <v>50</v>
      </c>
      <c r="AB5" s="581">
        <f t="shared" si="0"/>
        <v>55</v>
      </c>
      <c r="AC5" s="581">
        <f t="shared" ref="AC5:AL16" si="1">$R5*AC$3</f>
        <v>60</v>
      </c>
      <c r="AD5" s="581">
        <f t="shared" si="1"/>
        <v>65</v>
      </c>
      <c r="AE5" s="581">
        <f t="shared" si="1"/>
        <v>70</v>
      </c>
      <c r="AF5" s="581">
        <f t="shared" si="1"/>
        <v>75</v>
      </c>
      <c r="AG5" s="581">
        <f t="shared" si="1"/>
        <v>80</v>
      </c>
      <c r="AH5" s="581">
        <f t="shared" si="1"/>
        <v>85</v>
      </c>
      <c r="AI5" s="581">
        <f t="shared" si="1"/>
        <v>90</v>
      </c>
      <c r="AJ5" s="581">
        <f t="shared" si="1"/>
        <v>95</v>
      </c>
      <c r="AK5" s="581">
        <f t="shared" si="1"/>
        <v>100</v>
      </c>
      <c r="AL5" s="581">
        <f t="shared" si="1"/>
        <v>105</v>
      </c>
      <c r="AM5" s="581">
        <f t="shared" ref="AM5:AU16" si="2">$R5*AM$3</f>
        <v>110</v>
      </c>
      <c r="AN5" s="581">
        <f t="shared" si="2"/>
        <v>115</v>
      </c>
      <c r="AO5" s="581">
        <f t="shared" si="2"/>
        <v>120</v>
      </c>
      <c r="AP5" s="581">
        <f t="shared" si="2"/>
        <v>125</v>
      </c>
      <c r="AQ5" s="581">
        <f t="shared" si="2"/>
        <v>130</v>
      </c>
      <c r="AR5" s="581">
        <f t="shared" si="2"/>
        <v>135</v>
      </c>
      <c r="AS5" s="581">
        <f t="shared" si="2"/>
        <v>140</v>
      </c>
      <c r="AT5" s="581">
        <f t="shared" si="2"/>
        <v>145</v>
      </c>
      <c r="AU5" s="581">
        <f t="shared" si="2"/>
        <v>150</v>
      </c>
    </row>
    <row r="6" spans="2:47" x14ac:dyDescent="0.3">
      <c r="B6" s="59" t="s">
        <v>5668</v>
      </c>
      <c r="C6" t="s">
        <v>2287</v>
      </c>
      <c r="D6" s="583" t="s">
        <v>278</v>
      </c>
      <c r="E6" s="583" t="s">
        <v>278</v>
      </c>
      <c r="F6" s="583" t="s">
        <v>279</v>
      </c>
      <c r="G6" s="583" t="s">
        <v>279</v>
      </c>
      <c r="H6" s="583" t="s">
        <v>278</v>
      </c>
      <c r="I6" s="583" t="s">
        <v>278</v>
      </c>
      <c r="J6" s="197">
        <v>0</v>
      </c>
      <c r="K6" s="197">
        <v>0</v>
      </c>
      <c r="L6" s="613">
        <v>1</v>
      </c>
      <c r="M6" s="613">
        <v>1</v>
      </c>
      <c r="N6" s="143">
        <v>0</v>
      </c>
      <c r="O6" s="143">
        <v>0</v>
      </c>
      <c r="P6" s="583">
        <v>5</v>
      </c>
      <c r="Q6" s="581">
        <v>2</v>
      </c>
      <c r="R6" s="580">
        <v>5</v>
      </c>
      <c r="S6" s="581">
        <f t="shared" si="0"/>
        <v>10</v>
      </c>
      <c r="T6" s="581">
        <f t="shared" si="0"/>
        <v>15</v>
      </c>
      <c r="U6" s="581">
        <f t="shared" si="0"/>
        <v>20</v>
      </c>
      <c r="V6" s="581">
        <f t="shared" si="0"/>
        <v>25</v>
      </c>
      <c r="W6" s="581">
        <f t="shared" si="0"/>
        <v>30</v>
      </c>
      <c r="X6" s="581">
        <f t="shared" si="0"/>
        <v>35</v>
      </c>
      <c r="Y6" s="581">
        <f t="shared" si="0"/>
        <v>40</v>
      </c>
      <c r="Z6" s="581">
        <f t="shared" si="0"/>
        <v>45</v>
      </c>
      <c r="AA6" s="581">
        <f t="shared" si="0"/>
        <v>50</v>
      </c>
      <c r="AB6" s="581">
        <f t="shared" si="0"/>
        <v>55</v>
      </c>
      <c r="AC6" s="581">
        <f t="shared" si="1"/>
        <v>60</v>
      </c>
      <c r="AD6" s="581">
        <f t="shared" si="1"/>
        <v>65</v>
      </c>
      <c r="AE6" s="581">
        <f t="shared" si="1"/>
        <v>70</v>
      </c>
      <c r="AF6" s="581">
        <f t="shared" si="1"/>
        <v>75</v>
      </c>
      <c r="AG6" s="581">
        <f t="shared" si="1"/>
        <v>80</v>
      </c>
      <c r="AH6" s="581">
        <f t="shared" si="1"/>
        <v>85</v>
      </c>
      <c r="AI6" s="581">
        <f t="shared" si="1"/>
        <v>90</v>
      </c>
      <c r="AJ6" s="581">
        <f t="shared" si="1"/>
        <v>95</v>
      </c>
      <c r="AK6" s="581">
        <f t="shared" si="1"/>
        <v>100</v>
      </c>
      <c r="AL6" s="581">
        <f t="shared" si="1"/>
        <v>105</v>
      </c>
      <c r="AM6" s="581">
        <f t="shared" si="2"/>
        <v>110</v>
      </c>
      <c r="AN6" s="581">
        <f t="shared" si="2"/>
        <v>115</v>
      </c>
      <c r="AO6" s="581">
        <f t="shared" si="2"/>
        <v>120</v>
      </c>
      <c r="AP6" s="581">
        <f t="shared" si="2"/>
        <v>125</v>
      </c>
      <c r="AQ6" s="581">
        <f t="shared" si="2"/>
        <v>130</v>
      </c>
      <c r="AR6" s="581">
        <f t="shared" si="2"/>
        <v>135</v>
      </c>
      <c r="AS6" s="581">
        <f t="shared" si="2"/>
        <v>140</v>
      </c>
      <c r="AT6" s="581">
        <f t="shared" si="2"/>
        <v>145</v>
      </c>
      <c r="AU6" s="581">
        <f t="shared" si="2"/>
        <v>150</v>
      </c>
    </row>
    <row r="7" spans="2:47" x14ac:dyDescent="0.3">
      <c r="B7" s="59" t="s">
        <v>1127</v>
      </c>
      <c r="C7" t="s">
        <v>187</v>
      </c>
      <c r="D7" s="583" t="s">
        <v>279</v>
      </c>
      <c r="E7" s="583" t="s">
        <v>278</v>
      </c>
      <c r="F7" s="583" t="s">
        <v>278</v>
      </c>
      <c r="G7" s="583" t="s">
        <v>279</v>
      </c>
      <c r="H7" s="583" t="s">
        <v>278</v>
      </c>
      <c r="I7" s="583" t="s">
        <v>278</v>
      </c>
      <c r="J7" s="613">
        <v>1</v>
      </c>
      <c r="K7" s="197">
        <v>0</v>
      </c>
      <c r="L7" s="197">
        <v>0</v>
      </c>
      <c r="M7" s="613">
        <v>1</v>
      </c>
      <c r="N7" s="197">
        <v>0</v>
      </c>
      <c r="O7" s="197">
        <v>0</v>
      </c>
      <c r="P7" s="583">
        <v>1</v>
      </c>
      <c r="Q7" s="581">
        <v>2</v>
      </c>
      <c r="R7" s="580">
        <v>6</v>
      </c>
      <c r="S7" s="581">
        <f t="shared" si="0"/>
        <v>12</v>
      </c>
      <c r="T7" s="581">
        <f t="shared" si="0"/>
        <v>18</v>
      </c>
      <c r="U7" s="581">
        <f t="shared" si="0"/>
        <v>24</v>
      </c>
      <c r="V7" s="581">
        <f t="shared" si="0"/>
        <v>30</v>
      </c>
      <c r="W7" s="581">
        <f t="shared" si="0"/>
        <v>36</v>
      </c>
      <c r="X7" s="581">
        <f t="shared" si="0"/>
        <v>42</v>
      </c>
      <c r="Y7" s="581">
        <f t="shared" si="0"/>
        <v>48</v>
      </c>
      <c r="Z7" s="581">
        <f t="shared" si="0"/>
        <v>54</v>
      </c>
      <c r="AA7" s="581">
        <f t="shared" si="0"/>
        <v>60</v>
      </c>
      <c r="AB7" s="581">
        <f t="shared" si="0"/>
        <v>66</v>
      </c>
      <c r="AC7" s="581">
        <f t="shared" si="1"/>
        <v>72</v>
      </c>
      <c r="AD7" s="581">
        <f t="shared" si="1"/>
        <v>78</v>
      </c>
      <c r="AE7" s="581">
        <f t="shared" si="1"/>
        <v>84</v>
      </c>
      <c r="AF7" s="581">
        <f t="shared" si="1"/>
        <v>90</v>
      </c>
      <c r="AG7" s="581">
        <f t="shared" si="1"/>
        <v>96</v>
      </c>
      <c r="AH7" s="581">
        <f t="shared" si="1"/>
        <v>102</v>
      </c>
      <c r="AI7" s="581">
        <f t="shared" si="1"/>
        <v>108</v>
      </c>
      <c r="AJ7" s="581">
        <f t="shared" si="1"/>
        <v>114</v>
      </c>
      <c r="AK7" s="581">
        <f t="shared" si="1"/>
        <v>120</v>
      </c>
      <c r="AL7" s="581">
        <f t="shared" si="1"/>
        <v>126</v>
      </c>
      <c r="AM7" s="581">
        <f t="shared" si="2"/>
        <v>132</v>
      </c>
      <c r="AN7" s="581">
        <f t="shared" si="2"/>
        <v>138</v>
      </c>
      <c r="AO7" s="581">
        <f t="shared" si="2"/>
        <v>144</v>
      </c>
      <c r="AP7" s="581">
        <f t="shared" si="2"/>
        <v>150</v>
      </c>
      <c r="AQ7" s="581">
        <f t="shared" si="2"/>
        <v>156</v>
      </c>
      <c r="AR7" s="581">
        <f t="shared" si="2"/>
        <v>162</v>
      </c>
      <c r="AS7" s="581">
        <f t="shared" si="2"/>
        <v>168</v>
      </c>
      <c r="AT7" s="581">
        <f t="shared" si="2"/>
        <v>174</v>
      </c>
      <c r="AU7" s="581">
        <f t="shared" si="2"/>
        <v>180</v>
      </c>
    </row>
    <row r="8" spans="2:47" x14ac:dyDescent="0.3">
      <c r="B8" s="59" t="s">
        <v>1061</v>
      </c>
      <c r="C8" t="s">
        <v>187</v>
      </c>
      <c r="D8" s="583" t="s">
        <v>279</v>
      </c>
      <c r="E8" s="583" t="s">
        <v>278</v>
      </c>
      <c r="F8" s="583" t="s">
        <v>278</v>
      </c>
      <c r="G8" s="583" t="s">
        <v>279</v>
      </c>
      <c r="H8" s="583" t="s">
        <v>278</v>
      </c>
      <c r="I8" s="583" t="s">
        <v>278</v>
      </c>
      <c r="J8" s="613">
        <v>1</v>
      </c>
      <c r="K8" s="197">
        <v>0</v>
      </c>
      <c r="L8" s="197">
        <v>0</v>
      </c>
      <c r="M8" s="613">
        <v>1</v>
      </c>
      <c r="N8" s="197">
        <v>0</v>
      </c>
      <c r="O8" s="197">
        <v>0</v>
      </c>
      <c r="P8" s="583">
        <v>1</v>
      </c>
      <c r="Q8" s="581">
        <v>2</v>
      </c>
      <c r="R8" s="580">
        <v>6</v>
      </c>
      <c r="S8" s="581">
        <f t="shared" si="0"/>
        <v>12</v>
      </c>
      <c r="T8" s="581">
        <f t="shared" si="0"/>
        <v>18</v>
      </c>
      <c r="U8" s="581">
        <f t="shared" si="0"/>
        <v>24</v>
      </c>
      <c r="V8" s="581">
        <f t="shared" si="0"/>
        <v>30</v>
      </c>
      <c r="W8" s="581">
        <f t="shared" si="0"/>
        <v>36</v>
      </c>
      <c r="X8" s="581">
        <f t="shared" si="0"/>
        <v>42</v>
      </c>
      <c r="Y8" s="581">
        <f t="shared" si="0"/>
        <v>48</v>
      </c>
      <c r="Z8" s="581">
        <f t="shared" si="0"/>
        <v>54</v>
      </c>
      <c r="AA8" s="581">
        <f t="shared" si="0"/>
        <v>60</v>
      </c>
      <c r="AB8" s="581">
        <f t="shared" si="0"/>
        <v>66</v>
      </c>
      <c r="AC8" s="581">
        <f t="shared" si="1"/>
        <v>72</v>
      </c>
      <c r="AD8" s="581">
        <f t="shared" si="1"/>
        <v>78</v>
      </c>
      <c r="AE8" s="581">
        <f t="shared" si="1"/>
        <v>84</v>
      </c>
      <c r="AF8" s="581">
        <f t="shared" si="1"/>
        <v>90</v>
      </c>
      <c r="AG8" s="581">
        <f t="shared" si="1"/>
        <v>96</v>
      </c>
      <c r="AH8" s="581">
        <f t="shared" si="1"/>
        <v>102</v>
      </c>
      <c r="AI8" s="581">
        <f t="shared" si="1"/>
        <v>108</v>
      </c>
      <c r="AJ8" s="581">
        <f t="shared" si="1"/>
        <v>114</v>
      </c>
      <c r="AK8" s="581">
        <f t="shared" si="1"/>
        <v>120</v>
      </c>
      <c r="AL8" s="581">
        <f t="shared" si="1"/>
        <v>126</v>
      </c>
      <c r="AM8" s="581">
        <f t="shared" si="2"/>
        <v>132</v>
      </c>
      <c r="AN8" s="581">
        <f t="shared" si="2"/>
        <v>138</v>
      </c>
      <c r="AO8" s="581">
        <f t="shared" si="2"/>
        <v>144</v>
      </c>
      <c r="AP8" s="581">
        <f t="shared" si="2"/>
        <v>150</v>
      </c>
      <c r="AQ8" s="581">
        <f t="shared" si="2"/>
        <v>156</v>
      </c>
      <c r="AR8" s="581">
        <f t="shared" si="2"/>
        <v>162</v>
      </c>
      <c r="AS8" s="581">
        <f t="shared" si="2"/>
        <v>168</v>
      </c>
      <c r="AT8" s="581">
        <f t="shared" si="2"/>
        <v>174</v>
      </c>
      <c r="AU8" s="581">
        <f t="shared" si="2"/>
        <v>180</v>
      </c>
    </row>
    <row r="9" spans="2:47" x14ac:dyDescent="0.3">
      <c r="B9" s="59" t="s">
        <v>1106</v>
      </c>
      <c r="C9" t="s">
        <v>212</v>
      </c>
      <c r="D9" s="583" t="s">
        <v>278</v>
      </c>
      <c r="E9" s="583" t="s">
        <v>279</v>
      </c>
      <c r="F9" s="583" t="s">
        <v>278</v>
      </c>
      <c r="G9" s="583" t="s">
        <v>279</v>
      </c>
      <c r="H9" s="583" t="s">
        <v>278</v>
      </c>
      <c r="I9" s="583" t="s">
        <v>278</v>
      </c>
      <c r="J9" s="197">
        <v>0</v>
      </c>
      <c r="K9" s="613">
        <v>1</v>
      </c>
      <c r="L9" s="197">
        <v>0</v>
      </c>
      <c r="M9" s="613">
        <v>1</v>
      </c>
      <c r="N9" s="197">
        <v>0</v>
      </c>
      <c r="O9" s="197">
        <v>0</v>
      </c>
      <c r="P9" s="583">
        <v>7</v>
      </c>
      <c r="Q9" s="581">
        <v>2</v>
      </c>
      <c r="R9" s="580">
        <v>5</v>
      </c>
      <c r="S9" s="581">
        <f t="shared" si="0"/>
        <v>10</v>
      </c>
      <c r="T9" s="581">
        <f t="shared" si="0"/>
        <v>15</v>
      </c>
      <c r="U9" s="581">
        <f t="shared" si="0"/>
        <v>20</v>
      </c>
      <c r="V9" s="581">
        <f t="shared" si="0"/>
        <v>25</v>
      </c>
      <c r="W9" s="581">
        <f t="shared" si="0"/>
        <v>30</v>
      </c>
      <c r="X9" s="581">
        <f t="shared" si="0"/>
        <v>35</v>
      </c>
      <c r="Y9" s="581">
        <f t="shared" si="0"/>
        <v>40</v>
      </c>
      <c r="Z9" s="581">
        <f t="shared" si="0"/>
        <v>45</v>
      </c>
      <c r="AA9" s="581">
        <f t="shared" si="0"/>
        <v>50</v>
      </c>
      <c r="AB9" s="581">
        <f t="shared" si="0"/>
        <v>55</v>
      </c>
      <c r="AC9" s="581">
        <f t="shared" si="1"/>
        <v>60</v>
      </c>
      <c r="AD9" s="581">
        <f t="shared" si="1"/>
        <v>65</v>
      </c>
      <c r="AE9" s="581">
        <f t="shared" si="1"/>
        <v>70</v>
      </c>
      <c r="AF9" s="581">
        <f t="shared" si="1"/>
        <v>75</v>
      </c>
      <c r="AG9" s="581">
        <f t="shared" si="1"/>
        <v>80</v>
      </c>
      <c r="AH9" s="581">
        <f t="shared" si="1"/>
        <v>85</v>
      </c>
      <c r="AI9" s="581">
        <f t="shared" si="1"/>
        <v>90</v>
      </c>
      <c r="AJ9" s="581">
        <f t="shared" si="1"/>
        <v>95</v>
      </c>
      <c r="AK9" s="581">
        <f t="shared" si="1"/>
        <v>100</v>
      </c>
      <c r="AL9" s="581">
        <f t="shared" si="1"/>
        <v>105</v>
      </c>
      <c r="AM9" s="581">
        <f t="shared" si="2"/>
        <v>110</v>
      </c>
      <c r="AN9" s="581">
        <f t="shared" si="2"/>
        <v>115</v>
      </c>
      <c r="AO9" s="581">
        <f t="shared" si="2"/>
        <v>120</v>
      </c>
      <c r="AP9" s="581">
        <f t="shared" si="2"/>
        <v>125</v>
      </c>
      <c r="AQ9" s="581">
        <f t="shared" si="2"/>
        <v>130</v>
      </c>
      <c r="AR9" s="581">
        <f t="shared" si="2"/>
        <v>135</v>
      </c>
      <c r="AS9" s="581">
        <f t="shared" si="2"/>
        <v>140</v>
      </c>
      <c r="AT9" s="581">
        <f t="shared" si="2"/>
        <v>145</v>
      </c>
      <c r="AU9" s="581">
        <f t="shared" si="2"/>
        <v>150</v>
      </c>
    </row>
    <row r="10" spans="2:47" x14ac:dyDescent="0.3">
      <c r="B10" s="59" t="s">
        <v>3115</v>
      </c>
      <c r="C10" t="s">
        <v>206</v>
      </c>
      <c r="D10" s="583" t="s">
        <v>278</v>
      </c>
      <c r="E10" s="583" t="s">
        <v>278</v>
      </c>
      <c r="F10" s="583" t="s">
        <v>279</v>
      </c>
      <c r="G10" s="583" t="s">
        <v>279</v>
      </c>
      <c r="H10" s="583" t="s">
        <v>278</v>
      </c>
      <c r="I10" s="583" t="s">
        <v>278</v>
      </c>
      <c r="J10" s="197">
        <v>0</v>
      </c>
      <c r="K10" s="197">
        <v>0</v>
      </c>
      <c r="L10" s="613">
        <v>2</v>
      </c>
      <c r="M10" s="613">
        <v>0</v>
      </c>
      <c r="N10" s="197">
        <v>0</v>
      </c>
      <c r="O10" s="197">
        <v>0</v>
      </c>
      <c r="P10" s="583">
        <v>5</v>
      </c>
      <c r="Q10" s="581">
        <v>2</v>
      </c>
      <c r="R10" s="580">
        <v>4</v>
      </c>
      <c r="S10" s="581">
        <f t="shared" si="0"/>
        <v>8</v>
      </c>
      <c r="T10" s="581">
        <f t="shared" si="0"/>
        <v>12</v>
      </c>
      <c r="U10" s="581">
        <f t="shared" si="0"/>
        <v>16</v>
      </c>
      <c r="V10" s="581">
        <f t="shared" si="0"/>
        <v>20</v>
      </c>
      <c r="W10" s="581">
        <f t="shared" si="0"/>
        <v>24</v>
      </c>
      <c r="X10" s="581">
        <f t="shared" si="0"/>
        <v>28</v>
      </c>
      <c r="Y10" s="581">
        <f t="shared" si="0"/>
        <v>32</v>
      </c>
      <c r="Z10" s="581">
        <f t="shared" si="0"/>
        <v>36</v>
      </c>
      <c r="AA10" s="581">
        <f t="shared" si="0"/>
        <v>40</v>
      </c>
      <c r="AB10" s="581">
        <f t="shared" si="0"/>
        <v>44</v>
      </c>
      <c r="AC10" s="581">
        <f t="shared" si="1"/>
        <v>48</v>
      </c>
      <c r="AD10" s="581">
        <f t="shared" si="1"/>
        <v>52</v>
      </c>
      <c r="AE10" s="581">
        <f t="shared" si="1"/>
        <v>56</v>
      </c>
      <c r="AF10" s="581">
        <f t="shared" si="1"/>
        <v>60</v>
      </c>
      <c r="AG10" s="581">
        <f t="shared" si="1"/>
        <v>64</v>
      </c>
      <c r="AH10" s="581">
        <f t="shared" si="1"/>
        <v>68</v>
      </c>
      <c r="AI10" s="581">
        <f t="shared" si="1"/>
        <v>72</v>
      </c>
      <c r="AJ10" s="581">
        <f t="shared" si="1"/>
        <v>76</v>
      </c>
      <c r="AK10" s="581">
        <f t="shared" si="1"/>
        <v>80</v>
      </c>
      <c r="AL10" s="581">
        <f t="shared" si="1"/>
        <v>84</v>
      </c>
      <c r="AM10" s="581">
        <f t="shared" si="2"/>
        <v>88</v>
      </c>
      <c r="AN10" s="581">
        <f t="shared" si="2"/>
        <v>92</v>
      </c>
      <c r="AO10" s="581">
        <f t="shared" si="2"/>
        <v>96</v>
      </c>
      <c r="AP10" s="581">
        <f t="shared" si="2"/>
        <v>100</v>
      </c>
      <c r="AQ10" s="581">
        <f t="shared" si="2"/>
        <v>104</v>
      </c>
      <c r="AR10" s="581">
        <f t="shared" si="2"/>
        <v>108</v>
      </c>
      <c r="AS10" s="581">
        <f t="shared" si="2"/>
        <v>112</v>
      </c>
      <c r="AT10" s="581">
        <f t="shared" si="2"/>
        <v>116</v>
      </c>
      <c r="AU10" s="581">
        <f t="shared" si="2"/>
        <v>120</v>
      </c>
    </row>
    <row r="11" spans="2:47" x14ac:dyDescent="0.3">
      <c r="B11" s="59" t="s">
        <v>3116</v>
      </c>
      <c r="C11" t="s">
        <v>206</v>
      </c>
      <c r="D11" s="583" t="s">
        <v>278</v>
      </c>
      <c r="E11" s="583" t="s">
        <v>278</v>
      </c>
      <c r="F11" s="583" t="s">
        <v>279</v>
      </c>
      <c r="G11" s="583" t="s">
        <v>279</v>
      </c>
      <c r="H11" s="583" t="s">
        <v>278</v>
      </c>
      <c r="I11" s="583" t="s">
        <v>278</v>
      </c>
      <c r="J11" s="197">
        <v>0</v>
      </c>
      <c r="K11" s="197">
        <v>0</v>
      </c>
      <c r="L11" s="613">
        <v>2</v>
      </c>
      <c r="M11" s="613">
        <v>0</v>
      </c>
      <c r="N11" s="197">
        <v>0</v>
      </c>
      <c r="O11" s="197">
        <v>0</v>
      </c>
      <c r="P11" s="583">
        <v>5</v>
      </c>
      <c r="Q11" s="581">
        <v>2</v>
      </c>
      <c r="R11" s="580">
        <v>4</v>
      </c>
      <c r="S11" s="581">
        <f t="shared" si="0"/>
        <v>8</v>
      </c>
      <c r="T11" s="581">
        <f t="shared" si="0"/>
        <v>12</v>
      </c>
      <c r="U11" s="581">
        <f t="shared" si="0"/>
        <v>16</v>
      </c>
      <c r="V11" s="581">
        <f t="shared" si="0"/>
        <v>20</v>
      </c>
      <c r="W11" s="581">
        <f t="shared" si="0"/>
        <v>24</v>
      </c>
      <c r="X11" s="581">
        <f t="shared" si="0"/>
        <v>28</v>
      </c>
      <c r="Y11" s="581">
        <f t="shared" si="0"/>
        <v>32</v>
      </c>
      <c r="Z11" s="581">
        <f t="shared" si="0"/>
        <v>36</v>
      </c>
      <c r="AA11" s="581">
        <f t="shared" si="0"/>
        <v>40</v>
      </c>
      <c r="AB11" s="581">
        <f t="shared" si="0"/>
        <v>44</v>
      </c>
      <c r="AC11" s="581">
        <f t="shared" si="1"/>
        <v>48</v>
      </c>
      <c r="AD11" s="581">
        <f t="shared" si="1"/>
        <v>52</v>
      </c>
      <c r="AE11" s="581">
        <f t="shared" si="1"/>
        <v>56</v>
      </c>
      <c r="AF11" s="581">
        <f t="shared" si="1"/>
        <v>60</v>
      </c>
      <c r="AG11" s="581">
        <f t="shared" si="1"/>
        <v>64</v>
      </c>
      <c r="AH11" s="581">
        <f t="shared" si="1"/>
        <v>68</v>
      </c>
      <c r="AI11" s="581">
        <f t="shared" si="1"/>
        <v>72</v>
      </c>
      <c r="AJ11" s="581">
        <f t="shared" si="1"/>
        <v>76</v>
      </c>
      <c r="AK11" s="581">
        <f t="shared" si="1"/>
        <v>80</v>
      </c>
      <c r="AL11" s="581">
        <f t="shared" si="1"/>
        <v>84</v>
      </c>
      <c r="AM11" s="581">
        <f t="shared" si="2"/>
        <v>88</v>
      </c>
      <c r="AN11" s="581">
        <f t="shared" si="2"/>
        <v>92</v>
      </c>
      <c r="AO11" s="581">
        <f t="shared" si="2"/>
        <v>96</v>
      </c>
      <c r="AP11" s="581">
        <f t="shared" si="2"/>
        <v>100</v>
      </c>
      <c r="AQ11" s="581">
        <f t="shared" si="2"/>
        <v>104</v>
      </c>
      <c r="AR11" s="581">
        <f t="shared" si="2"/>
        <v>108</v>
      </c>
      <c r="AS11" s="581">
        <f t="shared" si="2"/>
        <v>112</v>
      </c>
      <c r="AT11" s="581">
        <f t="shared" si="2"/>
        <v>116</v>
      </c>
      <c r="AU11" s="581">
        <f t="shared" si="2"/>
        <v>120</v>
      </c>
    </row>
    <row r="12" spans="2:47" x14ac:dyDescent="0.3">
      <c r="B12" s="1119" t="s">
        <v>180</v>
      </c>
      <c r="C12" s="606" t="s">
        <v>187</v>
      </c>
      <c r="D12" s="583" t="s">
        <v>278</v>
      </c>
      <c r="E12" s="583" t="s">
        <v>278</v>
      </c>
      <c r="F12" s="583" t="s">
        <v>279</v>
      </c>
      <c r="G12" s="583" t="s">
        <v>278</v>
      </c>
      <c r="H12" s="583" t="s">
        <v>278</v>
      </c>
      <c r="I12" s="583" t="s">
        <v>279</v>
      </c>
      <c r="J12" s="581">
        <v>0</v>
      </c>
      <c r="K12" s="581">
        <v>0</v>
      </c>
      <c r="L12" s="613">
        <v>1</v>
      </c>
      <c r="M12" s="581">
        <v>0</v>
      </c>
      <c r="N12" s="581">
        <v>0</v>
      </c>
      <c r="O12" s="613">
        <v>1</v>
      </c>
      <c r="P12" s="583">
        <v>5</v>
      </c>
      <c r="Q12" s="581">
        <v>2</v>
      </c>
      <c r="R12" s="580">
        <v>6</v>
      </c>
      <c r="S12" s="581">
        <f t="shared" si="0"/>
        <v>12</v>
      </c>
      <c r="T12" s="581">
        <f t="shared" si="0"/>
        <v>18</v>
      </c>
      <c r="U12" s="581">
        <f t="shared" si="0"/>
        <v>24</v>
      </c>
      <c r="V12" s="581">
        <f t="shared" si="0"/>
        <v>30</v>
      </c>
      <c r="W12" s="581">
        <f t="shared" si="0"/>
        <v>36</v>
      </c>
      <c r="X12" s="581">
        <f t="shared" si="0"/>
        <v>42</v>
      </c>
      <c r="Y12" s="581">
        <f t="shared" si="0"/>
        <v>48</v>
      </c>
      <c r="Z12" s="581">
        <f t="shared" si="0"/>
        <v>54</v>
      </c>
      <c r="AA12" s="581">
        <f t="shared" si="0"/>
        <v>60</v>
      </c>
      <c r="AB12" s="581">
        <f t="shared" si="0"/>
        <v>66</v>
      </c>
      <c r="AC12" s="581">
        <f t="shared" si="1"/>
        <v>72</v>
      </c>
      <c r="AD12" s="581">
        <f t="shared" si="1"/>
        <v>78</v>
      </c>
      <c r="AE12" s="581">
        <f t="shared" si="1"/>
        <v>84</v>
      </c>
      <c r="AF12" s="581">
        <f t="shared" si="1"/>
        <v>90</v>
      </c>
      <c r="AG12" s="581">
        <f t="shared" si="1"/>
        <v>96</v>
      </c>
      <c r="AH12" s="581">
        <f t="shared" si="1"/>
        <v>102</v>
      </c>
      <c r="AI12" s="581">
        <f t="shared" si="1"/>
        <v>108</v>
      </c>
      <c r="AJ12" s="581">
        <f t="shared" si="1"/>
        <v>114</v>
      </c>
      <c r="AK12" s="581">
        <f t="shared" si="1"/>
        <v>120</v>
      </c>
      <c r="AL12" s="581">
        <f t="shared" si="1"/>
        <v>126</v>
      </c>
      <c r="AM12" s="581">
        <f t="shared" si="2"/>
        <v>132</v>
      </c>
      <c r="AN12" s="581">
        <f t="shared" si="2"/>
        <v>138</v>
      </c>
      <c r="AO12" s="581">
        <f t="shared" si="2"/>
        <v>144</v>
      </c>
      <c r="AP12" s="581">
        <f t="shared" si="2"/>
        <v>150</v>
      </c>
      <c r="AQ12" s="581">
        <f t="shared" si="2"/>
        <v>156</v>
      </c>
      <c r="AR12" s="581">
        <f t="shared" si="2"/>
        <v>162</v>
      </c>
      <c r="AS12" s="581">
        <f t="shared" si="2"/>
        <v>168</v>
      </c>
      <c r="AT12" s="581">
        <f t="shared" si="2"/>
        <v>174</v>
      </c>
      <c r="AU12" s="581">
        <f t="shared" si="2"/>
        <v>180</v>
      </c>
    </row>
    <row r="13" spans="2:47" x14ac:dyDescent="0.3">
      <c r="B13" s="59" t="s">
        <v>1011</v>
      </c>
      <c r="C13" t="s">
        <v>174</v>
      </c>
      <c r="D13" s="583" t="s">
        <v>279</v>
      </c>
      <c r="E13" s="583" t="s">
        <v>279</v>
      </c>
      <c r="F13" s="583" t="s">
        <v>278</v>
      </c>
      <c r="G13" s="583" t="s">
        <v>278</v>
      </c>
      <c r="H13" s="583" t="s">
        <v>278</v>
      </c>
      <c r="I13" s="583" t="s">
        <v>278</v>
      </c>
      <c r="J13" s="613">
        <v>2</v>
      </c>
      <c r="K13" s="613">
        <v>0</v>
      </c>
      <c r="L13" s="197">
        <v>0</v>
      </c>
      <c r="M13" s="197">
        <v>0</v>
      </c>
      <c r="N13" s="197">
        <v>0</v>
      </c>
      <c r="O13" s="197">
        <v>0</v>
      </c>
      <c r="P13" s="583">
        <v>1</v>
      </c>
      <c r="Q13" s="581">
        <v>4</v>
      </c>
      <c r="R13" s="580">
        <v>5</v>
      </c>
      <c r="S13" s="581">
        <f t="shared" si="0"/>
        <v>10</v>
      </c>
      <c r="T13" s="581">
        <f t="shared" si="0"/>
        <v>15</v>
      </c>
      <c r="U13" s="581">
        <f t="shared" si="0"/>
        <v>20</v>
      </c>
      <c r="V13" s="581">
        <f t="shared" si="0"/>
        <v>25</v>
      </c>
      <c r="W13" s="581">
        <f t="shared" si="0"/>
        <v>30</v>
      </c>
      <c r="X13" s="581">
        <f t="shared" si="0"/>
        <v>35</v>
      </c>
      <c r="Y13" s="581">
        <f t="shared" si="0"/>
        <v>40</v>
      </c>
      <c r="Z13" s="581">
        <f t="shared" si="0"/>
        <v>45</v>
      </c>
      <c r="AA13" s="581">
        <f t="shared" si="0"/>
        <v>50</v>
      </c>
      <c r="AB13" s="581">
        <f t="shared" si="0"/>
        <v>55</v>
      </c>
      <c r="AC13" s="581">
        <f t="shared" si="1"/>
        <v>60</v>
      </c>
      <c r="AD13" s="581">
        <f t="shared" si="1"/>
        <v>65</v>
      </c>
      <c r="AE13" s="581">
        <f t="shared" si="1"/>
        <v>70</v>
      </c>
      <c r="AF13" s="581">
        <f t="shared" si="1"/>
        <v>75</v>
      </c>
      <c r="AG13" s="581">
        <f t="shared" si="1"/>
        <v>80</v>
      </c>
      <c r="AH13" s="581">
        <f t="shared" si="1"/>
        <v>85</v>
      </c>
      <c r="AI13" s="581">
        <f t="shared" si="1"/>
        <v>90</v>
      </c>
      <c r="AJ13" s="581">
        <f t="shared" si="1"/>
        <v>95</v>
      </c>
      <c r="AK13" s="581">
        <f t="shared" si="1"/>
        <v>100</v>
      </c>
      <c r="AL13" s="581">
        <f t="shared" si="1"/>
        <v>105</v>
      </c>
      <c r="AM13" s="581">
        <f t="shared" si="2"/>
        <v>110</v>
      </c>
      <c r="AN13" s="581">
        <f t="shared" si="2"/>
        <v>115</v>
      </c>
      <c r="AO13" s="581">
        <f t="shared" si="2"/>
        <v>120</v>
      </c>
      <c r="AP13" s="581">
        <f t="shared" si="2"/>
        <v>125</v>
      </c>
      <c r="AQ13" s="581">
        <f t="shared" si="2"/>
        <v>130</v>
      </c>
      <c r="AR13" s="581">
        <f t="shared" si="2"/>
        <v>135</v>
      </c>
      <c r="AS13" s="581">
        <f t="shared" si="2"/>
        <v>140</v>
      </c>
      <c r="AT13" s="581">
        <f t="shared" si="2"/>
        <v>145</v>
      </c>
      <c r="AU13" s="581">
        <f t="shared" si="2"/>
        <v>150</v>
      </c>
    </row>
    <row r="14" spans="2:47" x14ac:dyDescent="0.3">
      <c r="B14" s="59" t="s">
        <v>257</v>
      </c>
      <c r="C14" t="s">
        <v>174</v>
      </c>
      <c r="D14" s="583" t="s">
        <v>279</v>
      </c>
      <c r="E14" s="583" t="s">
        <v>279</v>
      </c>
      <c r="F14" s="583" t="s">
        <v>278</v>
      </c>
      <c r="G14" s="583" t="s">
        <v>278</v>
      </c>
      <c r="H14" s="583" t="s">
        <v>278</v>
      </c>
      <c r="I14" s="583" t="s">
        <v>278</v>
      </c>
      <c r="J14" s="613">
        <v>2</v>
      </c>
      <c r="K14" s="613">
        <v>0</v>
      </c>
      <c r="L14" s="197">
        <v>0</v>
      </c>
      <c r="M14" s="197">
        <v>0</v>
      </c>
      <c r="N14" s="197">
        <v>0</v>
      </c>
      <c r="O14" s="197">
        <v>0</v>
      </c>
      <c r="P14" s="583">
        <v>1</v>
      </c>
      <c r="Q14" s="581">
        <v>4</v>
      </c>
      <c r="R14" s="580">
        <v>5</v>
      </c>
      <c r="S14" s="581">
        <f t="shared" si="0"/>
        <v>10</v>
      </c>
      <c r="T14" s="581">
        <f t="shared" si="0"/>
        <v>15</v>
      </c>
      <c r="U14" s="581">
        <f t="shared" si="0"/>
        <v>20</v>
      </c>
      <c r="V14" s="581">
        <f t="shared" si="0"/>
        <v>25</v>
      </c>
      <c r="W14" s="581">
        <f t="shared" si="0"/>
        <v>30</v>
      </c>
      <c r="X14" s="581">
        <f t="shared" si="0"/>
        <v>35</v>
      </c>
      <c r="Y14" s="581">
        <f t="shared" si="0"/>
        <v>40</v>
      </c>
      <c r="Z14" s="581">
        <f t="shared" si="0"/>
        <v>45</v>
      </c>
      <c r="AA14" s="581">
        <f t="shared" si="0"/>
        <v>50</v>
      </c>
      <c r="AB14" s="581">
        <f t="shared" si="0"/>
        <v>55</v>
      </c>
      <c r="AC14" s="581">
        <f t="shared" si="1"/>
        <v>60</v>
      </c>
      <c r="AD14" s="581">
        <f t="shared" si="1"/>
        <v>65</v>
      </c>
      <c r="AE14" s="581">
        <f t="shared" si="1"/>
        <v>70</v>
      </c>
      <c r="AF14" s="581">
        <f t="shared" si="1"/>
        <v>75</v>
      </c>
      <c r="AG14" s="581">
        <f t="shared" si="1"/>
        <v>80</v>
      </c>
      <c r="AH14" s="581">
        <f t="shared" si="1"/>
        <v>85</v>
      </c>
      <c r="AI14" s="581">
        <f t="shared" si="1"/>
        <v>90</v>
      </c>
      <c r="AJ14" s="581">
        <f t="shared" si="1"/>
        <v>95</v>
      </c>
      <c r="AK14" s="581">
        <f t="shared" si="1"/>
        <v>100</v>
      </c>
      <c r="AL14" s="581">
        <f t="shared" si="1"/>
        <v>105</v>
      </c>
      <c r="AM14" s="581">
        <f t="shared" si="2"/>
        <v>110</v>
      </c>
      <c r="AN14" s="581">
        <f t="shared" si="2"/>
        <v>115</v>
      </c>
      <c r="AO14" s="581">
        <f t="shared" si="2"/>
        <v>120</v>
      </c>
      <c r="AP14" s="581">
        <f t="shared" si="2"/>
        <v>125</v>
      </c>
      <c r="AQ14" s="581">
        <f t="shared" si="2"/>
        <v>130</v>
      </c>
      <c r="AR14" s="581">
        <f t="shared" si="2"/>
        <v>135</v>
      </c>
      <c r="AS14" s="581">
        <f t="shared" si="2"/>
        <v>140</v>
      </c>
      <c r="AT14" s="581">
        <f t="shared" si="2"/>
        <v>145</v>
      </c>
      <c r="AU14" s="581">
        <f t="shared" si="2"/>
        <v>150</v>
      </c>
    </row>
    <row r="15" spans="2:47" x14ac:dyDescent="0.3">
      <c r="B15" s="59" t="s">
        <v>261</v>
      </c>
      <c r="C15" t="s">
        <v>202</v>
      </c>
      <c r="D15" s="583" t="s">
        <v>278</v>
      </c>
      <c r="E15" s="583" t="s">
        <v>278</v>
      </c>
      <c r="F15" s="583" t="s">
        <v>278</v>
      </c>
      <c r="G15" s="583" t="s">
        <v>279</v>
      </c>
      <c r="H15" s="583" t="s">
        <v>279</v>
      </c>
      <c r="I15" s="583" t="s">
        <v>278</v>
      </c>
      <c r="J15" s="197">
        <v>0</v>
      </c>
      <c r="K15" s="197">
        <v>0</v>
      </c>
      <c r="L15" s="197">
        <v>0</v>
      </c>
      <c r="M15" s="613">
        <v>2</v>
      </c>
      <c r="N15" s="613">
        <v>0</v>
      </c>
      <c r="O15" s="197">
        <v>0</v>
      </c>
      <c r="P15" s="583">
        <v>9</v>
      </c>
      <c r="Q15" s="581">
        <v>2</v>
      </c>
      <c r="R15" s="580">
        <v>5</v>
      </c>
      <c r="S15" s="581">
        <f t="shared" si="0"/>
        <v>10</v>
      </c>
      <c r="T15" s="581">
        <f t="shared" si="0"/>
        <v>15</v>
      </c>
      <c r="U15" s="581">
        <f t="shared" si="0"/>
        <v>20</v>
      </c>
      <c r="V15" s="581">
        <f t="shared" si="0"/>
        <v>25</v>
      </c>
      <c r="W15" s="581">
        <f t="shared" si="0"/>
        <v>30</v>
      </c>
      <c r="X15" s="581">
        <f t="shared" si="0"/>
        <v>35</v>
      </c>
      <c r="Y15" s="581">
        <f t="shared" si="0"/>
        <v>40</v>
      </c>
      <c r="Z15" s="581">
        <f t="shared" si="0"/>
        <v>45</v>
      </c>
      <c r="AA15" s="581">
        <f t="shared" si="0"/>
        <v>50</v>
      </c>
      <c r="AB15" s="581">
        <f t="shared" si="0"/>
        <v>55</v>
      </c>
      <c r="AC15" s="581">
        <f t="shared" si="1"/>
        <v>60</v>
      </c>
      <c r="AD15" s="581">
        <f t="shared" si="1"/>
        <v>65</v>
      </c>
      <c r="AE15" s="581">
        <f t="shared" si="1"/>
        <v>70</v>
      </c>
      <c r="AF15" s="581">
        <f t="shared" si="1"/>
        <v>75</v>
      </c>
      <c r="AG15" s="581">
        <f t="shared" si="1"/>
        <v>80</v>
      </c>
      <c r="AH15" s="581">
        <f t="shared" si="1"/>
        <v>85</v>
      </c>
      <c r="AI15" s="581">
        <f t="shared" si="1"/>
        <v>90</v>
      </c>
      <c r="AJ15" s="581">
        <f t="shared" si="1"/>
        <v>95</v>
      </c>
      <c r="AK15" s="581">
        <f t="shared" si="1"/>
        <v>100</v>
      </c>
      <c r="AL15" s="581">
        <f t="shared" si="1"/>
        <v>105</v>
      </c>
      <c r="AM15" s="581">
        <f t="shared" si="2"/>
        <v>110</v>
      </c>
      <c r="AN15" s="581">
        <f t="shared" si="2"/>
        <v>115</v>
      </c>
      <c r="AO15" s="581">
        <f t="shared" si="2"/>
        <v>120</v>
      </c>
      <c r="AP15" s="581">
        <f t="shared" si="2"/>
        <v>125</v>
      </c>
      <c r="AQ15" s="581">
        <f t="shared" si="2"/>
        <v>130</v>
      </c>
      <c r="AR15" s="581">
        <f t="shared" si="2"/>
        <v>135</v>
      </c>
      <c r="AS15" s="581">
        <f t="shared" si="2"/>
        <v>140</v>
      </c>
      <c r="AT15" s="581">
        <f t="shared" si="2"/>
        <v>145</v>
      </c>
      <c r="AU15" s="581">
        <f t="shared" si="2"/>
        <v>150</v>
      </c>
    </row>
    <row r="16" spans="2:47" x14ac:dyDescent="0.3">
      <c r="B16" s="59" t="s">
        <v>1012</v>
      </c>
      <c r="C16" t="s">
        <v>202</v>
      </c>
      <c r="D16" s="583" t="s">
        <v>278</v>
      </c>
      <c r="E16" s="583" t="s">
        <v>278</v>
      </c>
      <c r="F16" s="583" t="s">
        <v>278</v>
      </c>
      <c r="G16" s="583" t="s">
        <v>279</v>
      </c>
      <c r="H16" s="583" t="s">
        <v>279</v>
      </c>
      <c r="I16" s="583" t="s">
        <v>278</v>
      </c>
      <c r="J16" s="197">
        <v>0</v>
      </c>
      <c r="K16" s="197">
        <v>0</v>
      </c>
      <c r="L16" s="197">
        <v>0</v>
      </c>
      <c r="M16" s="613">
        <v>2</v>
      </c>
      <c r="N16" s="613">
        <v>0</v>
      </c>
      <c r="O16" s="197">
        <v>0</v>
      </c>
      <c r="P16" s="583">
        <v>9</v>
      </c>
      <c r="Q16" s="581">
        <v>2</v>
      </c>
      <c r="R16" s="580">
        <v>5</v>
      </c>
      <c r="S16" s="581">
        <f t="shared" si="0"/>
        <v>10</v>
      </c>
      <c r="T16" s="581">
        <f t="shared" si="0"/>
        <v>15</v>
      </c>
      <c r="U16" s="581">
        <f t="shared" si="0"/>
        <v>20</v>
      </c>
      <c r="V16" s="581">
        <f t="shared" si="0"/>
        <v>25</v>
      </c>
      <c r="W16" s="581">
        <f t="shared" si="0"/>
        <v>30</v>
      </c>
      <c r="X16" s="581">
        <f t="shared" si="0"/>
        <v>35</v>
      </c>
      <c r="Y16" s="581">
        <f t="shared" si="0"/>
        <v>40</v>
      </c>
      <c r="Z16" s="581">
        <f t="shared" si="0"/>
        <v>45</v>
      </c>
      <c r="AA16" s="581">
        <f t="shared" si="0"/>
        <v>50</v>
      </c>
      <c r="AB16" s="581">
        <f t="shared" si="0"/>
        <v>55</v>
      </c>
      <c r="AC16" s="581">
        <f t="shared" si="1"/>
        <v>60</v>
      </c>
      <c r="AD16" s="581">
        <f t="shared" si="1"/>
        <v>65</v>
      </c>
      <c r="AE16" s="581">
        <f t="shared" si="1"/>
        <v>70</v>
      </c>
      <c r="AF16" s="581">
        <f t="shared" si="1"/>
        <v>75</v>
      </c>
      <c r="AG16" s="581">
        <f t="shared" si="1"/>
        <v>80</v>
      </c>
      <c r="AH16" s="581">
        <f t="shared" si="1"/>
        <v>85</v>
      </c>
      <c r="AI16" s="581">
        <f t="shared" si="1"/>
        <v>90</v>
      </c>
      <c r="AJ16" s="581">
        <f t="shared" si="1"/>
        <v>95</v>
      </c>
      <c r="AK16" s="581">
        <f t="shared" si="1"/>
        <v>100</v>
      </c>
      <c r="AL16" s="581">
        <f t="shared" si="1"/>
        <v>105</v>
      </c>
      <c r="AM16" s="581">
        <f t="shared" si="2"/>
        <v>110</v>
      </c>
      <c r="AN16" s="581">
        <f t="shared" si="2"/>
        <v>115</v>
      </c>
      <c r="AO16" s="581">
        <f t="shared" si="2"/>
        <v>120</v>
      </c>
      <c r="AP16" s="581">
        <f t="shared" si="2"/>
        <v>125</v>
      </c>
      <c r="AQ16" s="581">
        <f t="shared" si="2"/>
        <v>130</v>
      </c>
      <c r="AR16" s="581">
        <f t="shared" si="2"/>
        <v>135</v>
      </c>
      <c r="AS16" s="581">
        <f t="shared" si="2"/>
        <v>140</v>
      </c>
      <c r="AT16" s="581">
        <f t="shared" si="2"/>
        <v>145</v>
      </c>
      <c r="AU16" s="581">
        <f t="shared" si="2"/>
        <v>150</v>
      </c>
    </row>
    <row r="17" spans="2:47" x14ac:dyDescent="0.3">
      <c r="B17" s="59" t="s">
        <v>270</v>
      </c>
      <c r="C17" t="s">
        <v>212</v>
      </c>
      <c r="D17" s="583" t="s">
        <v>278</v>
      </c>
      <c r="E17" s="583" t="s">
        <v>279</v>
      </c>
      <c r="F17" s="583" t="s">
        <v>278</v>
      </c>
      <c r="G17" s="583" t="s">
        <v>279</v>
      </c>
      <c r="H17" s="583" t="s">
        <v>278</v>
      </c>
      <c r="I17" s="583" t="s">
        <v>278</v>
      </c>
      <c r="J17" s="197">
        <v>0</v>
      </c>
      <c r="K17" s="613">
        <v>1</v>
      </c>
      <c r="L17" s="197">
        <v>0</v>
      </c>
      <c r="M17" s="613">
        <v>1</v>
      </c>
      <c r="N17" s="197">
        <v>0</v>
      </c>
      <c r="O17" s="197">
        <v>0</v>
      </c>
      <c r="P17" s="583">
        <v>7</v>
      </c>
      <c r="Q17" s="581">
        <v>2</v>
      </c>
      <c r="R17" s="580">
        <v>5</v>
      </c>
      <c r="S17" s="581">
        <f t="shared" ref="S17:AB28" si="3">$R17*S$3</f>
        <v>10</v>
      </c>
      <c r="T17" s="581">
        <f t="shared" si="3"/>
        <v>15</v>
      </c>
      <c r="U17" s="581">
        <f t="shared" si="3"/>
        <v>20</v>
      </c>
      <c r="V17" s="581">
        <f t="shared" si="3"/>
        <v>25</v>
      </c>
      <c r="W17" s="581">
        <f t="shared" si="3"/>
        <v>30</v>
      </c>
      <c r="X17" s="581">
        <f t="shared" si="3"/>
        <v>35</v>
      </c>
      <c r="Y17" s="581">
        <f t="shared" si="3"/>
        <v>40</v>
      </c>
      <c r="Z17" s="581">
        <f t="shared" si="3"/>
        <v>45</v>
      </c>
      <c r="AA17" s="581">
        <f t="shared" si="3"/>
        <v>50</v>
      </c>
      <c r="AB17" s="581">
        <f t="shared" si="3"/>
        <v>55</v>
      </c>
      <c r="AC17" s="581">
        <f t="shared" ref="AC17:AL28" si="4">$R17*AC$3</f>
        <v>60</v>
      </c>
      <c r="AD17" s="581">
        <f t="shared" si="4"/>
        <v>65</v>
      </c>
      <c r="AE17" s="581">
        <f t="shared" si="4"/>
        <v>70</v>
      </c>
      <c r="AF17" s="581">
        <f t="shared" si="4"/>
        <v>75</v>
      </c>
      <c r="AG17" s="581">
        <f t="shared" si="4"/>
        <v>80</v>
      </c>
      <c r="AH17" s="581">
        <f t="shared" si="4"/>
        <v>85</v>
      </c>
      <c r="AI17" s="581">
        <f t="shared" si="4"/>
        <v>90</v>
      </c>
      <c r="AJ17" s="581">
        <f t="shared" si="4"/>
        <v>95</v>
      </c>
      <c r="AK17" s="581">
        <f t="shared" si="4"/>
        <v>100</v>
      </c>
      <c r="AL17" s="581">
        <f t="shared" si="4"/>
        <v>105</v>
      </c>
      <c r="AM17" s="581">
        <f t="shared" ref="AM17:AU28" si="5">$R17*AM$3</f>
        <v>110</v>
      </c>
      <c r="AN17" s="581">
        <f t="shared" si="5"/>
        <v>115</v>
      </c>
      <c r="AO17" s="581">
        <f t="shared" si="5"/>
        <v>120</v>
      </c>
      <c r="AP17" s="581">
        <f t="shared" si="5"/>
        <v>125</v>
      </c>
      <c r="AQ17" s="581">
        <f t="shared" si="5"/>
        <v>130</v>
      </c>
      <c r="AR17" s="581">
        <f t="shared" si="5"/>
        <v>135</v>
      </c>
      <c r="AS17" s="581">
        <f t="shared" si="5"/>
        <v>140</v>
      </c>
      <c r="AT17" s="581">
        <f t="shared" si="5"/>
        <v>145</v>
      </c>
      <c r="AU17" s="581">
        <f t="shared" si="5"/>
        <v>150</v>
      </c>
    </row>
    <row r="18" spans="2:47" x14ac:dyDescent="0.3">
      <c r="B18" s="59" t="s">
        <v>275</v>
      </c>
      <c r="C18" t="s">
        <v>273</v>
      </c>
      <c r="D18" s="583" t="s">
        <v>278</v>
      </c>
      <c r="E18" s="583" t="s">
        <v>278</v>
      </c>
      <c r="F18" s="583" t="s">
        <v>278</v>
      </c>
      <c r="G18" s="583" t="s">
        <v>279</v>
      </c>
      <c r="H18" s="583" t="s">
        <v>278</v>
      </c>
      <c r="I18" s="583" t="s">
        <v>279</v>
      </c>
      <c r="J18" s="197">
        <v>0</v>
      </c>
      <c r="K18" s="197">
        <v>0</v>
      </c>
      <c r="L18" s="197">
        <v>0</v>
      </c>
      <c r="M18" s="613">
        <v>2</v>
      </c>
      <c r="N18" s="197">
        <v>0</v>
      </c>
      <c r="O18" s="613">
        <v>0</v>
      </c>
      <c r="P18" s="583">
        <v>7</v>
      </c>
      <c r="Q18" s="581">
        <v>2</v>
      </c>
      <c r="R18" s="580">
        <v>5</v>
      </c>
      <c r="S18" s="581">
        <f t="shared" si="3"/>
        <v>10</v>
      </c>
      <c r="T18" s="581">
        <f t="shared" si="3"/>
        <v>15</v>
      </c>
      <c r="U18" s="581">
        <f t="shared" si="3"/>
        <v>20</v>
      </c>
      <c r="V18" s="581">
        <f t="shared" si="3"/>
        <v>25</v>
      </c>
      <c r="W18" s="581">
        <f t="shared" si="3"/>
        <v>30</v>
      </c>
      <c r="X18" s="581">
        <f t="shared" si="3"/>
        <v>35</v>
      </c>
      <c r="Y18" s="581">
        <f t="shared" si="3"/>
        <v>40</v>
      </c>
      <c r="Z18" s="581">
        <f t="shared" si="3"/>
        <v>45</v>
      </c>
      <c r="AA18" s="581">
        <f t="shared" si="3"/>
        <v>50</v>
      </c>
      <c r="AB18" s="581">
        <f t="shared" si="3"/>
        <v>55</v>
      </c>
      <c r="AC18" s="581">
        <f t="shared" si="4"/>
        <v>60</v>
      </c>
      <c r="AD18" s="581">
        <f t="shared" si="4"/>
        <v>65</v>
      </c>
      <c r="AE18" s="581">
        <f t="shared" si="4"/>
        <v>70</v>
      </c>
      <c r="AF18" s="581">
        <f t="shared" si="4"/>
        <v>75</v>
      </c>
      <c r="AG18" s="581">
        <f t="shared" si="4"/>
        <v>80</v>
      </c>
      <c r="AH18" s="581">
        <f t="shared" si="4"/>
        <v>85</v>
      </c>
      <c r="AI18" s="581">
        <f t="shared" si="4"/>
        <v>90</v>
      </c>
      <c r="AJ18" s="581">
        <f t="shared" si="4"/>
        <v>95</v>
      </c>
      <c r="AK18" s="581">
        <f t="shared" si="4"/>
        <v>100</v>
      </c>
      <c r="AL18" s="581">
        <f t="shared" si="4"/>
        <v>105</v>
      </c>
      <c r="AM18" s="581">
        <f t="shared" si="5"/>
        <v>110</v>
      </c>
      <c r="AN18" s="581">
        <f t="shared" si="5"/>
        <v>115</v>
      </c>
      <c r="AO18" s="581">
        <f t="shared" si="5"/>
        <v>120</v>
      </c>
      <c r="AP18" s="581">
        <f t="shared" si="5"/>
        <v>125</v>
      </c>
      <c r="AQ18" s="581">
        <f t="shared" si="5"/>
        <v>130</v>
      </c>
      <c r="AR18" s="581">
        <f t="shared" si="5"/>
        <v>135</v>
      </c>
      <c r="AS18" s="581">
        <f t="shared" si="5"/>
        <v>140</v>
      </c>
      <c r="AT18" s="581">
        <f t="shared" si="5"/>
        <v>145</v>
      </c>
      <c r="AU18" s="581">
        <f t="shared" si="5"/>
        <v>150</v>
      </c>
    </row>
    <row r="19" spans="2:47" x14ac:dyDescent="0.3">
      <c r="B19" s="59" t="s">
        <v>1013</v>
      </c>
      <c r="C19" t="s">
        <v>273</v>
      </c>
      <c r="D19" s="583" t="s">
        <v>278</v>
      </c>
      <c r="E19" s="583" t="s">
        <v>278</v>
      </c>
      <c r="F19" s="583" t="s">
        <v>278</v>
      </c>
      <c r="G19" s="583" t="s">
        <v>279</v>
      </c>
      <c r="H19" s="583" t="s">
        <v>278</v>
      </c>
      <c r="I19" s="583" t="s">
        <v>279</v>
      </c>
      <c r="J19" s="197">
        <v>0</v>
      </c>
      <c r="K19" s="197">
        <v>0</v>
      </c>
      <c r="L19" s="197">
        <v>0</v>
      </c>
      <c r="M19" s="613">
        <v>2</v>
      </c>
      <c r="N19" s="197">
        <v>0</v>
      </c>
      <c r="O19" s="613">
        <v>0</v>
      </c>
      <c r="P19" s="583">
        <v>7</v>
      </c>
      <c r="Q19" s="581">
        <v>2</v>
      </c>
      <c r="R19" s="580">
        <v>5</v>
      </c>
      <c r="S19" s="581">
        <f t="shared" si="3"/>
        <v>10</v>
      </c>
      <c r="T19" s="581">
        <f t="shared" si="3"/>
        <v>15</v>
      </c>
      <c r="U19" s="581">
        <f t="shared" si="3"/>
        <v>20</v>
      </c>
      <c r="V19" s="581">
        <f t="shared" si="3"/>
        <v>25</v>
      </c>
      <c r="W19" s="581">
        <f t="shared" si="3"/>
        <v>30</v>
      </c>
      <c r="X19" s="581">
        <f t="shared" si="3"/>
        <v>35</v>
      </c>
      <c r="Y19" s="581">
        <f t="shared" si="3"/>
        <v>40</v>
      </c>
      <c r="Z19" s="581">
        <f t="shared" si="3"/>
        <v>45</v>
      </c>
      <c r="AA19" s="581">
        <f t="shared" si="3"/>
        <v>50</v>
      </c>
      <c r="AB19" s="581">
        <f t="shared" si="3"/>
        <v>55</v>
      </c>
      <c r="AC19" s="581">
        <f t="shared" si="4"/>
        <v>60</v>
      </c>
      <c r="AD19" s="581">
        <f t="shared" si="4"/>
        <v>65</v>
      </c>
      <c r="AE19" s="581">
        <f t="shared" si="4"/>
        <v>70</v>
      </c>
      <c r="AF19" s="581">
        <f t="shared" si="4"/>
        <v>75</v>
      </c>
      <c r="AG19" s="581">
        <f t="shared" si="4"/>
        <v>80</v>
      </c>
      <c r="AH19" s="581">
        <f t="shared" si="4"/>
        <v>85</v>
      </c>
      <c r="AI19" s="581">
        <f t="shared" si="4"/>
        <v>90</v>
      </c>
      <c r="AJ19" s="581">
        <f t="shared" si="4"/>
        <v>95</v>
      </c>
      <c r="AK19" s="581">
        <f t="shared" si="4"/>
        <v>100</v>
      </c>
      <c r="AL19" s="581">
        <f t="shared" si="4"/>
        <v>105</v>
      </c>
      <c r="AM19" s="581">
        <f t="shared" si="5"/>
        <v>110</v>
      </c>
      <c r="AN19" s="581">
        <f t="shared" si="5"/>
        <v>115</v>
      </c>
      <c r="AO19" s="581">
        <f t="shared" si="5"/>
        <v>120</v>
      </c>
      <c r="AP19" s="581">
        <f t="shared" si="5"/>
        <v>125</v>
      </c>
      <c r="AQ19" s="581">
        <f t="shared" si="5"/>
        <v>130</v>
      </c>
      <c r="AR19" s="581">
        <f t="shared" si="5"/>
        <v>135</v>
      </c>
      <c r="AS19" s="581">
        <f t="shared" si="5"/>
        <v>140</v>
      </c>
      <c r="AT19" s="581">
        <f t="shared" si="5"/>
        <v>145</v>
      </c>
      <c r="AU19" s="581">
        <f t="shared" si="5"/>
        <v>150</v>
      </c>
    </row>
    <row r="20" spans="2:47" x14ac:dyDescent="0.3">
      <c r="B20" s="59" t="s">
        <v>5603</v>
      </c>
      <c r="C20" t="s">
        <v>2287</v>
      </c>
      <c r="D20" s="583" t="s">
        <v>278</v>
      </c>
      <c r="E20" s="583" t="s">
        <v>278</v>
      </c>
      <c r="F20" s="583" t="s">
        <v>279</v>
      </c>
      <c r="G20" s="583" t="s">
        <v>278</v>
      </c>
      <c r="H20" s="583" t="s">
        <v>279</v>
      </c>
      <c r="I20" s="583" t="s">
        <v>278</v>
      </c>
      <c r="J20" s="143">
        <v>0</v>
      </c>
      <c r="K20" s="143">
        <v>0</v>
      </c>
      <c r="L20" s="613">
        <v>0</v>
      </c>
      <c r="M20" s="197">
        <v>0</v>
      </c>
      <c r="N20" s="613">
        <v>2</v>
      </c>
      <c r="O20" s="197">
        <v>0</v>
      </c>
      <c r="P20" s="583">
        <v>8</v>
      </c>
      <c r="Q20" s="581">
        <v>2</v>
      </c>
      <c r="R20" s="580">
        <v>5</v>
      </c>
      <c r="S20" s="581">
        <f t="shared" si="3"/>
        <v>10</v>
      </c>
      <c r="T20" s="581">
        <f t="shared" si="3"/>
        <v>15</v>
      </c>
      <c r="U20" s="581">
        <f t="shared" si="3"/>
        <v>20</v>
      </c>
      <c r="V20" s="581">
        <f t="shared" si="3"/>
        <v>25</v>
      </c>
      <c r="W20" s="581">
        <f t="shared" si="3"/>
        <v>30</v>
      </c>
      <c r="X20" s="581">
        <f t="shared" si="3"/>
        <v>35</v>
      </c>
      <c r="Y20" s="581">
        <f t="shared" si="3"/>
        <v>40</v>
      </c>
      <c r="Z20" s="581">
        <f t="shared" si="3"/>
        <v>45</v>
      </c>
      <c r="AA20" s="581">
        <f t="shared" si="3"/>
        <v>50</v>
      </c>
      <c r="AB20" s="581">
        <f t="shared" si="3"/>
        <v>55</v>
      </c>
      <c r="AC20" s="581">
        <f t="shared" si="4"/>
        <v>60</v>
      </c>
      <c r="AD20" s="581">
        <f t="shared" si="4"/>
        <v>65</v>
      </c>
      <c r="AE20" s="581">
        <f t="shared" si="4"/>
        <v>70</v>
      </c>
      <c r="AF20" s="581">
        <f t="shared" si="4"/>
        <v>75</v>
      </c>
      <c r="AG20" s="581">
        <f t="shared" si="4"/>
        <v>80</v>
      </c>
      <c r="AH20" s="581">
        <f t="shared" si="4"/>
        <v>85</v>
      </c>
      <c r="AI20" s="581">
        <f t="shared" si="4"/>
        <v>90</v>
      </c>
      <c r="AJ20" s="581">
        <f t="shared" si="4"/>
        <v>95</v>
      </c>
      <c r="AK20" s="581">
        <f t="shared" si="4"/>
        <v>100</v>
      </c>
      <c r="AL20" s="581">
        <f t="shared" si="4"/>
        <v>105</v>
      </c>
      <c r="AM20" s="581">
        <f t="shared" si="5"/>
        <v>110</v>
      </c>
      <c r="AN20" s="581">
        <f t="shared" si="5"/>
        <v>115</v>
      </c>
      <c r="AO20" s="581">
        <f t="shared" si="5"/>
        <v>120</v>
      </c>
      <c r="AP20" s="581">
        <f t="shared" si="5"/>
        <v>125</v>
      </c>
      <c r="AQ20" s="581">
        <f t="shared" si="5"/>
        <v>130</v>
      </c>
      <c r="AR20" s="581">
        <f t="shared" si="5"/>
        <v>135</v>
      </c>
      <c r="AS20" s="581">
        <f t="shared" si="5"/>
        <v>140</v>
      </c>
      <c r="AT20" s="581">
        <f t="shared" si="5"/>
        <v>145</v>
      </c>
      <c r="AU20" s="581">
        <f t="shared" si="5"/>
        <v>150</v>
      </c>
    </row>
    <row r="21" spans="2:47" x14ac:dyDescent="0.3">
      <c r="B21" s="59" t="s">
        <v>5604</v>
      </c>
      <c r="C21" t="s">
        <v>2287</v>
      </c>
      <c r="D21" s="583" t="s">
        <v>278</v>
      </c>
      <c r="E21" s="583" t="s">
        <v>278</v>
      </c>
      <c r="F21" s="583" t="s">
        <v>279</v>
      </c>
      <c r="G21" s="583" t="s">
        <v>278</v>
      </c>
      <c r="H21" s="583" t="s">
        <v>279</v>
      </c>
      <c r="I21" s="583" t="s">
        <v>278</v>
      </c>
      <c r="J21" s="143">
        <v>0</v>
      </c>
      <c r="K21" s="143">
        <v>0</v>
      </c>
      <c r="L21" s="613">
        <v>0</v>
      </c>
      <c r="M21" s="197">
        <v>0</v>
      </c>
      <c r="N21" s="613">
        <v>2</v>
      </c>
      <c r="O21" s="197">
        <v>0</v>
      </c>
      <c r="P21" s="583">
        <v>8</v>
      </c>
      <c r="Q21" s="581">
        <v>2</v>
      </c>
      <c r="R21" s="580">
        <v>5</v>
      </c>
      <c r="S21" s="581">
        <f t="shared" si="3"/>
        <v>10</v>
      </c>
      <c r="T21" s="581">
        <f t="shared" si="3"/>
        <v>15</v>
      </c>
      <c r="U21" s="581">
        <f t="shared" si="3"/>
        <v>20</v>
      </c>
      <c r="V21" s="581">
        <f t="shared" si="3"/>
        <v>25</v>
      </c>
      <c r="W21" s="581">
        <f t="shared" si="3"/>
        <v>30</v>
      </c>
      <c r="X21" s="581">
        <f t="shared" si="3"/>
        <v>35</v>
      </c>
      <c r="Y21" s="581">
        <f t="shared" si="3"/>
        <v>40</v>
      </c>
      <c r="Z21" s="581">
        <f t="shared" si="3"/>
        <v>45</v>
      </c>
      <c r="AA21" s="581">
        <f t="shared" si="3"/>
        <v>50</v>
      </c>
      <c r="AB21" s="581">
        <f t="shared" si="3"/>
        <v>55</v>
      </c>
      <c r="AC21" s="581">
        <f t="shared" si="4"/>
        <v>60</v>
      </c>
      <c r="AD21" s="581">
        <f t="shared" si="4"/>
        <v>65</v>
      </c>
      <c r="AE21" s="581">
        <f t="shared" si="4"/>
        <v>70</v>
      </c>
      <c r="AF21" s="581">
        <f t="shared" si="4"/>
        <v>75</v>
      </c>
      <c r="AG21" s="581">
        <f t="shared" si="4"/>
        <v>80</v>
      </c>
      <c r="AH21" s="581">
        <f t="shared" si="4"/>
        <v>85</v>
      </c>
      <c r="AI21" s="581">
        <f t="shared" si="4"/>
        <v>90</v>
      </c>
      <c r="AJ21" s="581">
        <f t="shared" si="4"/>
        <v>95</v>
      </c>
      <c r="AK21" s="581">
        <f t="shared" si="4"/>
        <v>100</v>
      </c>
      <c r="AL21" s="581">
        <f t="shared" si="4"/>
        <v>105</v>
      </c>
      <c r="AM21" s="581">
        <f t="shared" si="5"/>
        <v>110</v>
      </c>
      <c r="AN21" s="581">
        <f t="shared" si="5"/>
        <v>115</v>
      </c>
      <c r="AO21" s="581">
        <f t="shared" si="5"/>
        <v>120</v>
      </c>
      <c r="AP21" s="581">
        <f t="shared" si="5"/>
        <v>125</v>
      </c>
      <c r="AQ21" s="581">
        <f t="shared" si="5"/>
        <v>130</v>
      </c>
      <c r="AR21" s="581">
        <f t="shared" si="5"/>
        <v>135</v>
      </c>
      <c r="AS21" s="581">
        <f t="shared" si="5"/>
        <v>140</v>
      </c>
      <c r="AT21" s="581">
        <f t="shared" si="5"/>
        <v>145</v>
      </c>
      <c r="AU21" s="581">
        <f t="shared" si="5"/>
        <v>150</v>
      </c>
    </row>
    <row r="22" spans="2:47" x14ac:dyDescent="0.3">
      <c r="B22" s="59" t="s">
        <v>272</v>
      </c>
      <c r="C22" t="s">
        <v>273</v>
      </c>
      <c r="D22" s="583" t="s">
        <v>278</v>
      </c>
      <c r="E22" s="583" t="s">
        <v>278</v>
      </c>
      <c r="F22" s="583" t="s">
        <v>278</v>
      </c>
      <c r="G22" s="583" t="s">
        <v>278</v>
      </c>
      <c r="H22" s="583" t="s">
        <v>279</v>
      </c>
      <c r="I22" s="583" t="s">
        <v>279</v>
      </c>
      <c r="J22" s="197">
        <v>0</v>
      </c>
      <c r="K22" s="197">
        <v>0</v>
      </c>
      <c r="L22" s="197">
        <v>0</v>
      </c>
      <c r="M22" s="197">
        <v>0</v>
      </c>
      <c r="N22" s="613">
        <v>0</v>
      </c>
      <c r="O22" s="613">
        <v>2</v>
      </c>
      <c r="P22" s="583">
        <v>8</v>
      </c>
      <c r="Q22" s="581">
        <v>2</v>
      </c>
      <c r="R22" s="580">
        <v>5</v>
      </c>
      <c r="S22" s="581">
        <f t="shared" si="3"/>
        <v>10</v>
      </c>
      <c r="T22" s="581">
        <f t="shared" si="3"/>
        <v>15</v>
      </c>
      <c r="U22" s="581">
        <f t="shared" si="3"/>
        <v>20</v>
      </c>
      <c r="V22" s="581">
        <f t="shared" si="3"/>
        <v>25</v>
      </c>
      <c r="W22" s="581">
        <f t="shared" si="3"/>
        <v>30</v>
      </c>
      <c r="X22" s="581">
        <f t="shared" si="3"/>
        <v>35</v>
      </c>
      <c r="Y22" s="581">
        <f t="shared" si="3"/>
        <v>40</v>
      </c>
      <c r="Z22" s="581">
        <f t="shared" si="3"/>
        <v>45</v>
      </c>
      <c r="AA22" s="581">
        <f t="shared" si="3"/>
        <v>50</v>
      </c>
      <c r="AB22" s="581">
        <f t="shared" si="3"/>
        <v>55</v>
      </c>
      <c r="AC22" s="581">
        <f t="shared" si="4"/>
        <v>60</v>
      </c>
      <c r="AD22" s="581">
        <f t="shared" si="4"/>
        <v>65</v>
      </c>
      <c r="AE22" s="581">
        <f t="shared" si="4"/>
        <v>70</v>
      </c>
      <c r="AF22" s="581">
        <f t="shared" si="4"/>
        <v>75</v>
      </c>
      <c r="AG22" s="581">
        <f t="shared" si="4"/>
        <v>80</v>
      </c>
      <c r="AH22" s="581">
        <f t="shared" si="4"/>
        <v>85</v>
      </c>
      <c r="AI22" s="581">
        <f t="shared" si="4"/>
        <v>90</v>
      </c>
      <c r="AJ22" s="581">
        <f t="shared" si="4"/>
        <v>95</v>
      </c>
      <c r="AK22" s="581">
        <f t="shared" si="4"/>
        <v>100</v>
      </c>
      <c r="AL22" s="581">
        <f t="shared" si="4"/>
        <v>105</v>
      </c>
      <c r="AM22" s="581">
        <f t="shared" si="5"/>
        <v>110</v>
      </c>
      <c r="AN22" s="581">
        <f t="shared" si="5"/>
        <v>115</v>
      </c>
      <c r="AO22" s="581">
        <f t="shared" si="5"/>
        <v>120</v>
      </c>
      <c r="AP22" s="581">
        <f t="shared" si="5"/>
        <v>125</v>
      </c>
      <c r="AQ22" s="581">
        <f t="shared" si="5"/>
        <v>130</v>
      </c>
      <c r="AR22" s="581">
        <f t="shared" si="5"/>
        <v>135</v>
      </c>
      <c r="AS22" s="581">
        <f t="shared" si="5"/>
        <v>140</v>
      </c>
      <c r="AT22" s="581">
        <f t="shared" si="5"/>
        <v>145</v>
      </c>
      <c r="AU22" s="581">
        <f t="shared" si="5"/>
        <v>150</v>
      </c>
    </row>
    <row r="23" spans="2:47" x14ac:dyDescent="0.3">
      <c r="B23" s="59" t="s">
        <v>1014</v>
      </c>
      <c r="C23" t="s">
        <v>273</v>
      </c>
      <c r="D23" s="583" t="s">
        <v>278</v>
      </c>
      <c r="E23" s="583" t="s">
        <v>278</v>
      </c>
      <c r="F23" s="583" t="s">
        <v>278</v>
      </c>
      <c r="G23" s="583" t="s">
        <v>278</v>
      </c>
      <c r="H23" s="583" t="s">
        <v>279</v>
      </c>
      <c r="I23" s="583" t="s">
        <v>279</v>
      </c>
      <c r="J23" s="197">
        <v>0</v>
      </c>
      <c r="K23" s="197">
        <v>0</v>
      </c>
      <c r="L23" s="197">
        <v>0</v>
      </c>
      <c r="M23" s="197">
        <v>0</v>
      </c>
      <c r="N23" s="613">
        <v>0</v>
      </c>
      <c r="O23" s="613">
        <v>2</v>
      </c>
      <c r="P23" s="583">
        <v>8</v>
      </c>
      <c r="Q23" s="581">
        <v>2</v>
      </c>
      <c r="R23" s="580">
        <v>5</v>
      </c>
      <c r="S23" s="581">
        <f t="shared" si="3"/>
        <v>10</v>
      </c>
      <c r="T23" s="581">
        <f t="shared" si="3"/>
        <v>15</v>
      </c>
      <c r="U23" s="581">
        <f t="shared" si="3"/>
        <v>20</v>
      </c>
      <c r="V23" s="581">
        <f t="shared" si="3"/>
        <v>25</v>
      </c>
      <c r="W23" s="581">
        <f t="shared" si="3"/>
        <v>30</v>
      </c>
      <c r="X23" s="581">
        <f t="shared" si="3"/>
        <v>35</v>
      </c>
      <c r="Y23" s="581">
        <f t="shared" si="3"/>
        <v>40</v>
      </c>
      <c r="Z23" s="581">
        <f t="shared" si="3"/>
        <v>45</v>
      </c>
      <c r="AA23" s="581">
        <f t="shared" si="3"/>
        <v>50</v>
      </c>
      <c r="AB23" s="581">
        <f t="shared" si="3"/>
        <v>55</v>
      </c>
      <c r="AC23" s="581">
        <f t="shared" si="4"/>
        <v>60</v>
      </c>
      <c r="AD23" s="581">
        <f t="shared" si="4"/>
        <v>65</v>
      </c>
      <c r="AE23" s="581">
        <f t="shared" si="4"/>
        <v>70</v>
      </c>
      <c r="AF23" s="581">
        <f t="shared" si="4"/>
        <v>75</v>
      </c>
      <c r="AG23" s="581">
        <f t="shared" si="4"/>
        <v>80</v>
      </c>
      <c r="AH23" s="581">
        <f t="shared" si="4"/>
        <v>85</v>
      </c>
      <c r="AI23" s="581">
        <f t="shared" si="4"/>
        <v>90</v>
      </c>
      <c r="AJ23" s="581">
        <f t="shared" si="4"/>
        <v>95</v>
      </c>
      <c r="AK23" s="581">
        <f t="shared" si="4"/>
        <v>100</v>
      </c>
      <c r="AL23" s="581">
        <f t="shared" si="4"/>
        <v>105</v>
      </c>
      <c r="AM23" s="581">
        <f t="shared" si="5"/>
        <v>110</v>
      </c>
      <c r="AN23" s="581">
        <f t="shared" si="5"/>
        <v>115</v>
      </c>
      <c r="AO23" s="581">
        <f t="shared" si="5"/>
        <v>120</v>
      </c>
      <c r="AP23" s="581">
        <f t="shared" si="5"/>
        <v>125</v>
      </c>
      <c r="AQ23" s="581">
        <f t="shared" si="5"/>
        <v>130</v>
      </c>
      <c r="AR23" s="581">
        <f t="shared" si="5"/>
        <v>135</v>
      </c>
      <c r="AS23" s="581">
        <f t="shared" si="5"/>
        <v>140</v>
      </c>
      <c r="AT23" s="581">
        <f t="shared" si="5"/>
        <v>145</v>
      </c>
      <c r="AU23" s="581">
        <f t="shared" si="5"/>
        <v>150</v>
      </c>
    </row>
    <row r="24" spans="2:47" x14ac:dyDescent="0.3">
      <c r="B24" s="59" t="s">
        <v>645</v>
      </c>
      <c r="C24" t="s">
        <v>212</v>
      </c>
      <c r="D24" s="583" t="s">
        <v>278</v>
      </c>
      <c r="E24" s="583" t="s">
        <v>278</v>
      </c>
      <c r="F24" s="583" t="s">
        <v>279</v>
      </c>
      <c r="G24" s="583" t="s">
        <v>279</v>
      </c>
      <c r="H24" s="583" t="s">
        <v>278</v>
      </c>
      <c r="I24" s="583" t="s">
        <v>278</v>
      </c>
      <c r="J24" s="197">
        <v>0</v>
      </c>
      <c r="K24" s="197">
        <v>0</v>
      </c>
      <c r="L24" s="613">
        <v>0</v>
      </c>
      <c r="M24" s="613">
        <v>2</v>
      </c>
      <c r="N24" s="197">
        <v>0</v>
      </c>
      <c r="O24" s="197">
        <v>0</v>
      </c>
      <c r="P24" s="583">
        <v>6</v>
      </c>
      <c r="Q24" s="581">
        <v>2</v>
      </c>
      <c r="R24" s="580">
        <v>5</v>
      </c>
      <c r="S24" s="581">
        <f t="shared" si="3"/>
        <v>10</v>
      </c>
      <c r="T24" s="581">
        <f t="shared" si="3"/>
        <v>15</v>
      </c>
      <c r="U24" s="581">
        <f t="shared" si="3"/>
        <v>20</v>
      </c>
      <c r="V24" s="581">
        <f t="shared" si="3"/>
        <v>25</v>
      </c>
      <c r="W24" s="581">
        <f t="shared" si="3"/>
        <v>30</v>
      </c>
      <c r="X24" s="581">
        <f t="shared" si="3"/>
        <v>35</v>
      </c>
      <c r="Y24" s="581">
        <f t="shared" si="3"/>
        <v>40</v>
      </c>
      <c r="Z24" s="581">
        <f t="shared" si="3"/>
        <v>45</v>
      </c>
      <c r="AA24" s="581">
        <f t="shared" si="3"/>
        <v>50</v>
      </c>
      <c r="AB24" s="581">
        <f t="shared" si="3"/>
        <v>55</v>
      </c>
      <c r="AC24" s="581">
        <f t="shared" si="4"/>
        <v>60</v>
      </c>
      <c r="AD24" s="581">
        <f t="shared" si="4"/>
        <v>65</v>
      </c>
      <c r="AE24" s="581">
        <f t="shared" si="4"/>
        <v>70</v>
      </c>
      <c r="AF24" s="581">
        <f t="shared" si="4"/>
        <v>75</v>
      </c>
      <c r="AG24" s="581">
        <f t="shared" si="4"/>
        <v>80</v>
      </c>
      <c r="AH24" s="581">
        <f t="shared" si="4"/>
        <v>85</v>
      </c>
      <c r="AI24" s="581">
        <f t="shared" si="4"/>
        <v>90</v>
      </c>
      <c r="AJ24" s="581">
        <f t="shared" si="4"/>
        <v>95</v>
      </c>
      <c r="AK24" s="581">
        <f t="shared" si="4"/>
        <v>100</v>
      </c>
      <c r="AL24" s="581">
        <f t="shared" si="4"/>
        <v>105</v>
      </c>
      <c r="AM24" s="581">
        <f t="shared" si="5"/>
        <v>110</v>
      </c>
      <c r="AN24" s="581">
        <f t="shared" si="5"/>
        <v>115</v>
      </c>
      <c r="AO24" s="581">
        <f t="shared" si="5"/>
        <v>120</v>
      </c>
      <c r="AP24" s="581">
        <f t="shared" si="5"/>
        <v>125</v>
      </c>
      <c r="AQ24" s="581">
        <f t="shared" si="5"/>
        <v>130</v>
      </c>
      <c r="AR24" s="581">
        <f t="shared" si="5"/>
        <v>135</v>
      </c>
      <c r="AS24" s="581">
        <f t="shared" si="5"/>
        <v>140</v>
      </c>
      <c r="AT24" s="581">
        <f t="shared" si="5"/>
        <v>145</v>
      </c>
      <c r="AU24" s="581">
        <f t="shared" si="5"/>
        <v>150</v>
      </c>
    </row>
    <row r="25" spans="2:47" x14ac:dyDescent="0.3">
      <c r="B25" s="59" t="s">
        <v>5585</v>
      </c>
      <c r="C25" t="s">
        <v>2287</v>
      </c>
      <c r="D25" s="583" t="s">
        <v>279</v>
      </c>
      <c r="E25" s="583" t="s">
        <v>278</v>
      </c>
      <c r="F25" s="583" t="s">
        <v>279</v>
      </c>
      <c r="G25" s="583" t="s">
        <v>278</v>
      </c>
      <c r="H25" s="583" t="s">
        <v>278</v>
      </c>
      <c r="I25" s="583" t="s">
        <v>278</v>
      </c>
      <c r="J25" s="613">
        <v>1</v>
      </c>
      <c r="K25" s="197">
        <v>0</v>
      </c>
      <c r="L25" s="613">
        <v>1</v>
      </c>
      <c r="M25" s="197">
        <v>0</v>
      </c>
      <c r="N25" s="197">
        <v>0</v>
      </c>
      <c r="O25" s="197">
        <v>0</v>
      </c>
      <c r="P25" s="583">
        <v>1</v>
      </c>
      <c r="Q25" s="581">
        <v>4</v>
      </c>
      <c r="R25" s="580">
        <v>5</v>
      </c>
      <c r="S25" s="581">
        <f t="shared" si="3"/>
        <v>10</v>
      </c>
      <c r="T25" s="581">
        <f t="shared" si="3"/>
        <v>15</v>
      </c>
      <c r="U25" s="581">
        <f t="shared" si="3"/>
        <v>20</v>
      </c>
      <c r="V25" s="581">
        <f t="shared" si="3"/>
        <v>25</v>
      </c>
      <c r="W25" s="581">
        <f t="shared" si="3"/>
        <v>30</v>
      </c>
      <c r="X25" s="581">
        <f t="shared" si="3"/>
        <v>35</v>
      </c>
      <c r="Y25" s="581">
        <f t="shared" si="3"/>
        <v>40</v>
      </c>
      <c r="Z25" s="581">
        <f t="shared" si="3"/>
        <v>45</v>
      </c>
      <c r="AA25" s="581">
        <f t="shared" si="3"/>
        <v>50</v>
      </c>
      <c r="AB25" s="581">
        <f t="shared" si="3"/>
        <v>55</v>
      </c>
      <c r="AC25" s="581">
        <f t="shared" si="4"/>
        <v>60</v>
      </c>
      <c r="AD25" s="581">
        <f t="shared" si="4"/>
        <v>65</v>
      </c>
      <c r="AE25" s="581">
        <f t="shared" si="4"/>
        <v>70</v>
      </c>
      <c r="AF25" s="581">
        <f t="shared" si="4"/>
        <v>75</v>
      </c>
      <c r="AG25" s="581">
        <f t="shared" si="4"/>
        <v>80</v>
      </c>
      <c r="AH25" s="581">
        <f t="shared" si="4"/>
        <v>85</v>
      </c>
      <c r="AI25" s="581">
        <f t="shared" si="4"/>
        <v>90</v>
      </c>
      <c r="AJ25" s="581">
        <f t="shared" si="4"/>
        <v>95</v>
      </c>
      <c r="AK25" s="581">
        <f t="shared" si="4"/>
        <v>100</v>
      </c>
      <c r="AL25" s="581">
        <f t="shared" si="4"/>
        <v>105</v>
      </c>
      <c r="AM25" s="581">
        <f t="shared" si="5"/>
        <v>110</v>
      </c>
      <c r="AN25" s="581">
        <f t="shared" si="5"/>
        <v>115</v>
      </c>
      <c r="AO25" s="581">
        <f t="shared" si="5"/>
        <v>120</v>
      </c>
      <c r="AP25" s="581">
        <f t="shared" si="5"/>
        <v>125</v>
      </c>
      <c r="AQ25" s="581">
        <f t="shared" si="5"/>
        <v>130</v>
      </c>
      <c r="AR25" s="581">
        <f t="shared" si="5"/>
        <v>135</v>
      </c>
      <c r="AS25" s="581">
        <f t="shared" si="5"/>
        <v>140</v>
      </c>
      <c r="AT25" s="581">
        <f t="shared" si="5"/>
        <v>145</v>
      </c>
      <c r="AU25" s="581">
        <f t="shared" si="5"/>
        <v>150</v>
      </c>
    </row>
    <row r="26" spans="2:47" x14ac:dyDescent="0.3">
      <c r="B26" s="59" t="s">
        <v>5587</v>
      </c>
      <c r="C26" t="s">
        <v>2287</v>
      </c>
      <c r="D26" s="583" t="s">
        <v>278</v>
      </c>
      <c r="E26" s="583" t="s">
        <v>279</v>
      </c>
      <c r="F26" s="583" t="s">
        <v>278</v>
      </c>
      <c r="G26" s="583" t="s">
        <v>279</v>
      </c>
      <c r="H26" s="583" t="s">
        <v>278</v>
      </c>
      <c r="I26" s="583" t="s">
        <v>278</v>
      </c>
      <c r="J26" s="197">
        <v>0</v>
      </c>
      <c r="K26" s="613">
        <v>1</v>
      </c>
      <c r="L26" s="197">
        <v>0</v>
      </c>
      <c r="M26" s="613">
        <v>1</v>
      </c>
      <c r="N26" s="197">
        <v>0</v>
      </c>
      <c r="O26" s="197">
        <v>0</v>
      </c>
      <c r="P26" s="583">
        <v>5</v>
      </c>
      <c r="Q26" s="581">
        <v>2</v>
      </c>
      <c r="R26" s="580">
        <v>5</v>
      </c>
      <c r="S26" s="581">
        <f t="shared" si="3"/>
        <v>10</v>
      </c>
      <c r="T26" s="581">
        <f t="shared" si="3"/>
        <v>15</v>
      </c>
      <c r="U26" s="581">
        <f t="shared" si="3"/>
        <v>20</v>
      </c>
      <c r="V26" s="581">
        <f t="shared" si="3"/>
        <v>25</v>
      </c>
      <c r="W26" s="581">
        <f t="shared" si="3"/>
        <v>30</v>
      </c>
      <c r="X26" s="581">
        <f t="shared" si="3"/>
        <v>35</v>
      </c>
      <c r="Y26" s="581">
        <f t="shared" si="3"/>
        <v>40</v>
      </c>
      <c r="Z26" s="581">
        <f t="shared" si="3"/>
        <v>45</v>
      </c>
      <c r="AA26" s="581">
        <f t="shared" si="3"/>
        <v>50</v>
      </c>
      <c r="AB26" s="581">
        <f t="shared" si="3"/>
        <v>55</v>
      </c>
      <c r="AC26" s="581">
        <f t="shared" si="4"/>
        <v>60</v>
      </c>
      <c r="AD26" s="581">
        <f t="shared" si="4"/>
        <v>65</v>
      </c>
      <c r="AE26" s="581">
        <f t="shared" si="4"/>
        <v>70</v>
      </c>
      <c r="AF26" s="581">
        <f t="shared" si="4"/>
        <v>75</v>
      </c>
      <c r="AG26" s="581">
        <f t="shared" si="4"/>
        <v>80</v>
      </c>
      <c r="AH26" s="581">
        <f t="shared" si="4"/>
        <v>85</v>
      </c>
      <c r="AI26" s="581">
        <f t="shared" si="4"/>
        <v>90</v>
      </c>
      <c r="AJ26" s="581">
        <f t="shared" si="4"/>
        <v>95</v>
      </c>
      <c r="AK26" s="581">
        <f t="shared" si="4"/>
        <v>100</v>
      </c>
      <c r="AL26" s="581">
        <f t="shared" si="4"/>
        <v>105</v>
      </c>
      <c r="AM26" s="581">
        <f t="shared" si="5"/>
        <v>110</v>
      </c>
      <c r="AN26" s="581">
        <f t="shared" si="5"/>
        <v>115</v>
      </c>
      <c r="AO26" s="581">
        <f t="shared" si="5"/>
        <v>120</v>
      </c>
      <c r="AP26" s="581">
        <f t="shared" si="5"/>
        <v>125</v>
      </c>
      <c r="AQ26" s="581">
        <f t="shared" si="5"/>
        <v>130</v>
      </c>
      <c r="AR26" s="581">
        <f t="shared" si="5"/>
        <v>135</v>
      </c>
      <c r="AS26" s="581">
        <f t="shared" si="5"/>
        <v>140</v>
      </c>
      <c r="AT26" s="581">
        <f t="shared" si="5"/>
        <v>145</v>
      </c>
      <c r="AU26" s="581">
        <f t="shared" si="5"/>
        <v>150</v>
      </c>
    </row>
    <row r="27" spans="2:47" x14ac:dyDescent="0.3">
      <c r="B27" s="59" t="s">
        <v>5586</v>
      </c>
      <c r="C27" t="s">
        <v>2287</v>
      </c>
      <c r="D27" s="583" t="s">
        <v>279</v>
      </c>
      <c r="E27" s="583" t="s">
        <v>278</v>
      </c>
      <c r="F27" s="583" t="s">
        <v>279</v>
      </c>
      <c r="G27" s="583" t="s">
        <v>278</v>
      </c>
      <c r="H27" s="583" t="s">
        <v>278</v>
      </c>
      <c r="I27" s="583" t="s">
        <v>278</v>
      </c>
      <c r="J27" s="613">
        <v>1</v>
      </c>
      <c r="K27" s="197">
        <v>0</v>
      </c>
      <c r="L27" s="613">
        <v>1</v>
      </c>
      <c r="M27" s="197">
        <v>0</v>
      </c>
      <c r="N27" s="197">
        <v>0</v>
      </c>
      <c r="O27" s="197">
        <v>0</v>
      </c>
      <c r="P27" s="583">
        <v>1</v>
      </c>
      <c r="Q27" s="581">
        <v>4</v>
      </c>
      <c r="R27" s="580">
        <v>5</v>
      </c>
      <c r="S27" s="581">
        <f t="shared" si="3"/>
        <v>10</v>
      </c>
      <c r="T27" s="581">
        <f t="shared" si="3"/>
        <v>15</v>
      </c>
      <c r="U27" s="581">
        <f t="shared" si="3"/>
        <v>20</v>
      </c>
      <c r="V27" s="581">
        <f t="shared" si="3"/>
        <v>25</v>
      </c>
      <c r="W27" s="581">
        <f t="shared" si="3"/>
        <v>30</v>
      </c>
      <c r="X27" s="581">
        <f t="shared" si="3"/>
        <v>35</v>
      </c>
      <c r="Y27" s="581">
        <f t="shared" si="3"/>
        <v>40</v>
      </c>
      <c r="Z27" s="581">
        <f t="shared" si="3"/>
        <v>45</v>
      </c>
      <c r="AA27" s="581">
        <f t="shared" si="3"/>
        <v>50</v>
      </c>
      <c r="AB27" s="581">
        <f t="shared" si="3"/>
        <v>55</v>
      </c>
      <c r="AC27" s="581">
        <f t="shared" si="4"/>
        <v>60</v>
      </c>
      <c r="AD27" s="581">
        <f t="shared" si="4"/>
        <v>65</v>
      </c>
      <c r="AE27" s="581">
        <f t="shared" si="4"/>
        <v>70</v>
      </c>
      <c r="AF27" s="581">
        <f t="shared" si="4"/>
        <v>75</v>
      </c>
      <c r="AG27" s="581">
        <f t="shared" si="4"/>
        <v>80</v>
      </c>
      <c r="AH27" s="581">
        <f t="shared" si="4"/>
        <v>85</v>
      </c>
      <c r="AI27" s="581">
        <f t="shared" si="4"/>
        <v>90</v>
      </c>
      <c r="AJ27" s="581">
        <f t="shared" si="4"/>
        <v>95</v>
      </c>
      <c r="AK27" s="581">
        <f t="shared" si="4"/>
        <v>100</v>
      </c>
      <c r="AL27" s="581">
        <f t="shared" si="4"/>
        <v>105</v>
      </c>
      <c r="AM27" s="581">
        <f t="shared" si="5"/>
        <v>110</v>
      </c>
      <c r="AN27" s="581">
        <f t="shared" si="5"/>
        <v>115</v>
      </c>
      <c r="AO27" s="581">
        <f t="shared" si="5"/>
        <v>120</v>
      </c>
      <c r="AP27" s="581">
        <f t="shared" si="5"/>
        <v>125</v>
      </c>
      <c r="AQ27" s="581">
        <f t="shared" si="5"/>
        <v>130</v>
      </c>
      <c r="AR27" s="581">
        <f t="shared" si="5"/>
        <v>135</v>
      </c>
      <c r="AS27" s="581">
        <f t="shared" si="5"/>
        <v>140</v>
      </c>
      <c r="AT27" s="581">
        <f t="shared" si="5"/>
        <v>145</v>
      </c>
      <c r="AU27" s="581">
        <f t="shared" si="5"/>
        <v>150</v>
      </c>
    </row>
    <row r="28" spans="2:47" x14ac:dyDescent="0.3">
      <c r="B28" s="59" t="s">
        <v>5588</v>
      </c>
      <c r="C28" t="s">
        <v>2287</v>
      </c>
      <c r="D28" s="583" t="s">
        <v>278</v>
      </c>
      <c r="E28" s="583" t="s">
        <v>279</v>
      </c>
      <c r="F28" s="583" t="s">
        <v>278</v>
      </c>
      <c r="G28" s="583" t="s">
        <v>279</v>
      </c>
      <c r="H28" s="583" t="s">
        <v>278</v>
      </c>
      <c r="I28" s="583" t="s">
        <v>278</v>
      </c>
      <c r="J28" s="197">
        <v>0</v>
      </c>
      <c r="K28" s="613">
        <v>1</v>
      </c>
      <c r="L28" s="197">
        <v>0</v>
      </c>
      <c r="M28" s="613">
        <v>1</v>
      </c>
      <c r="N28" s="197">
        <v>0</v>
      </c>
      <c r="O28" s="197">
        <v>0</v>
      </c>
      <c r="P28" s="583">
        <v>5</v>
      </c>
      <c r="Q28" s="581">
        <v>2</v>
      </c>
      <c r="R28" s="580">
        <v>5</v>
      </c>
      <c r="S28" s="581">
        <f t="shared" si="3"/>
        <v>10</v>
      </c>
      <c r="T28" s="581">
        <f t="shared" si="3"/>
        <v>15</v>
      </c>
      <c r="U28" s="581">
        <f t="shared" si="3"/>
        <v>20</v>
      </c>
      <c r="V28" s="581">
        <f t="shared" si="3"/>
        <v>25</v>
      </c>
      <c r="W28" s="581">
        <f t="shared" si="3"/>
        <v>30</v>
      </c>
      <c r="X28" s="581">
        <f t="shared" si="3"/>
        <v>35</v>
      </c>
      <c r="Y28" s="581">
        <f t="shared" si="3"/>
        <v>40</v>
      </c>
      <c r="Z28" s="581">
        <f t="shared" si="3"/>
        <v>45</v>
      </c>
      <c r="AA28" s="581">
        <f t="shared" si="3"/>
        <v>50</v>
      </c>
      <c r="AB28" s="581">
        <f t="shared" si="3"/>
        <v>55</v>
      </c>
      <c r="AC28" s="581">
        <f t="shared" si="4"/>
        <v>60</v>
      </c>
      <c r="AD28" s="581">
        <f t="shared" si="4"/>
        <v>65</v>
      </c>
      <c r="AE28" s="581">
        <f t="shared" si="4"/>
        <v>70</v>
      </c>
      <c r="AF28" s="581">
        <f t="shared" si="4"/>
        <v>75</v>
      </c>
      <c r="AG28" s="581">
        <f t="shared" si="4"/>
        <v>80</v>
      </c>
      <c r="AH28" s="581">
        <f t="shared" si="4"/>
        <v>85</v>
      </c>
      <c r="AI28" s="581">
        <f t="shared" si="4"/>
        <v>90</v>
      </c>
      <c r="AJ28" s="581">
        <f t="shared" si="4"/>
        <v>95</v>
      </c>
      <c r="AK28" s="581">
        <f t="shared" si="4"/>
        <v>100</v>
      </c>
      <c r="AL28" s="581">
        <f t="shared" si="4"/>
        <v>105</v>
      </c>
      <c r="AM28" s="581">
        <f t="shared" si="5"/>
        <v>110</v>
      </c>
      <c r="AN28" s="581">
        <f t="shared" si="5"/>
        <v>115</v>
      </c>
      <c r="AO28" s="581">
        <f t="shared" si="5"/>
        <v>120</v>
      </c>
      <c r="AP28" s="581">
        <f t="shared" si="5"/>
        <v>125</v>
      </c>
      <c r="AQ28" s="581">
        <f t="shared" si="5"/>
        <v>130</v>
      </c>
      <c r="AR28" s="581">
        <f t="shared" si="5"/>
        <v>135</v>
      </c>
      <c r="AS28" s="581">
        <f t="shared" si="5"/>
        <v>140</v>
      </c>
      <c r="AT28" s="581">
        <f t="shared" si="5"/>
        <v>145</v>
      </c>
      <c r="AU28" s="581">
        <f t="shared" si="5"/>
        <v>150</v>
      </c>
    </row>
    <row r="29" spans="2:47" x14ac:dyDescent="0.3">
      <c r="B29" s="59" t="s">
        <v>265</v>
      </c>
      <c r="C29" t="s">
        <v>187</v>
      </c>
      <c r="D29" s="583" t="s">
        <v>278</v>
      </c>
      <c r="E29" s="583" t="s">
        <v>279</v>
      </c>
      <c r="F29" s="583" t="s">
        <v>279</v>
      </c>
      <c r="G29" s="583" t="s">
        <v>278</v>
      </c>
      <c r="H29" s="583" t="s">
        <v>278</v>
      </c>
      <c r="I29" s="583" t="s">
        <v>278</v>
      </c>
      <c r="J29" s="197">
        <v>0</v>
      </c>
      <c r="K29" s="613">
        <v>0</v>
      </c>
      <c r="L29" s="613">
        <v>2</v>
      </c>
      <c r="M29" s="197">
        <v>0</v>
      </c>
      <c r="N29" s="197">
        <v>0</v>
      </c>
      <c r="O29" s="197">
        <v>0</v>
      </c>
      <c r="P29" s="583">
        <v>1</v>
      </c>
      <c r="Q29" s="581">
        <v>2</v>
      </c>
      <c r="R29" s="580">
        <v>6</v>
      </c>
      <c r="S29" s="581">
        <f t="shared" ref="S29:AB38" si="6">$R29*S$3</f>
        <v>12</v>
      </c>
      <c r="T29" s="581">
        <f t="shared" si="6"/>
        <v>18</v>
      </c>
      <c r="U29" s="581">
        <f t="shared" si="6"/>
        <v>24</v>
      </c>
      <c r="V29" s="581">
        <f t="shared" si="6"/>
        <v>30</v>
      </c>
      <c r="W29" s="581">
        <f t="shared" si="6"/>
        <v>36</v>
      </c>
      <c r="X29" s="581">
        <f t="shared" si="6"/>
        <v>42</v>
      </c>
      <c r="Y29" s="581">
        <f t="shared" si="6"/>
        <v>48</v>
      </c>
      <c r="Z29" s="581">
        <f t="shared" si="6"/>
        <v>54</v>
      </c>
      <c r="AA29" s="581">
        <f t="shared" si="6"/>
        <v>60</v>
      </c>
      <c r="AB29" s="581">
        <f t="shared" si="6"/>
        <v>66</v>
      </c>
      <c r="AC29" s="581">
        <f t="shared" ref="AC29:AL38" si="7">$R29*AC$3</f>
        <v>72</v>
      </c>
      <c r="AD29" s="581">
        <f t="shared" si="7"/>
        <v>78</v>
      </c>
      <c r="AE29" s="581">
        <f t="shared" si="7"/>
        <v>84</v>
      </c>
      <c r="AF29" s="581">
        <f t="shared" si="7"/>
        <v>90</v>
      </c>
      <c r="AG29" s="581">
        <f t="shared" si="7"/>
        <v>96</v>
      </c>
      <c r="AH29" s="581">
        <f t="shared" si="7"/>
        <v>102</v>
      </c>
      <c r="AI29" s="581">
        <f t="shared" si="7"/>
        <v>108</v>
      </c>
      <c r="AJ29" s="581">
        <f t="shared" si="7"/>
        <v>114</v>
      </c>
      <c r="AK29" s="581">
        <f t="shared" si="7"/>
        <v>120</v>
      </c>
      <c r="AL29" s="581">
        <f t="shared" si="7"/>
        <v>126</v>
      </c>
      <c r="AM29" s="581">
        <f t="shared" ref="AM29:AU38" si="8">$R29*AM$3</f>
        <v>132</v>
      </c>
      <c r="AN29" s="581">
        <f t="shared" si="8"/>
        <v>138</v>
      </c>
      <c r="AO29" s="581">
        <f t="shared" si="8"/>
        <v>144</v>
      </c>
      <c r="AP29" s="581">
        <f t="shared" si="8"/>
        <v>150</v>
      </c>
      <c r="AQ29" s="581">
        <f t="shared" si="8"/>
        <v>156</v>
      </c>
      <c r="AR29" s="581">
        <f t="shared" si="8"/>
        <v>162</v>
      </c>
      <c r="AS29" s="581">
        <f t="shared" si="8"/>
        <v>168</v>
      </c>
      <c r="AT29" s="581">
        <f t="shared" si="8"/>
        <v>174</v>
      </c>
      <c r="AU29" s="581">
        <f t="shared" si="8"/>
        <v>180</v>
      </c>
    </row>
    <row r="30" spans="2:47" x14ac:dyDescent="0.3">
      <c r="B30" s="59" t="s">
        <v>1015</v>
      </c>
      <c r="C30" t="s">
        <v>187</v>
      </c>
      <c r="D30" s="583" t="s">
        <v>278</v>
      </c>
      <c r="E30" s="583" t="s">
        <v>279</v>
      </c>
      <c r="F30" s="583" t="s">
        <v>279</v>
      </c>
      <c r="G30" s="583" t="s">
        <v>278</v>
      </c>
      <c r="H30" s="583" t="s">
        <v>278</v>
      </c>
      <c r="I30" s="583" t="s">
        <v>278</v>
      </c>
      <c r="J30" s="197">
        <v>0</v>
      </c>
      <c r="K30" s="613">
        <v>0</v>
      </c>
      <c r="L30" s="613">
        <v>2</v>
      </c>
      <c r="M30" s="197">
        <v>0</v>
      </c>
      <c r="N30" s="197">
        <v>0</v>
      </c>
      <c r="O30" s="197">
        <v>0</v>
      </c>
      <c r="P30" s="583">
        <v>1</v>
      </c>
      <c r="Q30" s="581">
        <v>2</v>
      </c>
      <c r="R30" s="580">
        <v>6</v>
      </c>
      <c r="S30" s="581">
        <f t="shared" si="6"/>
        <v>12</v>
      </c>
      <c r="T30" s="581">
        <f t="shared" si="6"/>
        <v>18</v>
      </c>
      <c r="U30" s="581">
        <f t="shared" si="6"/>
        <v>24</v>
      </c>
      <c r="V30" s="581">
        <f t="shared" si="6"/>
        <v>30</v>
      </c>
      <c r="W30" s="581">
        <f t="shared" si="6"/>
        <v>36</v>
      </c>
      <c r="X30" s="581">
        <f t="shared" si="6"/>
        <v>42</v>
      </c>
      <c r="Y30" s="581">
        <f t="shared" si="6"/>
        <v>48</v>
      </c>
      <c r="Z30" s="581">
        <f t="shared" si="6"/>
        <v>54</v>
      </c>
      <c r="AA30" s="581">
        <f t="shared" si="6"/>
        <v>60</v>
      </c>
      <c r="AB30" s="581">
        <f t="shared" si="6"/>
        <v>66</v>
      </c>
      <c r="AC30" s="581">
        <f t="shared" si="7"/>
        <v>72</v>
      </c>
      <c r="AD30" s="581">
        <f t="shared" si="7"/>
        <v>78</v>
      </c>
      <c r="AE30" s="581">
        <f t="shared" si="7"/>
        <v>84</v>
      </c>
      <c r="AF30" s="581">
        <f t="shared" si="7"/>
        <v>90</v>
      </c>
      <c r="AG30" s="581">
        <f t="shared" si="7"/>
        <v>96</v>
      </c>
      <c r="AH30" s="581">
        <f t="shared" si="7"/>
        <v>102</v>
      </c>
      <c r="AI30" s="581">
        <f t="shared" si="7"/>
        <v>108</v>
      </c>
      <c r="AJ30" s="581">
        <f t="shared" si="7"/>
        <v>114</v>
      </c>
      <c r="AK30" s="581">
        <f t="shared" si="7"/>
        <v>120</v>
      </c>
      <c r="AL30" s="581">
        <f t="shared" si="7"/>
        <v>126</v>
      </c>
      <c r="AM30" s="581">
        <f t="shared" si="8"/>
        <v>132</v>
      </c>
      <c r="AN30" s="581">
        <f t="shared" si="8"/>
        <v>138</v>
      </c>
      <c r="AO30" s="581">
        <f t="shared" si="8"/>
        <v>144</v>
      </c>
      <c r="AP30" s="581">
        <f t="shared" si="8"/>
        <v>150</v>
      </c>
      <c r="AQ30" s="581">
        <f t="shared" si="8"/>
        <v>156</v>
      </c>
      <c r="AR30" s="581">
        <f t="shared" si="8"/>
        <v>162</v>
      </c>
      <c r="AS30" s="581">
        <f t="shared" si="8"/>
        <v>168</v>
      </c>
      <c r="AT30" s="581">
        <f t="shared" si="8"/>
        <v>174</v>
      </c>
      <c r="AU30" s="581">
        <f t="shared" si="8"/>
        <v>180</v>
      </c>
    </row>
    <row r="31" spans="2:47" x14ac:dyDescent="0.3">
      <c r="B31" s="59" t="s">
        <v>262</v>
      </c>
      <c r="C31" t="s">
        <v>202</v>
      </c>
      <c r="D31" s="583" t="s">
        <v>278</v>
      </c>
      <c r="E31" s="583" t="s">
        <v>278</v>
      </c>
      <c r="F31" s="583" t="s">
        <v>278</v>
      </c>
      <c r="G31" s="583" t="s">
        <v>279</v>
      </c>
      <c r="H31" s="583" t="s">
        <v>279</v>
      </c>
      <c r="I31" s="583" t="s">
        <v>278</v>
      </c>
      <c r="J31" s="197">
        <v>0</v>
      </c>
      <c r="K31" s="197">
        <v>0</v>
      </c>
      <c r="L31" s="197">
        <v>0</v>
      </c>
      <c r="M31" s="613">
        <v>0</v>
      </c>
      <c r="N31" s="613">
        <v>2</v>
      </c>
      <c r="O31" s="197">
        <v>0</v>
      </c>
      <c r="P31" s="583">
        <v>9</v>
      </c>
      <c r="Q31" s="581">
        <v>2</v>
      </c>
      <c r="R31" s="580">
        <v>5</v>
      </c>
      <c r="S31" s="581">
        <f t="shared" si="6"/>
        <v>10</v>
      </c>
      <c r="T31" s="581">
        <f t="shared" si="6"/>
        <v>15</v>
      </c>
      <c r="U31" s="581">
        <f t="shared" si="6"/>
        <v>20</v>
      </c>
      <c r="V31" s="581">
        <f t="shared" si="6"/>
        <v>25</v>
      </c>
      <c r="W31" s="581">
        <f t="shared" si="6"/>
        <v>30</v>
      </c>
      <c r="X31" s="581">
        <f t="shared" si="6"/>
        <v>35</v>
      </c>
      <c r="Y31" s="581">
        <f t="shared" si="6"/>
        <v>40</v>
      </c>
      <c r="Z31" s="581">
        <f t="shared" si="6"/>
        <v>45</v>
      </c>
      <c r="AA31" s="581">
        <f t="shared" si="6"/>
        <v>50</v>
      </c>
      <c r="AB31" s="581">
        <f t="shared" si="6"/>
        <v>55</v>
      </c>
      <c r="AC31" s="581">
        <f t="shared" si="7"/>
        <v>60</v>
      </c>
      <c r="AD31" s="581">
        <f t="shared" si="7"/>
        <v>65</v>
      </c>
      <c r="AE31" s="581">
        <f t="shared" si="7"/>
        <v>70</v>
      </c>
      <c r="AF31" s="581">
        <f t="shared" si="7"/>
        <v>75</v>
      </c>
      <c r="AG31" s="581">
        <f t="shared" si="7"/>
        <v>80</v>
      </c>
      <c r="AH31" s="581">
        <f t="shared" si="7"/>
        <v>85</v>
      </c>
      <c r="AI31" s="581">
        <f t="shared" si="7"/>
        <v>90</v>
      </c>
      <c r="AJ31" s="581">
        <f t="shared" si="7"/>
        <v>95</v>
      </c>
      <c r="AK31" s="581">
        <f t="shared" si="7"/>
        <v>100</v>
      </c>
      <c r="AL31" s="581">
        <f t="shared" si="7"/>
        <v>105</v>
      </c>
      <c r="AM31" s="581">
        <f t="shared" si="8"/>
        <v>110</v>
      </c>
      <c r="AN31" s="581">
        <f t="shared" si="8"/>
        <v>115</v>
      </c>
      <c r="AO31" s="581">
        <f t="shared" si="8"/>
        <v>120</v>
      </c>
      <c r="AP31" s="581">
        <f t="shared" si="8"/>
        <v>125</v>
      </c>
      <c r="AQ31" s="581">
        <f t="shared" si="8"/>
        <v>130</v>
      </c>
      <c r="AR31" s="581">
        <f t="shared" si="8"/>
        <v>135</v>
      </c>
      <c r="AS31" s="581">
        <f t="shared" si="8"/>
        <v>140</v>
      </c>
      <c r="AT31" s="581">
        <f t="shared" si="8"/>
        <v>145</v>
      </c>
      <c r="AU31" s="581">
        <f t="shared" si="8"/>
        <v>150</v>
      </c>
    </row>
    <row r="32" spans="2:47" x14ac:dyDescent="0.3">
      <c r="B32" s="59" t="s">
        <v>1016</v>
      </c>
      <c r="C32" t="s">
        <v>202</v>
      </c>
      <c r="D32" s="583" t="s">
        <v>278</v>
      </c>
      <c r="E32" s="583" t="s">
        <v>278</v>
      </c>
      <c r="F32" s="583" t="s">
        <v>278</v>
      </c>
      <c r="G32" s="583" t="s">
        <v>279</v>
      </c>
      <c r="H32" s="583" t="s">
        <v>279</v>
      </c>
      <c r="I32" s="583" t="s">
        <v>278</v>
      </c>
      <c r="J32" s="197">
        <v>0</v>
      </c>
      <c r="K32" s="197">
        <v>0</v>
      </c>
      <c r="L32" s="197">
        <v>0</v>
      </c>
      <c r="M32" s="613">
        <v>0</v>
      </c>
      <c r="N32" s="613">
        <v>2</v>
      </c>
      <c r="O32" s="197">
        <v>0</v>
      </c>
      <c r="P32" s="583">
        <v>9</v>
      </c>
      <c r="Q32" s="581">
        <v>2</v>
      </c>
      <c r="R32" s="580">
        <v>5</v>
      </c>
      <c r="S32" s="581">
        <f t="shared" si="6"/>
        <v>10</v>
      </c>
      <c r="T32" s="581">
        <f t="shared" si="6"/>
        <v>15</v>
      </c>
      <c r="U32" s="581">
        <f t="shared" si="6"/>
        <v>20</v>
      </c>
      <c r="V32" s="581">
        <f t="shared" si="6"/>
        <v>25</v>
      </c>
      <c r="W32" s="581">
        <f t="shared" si="6"/>
        <v>30</v>
      </c>
      <c r="X32" s="581">
        <f t="shared" si="6"/>
        <v>35</v>
      </c>
      <c r="Y32" s="581">
        <f t="shared" si="6"/>
        <v>40</v>
      </c>
      <c r="Z32" s="581">
        <f t="shared" si="6"/>
        <v>45</v>
      </c>
      <c r="AA32" s="581">
        <f t="shared" si="6"/>
        <v>50</v>
      </c>
      <c r="AB32" s="581">
        <f t="shared" si="6"/>
        <v>55</v>
      </c>
      <c r="AC32" s="581">
        <f t="shared" si="7"/>
        <v>60</v>
      </c>
      <c r="AD32" s="581">
        <f t="shared" si="7"/>
        <v>65</v>
      </c>
      <c r="AE32" s="581">
        <f t="shared" si="7"/>
        <v>70</v>
      </c>
      <c r="AF32" s="581">
        <f t="shared" si="7"/>
        <v>75</v>
      </c>
      <c r="AG32" s="581">
        <f t="shared" si="7"/>
        <v>80</v>
      </c>
      <c r="AH32" s="581">
        <f t="shared" si="7"/>
        <v>85</v>
      </c>
      <c r="AI32" s="581">
        <f t="shared" si="7"/>
        <v>90</v>
      </c>
      <c r="AJ32" s="581">
        <f t="shared" si="7"/>
        <v>95</v>
      </c>
      <c r="AK32" s="581">
        <f t="shared" si="7"/>
        <v>100</v>
      </c>
      <c r="AL32" s="581">
        <f t="shared" si="7"/>
        <v>105</v>
      </c>
      <c r="AM32" s="581">
        <f t="shared" si="8"/>
        <v>110</v>
      </c>
      <c r="AN32" s="581">
        <f t="shared" si="8"/>
        <v>115</v>
      </c>
      <c r="AO32" s="581">
        <f t="shared" si="8"/>
        <v>120</v>
      </c>
      <c r="AP32" s="581">
        <f t="shared" si="8"/>
        <v>125</v>
      </c>
      <c r="AQ32" s="581">
        <f t="shared" si="8"/>
        <v>130</v>
      </c>
      <c r="AR32" s="581">
        <f t="shared" si="8"/>
        <v>135</v>
      </c>
      <c r="AS32" s="581">
        <f t="shared" si="8"/>
        <v>140</v>
      </c>
      <c r="AT32" s="581">
        <f t="shared" si="8"/>
        <v>145</v>
      </c>
      <c r="AU32" s="581">
        <f t="shared" si="8"/>
        <v>150</v>
      </c>
    </row>
    <row r="33" spans="2:47" x14ac:dyDescent="0.3">
      <c r="B33" s="59" t="s">
        <v>4754</v>
      </c>
      <c r="C33" t="s">
        <v>273</v>
      </c>
      <c r="D33" s="583" t="s">
        <v>278</v>
      </c>
      <c r="E33" s="583" t="s">
        <v>279</v>
      </c>
      <c r="F33" s="583" t="s">
        <v>278</v>
      </c>
      <c r="G33" s="583" t="s">
        <v>278</v>
      </c>
      <c r="H33" s="583" t="s">
        <v>278</v>
      </c>
      <c r="I33" s="583" t="s">
        <v>279</v>
      </c>
      <c r="J33" s="197">
        <v>0</v>
      </c>
      <c r="K33" s="613">
        <v>1</v>
      </c>
      <c r="L33" s="197">
        <v>0</v>
      </c>
      <c r="M33" s="197">
        <v>0</v>
      </c>
      <c r="N33" s="197">
        <v>0</v>
      </c>
      <c r="O33" s="613">
        <v>1</v>
      </c>
      <c r="P33" s="583">
        <v>8</v>
      </c>
      <c r="Q33" s="581">
        <v>2</v>
      </c>
      <c r="R33" s="580">
        <v>5</v>
      </c>
      <c r="S33" s="581">
        <f t="shared" si="6"/>
        <v>10</v>
      </c>
      <c r="T33" s="581">
        <f t="shared" si="6"/>
        <v>15</v>
      </c>
      <c r="U33" s="581">
        <f t="shared" si="6"/>
        <v>20</v>
      </c>
      <c r="V33" s="581">
        <f t="shared" si="6"/>
        <v>25</v>
      </c>
      <c r="W33" s="581">
        <f t="shared" si="6"/>
        <v>30</v>
      </c>
      <c r="X33" s="581">
        <f t="shared" si="6"/>
        <v>35</v>
      </c>
      <c r="Y33" s="581">
        <f t="shared" si="6"/>
        <v>40</v>
      </c>
      <c r="Z33" s="581">
        <f t="shared" si="6"/>
        <v>45</v>
      </c>
      <c r="AA33" s="581">
        <f t="shared" si="6"/>
        <v>50</v>
      </c>
      <c r="AB33" s="581">
        <f t="shared" si="6"/>
        <v>55</v>
      </c>
      <c r="AC33" s="581">
        <f t="shared" si="7"/>
        <v>60</v>
      </c>
      <c r="AD33" s="581">
        <f t="shared" si="7"/>
        <v>65</v>
      </c>
      <c r="AE33" s="581">
        <f t="shared" si="7"/>
        <v>70</v>
      </c>
      <c r="AF33" s="581">
        <f t="shared" si="7"/>
        <v>75</v>
      </c>
      <c r="AG33" s="581">
        <f t="shared" si="7"/>
        <v>80</v>
      </c>
      <c r="AH33" s="581">
        <f t="shared" si="7"/>
        <v>85</v>
      </c>
      <c r="AI33" s="581">
        <f t="shared" si="7"/>
        <v>90</v>
      </c>
      <c r="AJ33" s="581">
        <f t="shared" si="7"/>
        <v>95</v>
      </c>
      <c r="AK33" s="581">
        <f t="shared" si="7"/>
        <v>100</v>
      </c>
      <c r="AL33" s="581">
        <f t="shared" si="7"/>
        <v>105</v>
      </c>
      <c r="AM33" s="581">
        <f t="shared" si="8"/>
        <v>110</v>
      </c>
      <c r="AN33" s="581">
        <f t="shared" si="8"/>
        <v>115</v>
      </c>
      <c r="AO33" s="581">
        <f t="shared" si="8"/>
        <v>120</v>
      </c>
      <c r="AP33" s="581">
        <f t="shared" si="8"/>
        <v>125</v>
      </c>
      <c r="AQ33" s="581">
        <f t="shared" si="8"/>
        <v>130</v>
      </c>
      <c r="AR33" s="581">
        <f t="shared" si="8"/>
        <v>135</v>
      </c>
      <c r="AS33" s="581">
        <f t="shared" si="8"/>
        <v>140</v>
      </c>
      <c r="AT33" s="581">
        <f t="shared" si="8"/>
        <v>145</v>
      </c>
      <c r="AU33" s="581">
        <f t="shared" si="8"/>
        <v>150</v>
      </c>
    </row>
    <row r="34" spans="2:47" x14ac:dyDescent="0.3">
      <c r="B34" s="59" t="s">
        <v>4753</v>
      </c>
      <c r="C34" t="s">
        <v>273</v>
      </c>
      <c r="D34" s="583" t="s">
        <v>278</v>
      </c>
      <c r="E34" s="583" t="s">
        <v>279</v>
      </c>
      <c r="F34" s="583" t="s">
        <v>278</v>
      </c>
      <c r="G34" s="583" t="s">
        <v>278</v>
      </c>
      <c r="H34" s="583" t="s">
        <v>278</v>
      </c>
      <c r="I34" s="583" t="s">
        <v>279</v>
      </c>
      <c r="J34" s="197">
        <v>0</v>
      </c>
      <c r="K34" s="613">
        <v>1</v>
      </c>
      <c r="L34" s="197">
        <v>0</v>
      </c>
      <c r="M34" s="197">
        <v>0</v>
      </c>
      <c r="N34" s="197">
        <v>0</v>
      </c>
      <c r="O34" s="613">
        <v>1</v>
      </c>
      <c r="P34" s="583">
        <v>8</v>
      </c>
      <c r="Q34" s="581">
        <v>2</v>
      </c>
      <c r="R34" s="580">
        <v>5</v>
      </c>
      <c r="S34" s="581">
        <f t="shared" si="6"/>
        <v>10</v>
      </c>
      <c r="T34" s="581">
        <f t="shared" si="6"/>
        <v>15</v>
      </c>
      <c r="U34" s="581">
        <f t="shared" si="6"/>
        <v>20</v>
      </c>
      <c r="V34" s="581">
        <f t="shared" si="6"/>
        <v>25</v>
      </c>
      <c r="W34" s="581">
        <f t="shared" si="6"/>
        <v>30</v>
      </c>
      <c r="X34" s="581">
        <f t="shared" si="6"/>
        <v>35</v>
      </c>
      <c r="Y34" s="581">
        <f t="shared" si="6"/>
        <v>40</v>
      </c>
      <c r="Z34" s="581">
        <f t="shared" si="6"/>
        <v>45</v>
      </c>
      <c r="AA34" s="581">
        <f t="shared" si="6"/>
        <v>50</v>
      </c>
      <c r="AB34" s="581">
        <f t="shared" si="6"/>
        <v>55</v>
      </c>
      <c r="AC34" s="581">
        <f t="shared" si="7"/>
        <v>60</v>
      </c>
      <c r="AD34" s="581">
        <f t="shared" si="7"/>
        <v>65</v>
      </c>
      <c r="AE34" s="581">
        <f t="shared" si="7"/>
        <v>70</v>
      </c>
      <c r="AF34" s="581">
        <f t="shared" si="7"/>
        <v>75</v>
      </c>
      <c r="AG34" s="581">
        <f t="shared" si="7"/>
        <v>80</v>
      </c>
      <c r="AH34" s="581">
        <f t="shared" si="7"/>
        <v>85</v>
      </c>
      <c r="AI34" s="581">
        <f t="shared" si="7"/>
        <v>90</v>
      </c>
      <c r="AJ34" s="581">
        <f t="shared" si="7"/>
        <v>95</v>
      </c>
      <c r="AK34" s="581">
        <f t="shared" si="7"/>
        <v>100</v>
      </c>
      <c r="AL34" s="581">
        <f t="shared" si="7"/>
        <v>105</v>
      </c>
      <c r="AM34" s="581">
        <f t="shared" si="8"/>
        <v>110</v>
      </c>
      <c r="AN34" s="581">
        <f t="shared" si="8"/>
        <v>115</v>
      </c>
      <c r="AO34" s="581">
        <f t="shared" si="8"/>
        <v>120</v>
      </c>
      <c r="AP34" s="581">
        <f t="shared" si="8"/>
        <v>125</v>
      </c>
      <c r="AQ34" s="581">
        <f t="shared" si="8"/>
        <v>130</v>
      </c>
      <c r="AR34" s="581">
        <f t="shared" si="8"/>
        <v>135</v>
      </c>
      <c r="AS34" s="581">
        <f t="shared" si="8"/>
        <v>140</v>
      </c>
      <c r="AT34" s="581">
        <f t="shared" si="8"/>
        <v>145</v>
      </c>
      <c r="AU34" s="581">
        <f t="shared" si="8"/>
        <v>150</v>
      </c>
    </row>
    <row r="35" spans="2:47" x14ac:dyDescent="0.3">
      <c r="B35" s="59" t="s">
        <v>274</v>
      </c>
      <c r="C35" t="s">
        <v>273</v>
      </c>
      <c r="D35" s="583" t="s">
        <v>279</v>
      </c>
      <c r="E35" s="583" t="s">
        <v>278</v>
      </c>
      <c r="F35" s="583" t="s">
        <v>278</v>
      </c>
      <c r="G35" s="583" t="s">
        <v>278</v>
      </c>
      <c r="H35" s="583" t="s">
        <v>278</v>
      </c>
      <c r="I35" s="583" t="s">
        <v>279</v>
      </c>
      <c r="J35" s="613">
        <v>1</v>
      </c>
      <c r="K35" s="197">
        <v>0</v>
      </c>
      <c r="L35" s="197">
        <v>0</v>
      </c>
      <c r="M35" s="197">
        <v>0</v>
      </c>
      <c r="N35" s="197">
        <v>0</v>
      </c>
      <c r="O35" s="613">
        <v>1</v>
      </c>
      <c r="P35" s="583">
        <v>6</v>
      </c>
      <c r="Q35" s="581">
        <v>3</v>
      </c>
      <c r="R35" s="580">
        <v>5</v>
      </c>
      <c r="S35" s="581">
        <f t="shared" si="6"/>
        <v>10</v>
      </c>
      <c r="T35" s="581">
        <f t="shared" si="6"/>
        <v>15</v>
      </c>
      <c r="U35" s="581">
        <f t="shared" si="6"/>
        <v>20</v>
      </c>
      <c r="V35" s="581">
        <f t="shared" si="6"/>
        <v>25</v>
      </c>
      <c r="W35" s="581">
        <f t="shared" si="6"/>
        <v>30</v>
      </c>
      <c r="X35" s="581">
        <f t="shared" si="6"/>
        <v>35</v>
      </c>
      <c r="Y35" s="581">
        <f t="shared" si="6"/>
        <v>40</v>
      </c>
      <c r="Z35" s="581">
        <f t="shared" si="6"/>
        <v>45</v>
      </c>
      <c r="AA35" s="581">
        <f t="shared" si="6"/>
        <v>50</v>
      </c>
      <c r="AB35" s="581">
        <f t="shared" si="6"/>
        <v>55</v>
      </c>
      <c r="AC35" s="581">
        <f t="shared" si="7"/>
        <v>60</v>
      </c>
      <c r="AD35" s="581">
        <f t="shared" si="7"/>
        <v>65</v>
      </c>
      <c r="AE35" s="581">
        <f t="shared" si="7"/>
        <v>70</v>
      </c>
      <c r="AF35" s="581">
        <f t="shared" si="7"/>
        <v>75</v>
      </c>
      <c r="AG35" s="581">
        <f t="shared" si="7"/>
        <v>80</v>
      </c>
      <c r="AH35" s="581">
        <f t="shared" si="7"/>
        <v>85</v>
      </c>
      <c r="AI35" s="581">
        <f t="shared" si="7"/>
        <v>90</v>
      </c>
      <c r="AJ35" s="581">
        <f t="shared" si="7"/>
        <v>95</v>
      </c>
      <c r="AK35" s="581">
        <f t="shared" si="7"/>
        <v>100</v>
      </c>
      <c r="AL35" s="581">
        <f t="shared" si="7"/>
        <v>105</v>
      </c>
      <c r="AM35" s="581">
        <f t="shared" si="8"/>
        <v>110</v>
      </c>
      <c r="AN35" s="581">
        <f t="shared" si="8"/>
        <v>115</v>
      </c>
      <c r="AO35" s="581">
        <f t="shared" si="8"/>
        <v>120</v>
      </c>
      <c r="AP35" s="581">
        <f t="shared" si="8"/>
        <v>125</v>
      </c>
      <c r="AQ35" s="581">
        <f t="shared" si="8"/>
        <v>130</v>
      </c>
      <c r="AR35" s="581">
        <f t="shared" si="8"/>
        <v>135</v>
      </c>
      <c r="AS35" s="581">
        <f t="shared" si="8"/>
        <v>140</v>
      </c>
      <c r="AT35" s="581">
        <f t="shared" si="8"/>
        <v>145</v>
      </c>
      <c r="AU35" s="581">
        <f t="shared" si="8"/>
        <v>150</v>
      </c>
    </row>
    <row r="36" spans="2:47" x14ac:dyDescent="0.3">
      <c r="B36" s="59" t="s">
        <v>1017</v>
      </c>
      <c r="C36" t="s">
        <v>273</v>
      </c>
      <c r="D36" s="583" t="s">
        <v>279</v>
      </c>
      <c r="E36" s="583" t="s">
        <v>278</v>
      </c>
      <c r="F36" s="583" t="s">
        <v>278</v>
      </c>
      <c r="G36" s="583" t="s">
        <v>278</v>
      </c>
      <c r="H36" s="583" t="s">
        <v>278</v>
      </c>
      <c r="I36" s="583" t="s">
        <v>279</v>
      </c>
      <c r="J36" s="613">
        <v>1</v>
      </c>
      <c r="K36" s="197">
        <v>0</v>
      </c>
      <c r="L36" s="197">
        <v>0</v>
      </c>
      <c r="M36" s="197">
        <v>0</v>
      </c>
      <c r="N36" s="197">
        <v>0</v>
      </c>
      <c r="O36" s="613">
        <v>1</v>
      </c>
      <c r="P36" s="583">
        <v>6</v>
      </c>
      <c r="Q36" s="581">
        <v>3</v>
      </c>
      <c r="R36" s="580">
        <v>5</v>
      </c>
      <c r="S36" s="581">
        <f t="shared" si="6"/>
        <v>10</v>
      </c>
      <c r="T36" s="581">
        <f t="shared" si="6"/>
        <v>15</v>
      </c>
      <c r="U36" s="581">
        <f t="shared" si="6"/>
        <v>20</v>
      </c>
      <c r="V36" s="581">
        <f t="shared" si="6"/>
        <v>25</v>
      </c>
      <c r="W36" s="581">
        <f t="shared" si="6"/>
        <v>30</v>
      </c>
      <c r="X36" s="581">
        <f t="shared" si="6"/>
        <v>35</v>
      </c>
      <c r="Y36" s="581">
        <f t="shared" si="6"/>
        <v>40</v>
      </c>
      <c r="Z36" s="581">
        <f t="shared" si="6"/>
        <v>45</v>
      </c>
      <c r="AA36" s="581">
        <f t="shared" si="6"/>
        <v>50</v>
      </c>
      <c r="AB36" s="581">
        <f t="shared" si="6"/>
        <v>55</v>
      </c>
      <c r="AC36" s="581">
        <f t="shared" si="7"/>
        <v>60</v>
      </c>
      <c r="AD36" s="581">
        <f t="shared" si="7"/>
        <v>65</v>
      </c>
      <c r="AE36" s="581">
        <f t="shared" si="7"/>
        <v>70</v>
      </c>
      <c r="AF36" s="581">
        <f t="shared" si="7"/>
        <v>75</v>
      </c>
      <c r="AG36" s="581">
        <f t="shared" si="7"/>
        <v>80</v>
      </c>
      <c r="AH36" s="581">
        <f t="shared" si="7"/>
        <v>85</v>
      </c>
      <c r="AI36" s="581">
        <f t="shared" si="7"/>
        <v>90</v>
      </c>
      <c r="AJ36" s="581">
        <f t="shared" si="7"/>
        <v>95</v>
      </c>
      <c r="AK36" s="581">
        <f t="shared" si="7"/>
        <v>100</v>
      </c>
      <c r="AL36" s="581">
        <f t="shared" si="7"/>
        <v>105</v>
      </c>
      <c r="AM36" s="581">
        <f t="shared" si="8"/>
        <v>110</v>
      </c>
      <c r="AN36" s="581">
        <f t="shared" si="8"/>
        <v>115</v>
      </c>
      <c r="AO36" s="581">
        <f t="shared" si="8"/>
        <v>120</v>
      </c>
      <c r="AP36" s="581">
        <f t="shared" si="8"/>
        <v>125</v>
      </c>
      <c r="AQ36" s="581">
        <f t="shared" si="8"/>
        <v>130</v>
      </c>
      <c r="AR36" s="581">
        <f t="shared" si="8"/>
        <v>135</v>
      </c>
      <c r="AS36" s="581">
        <f t="shared" si="8"/>
        <v>140</v>
      </c>
      <c r="AT36" s="581">
        <f t="shared" si="8"/>
        <v>145</v>
      </c>
      <c r="AU36" s="581">
        <f t="shared" si="8"/>
        <v>150</v>
      </c>
    </row>
    <row r="37" spans="2:47" x14ac:dyDescent="0.3">
      <c r="B37" s="59" t="s">
        <v>5589</v>
      </c>
      <c r="C37" t="s">
        <v>2287</v>
      </c>
      <c r="D37" s="583" t="s">
        <v>278</v>
      </c>
      <c r="E37" s="583" t="s">
        <v>279</v>
      </c>
      <c r="F37" s="583" t="s">
        <v>278</v>
      </c>
      <c r="G37" s="583" t="s">
        <v>278</v>
      </c>
      <c r="H37" s="583" t="s">
        <v>279</v>
      </c>
      <c r="I37" s="583" t="s">
        <v>278</v>
      </c>
      <c r="J37" s="197">
        <v>0</v>
      </c>
      <c r="K37" s="613">
        <v>1</v>
      </c>
      <c r="L37" s="197">
        <v>0</v>
      </c>
      <c r="M37" s="197">
        <v>0</v>
      </c>
      <c r="N37" s="613">
        <v>1</v>
      </c>
      <c r="O37" s="197">
        <v>0</v>
      </c>
      <c r="P37" s="583">
        <v>4</v>
      </c>
      <c r="Q37" s="581">
        <v>3</v>
      </c>
      <c r="R37" s="580">
        <v>5</v>
      </c>
      <c r="S37" s="581">
        <f t="shared" si="6"/>
        <v>10</v>
      </c>
      <c r="T37" s="581">
        <f t="shared" si="6"/>
        <v>15</v>
      </c>
      <c r="U37" s="581">
        <f t="shared" si="6"/>
        <v>20</v>
      </c>
      <c r="V37" s="581">
        <f t="shared" si="6"/>
        <v>25</v>
      </c>
      <c r="W37" s="581">
        <f t="shared" si="6"/>
        <v>30</v>
      </c>
      <c r="X37" s="581">
        <f t="shared" si="6"/>
        <v>35</v>
      </c>
      <c r="Y37" s="581">
        <f t="shared" si="6"/>
        <v>40</v>
      </c>
      <c r="Z37" s="581">
        <f t="shared" si="6"/>
        <v>45</v>
      </c>
      <c r="AA37" s="581">
        <f t="shared" si="6"/>
        <v>50</v>
      </c>
      <c r="AB37" s="581">
        <f t="shared" si="6"/>
        <v>55</v>
      </c>
      <c r="AC37" s="581">
        <f t="shared" si="7"/>
        <v>60</v>
      </c>
      <c r="AD37" s="581">
        <f t="shared" si="7"/>
        <v>65</v>
      </c>
      <c r="AE37" s="581">
        <f t="shared" si="7"/>
        <v>70</v>
      </c>
      <c r="AF37" s="581">
        <f t="shared" si="7"/>
        <v>75</v>
      </c>
      <c r="AG37" s="581">
        <f t="shared" si="7"/>
        <v>80</v>
      </c>
      <c r="AH37" s="581">
        <f t="shared" si="7"/>
        <v>85</v>
      </c>
      <c r="AI37" s="581">
        <f t="shared" si="7"/>
        <v>90</v>
      </c>
      <c r="AJ37" s="581">
        <f t="shared" si="7"/>
        <v>95</v>
      </c>
      <c r="AK37" s="581">
        <f t="shared" si="7"/>
        <v>100</v>
      </c>
      <c r="AL37" s="581">
        <f t="shared" si="7"/>
        <v>105</v>
      </c>
      <c r="AM37" s="581">
        <f t="shared" si="8"/>
        <v>110</v>
      </c>
      <c r="AN37" s="581">
        <f t="shared" si="8"/>
        <v>115</v>
      </c>
      <c r="AO37" s="581">
        <f t="shared" si="8"/>
        <v>120</v>
      </c>
      <c r="AP37" s="581">
        <f t="shared" si="8"/>
        <v>125</v>
      </c>
      <c r="AQ37" s="581">
        <f t="shared" si="8"/>
        <v>130</v>
      </c>
      <c r="AR37" s="581">
        <f t="shared" si="8"/>
        <v>135</v>
      </c>
      <c r="AS37" s="581">
        <f t="shared" si="8"/>
        <v>140</v>
      </c>
      <c r="AT37" s="581">
        <f t="shared" si="8"/>
        <v>145</v>
      </c>
      <c r="AU37" s="581">
        <f t="shared" si="8"/>
        <v>150</v>
      </c>
    </row>
    <row r="38" spans="2:47" x14ac:dyDescent="0.3">
      <c r="B38" s="59" t="s">
        <v>5590</v>
      </c>
      <c r="C38" t="s">
        <v>2287</v>
      </c>
      <c r="D38" s="583" t="s">
        <v>278</v>
      </c>
      <c r="E38" s="583" t="s">
        <v>279</v>
      </c>
      <c r="F38" s="583" t="s">
        <v>278</v>
      </c>
      <c r="G38" s="583" t="s">
        <v>278</v>
      </c>
      <c r="H38" s="583" t="s">
        <v>279</v>
      </c>
      <c r="I38" s="583" t="s">
        <v>278</v>
      </c>
      <c r="J38" s="197">
        <v>0</v>
      </c>
      <c r="K38" s="613">
        <v>1</v>
      </c>
      <c r="L38" s="197">
        <v>0</v>
      </c>
      <c r="M38" s="197">
        <v>0</v>
      </c>
      <c r="N38" s="613">
        <v>1</v>
      </c>
      <c r="O38" s="197">
        <v>0</v>
      </c>
      <c r="P38" s="583">
        <v>4</v>
      </c>
      <c r="Q38" s="581">
        <v>3</v>
      </c>
      <c r="R38" s="580">
        <v>5</v>
      </c>
      <c r="S38" s="581">
        <f t="shared" si="6"/>
        <v>10</v>
      </c>
      <c r="T38" s="581">
        <f t="shared" si="6"/>
        <v>15</v>
      </c>
      <c r="U38" s="581">
        <f t="shared" si="6"/>
        <v>20</v>
      </c>
      <c r="V38" s="581">
        <f t="shared" si="6"/>
        <v>25</v>
      </c>
      <c r="W38" s="581">
        <f t="shared" si="6"/>
        <v>30</v>
      </c>
      <c r="X38" s="581">
        <f t="shared" si="6"/>
        <v>35</v>
      </c>
      <c r="Y38" s="581">
        <f t="shared" si="6"/>
        <v>40</v>
      </c>
      <c r="Z38" s="581">
        <f t="shared" si="6"/>
        <v>45</v>
      </c>
      <c r="AA38" s="581">
        <f t="shared" si="6"/>
        <v>50</v>
      </c>
      <c r="AB38" s="581">
        <f t="shared" si="6"/>
        <v>55</v>
      </c>
      <c r="AC38" s="581">
        <f t="shared" si="7"/>
        <v>60</v>
      </c>
      <c r="AD38" s="581">
        <f t="shared" si="7"/>
        <v>65</v>
      </c>
      <c r="AE38" s="581">
        <f t="shared" si="7"/>
        <v>70</v>
      </c>
      <c r="AF38" s="581">
        <f t="shared" si="7"/>
        <v>75</v>
      </c>
      <c r="AG38" s="581">
        <f t="shared" si="7"/>
        <v>80</v>
      </c>
      <c r="AH38" s="581">
        <f t="shared" si="7"/>
        <v>85</v>
      </c>
      <c r="AI38" s="581">
        <f t="shared" si="7"/>
        <v>90</v>
      </c>
      <c r="AJ38" s="581">
        <f t="shared" si="7"/>
        <v>95</v>
      </c>
      <c r="AK38" s="581">
        <f t="shared" si="7"/>
        <v>100</v>
      </c>
      <c r="AL38" s="581">
        <f t="shared" si="7"/>
        <v>105</v>
      </c>
      <c r="AM38" s="581">
        <f t="shared" si="8"/>
        <v>110</v>
      </c>
      <c r="AN38" s="581">
        <f t="shared" si="8"/>
        <v>115</v>
      </c>
      <c r="AO38" s="581">
        <f t="shared" si="8"/>
        <v>120</v>
      </c>
      <c r="AP38" s="581">
        <f t="shared" si="8"/>
        <v>125</v>
      </c>
      <c r="AQ38" s="581">
        <f t="shared" si="8"/>
        <v>130</v>
      </c>
      <c r="AR38" s="581">
        <f t="shared" si="8"/>
        <v>135</v>
      </c>
      <c r="AS38" s="581">
        <f t="shared" si="8"/>
        <v>140</v>
      </c>
      <c r="AT38" s="581">
        <f t="shared" si="8"/>
        <v>145</v>
      </c>
      <c r="AU38" s="581">
        <f t="shared" si="8"/>
        <v>150</v>
      </c>
    </row>
    <row r="39" spans="2:47" x14ac:dyDescent="0.3">
      <c r="B39" s="59" t="s">
        <v>268</v>
      </c>
      <c r="C39" t="s">
        <v>206</v>
      </c>
      <c r="D39" s="583" t="s">
        <v>278</v>
      </c>
      <c r="E39" s="583" t="s">
        <v>278</v>
      </c>
      <c r="F39" s="583" t="s">
        <v>279</v>
      </c>
      <c r="G39" s="583" t="s">
        <v>279</v>
      </c>
      <c r="H39" s="583" t="s">
        <v>278</v>
      </c>
      <c r="I39" s="583" t="s">
        <v>278</v>
      </c>
      <c r="J39" s="197">
        <v>0</v>
      </c>
      <c r="K39" s="197">
        <v>0</v>
      </c>
      <c r="L39" s="613">
        <v>1</v>
      </c>
      <c r="M39" s="613">
        <v>1</v>
      </c>
      <c r="N39" s="197">
        <v>0</v>
      </c>
      <c r="O39" s="197">
        <v>0</v>
      </c>
      <c r="P39" s="583">
        <v>5</v>
      </c>
      <c r="Q39" s="581">
        <v>2</v>
      </c>
      <c r="R39" s="580">
        <v>4</v>
      </c>
      <c r="S39" s="581">
        <f t="shared" ref="S39:AB48" si="9">$R39*S$3</f>
        <v>8</v>
      </c>
      <c r="T39" s="581">
        <f t="shared" si="9"/>
        <v>12</v>
      </c>
      <c r="U39" s="581">
        <f t="shared" si="9"/>
        <v>16</v>
      </c>
      <c r="V39" s="581">
        <f t="shared" si="9"/>
        <v>20</v>
      </c>
      <c r="W39" s="581">
        <f t="shared" si="9"/>
        <v>24</v>
      </c>
      <c r="X39" s="581">
        <f t="shared" si="9"/>
        <v>28</v>
      </c>
      <c r="Y39" s="581">
        <f t="shared" si="9"/>
        <v>32</v>
      </c>
      <c r="Z39" s="581">
        <f t="shared" si="9"/>
        <v>36</v>
      </c>
      <c r="AA39" s="581">
        <f t="shared" si="9"/>
        <v>40</v>
      </c>
      <c r="AB39" s="581">
        <f t="shared" si="9"/>
        <v>44</v>
      </c>
      <c r="AC39" s="581">
        <f t="shared" ref="AC39:AL48" si="10">$R39*AC$3</f>
        <v>48</v>
      </c>
      <c r="AD39" s="581">
        <f t="shared" si="10"/>
        <v>52</v>
      </c>
      <c r="AE39" s="581">
        <f t="shared" si="10"/>
        <v>56</v>
      </c>
      <c r="AF39" s="581">
        <f t="shared" si="10"/>
        <v>60</v>
      </c>
      <c r="AG39" s="581">
        <f t="shared" si="10"/>
        <v>64</v>
      </c>
      <c r="AH39" s="581">
        <f t="shared" si="10"/>
        <v>68</v>
      </c>
      <c r="AI39" s="581">
        <f t="shared" si="10"/>
        <v>72</v>
      </c>
      <c r="AJ39" s="581">
        <f t="shared" si="10"/>
        <v>76</v>
      </c>
      <c r="AK39" s="581">
        <f t="shared" si="10"/>
        <v>80</v>
      </c>
      <c r="AL39" s="581">
        <f t="shared" si="10"/>
        <v>84</v>
      </c>
      <c r="AM39" s="581">
        <f t="shared" ref="AM39:AU48" si="11">$R39*AM$3</f>
        <v>88</v>
      </c>
      <c r="AN39" s="581">
        <f t="shared" si="11"/>
        <v>92</v>
      </c>
      <c r="AO39" s="581">
        <f t="shared" si="11"/>
        <v>96</v>
      </c>
      <c r="AP39" s="581">
        <f t="shared" si="11"/>
        <v>100</v>
      </c>
      <c r="AQ39" s="581">
        <f t="shared" si="11"/>
        <v>104</v>
      </c>
      <c r="AR39" s="581">
        <f t="shared" si="11"/>
        <v>108</v>
      </c>
      <c r="AS39" s="581">
        <f t="shared" si="11"/>
        <v>112</v>
      </c>
      <c r="AT39" s="581">
        <f t="shared" si="11"/>
        <v>116</v>
      </c>
      <c r="AU39" s="581">
        <f t="shared" si="11"/>
        <v>120</v>
      </c>
    </row>
    <row r="40" spans="2:47" x14ac:dyDescent="0.3">
      <c r="B40" s="59" t="s">
        <v>1018</v>
      </c>
      <c r="C40" t="s">
        <v>206</v>
      </c>
      <c r="D40" s="583" t="s">
        <v>278</v>
      </c>
      <c r="E40" s="583" t="s">
        <v>278</v>
      </c>
      <c r="F40" s="583" t="s">
        <v>279</v>
      </c>
      <c r="G40" s="583" t="s">
        <v>279</v>
      </c>
      <c r="H40" s="583" t="s">
        <v>278</v>
      </c>
      <c r="I40" s="583" t="s">
        <v>278</v>
      </c>
      <c r="J40" s="197">
        <v>0</v>
      </c>
      <c r="K40" s="197">
        <v>0</v>
      </c>
      <c r="L40" s="613">
        <v>1</v>
      </c>
      <c r="M40" s="613">
        <v>1</v>
      </c>
      <c r="N40" s="197">
        <v>0</v>
      </c>
      <c r="O40" s="197">
        <v>0</v>
      </c>
      <c r="P40" s="583">
        <v>5</v>
      </c>
      <c r="Q40" s="581">
        <v>2</v>
      </c>
      <c r="R40" s="580">
        <v>4</v>
      </c>
      <c r="S40" s="581">
        <f t="shared" si="9"/>
        <v>8</v>
      </c>
      <c r="T40" s="581">
        <f t="shared" si="9"/>
        <v>12</v>
      </c>
      <c r="U40" s="581">
        <f t="shared" si="9"/>
        <v>16</v>
      </c>
      <c r="V40" s="581">
        <f t="shared" si="9"/>
        <v>20</v>
      </c>
      <c r="W40" s="581">
        <f t="shared" si="9"/>
        <v>24</v>
      </c>
      <c r="X40" s="581">
        <f t="shared" si="9"/>
        <v>28</v>
      </c>
      <c r="Y40" s="581">
        <f t="shared" si="9"/>
        <v>32</v>
      </c>
      <c r="Z40" s="581">
        <f t="shared" si="9"/>
        <v>36</v>
      </c>
      <c r="AA40" s="581">
        <f t="shared" si="9"/>
        <v>40</v>
      </c>
      <c r="AB40" s="581">
        <f t="shared" si="9"/>
        <v>44</v>
      </c>
      <c r="AC40" s="581">
        <f t="shared" si="10"/>
        <v>48</v>
      </c>
      <c r="AD40" s="581">
        <f t="shared" si="10"/>
        <v>52</v>
      </c>
      <c r="AE40" s="581">
        <f t="shared" si="10"/>
        <v>56</v>
      </c>
      <c r="AF40" s="581">
        <f t="shared" si="10"/>
        <v>60</v>
      </c>
      <c r="AG40" s="581">
        <f t="shared" si="10"/>
        <v>64</v>
      </c>
      <c r="AH40" s="581">
        <f t="shared" si="10"/>
        <v>68</v>
      </c>
      <c r="AI40" s="581">
        <f t="shared" si="10"/>
        <v>72</v>
      </c>
      <c r="AJ40" s="581">
        <f t="shared" si="10"/>
        <v>76</v>
      </c>
      <c r="AK40" s="581">
        <f t="shared" si="10"/>
        <v>80</v>
      </c>
      <c r="AL40" s="581">
        <f t="shared" si="10"/>
        <v>84</v>
      </c>
      <c r="AM40" s="581">
        <f t="shared" si="11"/>
        <v>88</v>
      </c>
      <c r="AN40" s="581">
        <f t="shared" si="11"/>
        <v>92</v>
      </c>
      <c r="AO40" s="581">
        <f t="shared" si="11"/>
        <v>96</v>
      </c>
      <c r="AP40" s="581">
        <f t="shared" si="11"/>
        <v>100</v>
      </c>
      <c r="AQ40" s="581">
        <f t="shared" si="11"/>
        <v>104</v>
      </c>
      <c r="AR40" s="581">
        <f t="shared" si="11"/>
        <v>108</v>
      </c>
      <c r="AS40" s="581">
        <f t="shared" si="11"/>
        <v>112</v>
      </c>
      <c r="AT40" s="581">
        <f t="shared" si="11"/>
        <v>116</v>
      </c>
      <c r="AU40" s="581">
        <f t="shared" si="11"/>
        <v>120</v>
      </c>
    </row>
    <row r="41" spans="2:47" x14ac:dyDescent="0.3">
      <c r="B41" s="59" t="s">
        <v>1019</v>
      </c>
      <c r="C41" t="s">
        <v>202</v>
      </c>
      <c r="D41" s="583" t="s">
        <v>278</v>
      </c>
      <c r="E41" s="583" t="s">
        <v>278</v>
      </c>
      <c r="F41" s="583" t="s">
        <v>278</v>
      </c>
      <c r="G41" s="583" t="s">
        <v>279</v>
      </c>
      <c r="H41" s="583" t="s">
        <v>279</v>
      </c>
      <c r="I41" s="583" t="s">
        <v>278</v>
      </c>
      <c r="J41" s="197">
        <v>0</v>
      </c>
      <c r="K41" s="197">
        <v>0</v>
      </c>
      <c r="L41" s="197">
        <v>0</v>
      </c>
      <c r="M41" s="613">
        <v>1</v>
      </c>
      <c r="N41" s="613">
        <v>1</v>
      </c>
      <c r="O41" s="197">
        <v>0</v>
      </c>
      <c r="P41" s="583">
        <v>10</v>
      </c>
      <c r="Q41" s="581">
        <v>2</v>
      </c>
      <c r="R41" s="580">
        <v>5</v>
      </c>
      <c r="S41" s="581">
        <f t="shared" si="9"/>
        <v>10</v>
      </c>
      <c r="T41" s="581">
        <f t="shared" si="9"/>
        <v>15</v>
      </c>
      <c r="U41" s="581">
        <f t="shared" si="9"/>
        <v>20</v>
      </c>
      <c r="V41" s="581">
        <f t="shared" si="9"/>
        <v>25</v>
      </c>
      <c r="W41" s="581">
        <f t="shared" si="9"/>
        <v>30</v>
      </c>
      <c r="X41" s="581">
        <f t="shared" si="9"/>
        <v>35</v>
      </c>
      <c r="Y41" s="581">
        <f t="shared" si="9"/>
        <v>40</v>
      </c>
      <c r="Z41" s="581">
        <f t="shared" si="9"/>
        <v>45</v>
      </c>
      <c r="AA41" s="581">
        <f t="shared" si="9"/>
        <v>50</v>
      </c>
      <c r="AB41" s="581">
        <f t="shared" si="9"/>
        <v>55</v>
      </c>
      <c r="AC41" s="581">
        <f t="shared" si="10"/>
        <v>60</v>
      </c>
      <c r="AD41" s="581">
        <f t="shared" si="10"/>
        <v>65</v>
      </c>
      <c r="AE41" s="581">
        <f t="shared" si="10"/>
        <v>70</v>
      </c>
      <c r="AF41" s="581">
        <f t="shared" si="10"/>
        <v>75</v>
      </c>
      <c r="AG41" s="581">
        <f t="shared" si="10"/>
        <v>80</v>
      </c>
      <c r="AH41" s="581">
        <f t="shared" si="10"/>
        <v>85</v>
      </c>
      <c r="AI41" s="581">
        <f t="shared" si="10"/>
        <v>90</v>
      </c>
      <c r="AJ41" s="581">
        <f t="shared" si="10"/>
        <v>95</v>
      </c>
      <c r="AK41" s="581">
        <f t="shared" si="10"/>
        <v>100</v>
      </c>
      <c r="AL41" s="581">
        <f t="shared" si="10"/>
        <v>105</v>
      </c>
      <c r="AM41" s="581">
        <f t="shared" si="11"/>
        <v>110</v>
      </c>
      <c r="AN41" s="581">
        <f t="shared" si="11"/>
        <v>115</v>
      </c>
      <c r="AO41" s="581">
        <f t="shared" si="11"/>
        <v>120</v>
      </c>
      <c r="AP41" s="581">
        <f t="shared" si="11"/>
        <v>125</v>
      </c>
      <c r="AQ41" s="581">
        <f t="shared" si="11"/>
        <v>130</v>
      </c>
      <c r="AR41" s="581">
        <f t="shared" si="11"/>
        <v>135</v>
      </c>
      <c r="AS41" s="581">
        <f t="shared" si="11"/>
        <v>140</v>
      </c>
      <c r="AT41" s="581">
        <f t="shared" si="11"/>
        <v>145</v>
      </c>
      <c r="AU41" s="581">
        <f t="shared" si="11"/>
        <v>150</v>
      </c>
    </row>
    <row r="42" spans="2:47" x14ac:dyDescent="0.3">
      <c r="B42" s="59" t="s">
        <v>263</v>
      </c>
      <c r="C42" t="s">
        <v>202</v>
      </c>
      <c r="D42" s="583" t="s">
        <v>278</v>
      </c>
      <c r="E42" s="583" t="s">
        <v>278</v>
      </c>
      <c r="F42" s="583" t="s">
        <v>278</v>
      </c>
      <c r="G42" s="583" t="s">
        <v>279</v>
      </c>
      <c r="H42" s="583" t="s">
        <v>279</v>
      </c>
      <c r="I42" s="583" t="s">
        <v>278</v>
      </c>
      <c r="J42" s="197">
        <v>0</v>
      </c>
      <c r="K42" s="197">
        <v>0</v>
      </c>
      <c r="L42" s="197">
        <v>0</v>
      </c>
      <c r="M42" s="613">
        <v>1</v>
      </c>
      <c r="N42" s="613">
        <v>1</v>
      </c>
      <c r="O42" s="197">
        <v>0</v>
      </c>
      <c r="P42" s="583">
        <v>10</v>
      </c>
      <c r="Q42" s="581">
        <v>2</v>
      </c>
      <c r="R42" s="580">
        <v>5</v>
      </c>
      <c r="S42" s="581">
        <f t="shared" si="9"/>
        <v>10</v>
      </c>
      <c r="T42" s="581">
        <f t="shared" si="9"/>
        <v>15</v>
      </c>
      <c r="U42" s="581">
        <f t="shared" si="9"/>
        <v>20</v>
      </c>
      <c r="V42" s="581">
        <f t="shared" si="9"/>
        <v>25</v>
      </c>
      <c r="W42" s="581">
        <f t="shared" si="9"/>
        <v>30</v>
      </c>
      <c r="X42" s="581">
        <f t="shared" si="9"/>
        <v>35</v>
      </c>
      <c r="Y42" s="581">
        <f t="shared" si="9"/>
        <v>40</v>
      </c>
      <c r="Z42" s="581">
        <f t="shared" si="9"/>
        <v>45</v>
      </c>
      <c r="AA42" s="581">
        <f t="shared" si="9"/>
        <v>50</v>
      </c>
      <c r="AB42" s="581">
        <f t="shared" si="9"/>
        <v>55</v>
      </c>
      <c r="AC42" s="581">
        <f t="shared" si="10"/>
        <v>60</v>
      </c>
      <c r="AD42" s="581">
        <f t="shared" si="10"/>
        <v>65</v>
      </c>
      <c r="AE42" s="581">
        <f t="shared" si="10"/>
        <v>70</v>
      </c>
      <c r="AF42" s="581">
        <f t="shared" si="10"/>
        <v>75</v>
      </c>
      <c r="AG42" s="581">
        <f t="shared" si="10"/>
        <v>80</v>
      </c>
      <c r="AH42" s="581">
        <f t="shared" si="10"/>
        <v>85</v>
      </c>
      <c r="AI42" s="581">
        <f t="shared" si="10"/>
        <v>90</v>
      </c>
      <c r="AJ42" s="581">
        <f t="shared" si="10"/>
        <v>95</v>
      </c>
      <c r="AK42" s="581">
        <f t="shared" si="10"/>
        <v>100</v>
      </c>
      <c r="AL42" s="581">
        <f t="shared" si="10"/>
        <v>105</v>
      </c>
      <c r="AM42" s="581">
        <f t="shared" si="11"/>
        <v>110</v>
      </c>
      <c r="AN42" s="581">
        <f t="shared" si="11"/>
        <v>115</v>
      </c>
      <c r="AO42" s="581">
        <f t="shared" si="11"/>
        <v>120</v>
      </c>
      <c r="AP42" s="581">
        <f t="shared" si="11"/>
        <v>125</v>
      </c>
      <c r="AQ42" s="581">
        <f t="shared" si="11"/>
        <v>130</v>
      </c>
      <c r="AR42" s="581">
        <f t="shared" si="11"/>
        <v>135</v>
      </c>
      <c r="AS42" s="581">
        <f t="shared" si="11"/>
        <v>140</v>
      </c>
      <c r="AT42" s="581">
        <f t="shared" si="11"/>
        <v>145</v>
      </c>
      <c r="AU42" s="581">
        <f t="shared" si="11"/>
        <v>150</v>
      </c>
    </row>
    <row r="43" spans="2:47" x14ac:dyDescent="0.3">
      <c r="B43" s="59" t="s">
        <v>256</v>
      </c>
      <c r="C43" t="s">
        <v>174</v>
      </c>
      <c r="D43" s="583" t="s">
        <v>279</v>
      </c>
      <c r="E43" s="583" t="s">
        <v>278</v>
      </c>
      <c r="F43" s="583" t="s">
        <v>278</v>
      </c>
      <c r="G43" s="583" t="s">
        <v>278</v>
      </c>
      <c r="H43" s="583" t="s">
        <v>278</v>
      </c>
      <c r="I43" s="583" t="s">
        <v>279</v>
      </c>
      <c r="J43" s="613">
        <v>2</v>
      </c>
      <c r="K43" s="197">
        <v>0</v>
      </c>
      <c r="L43" s="197">
        <v>0</v>
      </c>
      <c r="M43" s="197">
        <v>0</v>
      </c>
      <c r="N43" s="197">
        <v>0</v>
      </c>
      <c r="O43" s="613">
        <v>0</v>
      </c>
      <c r="P43" s="583">
        <v>5</v>
      </c>
      <c r="Q43" s="581">
        <v>4</v>
      </c>
      <c r="R43" s="580">
        <v>5</v>
      </c>
      <c r="S43" s="581">
        <f t="shared" si="9"/>
        <v>10</v>
      </c>
      <c r="T43" s="581">
        <f t="shared" si="9"/>
        <v>15</v>
      </c>
      <c r="U43" s="581">
        <f t="shared" si="9"/>
        <v>20</v>
      </c>
      <c r="V43" s="581">
        <f t="shared" si="9"/>
        <v>25</v>
      </c>
      <c r="W43" s="581">
        <f t="shared" si="9"/>
        <v>30</v>
      </c>
      <c r="X43" s="581">
        <f t="shared" si="9"/>
        <v>35</v>
      </c>
      <c r="Y43" s="581">
        <f t="shared" si="9"/>
        <v>40</v>
      </c>
      <c r="Z43" s="581">
        <f t="shared" si="9"/>
        <v>45</v>
      </c>
      <c r="AA43" s="581">
        <f t="shared" si="9"/>
        <v>50</v>
      </c>
      <c r="AB43" s="581">
        <f t="shared" si="9"/>
        <v>55</v>
      </c>
      <c r="AC43" s="581">
        <f t="shared" si="10"/>
        <v>60</v>
      </c>
      <c r="AD43" s="581">
        <f t="shared" si="10"/>
        <v>65</v>
      </c>
      <c r="AE43" s="581">
        <f t="shared" si="10"/>
        <v>70</v>
      </c>
      <c r="AF43" s="581">
        <f t="shared" si="10"/>
        <v>75</v>
      </c>
      <c r="AG43" s="581">
        <f t="shared" si="10"/>
        <v>80</v>
      </c>
      <c r="AH43" s="581">
        <f t="shared" si="10"/>
        <v>85</v>
      </c>
      <c r="AI43" s="581">
        <f t="shared" si="10"/>
        <v>90</v>
      </c>
      <c r="AJ43" s="581">
        <f t="shared" si="10"/>
        <v>95</v>
      </c>
      <c r="AK43" s="581">
        <f t="shared" si="10"/>
        <v>100</v>
      </c>
      <c r="AL43" s="581">
        <f t="shared" si="10"/>
        <v>105</v>
      </c>
      <c r="AM43" s="581">
        <f t="shared" si="11"/>
        <v>110</v>
      </c>
      <c r="AN43" s="581">
        <f t="shared" si="11"/>
        <v>115</v>
      </c>
      <c r="AO43" s="581">
        <f t="shared" si="11"/>
        <v>120</v>
      </c>
      <c r="AP43" s="581">
        <f t="shared" si="11"/>
        <v>125</v>
      </c>
      <c r="AQ43" s="581">
        <f t="shared" si="11"/>
        <v>130</v>
      </c>
      <c r="AR43" s="581">
        <f t="shared" si="11"/>
        <v>135</v>
      </c>
      <c r="AS43" s="581">
        <f t="shared" si="11"/>
        <v>140</v>
      </c>
      <c r="AT43" s="581">
        <f t="shared" si="11"/>
        <v>145</v>
      </c>
      <c r="AU43" s="581">
        <f t="shared" si="11"/>
        <v>150</v>
      </c>
    </row>
    <row r="44" spans="2:47" x14ac:dyDescent="0.3">
      <c r="B44" s="59" t="s">
        <v>1020</v>
      </c>
      <c r="C44" t="s">
        <v>174</v>
      </c>
      <c r="D44" s="583" t="s">
        <v>279</v>
      </c>
      <c r="E44" s="583" t="s">
        <v>278</v>
      </c>
      <c r="F44" s="583" t="s">
        <v>278</v>
      </c>
      <c r="G44" s="583" t="s">
        <v>278</v>
      </c>
      <c r="H44" s="583" t="s">
        <v>278</v>
      </c>
      <c r="I44" s="583" t="s">
        <v>279</v>
      </c>
      <c r="J44" s="613">
        <v>2</v>
      </c>
      <c r="K44" s="197">
        <v>0</v>
      </c>
      <c r="L44" s="197">
        <v>0</v>
      </c>
      <c r="M44" s="197">
        <v>0</v>
      </c>
      <c r="N44" s="197">
        <v>0</v>
      </c>
      <c r="O44" s="613">
        <v>0</v>
      </c>
      <c r="P44" s="583">
        <v>5</v>
      </c>
      <c r="Q44" s="581">
        <v>4</v>
      </c>
      <c r="R44" s="580">
        <v>5</v>
      </c>
      <c r="S44" s="581">
        <f t="shared" si="9"/>
        <v>10</v>
      </c>
      <c r="T44" s="581">
        <f t="shared" si="9"/>
        <v>15</v>
      </c>
      <c r="U44" s="581">
        <f t="shared" si="9"/>
        <v>20</v>
      </c>
      <c r="V44" s="581">
        <f t="shared" si="9"/>
        <v>25</v>
      </c>
      <c r="W44" s="581">
        <f t="shared" si="9"/>
        <v>30</v>
      </c>
      <c r="X44" s="581">
        <f t="shared" si="9"/>
        <v>35</v>
      </c>
      <c r="Y44" s="581">
        <f t="shared" si="9"/>
        <v>40</v>
      </c>
      <c r="Z44" s="581">
        <f t="shared" si="9"/>
        <v>45</v>
      </c>
      <c r="AA44" s="581">
        <f t="shared" si="9"/>
        <v>50</v>
      </c>
      <c r="AB44" s="581">
        <f t="shared" si="9"/>
        <v>55</v>
      </c>
      <c r="AC44" s="581">
        <f t="shared" si="10"/>
        <v>60</v>
      </c>
      <c r="AD44" s="581">
        <f t="shared" si="10"/>
        <v>65</v>
      </c>
      <c r="AE44" s="581">
        <f t="shared" si="10"/>
        <v>70</v>
      </c>
      <c r="AF44" s="581">
        <f t="shared" si="10"/>
        <v>75</v>
      </c>
      <c r="AG44" s="581">
        <f t="shared" si="10"/>
        <v>80</v>
      </c>
      <c r="AH44" s="581">
        <f t="shared" si="10"/>
        <v>85</v>
      </c>
      <c r="AI44" s="581">
        <f t="shared" si="10"/>
        <v>90</v>
      </c>
      <c r="AJ44" s="581">
        <f t="shared" si="10"/>
        <v>95</v>
      </c>
      <c r="AK44" s="581">
        <f t="shared" si="10"/>
        <v>100</v>
      </c>
      <c r="AL44" s="581">
        <f t="shared" si="10"/>
        <v>105</v>
      </c>
      <c r="AM44" s="581">
        <f t="shared" si="11"/>
        <v>110</v>
      </c>
      <c r="AN44" s="581">
        <f t="shared" si="11"/>
        <v>115</v>
      </c>
      <c r="AO44" s="581">
        <f t="shared" si="11"/>
        <v>120</v>
      </c>
      <c r="AP44" s="581">
        <f t="shared" si="11"/>
        <v>125</v>
      </c>
      <c r="AQ44" s="581">
        <f t="shared" si="11"/>
        <v>130</v>
      </c>
      <c r="AR44" s="581">
        <f t="shared" si="11"/>
        <v>135</v>
      </c>
      <c r="AS44" s="581">
        <f t="shared" si="11"/>
        <v>140</v>
      </c>
      <c r="AT44" s="581">
        <f t="shared" si="11"/>
        <v>145</v>
      </c>
      <c r="AU44" s="581">
        <f t="shared" si="11"/>
        <v>150</v>
      </c>
    </row>
    <row r="45" spans="2:47" x14ac:dyDescent="0.3">
      <c r="B45" s="59" t="s">
        <v>269</v>
      </c>
      <c r="C45" t="s">
        <v>212</v>
      </c>
      <c r="D45" s="583" t="s">
        <v>278</v>
      </c>
      <c r="E45" s="583" t="s">
        <v>278</v>
      </c>
      <c r="F45" s="583" t="s">
        <v>279</v>
      </c>
      <c r="G45" s="583" t="s">
        <v>278</v>
      </c>
      <c r="H45" s="583" t="s">
        <v>279</v>
      </c>
      <c r="I45" s="583" t="s">
        <v>278</v>
      </c>
      <c r="J45" s="581">
        <v>0</v>
      </c>
      <c r="K45" s="581">
        <v>0</v>
      </c>
      <c r="L45" s="613">
        <v>2</v>
      </c>
      <c r="M45" s="581">
        <v>0</v>
      </c>
      <c r="N45" s="613">
        <v>0</v>
      </c>
      <c r="O45" s="581">
        <v>0</v>
      </c>
      <c r="P45" s="583">
        <v>6</v>
      </c>
      <c r="Q45" s="581">
        <v>3</v>
      </c>
      <c r="R45" s="580">
        <f>5*R$3</f>
        <v>5</v>
      </c>
      <c r="S45" s="581">
        <f t="shared" si="9"/>
        <v>10</v>
      </c>
      <c r="T45" s="581">
        <f t="shared" si="9"/>
        <v>15</v>
      </c>
      <c r="U45" s="581">
        <f t="shared" si="9"/>
        <v>20</v>
      </c>
      <c r="V45" s="581">
        <f t="shared" si="9"/>
        <v>25</v>
      </c>
      <c r="W45" s="581">
        <f t="shared" si="9"/>
        <v>30</v>
      </c>
      <c r="X45" s="581">
        <f t="shared" si="9"/>
        <v>35</v>
      </c>
      <c r="Y45" s="581">
        <f t="shared" si="9"/>
        <v>40</v>
      </c>
      <c r="Z45" s="581">
        <f t="shared" si="9"/>
        <v>45</v>
      </c>
      <c r="AA45" s="581">
        <f t="shared" si="9"/>
        <v>50</v>
      </c>
      <c r="AB45" s="581">
        <f t="shared" si="9"/>
        <v>55</v>
      </c>
      <c r="AC45" s="581">
        <f t="shared" si="10"/>
        <v>60</v>
      </c>
      <c r="AD45" s="581">
        <f t="shared" si="10"/>
        <v>65</v>
      </c>
      <c r="AE45" s="581">
        <f t="shared" si="10"/>
        <v>70</v>
      </c>
      <c r="AF45" s="581">
        <f t="shared" si="10"/>
        <v>75</v>
      </c>
      <c r="AG45" s="581">
        <f t="shared" si="10"/>
        <v>80</v>
      </c>
      <c r="AH45" s="581">
        <f t="shared" si="10"/>
        <v>85</v>
      </c>
      <c r="AI45" s="581">
        <f t="shared" si="10"/>
        <v>90</v>
      </c>
      <c r="AJ45" s="581">
        <f t="shared" si="10"/>
        <v>95</v>
      </c>
      <c r="AK45" s="581">
        <f t="shared" si="10"/>
        <v>100</v>
      </c>
      <c r="AL45" s="581">
        <f t="shared" si="10"/>
        <v>105</v>
      </c>
      <c r="AM45" s="581">
        <f t="shared" si="11"/>
        <v>110</v>
      </c>
      <c r="AN45" s="581">
        <f t="shared" si="11"/>
        <v>115</v>
      </c>
      <c r="AO45" s="581">
        <f t="shared" si="11"/>
        <v>120</v>
      </c>
      <c r="AP45" s="581">
        <f t="shared" si="11"/>
        <v>125</v>
      </c>
      <c r="AQ45" s="581">
        <f t="shared" si="11"/>
        <v>130</v>
      </c>
      <c r="AR45" s="581">
        <f t="shared" si="11"/>
        <v>135</v>
      </c>
      <c r="AS45" s="581">
        <f t="shared" si="11"/>
        <v>140</v>
      </c>
      <c r="AT45" s="581">
        <f t="shared" si="11"/>
        <v>145</v>
      </c>
      <c r="AU45" s="581">
        <f t="shared" si="11"/>
        <v>150</v>
      </c>
    </row>
    <row r="46" spans="2:47" x14ac:dyDescent="0.3">
      <c r="B46" s="59" t="s">
        <v>1021</v>
      </c>
      <c r="C46" t="s">
        <v>212</v>
      </c>
      <c r="D46" s="583" t="s">
        <v>278</v>
      </c>
      <c r="E46" s="583" t="s">
        <v>278</v>
      </c>
      <c r="F46" s="583" t="s">
        <v>279</v>
      </c>
      <c r="G46" s="583" t="s">
        <v>278</v>
      </c>
      <c r="H46" s="583" t="s">
        <v>279</v>
      </c>
      <c r="I46" s="583" t="s">
        <v>278</v>
      </c>
      <c r="J46" s="581">
        <v>0</v>
      </c>
      <c r="K46" s="581">
        <v>0</v>
      </c>
      <c r="L46" s="613">
        <v>2</v>
      </c>
      <c r="M46" s="581">
        <v>0</v>
      </c>
      <c r="N46" s="613">
        <v>0</v>
      </c>
      <c r="O46" s="581">
        <v>0</v>
      </c>
      <c r="P46" s="583">
        <v>6</v>
      </c>
      <c r="Q46" s="581">
        <v>3</v>
      </c>
      <c r="R46" s="580">
        <f>5*R$3</f>
        <v>5</v>
      </c>
      <c r="S46" s="581">
        <f t="shared" si="9"/>
        <v>10</v>
      </c>
      <c r="T46" s="581">
        <f t="shared" si="9"/>
        <v>15</v>
      </c>
      <c r="U46" s="581">
        <f t="shared" si="9"/>
        <v>20</v>
      </c>
      <c r="V46" s="581">
        <f t="shared" si="9"/>
        <v>25</v>
      </c>
      <c r="W46" s="581">
        <f t="shared" si="9"/>
        <v>30</v>
      </c>
      <c r="X46" s="581">
        <f t="shared" si="9"/>
        <v>35</v>
      </c>
      <c r="Y46" s="581">
        <f t="shared" si="9"/>
        <v>40</v>
      </c>
      <c r="Z46" s="581">
        <f t="shared" si="9"/>
        <v>45</v>
      </c>
      <c r="AA46" s="581">
        <f t="shared" si="9"/>
        <v>50</v>
      </c>
      <c r="AB46" s="581">
        <f t="shared" si="9"/>
        <v>55</v>
      </c>
      <c r="AC46" s="581">
        <f t="shared" si="10"/>
        <v>60</v>
      </c>
      <c r="AD46" s="581">
        <f t="shared" si="10"/>
        <v>65</v>
      </c>
      <c r="AE46" s="581">
        <f t="shared" si="10"/>
        <v>70</v>
      </c>
      <c r="AF46" s="581">
        <f t="shared" si="10"/>
        <v>75</v>
      </c>
      <c r="AG46" s="581">
        <f t="shared" si="10"/>
        <v>80</v>
      </c>
      <c r="AH46" s="581">
        <f t="shared" si="10"/>
        <v>85</v>
      </c>
      <c r="AI46" s="581">
        <f t="shared" si="10"/>
        <v>90</v>
      </c>
      <c r="AJ46" s="581">
        <f t="shared" si="10"/>
        <v>95</v>
      </c>
      <c r="AK46" s="581">
        <f t="shared" si="10"/>
        <v>100</v>
      </c>
      <c r="AL46" s="581">
        <f t="shared" si="10"/>
        <v>105</v>
      </c>
      <c r="AM46" s="581">
        <f t="shared" si="11"/>
        <v>110</v>
      </c>
      <c r="AN46" s="581">
        <f t="shared" si="11"/>
        <v>115</v>
      </c>
      <c r="AO46" s="581">
        <f t="shared" si="11"/>
        <v>120</v>
      </c>
      <c r="AP46" s="581">
        <f t="shared" si="11"/>
        <v>125</v>
      </c>
      <c r="AQ46" s="581">
        <f t="shared" si="11"/>
        <v>130</v>
      </c>
      <c r="AR46" s="581">
        <f t="shared" si="11"/>
        <v>135</v>
      </c>
      <c r="AS46" s="581">
        <f t="shared" si="11"/>
        <v>140</v>
      </c>
      <c r="AT46" s="581">
        <f t="shared" si="11"/>
        <v>145</v>
      </c>
      <c r="AU46" s="581">
        <f t="shared" si="11"/>
        <v>150</v>
      </c>
    </row>
    <row r="47" spans="2:47" x14ac:dyDescent="0.3">
      <c r="B47" s="59" t="s">
        <v>267</v>
      </c>
      <c r="C47" t="s">
        <v>206</v>
      </c>
      <c r="D47" s="583" t="s">
        <v>278</v>
      </c>
      <c r="E47" s="583" t="s">
        <v>278</v>
      </c>
      <c r="F47" s="583" t="s">
        <v>279</v>
      </c>
      <c r="G47" s="583" t="s">
        <v>278</v>
      </c>
      <c r="H47" s="583" t="s">
        <v>279</v>
      </c>
      <c r="I47" s="583" t="s">
        <v>278</v>
      </c>
      <c r="J47" s="197">
        <v>0</v>
      </c>
      <c r="K47" s="197">
        <v>0</v>
      </c>
      <c r="L47" s="613">
        <v>1</v>
      </c>
      <c r="M47" s="197">
        <v>0</v>
      </c>
      <c r="N47" s="613">
        <v>1</v>
      </c>
      <c r="O47" s="197">
        <v>0</v>
      </c>
      <c r="P47" s="583">
        <v>7</v>
      </c>
      <c r="Q47" s="581">
        <v>2</v>
      </c>
      <c r="R47" s="580">
        <v>4</v>
      </c>
      <c r="S47" s="581">
        <f t="shared" si="9"/>
        <v>8</v>
      </c>
      <c r="T47" s="581">
        <f t="shared" si="9"/>
        <v>12</v>
      </c>
      <c r="U47" s="581">
        <f t="shared" si="9"/>
        <v>16</v>
      </c>
      <c r="V47" s="581">
        <f t="shared" si="9"/>
        <v>20</v>
      </c>
      <c r="W47" s="581">
        <f t="shared" si="9"/>
        <v>24</v>
      </c>
      <c r="X47" s="581">
        <f t="shared" si="9"/>
        <v>28</v>
      </c>
      <c r="Y47" s="581">
        <f t="shared" si="9"/>
        <v>32</v>
      </c>
      <c r="Z47" s="581">
        <f t="shared" si="9"/>
        <v>36</v>
      </c>
      <c r="AA47" s="581">
        <f t="shared" si="9"/>
        <v>40</v>
      </c>
      <c r="AB47" s="581">
        <f t="shared" si="9"/>
        <v>44</v>
      </c>
      <c r="AC47" s="581">
        <f t="shared" si="10"/>
        <v>48</v>
      </c>
      <c r="AD47" s="581">
        <f t="shared" si="10"/>
        <v>52</v>
      </c>
      <c r="AE47" s="581">
        <f t="shared" si="10"/>
        <v>56</v>
      </c>
      <c r="AF47" s="581">
        <f t="shared" si="10"/>
        <v>60</v>
      </c>
      <c r="AG47" s="581">
        <f t="shared" si="10"/>
        <v>64</v>
      </c>
      <c r="AH47" s="581">
        <f t="shared" si="10"/>
        <v>68</v>
      </c>
      <c r="AI47" s="581">
        <f t="shared" si="10"/>
        <v>72</v>
      </c>
      <c r="AJ47" s="581">
        <f t="shared" si="10"/>
        <v>76</v>
      </c>
      <c r="AK47" s="581">
        <f t="shared" si="10"/>
        <v>80</v>
      </c>
      <c r="AL47" s="581">
        <f t="shared" si="10"/>
        <v>84</v>
      </c>
      <c r="AM47" s="581">
        <f t="shared" si="11"/>
        <v>88</v>
      </c>
      <c r="AN47" s="581">
        <f t="shared" si="11"/>
        <v>92</v>
      </c>
      <c r="AO47" s="581">
        <f t="shared" si="11"/>
        <v>96</v>
      </c>
      <c r="AP47" s="581">
        <f t="shared" si="11"/>
        <v>100</v>
      </c>
      <c r="AQ47" s="581">
        <f t="shared" si="11"/>
        <v>104</v>
      </c>
      <c r="AR47" s="581">
        <f t="shared" si="11"/>
        <v>108</v>
      </c>
      <c r="AS47" s="581">
        <f t="shared" si="11"/>
        <v>112</v>
      </c>
      <c r="AT47" s="581">
        <f t="shared" si="11"/>
        <v>116</v>
      </c>
      <c r="AU47" s="581">
        <f t="shared" si="11"/>
        <v>120</v>
      </c>
    </row>
    <row r="48" spans="2:47" x14ac:dyDescent="0.3">
      <c r="B48" s="59" t="s">
        <v>1022</v>
      </c>
      <c r="C48" t="s">
        <v>206</v>
      </c>
      <c r="D48" s="583" t="s">
        <v>278</v>
      </c>
      <c r="E48" s="583" t="s">
        <v>278</v>
      </c>
      <c r="F48" s="583" t="s">
        <v>279</v>
      </c>
      <c r="G48" s="583" t="s">
        <v>278</v>
      </c>
      <c r="H48" s="583" t="s">
        <v>279</v>
      </c>
      <c r="I48" s="583" t="s">
        <v>278</v>
      </c>
      <c r="J48" s="197">
        <v>0</v>
      </c>
      <c r="K48" s="197">
        <v>0</v>
      </c>
      <c r="L48" s="613">
        <v>1</v>
      </c>
      <c r="M48" s="197">
        <v>0</v>
      </c>
      <c r="N48" s="613">
        <v>1</v>
      </c>
      <c r="O48" s="197">
        <v>0</v>
      </c>
      <c r="P48" s="583">
        <v>7</v>
      </c>
      <c r="Q48" s="581">
        <v>2</v>
      </c>
      <c r="R48" s="580">
        <v>4</v>
      </c>
      <c r="S48" s="581">
        <f t="shared" si="9"/>
        <v>8</v>
      </c>
      <c r="T48" s="581">
        <f t="shared" si="9"/>
        <v>12</v>
      </c>
      <c r="U48" s="581">
        <f t="shared" si="9"/>
        <v>16</v>
      </c>
      <c r="V48" s="581">
        <f t="shared" si="9"/>
        <v>20</v>
      </c>
      <c r="W48" s="581">
        <f t="shared" si="9"/>
        <v>24</v>
      </c>
      <c r="X48" s="581">
        <f t="shared" si="9"/>
        <v>28</v>
      </c>
      <c r="Y48" s="581">
        <f t="shared" si="9"/>
        <v>32</v>
      </c>
      <c r="Z48" s="581">
        <f t="shared" si="9"/>
        <v>36</v>
      </c>
      <c r="AA48" s="581">
        <f t="shared" si="9"/>
        <v>40</v>
      </c>
      <c r="AB48" s="581">
        <f t="shared" si="9"/>
        <v>44</v>
      </c>
      <c r="AC48" s="581">
        <f t="shared" si="10"/>
        <v>48</v>
      </c>
      <c r="AD48" s="581">
        <f t="shared" si="10"/>
        <v>52</v>
      </c>
      <c r="AE48" s="581">
        <f t="shared" si="10"/>
        <v>56</v>
      </c>
      <c r="AF48" s="581">
        <f t="shared" si="10"/>
        <v>60</v>
      </c>
      <c r="AG48" s="581">
        <f t="shared" si="10"/>
        <v>64</v>
      </c>
      <c r="AH48" s="581">
        <f t="shared" si="10"/>
        <v>68</v>
      </c>
      <c r="AI48" s="581">
        <f t="shared" si="10"/>
        <v>72</v>
      </c>
      <c r="AJ48" s="581">
        <f t="shared" si="10"/>
        <v>76</v>
      </c>
      <c r="AK48" s="581">
        <f t="shared" si="10"/>
        <v>80</v>
      </c>
      <c r="AL48" s="581">
        <f t="shared" si="10"/>
        <v>84</v>
      </c>
      <c r="AM48" s="581">
        <f t="shared" si="11"/>
        <v>88</v>
      </c>
      <c r="AN48" s="581">
        <f t="shared" si="11"/>
        <v>92</v>
      </c>
      <c r="AO48" s="581">
        <f t="shared" si="11"/>
        <v>96</v>
      </c>
      <c r="AP48" s="581">
        <f t="shared" si="11"/>
        <v>100</v>
      </c>
      <c r="AQ48" s="581">
        <f t="shared" si="11"/>
        <v>104</v>
      </c>
      <c r="AR48" s="581">
        <f t="shared" si="11"/>
        <v>108</v>
      </c>
      <c r="AS48" s="581">
        <f t="shared" si="11"/>
        <v>112</v>
      </c>
      <c r="AT48" s="581">
        <f t="shared" si="11"/>
        <v>116</v>
      </c>
      <c r="AU48" s="581">
        <f t="shared" si="11"/>
        <v>120</v>
      </c>
    </row>
    <row r="49" spans="2:47" x14ac:dyDescent="0.3">
      <c r="B49" s="59" t="s">
        <v>258</v>
      </c>
      <c r="C49" t="s">
        <v>174</v>
      </c>
      <c r="D49" s="583" t="s">
        <v>279</v>
      </c>
      <c r="E49" s="583" t="s">
        <v>279</v>
      </c>
      <c r="F49" s="583" t="s">
        <v>278</v>
      </c>
      <c r="G49" s="583" t="s">
        <v>278</v>
      </c>
      <c r="H49" s="583" t="s">
        <v>278</v>
      </c>
      <c r="I49" s="583" t="s">
        <v>278</v>
      </c>
      <c r="J49" s="613">
        <v>0</v>
      </c>
      <c r="K49" s="613">
        <v>2</v>
      </c>
      <c r="L49" s="197">
        <v>0</v>
      </c>
      <c r="M49" s="197">
        <v>0</v>
      </c>
      <c r="N49" s="197">
        <v>0</v>
      </c>
      <c r="O49" s="197">
        <v>0</v>
      </c>
      <c r="P49" s="583">
        <v>1</v>
      </c>
      <c r="Q49" s="581">
        <v>4</v>
      </c>
      <c r="R49" s="580">
        <v>5</v>
      </c>
      <c r="S49" s="581">
        <f t="shared" ref="S49:AB63" si="12">$R49*S$3</f>
        <v>10</v>
      </c>
      <c r="T49" s="581">
        <f t="shared" si="12"/>
        <v>15</v>
      </c>
      <c r="U49" s="581">
        <f t="shared" si="12"/>
        <v>20</v>
      </c>
      <c r="V49" s="581">
        <f t="shared" si="12"/>
        <v>25</v>
      </c>
      <c r="W49" s="581">
        <f t="shared" si="12"/>
        <v>30</v>
      </c>
      <c r="X49" s="581">
        <f t="shared" si="12"/>
        <v>35</v>
      </c>
      <c r="Y49" s="581">
        <f t="shared" si="12"/>
        <v>40</v>
      </c>
      <c r="Z49" s="581">
        <f t="shared" si="12"/>
        <v>45</v>
      </c>
      <c r="AA49" s="581">
        <f t="shared" si="12"/>
        <v>50</v>
      </c>
      <c r="AB49" s="581">
        <f t="shared" si="12"/>
        <v>55</v>
      </c>
      <c r="AC49" s="581">
        <f t="shared" ref="AC49:AL63" si="13">$R49*AC$3</f>
        <v>60</v>
      </c>
      <c r="AD49" s="581">
        <f t="shared" si="13"/>
        <v>65</v>
      </c>
      <c r="AE49" s="581">
        <f t="shared" si="13"/>
        <v>70</v>
      </c>
      <c r="AF49" s="581">
        <f t="shared" si="13"/>
        <v>75</v>
      </c>
      <c r="AG49" s="581">
        <f t="shared" si="13"/>
        <v>80</v>
      </c>
      <c r="AH49" s="581">
        <f t="shared" si="13"/>
        <v>85</v>
      </c>
      <c r="AI49" s="581">
        <f t="shared" si="13"/>
        <v>90</v>
      </c>
      <c r="AJ49" s="581">
        <f t="shared" si="13"/>
        <v>95</v>
      </c>
      <c r="AK49" s="581">
        <f t="shared" si="13"/>
        <v>100</v>
      </c>
      <c r="AL49" s="581">
        <f t="shared" si="13"/>
        <v>105</v>
      </c>
      <c r="AM49" s="581">
        <f t="shared" ref="AM49:AU63" si="14">$R49*AM$3</f>
        <v>110</v>
      </c>
      <c r="AN49" s="581">
        <f t="shared" si="14"/>
        <v>115</v>
      </c>
      <c r="AO49" s="581">
        <f t="shared" si="14"/>
        <v>120</v>
      </c>
      <c r="AP49" s="581">
        <f t="shared" si="14"/>
        <v>125</v>
      </c>
      <c r="AQ49" s="581">
        <f t="shared" si="14"/>
        <v>130</v>
      </c>
      <c r="AR49" s="581">
        <f t="shared" si="14"/>
        <v>135</v>
      </c>
      <c r="AS49" s="581">
        <f t="shared" si="14"/>
        <v>140</v>
      </c>
      <c r="AT49" s="581">
        <f t="shared" si="14"/>
        <v>145</v>
      </c>
      <c r="AU49" s="581">
        <f t="shared" si="14"/>
        <v>150</v>
      </c>
    </row>
    <row r="50" spans="2:47" x14ac:dyDescent="0.3">
      <c r="B50" s="59" t="s">
        <v>1023</v>
      </c>
      <c r="C50" t="s">
        <v>174</v>
      </c>
      <c r="D50" s="583" t="s">
        <v>279</v>
      </c>
      <c r="E50" s="583" t="s">
        <v>279</v>
      </c>
      <c r="F50" s="583" t="s">
        <v>278</v>
      </c>
      <c r="G50" s="583" t="s">
        <v>278</v>
      </c>
      <c r="H50" s="583" t="s">
        <v>278</v>
      </c>
      <c r="I50" s="583" t="s">
        <v>278</v>
      </c>
      <c r="J50" s="613">
        <v>0</v>
      </c>
      <c r="K50" s="613">
        <v>2</v>
      </c>
      <c r="L50" s="197">
        <v>0</v>
      </c>
      <c r="M50" s="197">
        <v>0</v>
      </c>
      <c r="N50" s="197">
        <v>0</v>
      </c>
      <c r="O50" s="197">
        <v>0</v>
      </c>
      <c r="P50" s="583">
        <v>1</v>
      </c>
      <c r="Q50" s="581">
        <v>4</v>
      </c>
      <c r="R50" s="580">
        <v>5</v>
      </c>
      <c r="S50" s="581">
        <f t="shared" si="12"/>
        <v>10</v>
      </c>
      <c r="T50" s="581">
        <f t="shared" si="12"/>
        <v>15</v>
      </c>
      <c r="U50" s="581">
        <f t="shared" si="12"/>
        <v>20</v>
      </c>
      <c r="V50" s="581">
        <f t="shared" si="12"/>
        <v>25</v>
      </c>
      <c r="W50" s="581">
        <f t="shared" si="12"/>
        <v>30</v>
      </c>
      <c r="X50" s="581">
        <f t="shared" si="12"/>
        <v>35</v>
      </c>
      <c r="Y50" s="581">
        <f t="shared" si="12"/>
        <v>40</v>
      </c>
      <c r="Z50" s="581">
        <f t="shared" si="12"/>
        <v>45</v>
      </c>
      <c r="AA50" s="581">
        <f t="shared" si="12"/>
        <v>50</v>
      </c>
      <c r="AB50" s="581">
        <f t="shared" si="12"/>
        <v>55</v>
      </c>
      <c r="AC50" s="581">
        <f t="shared" si="13"/>
        <v>60</v>
      </c>
      <c r="AD50" s="581">
        <f t="shared" si="13"/>
        <v>65</v>
      </c>
      <c r="AE50" s="581">
        <f t="shared" si="13"/>
        <v>70</v>
      </c>
      <c r="AF50" s="581">
        <f t="shared" si="13"/>
        <v>75</v>
      </c>
      <c r="AG50" s="581">
        <f t="shared" si="13"/>
        <v>80</v>
      </c>
      <c r="AH50" s="581">
        <f t="shared" si="13"/>
        <v>85</v>
      </c>
      <c r="AI50" s="581">
        <f t="shared" si="13"/>
        <v>90</v>
      </c>
      <c r="AJ50" s="581">
        <f t="shared" si="13"/>
        <v>95</v>
      </c>
      <c r="AK50" s="581">
        <f t="shared" si="13"/>
        <v>100</v>
      </c>
      <c r="AL50" s="581">
        <f t="shared" si="13"/>
        <v>105</v>
      </c>
      <c r="AM50" s="581">
        <f t="shared" si="14"/>
        <v>110</v>
      </c>
      <c r="AN50" s="581">
        <f t="shared" si="14"/>
        <v>115</v>
      </c>
      <c r="AO50" s="581">
        <f t="shared" si="14"/>
        <v>120</v>
      </c>
      <c r="AP50" s="581">
        <f t="shared" si="14"/>
        <v>125</v>
      </c>
      <c r="AQ50" s="581">
        <f t="shared" si="14"/>
        <v>130</v>
      </c>
      <c r="AR50" s="581">
        <f t="shared" si="14"/>
        <v>135</v>
      </c>
      <c r="AS50" s="581">
        <f t="shared" si="14"/>
        <v>140</v>
      </c>
      <c r="AT50" s="581">
        <f t="shared" si="14"/>
        <v>145</v>
      </c>
      <c r="AU50" s="581">
        <f t="shared" si="14"/>
        <v>150</v>
      </c>
    </row>
    <row r="51" spans="2:47" x14ac:dyDescent="0.3">
      <c r="B51" s="59" t="s">
        <v>1058</v>
      </c>
      <c r="C51" t="s">
        <v>187</v>
      </c>
      <c r="D51" s="583" t="s">
        <v>278</v>
      </c>
      <c r="E51" s="583" t="s">
        <v>279</v>
      </c>
      <c r="F51" s="583" t="s">
        <v>278</v>
      </c>
      <c r="G51" s="583" t="s">
        <v>278</v>
      </c>
      <c r="H51" s="583" t="s">
        <v>279</v>
      </c>
      <c r="I51" s="583" t="s">
        <v>278</v>
      </c>
      <c r="J51" s="197">
        <v>0</v>
      </c>
      <c r="K51" s="613">
        <v>1</v>
      </c>
      <c r="L51" s="197">
        <v>0</v>
      </c>
      <c r="M51" s="197">
        <v>0</v>
      </c>
      <c r="N51" s="613">
        <v>1</v>
      </c>
      <c r="O51" s="197">
        <v>0</v>
      </c>
      <c r="P51" s="583">
        <v>1</v>
      </c>
      <c r="Q51" s="581">
        <v>2</v>
      </c>
      <c r="R51" s="580">
        <v>6</v>
      </c>
      <c r="S51" s="581">
        <f t="shared" si="12"/>
        <v>12</v>
      </c>
      <c r="T51" s="581">
        <f t="shared" si="12"/>
        <v>18</v>
      </c>
      <c r="U51" s="581">
        <f t="shared" si="12"/>
        <v>24</v>
      </c>
      <c r="V51" s="581">
        <f t="shared" si="12"/>
        <v>30</v>
      </c>
      <c r="W51" s="581">
        <f t="shared" si="12"/>
        <v>36</v>
      </c>
      <c r="X51" s="581">
        <f t="shared" si="12"/>
        <v>42</v>
      </c>
      <c r="Y51" s="581">
        <f t="shared" si="12"/>
        <v>48</v>
      </c>
      <c r="Z51" s="581">
        <f t="shared" si="12"/>
        <v>54</v>
      </c>
      <c r="AA51" s="581">
        <f t="shared" si="12"/>
        <v>60</v>
      </c>
      <c r="AB51" s="581">
        <f t="shared" si="12"/>
        <v>66</v>
      </c>
      <c r="AC51" s="581">
        <f t="shared" si="13"/>
        <v>72</v>
      </c>
      <c r="AD51" s="581">
        <f t="shared" si="13"/>
        <v>78</v>
      </c>
      <c r="AE51" s="581">
        <f t="shared" si="13"/>
        <v>84</v>
      </c>
      <c r="AF51" s="581">
        <f t="shared" si="13"/>
        <v>90</v>
      </c>
      <c r="AG51" s="581">
        <f t="shared" si="13"/>
        <v>96</v>
      </c>
      <c r="AH51" s="581">
        <f t="shared" si="13"/>
        <v>102</v>
      </c>
      <c r="AI51" s="581">
        <f t="shared" si="13"/>
        <v>108</v>
      </c>
      <c r="AJ51" s="581">
        <f t="shared" si="13"/>
        <v>114</v>
      </c>
      <c r="AK51" s="581">
        <f t="shared" si="13"/>
        <v>120</v>
      </c>
      <c r="AL51" s="581">
        <f t="shared" si="13"/>
        <v>126</v>
      </c>
      <c r="AM51" s="581">
        <f t="shared" si="14"/>
        <v>132</v>
      </c>
      <c r="AN51" s="581">
        <f t="shared" si="14"/>
        <v>138</v>
      </c>
      <c r="AO51" s="581">
        <f t="shared" si="14"/>
        <v>144</v>
      </c>
      <c r="AP51" s="581">
        <f t="shared" si="14"/>
        <v>150</v>
      </c>
      <c r="AQ51" s="581">
        <f t="shared" si="14"/>
        <v>156</v>
      </c>
      <c r="AR51" s="581">
        <f t="shared" si="14"/>
        <v>162</v>
      </c>
      <c r="AS51" s="581">
        <f t="shared" si="14"/>
        <v>168</v>
      </c>
      <c r="AT51" s="581">
        <f t="shared" si="14"/>
        <v>174</v>
      </c>
      <c r="AU51" s="581">
        <f t="shared" si="14"/>
        <v>180</v>
      </c>
    </row>
    <row r="52" spans="2:47" x14ac:dyDescent="0.3">
      <c r="B52" s="59" t="s">
        <v>1024</v>
      </c>
      <c r="C52" t="s">
        <v>202</v>
      </c>
      <c r="D52" s="583" t="s">
        <v>278</v>
      </c>
      <c r="E52" s="583" t="s">
        <v>278</v>
      </c>
      <c r="F52" s="583" t="s">
        <v>278</v>
      </c>
      <c r="G52" s="583" t="s">
        <v>278</v>
      </c>
      <c r="H52" s="583" t="s">
        <v>279</v>
      </c>
      <c r="I52" s="583" t="s">
        <v>279</v>
      </c>
      <c r="J52" s="197">
        <v>0</v>
      </c>
      <c r="K52" s="197">
        <v>0</v>
      </c>
      <c r="L52" s="197">
        <v>0</v>
      </c>
      <c r="M52" s="197">
        <v>0</v>
      </c>
      <c r="N52" s="613">
        <v>1</v>
      </c>
      <c r="O52" s="613">
        <v>1</v>
      </c>
      <c r="P52" s="583">
        <v>11</v>
      </c>
      <c r="Q52" s="581">
        <v>2</v>
      </c>
      <c r="R52" s="580">
        <v>5</v>
      </c>
      <c r="S52" s="581">
        <f t="shared" si="12"/>
        <v>10</v>
      </c>
      <c r="T52" s="581">
        <f t="shared" si="12"/>
        <v>15</v>
      </c>
      <c r="U52" s="581">
        <f t="shared" si="12"/>
        <v>20</v>
      </c>
      <c r="V52" s="581">
        <f t="shared" si="12"/>
        <v>25</v>
      </c>
      <c r="W52" s="581">
        <f t="shared" si="12"/>
        <v>30</v>
      </c>
      <c r="X52" s="581">
        <f t="shared" si="12"/>
        <v>35</v>
      </c>
      <c r="Y52" s="581">
        <f t="shared" si="12"/>
        <v>40</v>
      </c>
      <c r="Z52" s="581">
        <f t="shared" si="12"/>
        <v>45</v>
      </c>
      <c r="AA52" s="581">
        <f t="shared" si="12"/>
        <v>50</v>
      </c>
      <c r="AB52" s="581">
        <f t="shared" si="12"/>
        <v>55</v>
      </c>
      <c r="AC52" s="581">
        <f t="shared" si="13"/>
        <v>60</v>
      </c>
      <c r="AD52" s="581">
        <f t="shared" si="13"/>
        <v>65</v>
      </c>
      <c r="AE52" s="581">
        <f t="shared" si="13"/>
        <v>70</v>
      </c>
      <c r="AF52" s="581">
        <f t="shared" si="13"/>
        <v>75</v>
      </c>
      <c r="AG52" s="581">
        <f t="shared" si="13"/>
        <v>80</v>
      </c>
      <c r="AH52" s="581">
        <f t="shared" si="13"/>
        <v>85</v>
      </c>
      <c r="AI52" s="581">
        <f t="shared" si="13"/>
        <v>90</v>
      </c>
      <c r="AJ52" s="581">
        <f t="shared" si="13"/>
        <v>95</v>
      </c>
      <c r="AK52" s="581">
        <f t="shared" si="13"/>
        <v>100</v>
      </c>
      <c r="AL52" s="581">
        <f t="shared" si="13"/>
        <v>105</v>
      </c>
      <c r="AM52" s="581">
        <f t="shared" si="14"/>
        <v>110</v>
      </c>
      <c r="AN52" s="581">
        <f t="shared" si="14"/>
        <v>115</v>
      </c>
      <c r="AO52" s="581">
        <f t="shared" si="14"/>
        <v>120</v>
      </c>
      <c r="AP52" s="581">
        <f t="shared" si="14"/>
        <v>125</v>
      </c>
      <c r="AQ52" s="581">
        <f t="shared" si="14"/>
        <v>130</v>
      </c>
      <c r="AR52" s="581">
        <f t="shared" si="14"/>
        <v>135</v>
      </c>
      <c r="AS52" s="581">
        <f t="shared" si="14"/>
        <v>140</v>
      </c>
      <c r="AT52" s="581">
        <f t="shared" si="14"/>
        <v>145</v>
      </c>
      <c r="AU52" s="581">
        <f t="shared" si="14"/>
        <v>150</v>
      </c>
    </row>
    <row r="53" spans="2:47" x14ac:dyDescent="0.3">
      <c r="B53" s="59" t="s">
        <v>264</v>
      </c>
      <c r="C53" t="s">
        <v>202</v>
      </c>
      <c r="D53" s="583" t="s">
        <v>278</v>
      </c>
      <c r="E53" s="583" t="s">
        <v>278</v>
      </c>
      <c r="F53" s="583" t="s">
        <v>278</v>
      </c>
      <c r="G53" s="583" t="s">
        <v>278</v>
      </c>
      <c r="H53" s="583" t="s">
        <v>279</v>
      </c>
      <c r="I53" s="583" t="s">
        <v>279</v>
      </c>
      <c r="J53" s="197">
        <v>0</v>
      </c>
      <c r="K53" s="197">
        <v>0</v>
      </c>
      <c r="L53" s="197">
        <v>0</v>
      </c>
      <c r="M53" s="197">
        <v>0</v>
      </c>
      <c r="N53" s="613">
        <v>1</v>
      </c>
      <c r="O53" s="613">
        <v>1</v>
      </c>
      <c r="P53" s="583">
        <v>11</v>
      </c>
      <c r="Q53" s="581">
        <v>2</v>
      </c>
      <c r="R53" s="580">
        <v>5</v>
      </c>
      <c r="S53" s="581">
        <f t="shared" si="12"/>
        <v>10</v>
      </c>
      <c r="T53" s="581">
        <f t="shared" si="12"/>
        <v>15</v>
      </c>
      <c r="U53" s="581">
        <f t="shared" si="12"/>
        <v>20</v>
      </c>
      <c r="V53" s="581">
        <f t="shared" si="12"/>
        <v>25</v>
      </c>
      <c r="W53" s="581">
        <f t="shared" si="12"/>
        <v>30</v>
      </c>
      <c r="X53" s="581">
        <f t="shared" si="12"/>
        <v>35</v>
      </c>
      <c r="Y53" s="581">
        <f t="shared" si="12"/>
        <v>40</v>
      </c>
      <c r="Z53" s="581">
        <f t="shared" si="12"/>
        <v>45</v>
      </c>
      <c r="AA53" s="581">
        <f t="shared" si="12"/>
        <v>50</v>
      </c>
      <c r="AB53" s="581">
        <f t="shared" si="12"/>
        <v>55</v>
      </c>
      <c r="AC53" s="581">
        <f t="shared" si="13"/>
        <v>60</v>
      </c>
      <c r="AD53" s="581">
        <f t="shared" si="13"/>
        <v>65</v>
      </c>
      <c r="AE53" s="581">
        <f t="shared" si="13"/>
        <v>70</v>
      </c>
      <c r="AF53" s="581">
        <f t="shared" si="13"/>
        <v>75</v>
      </c>
      <c r="AG53" s="581">
        <f t="shared" si="13"/>
        <v>80</v>
      </c>
      <c r="AH53" s="581">
        <f t="shared" si="13"/>
        <v>85</v>
      </c>
      <c r="AI53" s="581">
        <f t="shared" si="13"/>
        <v>90</v>
      </c>
      <c r="AJ53" s="581">
        <f t="shared" si="13"/>
        <v>95</v>
      </c>
      <c r="AK53" s="581">
        <f t="shared" si="13"/>
        <v>100</v>
      </c>
      <c r="AL53" s="581">
        <f t="shared" si="13"/>
        <v>105</v>
      </c>
      <c r="AM53" s="581">
        <f t="shared" si="14"/>
        <v>110</v>
      </c>
      <c r="AN53" s="581">
        <f t="shared" si="14"/>
        <v>115</v>
      </c>
      <c r="AO53" s="581">
        <f t="shared" si="14"/>
        <v>120</v>
      </c>
      <c r="AP53" s="581">
        <f t="shared" si="14"/>
        <v>125</v>
      </c>
      <c r="AQ53" s="581">
        <f t="shared" si="14"/>
        <v>130</v>
      </c>
      <c r="AR53" s="581">
        <f t="shared" si="14"/>
        <v>135</v>
      </c>
      <c r="AS53" s="581">
        <f t="shared" si="14"/>
        <v>140</v>
      </c>
      <c r="AT53" s="581">
        <f t="shared" si="14"/>
        <v>145</v>
      </c>
      <c r="AU53" s="581">
        <f t="shared" si="14"/>
        <v>150</v>
      </c>
    </row>
    <row r="54" spans="2:47" x14ac:dyDescent="0.3">
      <c r="B54" s="59" t="s">
        <v>5644</v>
      </c>
      <c r="C54" t="s">
        <v>2287</v>
      </c>
      <c r="D54" s="583" t="s">
        <v>279</v>
      </c>
      <c r="E54" s="583" t="s">
        <v>278</v>
      </c>
      <c r="F54" s="583" t="s">
        <v>278</v>
      </c>
      <c r="G54" s="583" t="s">
        <v>278</v>
      </c>
      <c r="H54" s="583" t="s">
        <v>278</v>
      </c>
      <c r="I54" s="583" t="s">
        <v>279</v>
      </c>
      <c r="J54" s="613">
        <v>1</v>
      </c>
      <c r="K54" s="197">
        <v>0</v>
      </c>
      <c r="L54" s="197">
        <v>0</v>
      </c>
      <c r="M54" s="197">
        <v>0</v>
      </c>
      <c r="N54" s="197">
        <v>0</v>
      </c>
      <c r="O54" s="613">
        <v>1</v>
      </c>
      <c r="P54" s="583">
        <v>5</v>
      </c>
      <c r="Q54" s="581">
        <v>3</v>
      </c>
      <c r="R54" s="580">
        <v>5</v>
      </c>
      <c r="S54" s="581">
        <f t="shared" si="12"/>
        <v>10</v>
      </c>
      <c r="T54" s="581">
        <f t="shared" si="12"/>
        <v>15</v>
      </c>
      <c r="U54" s="581">
        <f t="shared" si="12"/>
        <v>20</v>
      </c>
      <c r="V54" s="581">
        <f t="shared" si="12"/>
        <v>25</v>
      </c>
      <c r="W54" s="581">
        <f t="shared" si="12"/>
        <v>30</v>
      </c>
      <c r="X54" s="581">
        <f t="shared" si="12"/>
        <v>35</v>
      </c>
      <c r="Y54" s="581">
        <f t="shared" si="12"/>
        <v>40</v>
      </c>
      <c r="Z54" s="581">
        <f t="shared" si="12"/>
        <v>45</v>
      </c>
      <c r="AA54" s="581">
        <f t="shared" si="12"/>
        <v>50</v>
      </c>
      <c r="AB54" s="581">
        <f t="shared" si="12"/>
        <v>55</v>
      </c>
      <c r="AC54" s="581">
        <f t="shared" si="13"/>
        <v>60</v>
      </c>
      <c r="AD54" s="581">
        <f t="shared" si="13"/>
        <v>65</v>
      </c>
      <c r="AE54" s="581">
        <f t="shared" si="13"/>
        <v>70</v>
      </c>
      <c r="AF54" s="581">
        <f t="shared" si="13"/>
        <v>75</v>
      </c>
      <c r="AG54" s="581">
        <f t="shared" si="13"/>
        <v>80</v>
      </c>
      <c r="AH54" s="581">
        <f t="shared" si="13"/>
        <v>85</v>
      </c>
      <c r="AI54" s="581">
        <f t="shared" si="13"/>
        <v>90</v>
      </c>
      <c r="AJ54" s="581">
        <f t="shared" si="13"/>
        <v>95</v>
      </c>
      <c r="AK54" s="581">
        <f t="shared" si="13"/>
        <v>100</v>
      </c>
      <c r="AL54" s="581">
        <f t="shared" si="13"/>
        <v>105</v>
      </c>
      <c r="AM54" s="581">
        <f t="shared" si="14"/>
        <v>110</v>
      </c>
      <c r="AN54" s="581">
        <f t="shared" si="14"/>
        <v>115</v>
      </c>
      <c r="AO54" s="581">
        <f t="shared" si="14"/>
        <v>120</v>
      </c>
      <c r="AP54" s="581">
        <f t="shared" si="14"/>
        <v>125</v>
      </c>
      <c r="AQ54" s="581">
        <f t="shared" si="14"/>
        <v>130</v>
      </c>
      <c r="AR54" s="581">
        <f t="shared" si="14"/>
        <v>135</v>
      </c>
      <c r="AS54" s="581">
        <f t="shared" si="14"/>
        <v>140</v>
      </c>
      <c r="AT54" s="581">
        <f t="shared" si="14"/>
        <v>145</v>
      </c>
      <c r="AU54" s="581">
        <f t="shared" si="14"/>
        <v>150</v>
      </c>
    </row>
    <row r="55" spans="2:47" x14ac:dyDescent="0.3">
      <c r="B55" s="59" t="s">
        <v>5645</v>
      </c>
      <c r="C55" t="s">
        <v>2287</v>
      </c>
      <c r="D55" s="583" t="s">
        <v>279</v>
      </c>
      <c r="E55" s="583" t="s">
        <v>278</v>
      </c>
      <c r="F55" s="583" t="s">
        <v>278</v>
      </c>
      <c r="G55" s="583" t="s">
        <v>278</v>
      </c>
      <c r="H55" s="583" t="s">
        <v>278</v>
      </c>
      <c r="I55" s="583" t="s">
        <v>279</v>
      </c>
      <c r="J55" s="613">
        <v>1</v>
      </c>
      <c r="K55" s="197">
        <v>0</v>
      </c>
      <c r="L55" s="197">
        <v>0</v>
      </c>
      <c r="M55" s="197">
        <v>0</v>
      </c>
      <c r="N55" s="197">
        <v>0</v>
      </c>
      <c r="O55" s="613">
        <v>1</v>
      </c>
      <c r="P55" s="583">
        <v>5</v>
      </c>
      <c r="Q55" s="581">
        <v>3</v>
      </c>
      <c r="R55" s="580">
        <v>5</v>
      </c>
      <c r="S55" s="581">
        <f t="shared" si="12"/>
        <v>10</v>
      </c>
      <c r="T55" s="581">
        <f t="shared" si="12"/>
        <v>15</v>
      </c>
      <c r="U55" s="581">
        <f t="shared" si="12"/>
        <v>20</v>
      </c>
      <c r="V55" s="581">
        <f t="shared" si="12"/>
        <v>25</v>
      </c>
      <c r="W55" s="581">
        <f t="shared" si="12"/>
        <v>30</v>
      </c>
      <c r="X55" s="581">
        <f t="shared" si="12"/>
        <v>35</v>
      </c>
      <c r="Y55" s="581">
        <f t="shared" si="12"/>
        <v>40</v>
      </c>
      <c r="Z55" s="581">
        <f t="shared" si="12"/>
        <v>45</v>
      </c>
      <c r="AA55" s="581">
        <f t="shared" si="12"/>
        <v>50</v>
      </c>
      <c r="AB55" s="581">
        <f t="shared" si="12"/>
        <v>55</v>
      </c>
      <c r="AC55" s="581">
        <f t="shared" si="13"/>
        <v>60</v>
      </c>
      <c r="AD55" s="581">
        <f t="shared" si="13"/>
        <v>65</v>
      </c>
      <c r="AE55" s="581">
        <f t="shared" si="13"/>
        <v>70</v>
      </c>
      <c r="AF55" s="581">
        <f t="shared" si="13"/>
        <v>75</v>
      </c>
      <c r="AG55" s="581">
        <f t="shared" si="13"/>
        <v>80</v>
      </c>
      <c r="AH55" s="581">
        <f t="shared" si="13"/>
        <v>85</v>
      </c>
      <c r="AI55" s="581">
        <f t="shared" si="13"/>
        <v>90</v>
      </c>
      <c r="AJ55" s="581">
        <f t="shared" si="13"/>
        <v>95</v>
      </c>
      <c r="AK55" s="581">
        <f t="shared" si="13"/>
        <v>100</v>
      </c>
      <c r="AL55" s="581">
        <f t="shared" si="13"/>
        <v>105</v>
      </c>
      <c r="AM55" s="581">
        <f t="shared" si="14"/>
        <v>110</v>
      </c>
      <c r="AN55" s="581">
        <f t="shared" si="14"/>
        <v>115</v>
      </c>
      <c r="AO55" s="581">
        <f t="shared" si="14"/>
        <v>120</v>
      </c>
      <c r="AP55" s="581">
        <f t="shared" si="14"/>
        <v>125</v>
      </c>
      <c r="AQ55" s="581">
        <f t="shared" si="14"/>
        <v>130</v>
      </c>
      <c r="AR55" s="581">
        <f t="shared" si="14"/>
        <v>135</v>
      </c>
      <c r="AS55" s="581">
        <f t="shared" si="14"/>
        <v>140</v>
      </c>
      <c r="AT55" s="581">
        <f t="shared" si="14"/>
        <v>145</v>
      </c>
      <c r="AU55" s="581">
        <f t="shared" si="14"/>
        <v>150</v>
      </c>
    </row>
    <row r="56" spans="2:47" x14ac:dyDescent="0.3">
      <c r="B56" s="59" t="s">
        <v>209</v>
      </c>
      <c r="C56" t="s">
        <v>206</v>
      </c>
      <c r="D56" s="583" t="s">
        <v>278</v>
      </c>
      <c r="E56" s="583" t="s">
        <v>279</v>
      </c>
      <c r="F56" s="583" t="s">
        <v>278</v>
      </c>
      <c r="G56" s="583" t="s">
        <v>279</v>
      </c>
      <c r="H56" s="583" t="s">
        <v>278</v>
      </c>
      <c r="I56" s="583" t="s">
        <v>278</v>
      </c>
      <c r="J56" s="197">
        <v>0</v>
      </c>
      <c r="K56" s="613">
        <v>0</v>
      </c>
      <c r="L56" s="197">
        <v>0</v>
      </c>
      <c r="M56" s="613">
        <v>2</v>
      </c>
      <c r="N56" s="197">
        <v>0</v>
      </c>
      <c r="O56" s="197">
        <v>0</v>
      </c>
      <c r="P56" s="583">
        <v>8</v>
      </c>
      <c r="Q56" s="581">
        <v>2</v>
      </c>
      <c r="R56" s="580">
        <v>4</v>
      </c>
      <c r="S56" s="581">
        <f t="shared" si="12"/>
        <v>8</v>
      </c>
      <c r="T56" s="581">
        <f t="shared" si="12"/>
        <v>12</v>
      </c>
      <c r="U56" s="581">
        <f t="shared" si="12"/>
        <v>16</v>
      </c>
      <c r="V56" s="581">
        <f t="shared" si="12"/>
        <v>20</v>
      </c>
      <c r="W56" s="581">
        <f t="shared" si="12"/>
        <v>24</v>
      </c>
      <c r="X56" s="581">
        <f t="shared" si="12"/>
        <v>28</v>
      </c>
      <c r="Y56" s="581">
        <f t="shared" si="12"/>
        <v>32</v>
      </c>
      <c r="Z56" s="581">
        <f t="shared" si="12"/>
        <v>36</v>
      </c>
      <c r="AA56" s="581">
        <f t="shared" si="12"/>
        <v>40</v>
      </c>
      <c r="AB56" s="581">
        <f t="shared" si="12"/>
        <v>44</v>
      </c>
      <c r="AC56" s="581">
        <f t="shared" si="13"/>
        <v>48</v>
      </c>
      <c r="AD56" s="581">
        <f t="shared" si="13"/>
        <v>52</v>
      </c>
      <c r="AE56" s="581">
        <f t="shared" si="13"/>
        <v>56</v>
      </c>
      <c r="AF56" s="581">
        <f t="shared" si="13"/>
        <v>60</v>
      </c>
      <c r="AG56" s="581">
        <f t="shared" si="13"/>
        <v>64</v>
      </c>
      <c r="AH56" s="581">
        <f t="shared" si="13"/>
        <v>68</v>
      </c>
      <c r="AI56" s="581">
        <f t="shared" si="13"/>
        <v>72</v>
      </c>
      <c r="AJ56" s="581">
        <f t="shared" si="13"/>
        <v>76</v>
      </c>
      <c r="AK56" s="581">
        <f t="shared" si="13"/>
        <v>80</v>
      </c>
      <c r="AL56" s="581">
        <f t="shared" si="13"/>
        <v>84</v>
      </c>
      <c r="AM56" s="581">
        <f t="shared" si="14"/>
        <v>88</v>
      </c>
      <c r="AN56" s="581">
        <f t="shared" si="14"/>
        <v>92</v>
      </c>
      <c r="AO56" s="581">
        <f t="shared" si="14"/>
        <v>96</v>
      </c>
      <c r="AP56" s="581">
        <f t="shared" si="14"/>
        <v>100</v>
      </c>
      <c r="AQ56" s="581">
        <f t="shared" si="14"/>
        <v>104</v>
      </c>
      <c r="AR56" s="581">
        <f t="shared" si="14"/>
        <v>108</v>
      </c>
      <c r="AS56" s="581">
        <f t="shared" si="14"/>
        <v>112</v>
      </c>
      <c r="AT56" s="581">
        <f t="shared" si="14"/>
        <v>116</v>
      </c>
      <c r="AU56" s="581">
        <f t="shared" si="14"/>
        <v>120</v>
      </c>
    </row>
    <row r="57" spans="2:47" x14ac:dyDescent="0.3">
      <c r="B57" s="59" t="s">
        <v>1128</v>
      </c>
      <c r="C57" t="s">
        <v>206</v>
      </c>
      <c r="D57" s="583" t="s">
        <v>278</v>
      </c>
      <c r="E57" s="583" t="s">
        <v>279</v>
      </c>
      <c r="F57" s="583" t="s">
        <v>278</v>
      </c>
      <c r="G57" s="583" t="s">
        <v>279</v>
      </c>
      <c r="H57" s="583" t="s">
        <v>278</v>
      </c>
      <c r="I57" s="583" t="s">
        <v>278</v>
      </c>
      <c r="J57" s="197">
        <v>0</v>
      </c>
      <c r="K57" s="613">
        <v>0</v>
      </c>
      <c r="L57" s="197">
        <v>0</v>
      </c>
      <c r="M57" s="613">
        <v>2</v>
      </c>
      <c r="N57" s="197">
        <v>0</v>
      </c>
      <c r="O57" s="197">
        <v>0</v>
      </c>
      <c r="P57" s="583">
        <v>8</v>
      </c>
      <c r="Q57" s="581">
        <v>2</v>
      </c>
      <c r="R57" s="580">
        <v>4</v>
      </c>
      <c r="S57" s="581">
        <f t="shared" si="12"/>
        <v>8</v>
      </c>
      <c r="T57" s="581">
        <f t="shared" si="12"/>
        <v>12</v>
      </c>
      <c r="U57" s="581">
        <f t="shared" si="12"/>
        <v>16</v>
      </c>
      <c r="V57" s="581">
        <f t="shared" si="12"/>
        <v>20</v>
      </c>
      <c r="W57" s="581">
        <f t="shared" si="12"/>
        <v>24</v>
      </c>
      <c r="X57" s="581">
        <f t="shared" si="12"/>
        <v>28</v>
      </c>
      <c r="Y57" s="581">
        <f t="shared" si="12"/>
        <v>32</v>
      </c>
      <c r="Z57" s="581">
        <f t="shared" si="12"/>
        <v>36</v>
      </c>
      <c r="AA57" s="581">
        <f t="shared" si="12"/>
        <v>40</v>
      </c>
      <c r="AB57" s="581">
        <f t="shared" si="12"/>
        <v>44</v>
      </c>
      <c r="AC57" s="581">
        <f t="shared" si="13"/>
        <v>48</v>
      </c>
      <c r="AD57" s="581">
        <f t="shared" si="13"/>
        <v>52</v>
      </c>
      <c r="AE57" s="581">
        <f t="shared" si="13"/>
        <v>56</v>
      </c>
      <c r="AF57" s="581">
        <f t="shared" si="13"/>
        <v>60</v>
      </c>
      <c r="AG57" s="581">
        <f t="shared" si="13"/>
        <v>64</v>
      </c>
      <c r="AH57" s="581">
        <f t="shared" si="13"/>
        <v>68</v>
      </c>
      <c r="AI57" s="581">
        <f t="shared" si="13"/>
        <v>72</v>
      </c>
      <c r="AJ57" s="581">
        <f t="shared" si="13"/>
        <v>76</v>
      </c>
      <c r="AK57" s="581">
        <f t="shared" si="13"/>
        <v>80</v>
      </c>
      <c r="AL57" s="581">
        <f t="shared" si="13"/>
        <v>84</v>
      </c>
      <c r="AM57" s="581">
        <f t="shared" si="14"/>
        <v>88</v>
      </c>
      <c r="AN57" s="581">
        <f t="shared" si="14"/>
        <v>92</v>
      </c>
      <c r="AO57" s="581">
        <f t="shared" si="14"/>
        <v>96</v>
      </c>
      <c r="AP57" s="581">
        <f t="shared" si="14"/>
        <v>100</v>
      </c>
      <c r="AQ57" s="581">
        <f t="shared" si="14"/>
        <v>104</v>
      </c>
      <c r="AR57" s="581">
        <f t="shared" si="14"/>
        <v>108</v>
      </c>
      <c r="AS57" s="581">
        <f t="shared" si="14"/>
        <v>112</v>
      </c>
      <c r="AT57" s="581">
        <f t="shared" si="14"/>
        <v>116</v>
      </c>
      <c r="AU57" s="581">
        <f t="shared" si="14"/>
        <v>120</v>
      </c>
    </row>
    <row r="58" spans="2:47" x14ac:dyDescent="0.3">
      <c r="B58" s="59" t="s">
        <v>1010</v>
      </c>
      <c r="C58" t="s">
        <v>187</v>
      </c>
      <c r="D58" s="583" t="s">
        <v>278</v>
      </c>
      <c r="E58" s="583" t="s">
        <v>278</v>
      </c>
      <c r="F58" s="583" t="s">
        <v>279</v>
      </c>
      <c r="G58" s="583" t="s">
        <v>278</v>
      </c>
      <c r="H58" s="583" t="s">
        <v>278</v>
      </c>
      <c r="I58" s="583" t="s">
        <v>279</v>
      </c>
      <c r="J58" s="197">
        <v>0</v>
      </c>
      <c r="K58" s="197">
        <v>0</v>
      </c>
      <c r="L58" s="613">
        <v>1</v>
      </c>
      <c r="M58" s="197">
        <v>0</v>
      </c>
      <c r="N58" s="197">
        <v>0</v>
      </c>
      <c r="O58" s="613">
        <v>1</v>
      </c>
      <c r="P58" s="583">
        <v>5</v>
      </c>
      <c r="Q58" s="581">
        <v>2</v>
      </c>
      <c r="R58" s="580">
        <v>6</v>
      </c>
      <c r="S58" s="581">
        <f t="shared" si="12"/>
        <v>12</v>
      </c>
      <c r="T58" s="581">
        <f t="shared" si="12"/>
        <v>18</v>
      </c>
      <c r="U58" s="581">
        <f t="shared" si="12"/>
        <v>24</v>
      </c>
      <c r="V58" s="581">
        <f t="shared" si="12"/>
        <v>30</v>
      </c>
      <c r="W58" s="581">
        <f t="shared" si="12"/>
        <v>36</v>
      </c>
      <c r="X58" s="581">
        <f t="shared" si="12"/>
        <v>42</v>
      </c>
      <c r="Y58" s="581">
        <f t="shared" si="12"/>
        <v>48</v>
      </c>
      <c r="Z58" s="581">
        <f t="shared" si="12"/>
        <v>54</v>
      </c>
      <c r="AA58" s="581">
        <f t="shared" si="12"/>
        <v>60</v>
      </c>
      <c r="AB58" s="581">
        <f t="shared" si="12"/>
        <v>66</v>
      </c>
      <c r="AC58" s="581">
        <f t="shared" si="13"/>
        <v>72</v>
      </c>
      <c r="AD58" s="581">
        <f t="shared" si="13"/>
        <v>78</v>
      </c>
      <c r="AE58" s="581">
        <f t="shared" si="13"/>
        <v>84</v>
      </c>
      <c r="AF58" s="581">
        <f t="shared" si="13"/>
        <v>90</v>
      </c>
      <c r="AG58" s="581">
        <f t="shared" si="13"/>
        <v>96</v>
      </c>
      <c r="AH58" s="581">
        <f t="shared" si="13"/>
        <v>102</v>
      </c>
      <c r="AI58" s="581">
        <f t="shared" si="13"/>
        <v>108</v>
      </c>
      <c r="AJ58" s="581">
        <f t="shared" si="13"/>
        <v>114</v>
      </c>
      <c r="AK58" s="581">
        <f t="shared" si="13"/>
        <v>120</v>
      </c>
      <c r="AL58" s="581">
        <f t="shared" si="13"/>
        <v>126</v>
      </c>
      <c r="AM58" s="581">
        <f t="shared" si="14"/>
        <v>132</v>
      </c>
      <c r="AN58" s="581">
        <f t="shared" si="14"/>
        <v>138</v>
      </c>
      <c r="AO58" s="581">
        <f t="shared" si="14"/>
        <v>144</v>
      </c>
      <c r="AP58" s="581">
        <f t="shared" si="14"/>
        <v>150</v>
      </c>
      <c r="AQ58" s="581">
        <f t="shared" si="14"/>
        <v>156</v>
      </c>
      <c r="AR58" s="581">
        <f t="shared" si="14"/>
        <v>162</v>
      </c>
      <c r="AS58" s="581">
        <f t="shared" si="14"/>
        <v>168</v>
      </c>
      <c r="AT58" s="581">
        <f t="shared" si="14"/>
        <v>174</v>
      </c>
      <c r="AU58" s="581">
        <f t="shared" si="14"/>
        <v>180</v>
      </c>
    </row>
    <row r="59" spans="2:47" x14ac:dyDescent="0.3">
      <c r="B59" s="59" t="s">
        <v>5583</v>
      </c>
      <c r="C59" t="s">
        <v>2287</v>
      </c>
      <c r="D59" s="583" t="s">
        <v>278</v>
      </c>
      <c r="E59" s="583" t="s">
        <v>279</v>
      </c>
      <c r="F59" s="583" t="s">
        <v>279</v>
      </c>
      <c r="G59" s="583" t="s">
        <v>278</v>
      </c>
      <c r="H59" s="583" t="s">
        <v>278</v>
      </c>
      <c r="I59" s="583" t="s">
        <v>278</v>
      </c>
      <c r="J59" s="143">
        <v>0</v>
      </c>
      <c r="K59" s="613">
        <v>1</v>
      </c>
      <c r="L59" s="613">
        <v>1</v>
      </c>
      <c r="M59" s="143">
        <v>0</v>
      </c>
      <c r="N59" s="143">
        <v>0</v>
      </c>
      <c r="O59" s="197">
        <v>0</v>
      </c>
      <c r="P59" s="583">
        <v>1</v>
      </c>
      <c r="Q59" s="581">
        <v>2</v>
      </c>
      <c r="R59" s="580">
        <v>5</v>
      </c>
      <c r="S59" s="581">
        <f t="shared" si="12"/>
        <v>10</v>
      </c>
      <c r="T59" s="581">
        <f t="shared" si="12"/>
        <v>15</v>
      </c>
      <c r="U59" s="581">
        <f t="shared" si="12"/>
        <v>20</v>
      </c>
      <c r="V59" s="581">
        <f t="shared" si="12"/>
        <v>25</v>
      </c>
      <c r="W59" s="581">
        <f t="shared" si="12"/>
        <v>30</v>
      </c>
      <c r="X59" s="581">
        <f t="shared" si="12"/>
        <v>35</v>
      </c>
      <c r="Y59" s="581">
        <f t="shared" si="12"/>
        <v>40</v>
      </c>
      <c r="Z59" s="581">
        <f t="shared" si="12"/>
        <v>45</v>
      </c>
      <c r="AA59" s="581">
        <f t="shared" si="12"/>
        <v>50</v>
      </c>
      <c r="AB59" s="581">
        <f t="shared" si="12"/>
        <v>55</v>
      </c>
      <c r="AC59" s="581">
        <f t="shared" si="13"/>
        <v>60</v>
      </c>
      <c r="AD59" s="581">
        <f t="shared" si="13"/>
        <v>65</v>
      </c>
      <c r="AE59" s="581">
        <f t="shared" si="13"/>
        <v>70</v>
      </c>
      <c r="AF59" s="581">
        <f t="shared" si="13"/>
        <v>75</v>
      </c>
      <c r="AG59" s="581">
        <f t="shared" si="13"/>
        <v>80</v>
      </c>
      <c r="AH59" s="581">
        <f t="shared" si="13"/>
        <v>85</v>
      </c>
      <c r="AI59" s="581">
        <f t="shared" si="13"/>
        <v>90</v>
      </c>
      <c r="AJ59" s="581">
        <f t="shared" si="13"/>
        <v>95</v>
      </c>
      <c r="AK59" s="581">
        <f t="shared" si="13"/>
        <v>100</v>
      </c>
      <c r="AL59" s="581">
        <f t="shared" si="13"/>
        <v>105</v>
      </c>
      <c r="AM59" s="581">
        <f t="shared" si="14"/>
        <v>110</v>
      </c>
      <c r="AN59" s="581">
        <f t="shared" si="14"/>
        <v>115</v>
      </c>
      <c r="AO59" s="581">
        <f t="shared" si="14"/>
        <v>120</v>
      </c>
      <c r="AP59" s="581">
        <f t="shared" si="14"/>
        <v>125</v>
      </c>
      <c r="AQ59" s="581">
        <f t="shared" si="14"/>
        <v>130</v>
      </c>
      <c r="AR59" s="581">
        <f t="shared" si="14"/>
        <v>135</v>
      </c>
      <c r="AS59" s="581">
        <f t="shared" si="14"/>
        <v>140</v>
      </c>
      <c r="AT59" s="581">
        <f t="shared" si="14"/>
        <v>145</v>
      </c>
      <c r="AU59" s="581">
        <f t="shared" si="14"/>
        <v>150</v>
      </c>
    </row>
    <row r="60" spans="2:47" x14ac:dyDescent="0.3">
      <c r="B60" s="59" t="s">
        <v>5584</v>
      </c>
      <c r="C60" t="s">
        <v>2287</v>
      </c>
      <c r="D60" s="583" t="s">
        <v>278</v>
      </c>
      <c r="E60" s="583" t="s">
        <v>279</v>
      </c>
      <c r="F60" s="583" t="s">
        <v>279</v>
      </c>
      <c r="G60" s="583" t="s">
        <v>278</v>
      </c>
      <c r="H60" s="583" t="s">
        <v>278</v>
      </c>
      <c r="I60" s="583" t="s">
        <v>278</v>
      </c>
      <c r="J60" s="143">
        <v>0</v>
      </c>
      <c r="K60" s="613">
        <v>1</v>
      </c>
      <c r="L60" s="613">
        <v>1</v>
      </c>
      <c r="M60" s="143">
        <v>0</v>
      </c>
      <c r="N60" s="143">
        <v>0</v>
      </c>
      <c r="O60" s="197">
        <v>0</v>
      </c>
      <c r="P60" s="583">
        <v>1</v>
      </c>
      <c r="Q60" s="581">
        <v>2</v>
      </c>
      <c r="R60" s="580">
        <v>5</v>
      </c>
      <c r="S60" s="581">
        <f t="shared" si="12"/>
        <v>10</v>
      </c>
      <c r="T60" s="581">
        <f t="shared" si="12"/>
        <v>15</v>
      </c>
      <c r="U60" s="581">
        <f t="shared" si="12"/>
        <v>20</v>
      </c>
      <c r="V60" s="581">
        <f t="shared" si="12"/>
        <v>25</v>
      </c>
      <c r="W60" s="581">
        <f t="shared" si="12"/>
        <v>30</v>
      </c>
      <c r="X60" s="581">
        <f t="shared" si="12"/>
        <v>35</v>
      </c>
      <c r="Y60" s="581">
        <f t="shared" si="12"/>
        <v>40</v>
      </c>
      <c r="Z60" s="581">
        <f t="shared" si="12"/>
        <v>45</v>
      </c>
      <c r="AA60" s="581">
        <f t="shared" si="12"/>
        <v>50</v>
      </c>
      <c r="AB60" s="581">
        <f t="shared" si="12"/>
        <v>55</v>
      </c>
      <c r="AC60" s="581">
        <f t="shared" si="13"/>
        <v>60</v>
      </c>
      <c r="AD60" s="581">
        <f t="shared" si="13"/>
        <v>65</v>
      </c>
      <c r="AE60" s="581">
        <f t="shared" si="13"/>
        <v>70</v>
      </c>
      <c r="AF60" s="581">
        <f t="shared" si="13"/>
        <v>75</v>
      </c>
      <c r="AG60" s="581">
        <f t="shared" si="13"/>
        <v>80</v>
      </c>
      <c r="AH60" s="581">
        <f t="shared" si="13"/>
        <v>85</v>
      </c>
      <c r="AI60" s="581">
        <f t="shared" si="13"/>
        <v>90</v>
      </c>
      <c r="AJ60" s="581">
        <f t="shared" si="13"/>
        <v>95</v>
      </c>
      <c r="AK60" s="581">
        <f t="shared" si="13"/>
        <v>100</v>
      </c>
      <c r="AL60" s="581">
        <f t="shared" si="13"/>
        <v>105</v>
      </c>
      <c r="AM60" s="581">
        <f t="shared" si="14"/>
        <v>110</v>
      </c>
      <c r="AN60" s="581">
        <f t="shared" si="14"/>
        <v>115</v>
      </c>
      <c r="AO60" s="581">
        <f t="shared" si="14"/>
        <v>120</v>
      </c>
      <c r="AP60" s="581">
        <f t="shared" si="14"/>
        <v>125</v>
      </c>
      <c r="AQ60" s="581">
        <f t="shared" si="14"/>
        <v>130</v>
      </c>
      <c r="AR60" s="581">
        <f t="shared" si="14"/>
        <v>135</v>
      </c>
      <c r="AS60" s="581">
        <f t="shared" si="14"/>
        <v>140</v>
      </c>
      <c r="AT60" s="581">
        <f t="shared" si="14"/>
        <v>145</v>
      </c>
      <c r="AU60" s="581">
        <f t="shared" si="14"/>
        <v>150</v>
      </c>
    </row>
    <row r="61" spans="2:47" x14ac:dyDescent="0.3">
      <c r="B61" s="59" t="s">
        <v>271</v>
      </c>
      <c r="C61" t="s">
        <v>212</v>
      </c>
      <c r="D61" s="583" t="s">
        <v>278</v>
      </c>
      <c r="E61" s="583" t="s">
        <v>278</v>
      </c>
      <c r="F61" s="583" t="s">
        <v>279</v>
      </c>
      <c r="G61" s="583" t="s">
        <v>279</v>
      </c>
      <c r="H61" s="583" t="s">
        <v>278</v>
      </c>
      <c r="I61" s="583" t="s">
        <v>278</v>
      </c>
      <c r="J61" s="197">
        <v>0</v>
      </c>
      <c r="K61" s="197">
        <v>0</v>
      </c>
      <c r="L61" s="613">
        <v>0</v>
      </c>
      <c r="M61" s="613">
        <v>2</v>
      </c>
      <c r="N61" s="197">
        <v>0</v>
      </c>
      <c r="O61" s="197">
        <v>0</v>
      </c>
      <c r="P61" s="583">
        <v>6</v>
      </c>
      <c r="Q61" s="581">
        <v>2</v>
      </c>
      <c r="R61" s="580">
        <v>5</v>
      </c>
      <c r="S61" s="581">
        <f t="shared" si="12"/>
        <v>10</v>
      </c>
      <c r="T61" s="581">
        <f t="shared" si="12"/>
        <v>15</v>
      </c>
      <c r="U61" s="581">
        <f t="shared" si="12"/>
        <v>20</v>
      </c>
      <c r="V61" s="581">
        <f t="shared" si="12"/>
        <v>25</v>
      </c>
      <c r="W61" s="581">
        <f t="shared" si="12"/>
        <v>30</v>
      </c>
      <c r="X61" s="581">
        <f t="shared" si="12"/>
        <v>35</v>
      </c>
      <c r="Y61" s="581">
        <f t="shared" si="12"/>
        <v>40</v>
      </c>
      <c r="Z61" s="581">
        <f t="shared" si="12"/>
        <v>45</v>
      </c>
      <c r="AA61" s="581">
        <f t="shared" si="12"/>
        <v>50</v>
      </c>
      <c r="AB61" s="581">
        <f t="shared" si="12"/>
        <v>55</v>
      </c>
      <c r="AC61" s="581">
        <f t="shared" si="13"/>
        <v>60</v>
      </c>
      <c r="AD61" s="581">
        <f t="shared" si="13"/>
        <v>65</v>
      </c>
      <c r="AE61" s="581">
        <f t="shared" si="13"/>
        <v>70</v>
      </c>
      <c r="AF61" s="581">
        <f t="shared" si="13"/>
        <v>75</v>
      </c>
      <c r="AG61" s="581">
        <f t="shared" si="13"/>
        <v>80</v>
      </c>
      <c r="AH61" s="581">
        <f t="shared" si="13"/>
        <v>85</v>
      </c>
      <c r="AI61" s="581">
        <f t="shared" si="13"/>
        <v>90</v>
      </c>
      <c r="AJ61" s="581">
        <f t="shared" si="13"/>
        <v>95</v>
      </c>
      <c r="AK61" s="581">
        <f t="shared" si="13"/>
        <v>100</v>
      </c>
      <c r="AL61" s="581">
        <f t="shared" si="13"/>
        <v>105</v>
      </c>
      <c r="AM61" s="581">
        <f t="shared" si="14"/>
        <v>110</v>
      </c>
      <c r="AN61" s="581">
        <f t="shared" si="14"/>
        <v>115</v>
      </c>
      <c r="AO61" s="581">
        <f t="shared" si="14"/>
        <v>120</v>
      </c>
      <c r="AP61" s="581">
        <f t="shared" si="14"/>
        <v>125</v>
      </c>
      <c r="AQ61" s="581">
        <f t="shared" si="14"/>
        <v>130</v>
      </c>
      <c r="AR61" s="581">
        <f t="shared" si="14"/>
        <v>135</v>
      </c>
      <c r="AS61" s="581">
        <f t="shared" si="14"/>
        <v>140</v>
      </c>
      <c r="AT61" s="581">
        <f t="shared" si="14"/>
        <v>145</v>
      </c>
      <c r="AU61" s="581">
        <f t="shared" si="14"/>
        <v>150</v>
      </c>
    </row>
    <row r="62" spans="2:47" x14ac:dyDescent="0.3">
      <c r="B62" s="59" t="s">
        <v>207</v>
      </c>
      <c r="C62" t="s">
        <v>212</v>
      </c>
      <c r="D62" s="583" t="s">
        <v>279</v>
      </c>
      <c r="E62" s="583" t="s">
        <v>278</v>
      </c>
      <c r="F62" s="583" t="s">
        <v>278</v>
      </c>
      <c r="G62" s="583" t="s">
        <v>278</v>
      </c>
      <c r="H62" s="583" t="s">
        <v>279</v>
      </c>
      <c r="I62" s="583" t="s">
        <v>278</v>
      </c>
      <c r="J62" s="613">
        <v>1</v>
      </c>
      <c r="K62" s="197">
        <v>0</v>
      </c>
      <c r="L62" s="197">
        <v>0</v>
      </c>
      <c r="M62" s="197">
        <v>0</v>
      </c>
      <c r="N62" s="613">
        <v>1</v>
      </c>
      <c r="O62" s="197">
        <v>0</v>
      </c>
      <c r="P62" s="583">
        <v>6</v>
      </c>
      <c r="Q62" s="581">
        <v>3</v>
      </c>
      <c r="R62" s="580">
        <v>5</v>
      </c>
      <c r="S62" s="581">
        <f t="shared" si="12"/>
        <v>10</v>
      </c>
      <c r="T62" s="581">
        <f t="shared" si="12"/>
        <v>15</v>
      </c>
      <c r="U62" s="581">
        <f t="shared" si="12"/>
        <v>20</v>
      </c>
      <c r="V62" s="581">
        <f t="shared" si="12"/>
        <v>25</v>
      </c>
      <c r="W62" s="581">
        <f t="shared" si="12"/>
        <v>30</v>
      </c>
      <c r="X62" s="581">
        <f t="shared" si="12"/>
        <v>35</v>
      </c>
      <c r="Y62" s="581">
        <f t="shared" si="12"/>
        <v>40</v>
      </c>
      <c r="Z62" s="581">
        <f t="shared" si="12"/>
        <v>45</v>
      </c>
      <c r="AA62" s="581">
        <f t="shared" si="12"/>
        <v>50</v>
      </c>
      <c r="AB62" s="581">
        <f t="shared" si="12"/>
        <v>55</v>
      </c>
      <c r="AC62" s="581">
        <f t="shared" si="13"/>
        <v>60</v>
      </c>
      <c r="AD62" s="581">
        <f t="shared" si="13"/>
        <v>65</v>
      </c>
      <c r="AE62" s="581">
        <f t="shared" si="13"/>
        <v>70</v>
      </c>
      <c r="AF62" s="581">
        <f t="shared" si="13"/>
        <v>75</v>
      </c>
      <c r="AG62" s="581">
        <f t="shared" si="13"/>
        <v>80</v>
      </c>
      <c r="AH62" s="581">
        <f t="shared" si="13"/>
        <v>85</v>
      </c>
      <c r="AI62" s="581">
        <f t="shared" si="13"/>
        <v>90</v>
      </c>
      <c r="AJ62" s="581">
        <f t="shared" si="13"/>
        <v>95</v>
      </c>
      <c r="AK62" s="581">
        <f t="shared" si="13"/>
        <v>100</v>
      </c>
      <c r="AL62" s="581">
        <f t="shared" si="13"/>
        <v>105</v>
      </c>
      <c r="AM62" s="581">
        <f t="shared" si="14"/>
        <v>110</v>
      </c>
      <c r="AN62" s="581">
        <f t="shared" si="14"/>
        <v>115</v>
      </c>
      <c r="AO62" s="581">
        <f t="shared" si="14"/>
        <v>120</v>
      </c>
      <c r="AP62" s="581">
        <f t="shared" si="14"/>
        <v>125</v>
      </c>
      <c r="AQ62" s="581">
        <f t="shared" si="14"/>
        <v>130</v>
      </c>
      <c r="AR62" s="581">
        <f t="shared" si="14"/>
        <v>135</v>
      </c>
      <c r="AS62" s="581">
        <f t="shared" si="14"/>
        <v>140</v>
      </c>
      <c r="AT62" s="581">
        <f t="shared" si="14"/>
        <v>145</v>
      </c>
      <c r="AU62" s="581">
        <f t="shared" si="14"/>
        <v>150</v>
      </c>
    </row>
    <row r="63" spans="2:47" x14ac:dyDescent="0.3">
      <c r="B63" s="59" t="s">
        <v>1027</v>
      </c>
      <c r="C63" t="s">
        <v>212</v>
      </c>
      <c r="D63" s="583" t="s">
        <v>279</v>
      </c>
      <c r="E63" s="583" t="s">
        <v>278</v>
      </c>
      <c r="F63" s="583" t="s">
        <v>278</v>
      </c>
      <c r="G63" s="583" t="s">
        <v>278</v>
      </c>
      <c r="H63" s="583" t="s">
        <v>279</v>
      </c>
      <c r="I63" s="583" t="s">
        <v>278</v>
      </c>
      <c r="J63" s="613">
        <v>1</v>
      </c>
      <c r="K63" s="197">
        <v>0</v>
      </c>
      <c r="L63" s="197">
        <v>0</v>
      </c>
      <c r="M63" s="197">
        <v>0</v>
      </c>
      <c r="N63" s="613">
        <v>1</v>
      </c>
      <c r="O63" s="197">
        <v>0</v>
      </c>
      <c r="P63" s="583">
        <v>6</v>
      </c>
      <c r="Q63" s="581">
        <v>3</v>
      </c>
      <c r="R63" s="580">
        <v>5</v>
      </c>
      <c r="S63" s="581">
        <f t="shared" si="12"/>
        <v>10</v>
      </c>
      <c r="T63" s="581">
        <f t="shared" si="12"/>
        <v>15</v>
      </c>
      <c r="U63" s="581">
        <f t="shared" si="12"/>
        <v>20</v>
      </c>
      <c r="V63" s="581">
        <f t="shared" si="12"/>
        <v>25</v>
      </c>
      <c r="W63" s="581">
        <f t="shared" si="12"/>
        <v>30</v>
      </c>
      <c r="X63" s="581">
        <f t="shared" si="12"/>
        <v>35</v>
      </c>
      <c r="Y63" s="581">
        <f t="shared" si="12"/>
        <v>40</v>
      </c>
      <c r="Z63" s="581">
        <f t="shared" si="12"/>
        <v>45</v>
      </c>
      <c r="AA63" s="581">
        <f t="shared" si="12"/>
        <v>50</v>
      </c>
      <c r="AB63" s="581">
        <f t="shared" si="12"/>
        <v>55</v>
      </c>
      <c r="AC63" s="581">
        <f t="shared" si="13"/>
        <v>60</v>
      </c>
      <c r="AD63" s="581">
        <f t="shared" si="13"/>
        <v>65</v>
      </c>
      <c r="AE63" s="581">
        <f t="shared" si="13"/>
        <v>70</v>
      </c>
      <c r="AF63" s="581">
        <f t="shared" si="13"/>
        <v>75</v>
      </c>
      <c r="AG63" s="581">
        <f t="shared" si="13"/>
        <v>80</v>
      </c>
      <c r="AH63" s="581">
        <f t="shared" si="13"/>
        <v>85</v>
      </c>
      <c r="AI63" s="581">
        <f t="shared" si="13"/>
        <v>90</v>
      </c>
      <c r="AJ63" s="581">
        <f t="shared" si="13"/>
        <v>95</v>
      </c>
      <c r="AK63" s="581">
        <f t="shared" si="13"/>
        <v>100</v>
      </c>
      <c r="AL63" s="581">
        <f t="shared" si="13"/>
        <v>105</v>
      </c>
      <c r="AM63" s="581">
        <f t="shared" si="14"/>
        <v>110</v>
      </c>
      <c r="AN63" s="581">
        <f t="shared" si="14"/>
        <v>115</v>
      </c>
      <c r="AO63" s="581">
        <f t="shared" si="14"/>
        <v>120</v>
      </c>
      <c r="AP63" s="581">
        <f t="shared" si="14"/>
        <v>125</v>
      </c>
      <c r="AQ63" s="581">
        <f t="shared" si="14"/>
        <v>130</v>
      </c>
      <c r="AR63" s="581">
        <f t="shared" si="14"/>
        <v>135</v>
      </c>
      <c r="AS63" s="581">
        <f t="shared" si="14"/>
        <v>140</v>
      </c>
      <c r="AT63" s="581">
        <f t="shared" si="14"/>
        <v>145</v>
      </c>
      <c r="AU63" s="581">
        <f t="shared" si="14"/>
        <v>150</v>
      </c>
    </row>
    <row r="64" spans="2:47" x14ac:dyDescent="0.3">
      <c r="B64" s="991" t="s">
        <v>4481</v>
      </c>
      <c r="C64" s="421" t="s">
        <v>2287</v>
      </c>
      <c r="D64" s="421" t="s">
        <v>278</v>
      </c>
      <c r="E64" s="421" t="s">
        <v>278</v>
      </c>
      <c r="F64" s="421" t="s">
        <v>278</v>
      </c>
      <c r="G64" s="421" t="s">
        <v>278</v>
      </c>
      <c r="H64" s="421" t="s">
        <v>278</v>
      </c>
      <c r="I64" s="421" t="s">
        <v>278</v>
      </c>
      <c r="J64" s="992">
        <v>0</v>
      </c>
      <c r="K64" s="992">
        <v>0</v>
      </c>
      <c r="L64" s="992">
        <v>0</v>
      </c>
      <c r="M64" s="992">
        <v>0</v>
      </c>
      <c r="N64" s="992">
        <v>0</v>
      </c>
      <c r="O64" s="992">
        <v>0</v>
      </c>
      <c r="P64" s="421">
        <v>1</v>
      </c>
      <c r="Q64" s="992">
        <v>2</v>
      </c>
      <c r="R64" s="993">
        <v>1</v>
      </c>
      <c r="S64" s="994">
        <v>2</v>
      </c>
      <c r="T64" s="992">
        <v>3</v>
      </c>
      <c r="U64" s="992">
        <v>3</v>
      </c>
      <c r="V64" s="992">
        <v>3</v>
      </c>
      <c r="W64" s="992">
        <v>3</v>
      </c>
      <c r="X64" s="992">
        <v>3</v>
      </c>
      <c r="Y64" s="992">
        <v>3</v>
      </c>
      <c r="Z64" s="992">
        <v>3</v>
      </c>
      <c r="AA64" s="992">
        <v>3</v>
      </c>
      <c r="AB64" s="992">
        <v>3</v>
      </c>
      <c r="AC64" s="992">
        <v>3</v>
      </c>
      <c r="AD64" s="992">
        <v>3</v>
      </c>
      <c r="AE64" s="992">
        <v>3</v>
      </c>
      <c r="AF64" s="992">
        <v>3</v>
      </c>
      <c r="AG64" s="992">
        <v>3</v>
      </c>
      <c r="AH64" s="992">
        <v>3</v>
      </c>
      <c r="AI64" s="992">
        <v>3</v>
      </c>
      <c r="AJ64" s="992">
        <v>3</v>
      </c>
      <c r="AK64" s="992">
        <v>3</v>
      </c>
      <c r="AL64" s="992">
        <v>3</v>
      </c>
      <c r="AM64" s="992">
        <v>3</v>
      </c>
      <c r="AN64" s="992">
        <v>3</v>
      </c>
      <c r="AO64" s="992">
        <v>3</v>
      </c>
      <c r="AP64" s="992">
        <v>3</v>
      </c>
      <c r="AQ64" s="992">
        <v>3</v>
      </c>
      <c r="AR64" s="992">
        <v>3</v>
      </c>
      <c r="AS64" s="992">
        <v>3</v>
      </c>
      <c r="AT64" s="992">
        <v>3</v>
      </c>
      <c r="AU64" s="992">
        <v>3</v>
      </c>
    </row>
    <row r="65" spans="2:47" x14ac:dyDescent="0.3">
      <c r="B65" s="59" t="s">
        <v>259</v>
      </c>
      <c r="C65" t="s">
        <v>174</v>
      </c>
      <c r="D65" s="583" t="s">
        <v>279</v>
      </c>
      <c r="E65" s="583" t="s">
        <v>278</v>
      </c>
      <c r="F65" s="583" t="s">
        <v>279</v>
      </c>
      <c r="G65" s="583" t="s">
        <v>278</v>
      </c>
      <c r="H65" s="583" t="s">
        <v>278</v>
      </c>
      <c r="I65" s="583" t="s">
        <v>278</v>
      </c>
      <c r="J65" s="613">
        <v>1</v>
      </c>
      <c r="K65" s="197">
        <v>0</v>
      </c>
      <c r="L65" s="613">
        <v>1</v>
      </c>
      <c r="M65" s="197">
        <v>0</v>
      </c>
      <c r="N65" s="197">
        <v>0</v>
      </c>
      <c r="O65" s="197">
        <v>0</v>
      </c>
      <c r="P65" s="583">
        <v>1</v>
      </c>
      <c r="Q65" s="581">
        <v>4</v>
      </c>
      <c r="R65" s="580">
        <v>5</v>
      </c>
      <c r="S65" s="581">
        <f t="shared" ref="S65:AB66" si="15">$R65*S$3</f>
        <v>10</v>
      </c>
      <c r="T65" s="581">
        <f t="shared" si="15"/>
        <v>15</v>
      </c>
      <c r="U65" s="581">
        <f t="shared" si="15"/>
        <v>20</v>
      </c>
      <c r="V65" s="581">
        <f t="shared" si="15"/>
        <v>25</v>
      </c>
      <c r="W65" s="581">
        <f t="shared" si="15"/>
        <v>30</v>
      </c>
      <c r="X65" s="581">
        <f t="shared" si="15"/>
        <v>35</v>
      </c>
      <c r="Y65" s="581">
        <f t="shared" si="15"/>
        <v>40</v>
      </c>
      <c r="Z65" s="581">
        <f t="shared" si="15"/>
        <v>45</v>
      </c>
      <c r="AA65" s="581">
        <f t="shared" si="15"/>
        <v>50</v>
      </c>
      <c r="AB65" s="581">
        <f t="shared" si="15"/>
        <v>55</v>
      </c>
      <c r="AC65" s="581">
        <f t="shared" ref="AC65:AL66" si="16">$R65*AC$3</f>
        <v>60</v>
      </c>
      <c r="AD65" s="581">
        <f t="shared" si="16"/>
        <v>65</v>
      </c>
      <c r="AE65" s="581">
        <f t="shared" si="16"/>
        <v>70</v>
      </c>
      <c r="AF65" s="581">
        <f t="shared" si="16"/>
        <v>75</v>
      </c>
      <c r="AG65" s="581">
        <f t="shared" si="16"/>
        <v>80</v>
      </c>
      <c r="AH65" s="581">
        <f t="shared" si="16"/>
        <v>85</v>
      </c>
      <c r="AI65" s="581">
        <f t="shared" si="16"/>
        <v>90</v>
      </c>
      <c r="AJ65" s="581">
        <f t="shared" si="16"/>
        <v>95</v>
      </c>
      <c r="AK65" s="581">
        <f t="shared" si="16"/>
        <v>100</v>
      </c>
      <c r="AL65" s="581">
        <f t="shared" si="16"/>
        <v>105</v>
      </c>
      <c r="AM65" s="581">
        <f t="shared" ref="AM65:AU66" si="17">$R65*AM$3</f>
        <v>110</v>
      </c>
      <c r="AN65" s="581">
        <f t="shared" si="17"/>
        <v>115</v>
      </c>
      <c r="AO65" s="581">
        <f t="shared" si="17"/>
        <v>120</v>
      </c>
      <c r="AP65" s="581">
        <f t="shared" si="17"/>
        <v>125</v>
      </c>
      <c r="AQ65" s="581">
        <f t="shared" si="17"/>
        <v>130</v>
      </c>
      <c r="AR65" s="581">
        <f t="shared" si="17"/>
        <v>135</v>
      </c>
      <c r="AS65" s="581">
        <f t="shared" si="17"/>
        <v>140</v>
      </c>
      <c r="AT65" s="581">
        <f t="shared" si="17"/>
        <v>145</v>
      </c>
      <c r="AU65" s="581">
        <f t="shared" si="17"/>
        <v>150</v>
      </c>
    </row>
    <row r="66" spans="2:47" x14ac:dyDescent="0.3">
      <c r="B66" s="59" t="s">
        <v>1025</v>
      </c>
      <c r="C66" t="s">
        <v>174</v>
      </c>
      <c r="D66" s="583" t="s">
        <v>279</v>
      </c>
      <c r="E66" s="583" t="s">
        <v>278</v>
      </c>
      <c r="F66" s="583" t="s">
        <v>279</v>
      </c>
      <c r="G66" s="583" t="s">
        <v>278</v>
      </c>
      <c r="H66" s="583" t="s">
        <v>278</v>
      </c>
      <c r="I66" s="583" t="s">
        <v>278</v>
      </c>
      <c r="J66" s="613">
        <v>1</v>
      </c>
      <c r="K66" s="197">
        <v>0</v>
      </c>
      <c r="L66" s="613">
        <v>1</v>
      </c>
      <c r="M66" s="197">
        <v>0</v>
      </c>
      <c r="N66" s="197">
        <v>0</v>
      </c>
      <c r="O66" s="197">
        <v>0</v>
      </c>
      <c r="P66" s="583">
        <v>1</v>
      </c>
      <c r="Q66" s="581">
        <v>4</v>
      </c>
      <c r="R66" s="580">
        <v>5</v>
      </c>
      <c r="S66" s="581">
        <f t="shared" si="15"/>
        <v>10</v>
      </c>
      <c r="T66" s="581">
        <f t="shared" si="15"/>
        <v>15</v>
      </c>
      <c r="U66" s="581">
        <f t="shared" si="15"/>
        <v>20</v>
      </c>
      <c r="V66" s="581">
        <f t="shared" si="15"/>
        <v>25</v>
      </c>
      <c r="W66" s="581">
        <f t="shared" si="15"/>
        <v>30</v>
      </c>
      <c r="X66" s="581">
        <f t="shared" si="15"/>
        <v>35</v>
      </c>
      <c r="Y66" s="581">
        <f t="shared" si="15"/>
        <v>40</v>
      </c>
      <c r="Z66" s="581">
        <f t="shared" si="15"/>
        <v>45</v>
      </c>
      <c r="AA66" s="581">
        <f t="shared" si="15"/>
        <v>50</v>
      </c>
      <c r="AB66" s="581">
        <f t="shared" si="15"/>
        <v>55</v>
      </c>
      <c r="AC66" s="581">
        <f t="shared" si="16"/>
        <v>60</v>
      </c>
      <c r="AD66" s="581">
        <f t="shared" si="16"/>
        <v>65</v>
      </c>
      <c r="AE66" s="581">
        <f t="shared" si="16"/>
        <v>70</v>
      </c>
      <c r="AF66" s="581">
        <f t="shared" si="16"/>
        <v>75</v>
      </c>
      <c r="AG66" s="581">
        <f t="shared" si="16"/>
        <v>80</v>
      </c>
      <c r="AH66" s="581">
        <f t="shared" si="16"/>
        <v>85</v>
      </c>
      <c r="AI66" s="581">
        <f t="shared" si="16"/>
        <v>90</v>
      </c>
      <c r="AJ66" s="581">
        <f t="shared" si="16"/>
        <v>95</v>
      </c>
      <c r="AK66" s="581">
        <f t="shared" si="16"/>
        <v>100</v>
      </c>
      <c r="AL66" s="581">
        <f t="shared" si="16"/>
        <v>105</v>
      </c>
      <c r="AM66" s="581">
        <f t="shared" si="17"/>
        <v>110</v>
      </c>
      <c r="AN66" s="581">
        <f t="shared" si="17"/>
        <v>115</v>
      </c>
      <c r="AO66" s="581">
        <f t="shared" si="17"/>
        <v>120</v>
      </c>
      <c r="AP66" s="581">
        <f t="shared" si="17"/>
        <v>125</v>
      </c>
      <c r="AQ66" s="581">
        <f t="shared" si="17"/>
        <v>130</v>
      </c>
      <c r="AR66" s="581">
        <f t="shared" si="17"/>
        <v>135</v>
      </c>
      <c r="AS66" s="581">
        <f t="shared" si="17"/>
        <v>140</v>
      </c>
      <c r="AT66" s="581">
        <f t="shared" si="17"/>
        <v>145</v>
      </c>
      <c r="AU66" s="581">
        <f t="shared" si="17"/>
        <v>150</v>
      </c>
    </row>
  </sheetData>
  <sortState ref="B5:BA60">
    <sortCondition ref="B5:B60"/>
  </sortState>
  <mergeCells count="2">
    <mergeCell ref="D2:I2"/>
    <mergeCell ref="R2:AU2"/>
  </mergeCell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B506"/>
  <sheetViews>
    <sheetView topLeftCell="A486" workbookViewId="0">
      <selection activeCell="G502" sqref="G502"/>
    </sheetView>
  </sheetViews>
  <sheetFormatPr defaultRowHeight="14.4" x14ac:dyDescent="0.3"/>
  <sheetData>
    <row r="1" spans="1:1" hidden="1" x14ac:dyDescent="0.3">
      <c r="A1" s="1" t="s">
        <v>1341</v>
      </c>
    </row>
    <row r="2" spans="1:1" hidden="1" x14ac:dyDescent="0.3">
      <c r="A2" t="s">
        <v>1309</v>
      </c>
    </row>
    <row r="3" spans="1:1" hidden="1" x14ac:dyDescent="0.3">
      <c r="A3" t="s">
        <v>1310</v>
      </c>
    </row>
    <row r="4" spans="1:1" hidden="1" x14ac:dyDescent="0.3">
      <c r="A4" t="s">
        <v>1311</v>
      </c>
    </row>
    <row r="5" spans="1:1" hidden="1" x14ac:dyDescent="0.3">
      <c r="A5" t="s">
        <v>1312</v>
      </c>
    </row>
    <row r="6" spans="1:1" hidden="1" x14ac:dyDescent="0.3">
      <c r="A6" t="s">
        <v>1313</v>
      </c>
    </row>
    <row r="7" spans="1:1" hidden="1" x14ac:dyDescent="0.3">
      <c r="A7" t="s">
        <v>1314</v>
      </c>
    </row>
    <row r="8" spans="1:1" hidden="1" x14ac:dyDescent="0.3">
      <c r="A8" t="s">
        <v>1315</v>
      </c>
    </row>
    <row r="9" spans="1:1" hidden="1" x14ac:dyDescent="0.3">
      <c r="A9" t="s">
        <v>1316</v>
      </c>
    </row>
    <row r="10" spans="1:1" hidden="1" x14ac:dyDescent="0.3">
      <c r="A10" t="s">
        <v>1317</v>
      </c>
    </row>
    <row r="11" spans="1:1" hidden="1" x14ac:dyDescent="0.3">
      <c r="A11" t="s">
        <v>1318</v>
      </c>
    </row>
    <row r="12" spans="1:1" hidden="1" x14ac:dyDescent="0.3">
      <c r="A12" t="s">
        <v>1319</v>
      </c>
    </row>
    <row r="13" spans="1:1" hidden="1" x14ac:dyDescent="0.3">
      <c r="A13" t="s">
        <v>1320</v>
      </c>
    </row>
    <row r="14" spans="1:1" hidden="1" x14ac:dyDescent="0.3"/>
    <row r="15" spans="1:1" hidden="1" x14ac:dyDescent="0.3">
      <c r="A15" s="1" t="s">
        <v>1340</v>
      </c>
    </row>
    <row r="16" spans="1:1" hidden="1" x14ac:dyDescent="0.3">
      <c r="A16" t="s">
        <v>1321</v>
      </c>
    </row>
    <row r="17" spans="1:1" hidden="1" x14ac:dyDescent="0.3">
      <c r="A17" t="s">
        <v>1322</v>
      </c>
    </row>
    <row r="18" spans="1:1" hidden="1" x14ac:dyDescent="0.3">
      <c r="A18" t="s">
        <v>1323</v>
      </c>
    </row>
    <row r="19" spans="1:1" hidden="1" x14ac:dyDescent="0.3">
      <c r="A19" t="s">
        <v>1325</v>
      </c>
    </row>
    <row r="20" spans="1:1" hidden="1" x14ac:dyDescent="0.3">
      <c r="A20" t="s">
        <v>1326</v>
      </c>
    </row>
    <row r="21" spans="1:1" hidden="1" x14ac:dyDescent="0.3">
      <c r="A21" t="s">
        <v>1345</v>
      </c>
    </row>
    <row r="22" spans="1:1" hidden="1" x14ac:dyDescent="0.3">
      <c r="A22" t="s">
        <v>1339</v>
      </c>
    </row>
    <row r="23" spans="1:1" hidden="1" x14ac:dyDescent="0.3">
      <c r="A23" t="s">
        <v>1342</v>
      </c>
    </row>
    <row r="24" spans="1:1" ht="14.25" hidden="1" customHeight="1" x14ac:dyDescent="0.3">
      <c r="A24" t="s">
        <v>1344</v>
      </c>
    </row>
    <row r="25" spans="1:1" hidden="1" x14ac:dyDescent="0.3">
      <c r="A25" t="s">
        <v>1343</v>
      </c>
    </row>
    <row r="26" spans="1:1" hidden="1" x14ac:dyDescent="0.3">
      <c r="A26" t="s">
        <v>1346</v>
      </c>
    </row>
    <row r="27" spans="1:1" hidden="1" x14ac:dyDescent="0.3"/>
    <row r="28" spans="1:1" hidden="1" x14ac:dyDescent="0.3">
      <c r="A28" s="1" t="s">
        <v>1347</v>
      </c>
    </row>
    <row r="29" spans="1:1" hidden="1" x14ac:dyDescent="0.3">
      <c r="A29" t="s">
        <v>1349</v>
      </c>
    </row>
    <row r="30" spans="1:1" hidden="1" x14ac:dyDescent="0.3">
      <c r="A30" t="s">
        <v>1350</v>
      </c>
    </row>
    <row r="31" spans="1:1" hidden="1" x14ac:dyDescent="0.3">
      <c r="A31" t="s">
        <v>1351</v>
      </c>
    </row>
    <row r="32" spans="1:1" hidden="1" x14ac:dyDescent="0.3">
      <c r="A32" t="s">
        <v>1352</v>
      </c>
    </row>
    <row r="33" spans="1:1" hidden="1" x14ac:dyDescent="0.3">
      <c r="A33" t="s">
        <v>1353</v>
      </c>
    </row>
    <row r="34" spans="1:1" hidden="1" x14ac:dyDescent="0.3">
      <c r="A34" t="s">
        <v>1356</v>
      </c>
    </row>
    <row r="35" spans="1:1" hidden="1" x14ac:dyDescent="0.3">
      <c r="A35" t="s">
        <v>1357</v>
      </c>
    </row>
    <row r="36" spans="1:1" hidden="1" x14ac:dyDescent="0.3">
      <c r="A36" t="s">
        <v>1358</v>
      </c>
    </row>
    <row r="37" spans="1:1" hidden="1" x14ac:dyDescent="0.3">
      <c r="A37" t="s">
        <v>1359</v>
      </c>
    </row>
    <row r="38" spans="1:1" hidden="1" x14ac:dyDescent="0.3">
      <c r="A38" t="s">
        <v>2072</v>
      </c>
    </row>
    <row r="39" spans="1:1" hidden="1" x14ac:dyDescent="0.3">
      <c r="A39" t="s">
        <v>1361</v>
      </c>
    </row>
    <row r="40" spans="1:1" hidden="1" x14ac:dyDescent="0.3">
      <c r="A40" t="s">
        <v>1363</v>
      </c>
    </row>
    <row r="41" spans="1:1" hidden="1" x14ac:dyDescent="0.3">
      <c r="A41" t="s">
        <v>1365</v>
      </c>
    </row>
    <row r="42" spans="1:1" hidden="1" x14ac:dyDescent="0.3">
      <c r="A42" t="s">
        <v>1378</v>
      </c>
    </row>
    <row r="43" spans="1:1" hidden="1" x14ac:dyDescent="0.3">
      <c r="A43" t="s">
        <v>1459</v>
      </c>
    </row>
    <row r="44" spans="1:1" hidden="1" x14ac:dyDescent="0.3">
      <c r="A44" t="s">
        <v>1617</v>
      </c>
    </row>
    <row r="45" spans="1:1" hidden="1" x14ac:dyDescent="0.3">
      <c r="A45" t="s">
        <v>2059</v>
      </c>
    </row>
    <row r="46" spans="1:1" hidden="1" x14ac:dyDescent="0.3">
      <c r="A46" t="s">
        <v>2060</v>
      </c>
    </row>
    <row r="47" spans="1:1" hidden="1" x14ac:dyDescent="0.3">
      <c r="A47" t="s">
        <v>2057</v>
      </c>
    </row>
    <row r="48" spans="1:1" hidden="1" x14ac:dyDescent="0.3">
      <c r="A48" t="s">
        <v>2058</v>
      </c>
    </row>
    <row r="49" spans="1:1" hidden="1" x14ac:dyDescent="0.3">
      <c r="A49" t="s">
        <v>2069</v>
      </c>
    </row>
    <row r="50" spans="1:1" hidden="1" x14ac:dyDescent="0.3">
      <c r="A50" t="s">
        <v>2071</v>
      </c>
    </row>
    <row r="51" spans="1:1" hidden="1" x14ac:dyDescent="0.3"/>
    <row r="52" spans="1:1" hidden="1" x14ac:dyDescent="0.3">
      <c r="A52" s="1" t="s">
        <v>2073</v>
      </c>
    </row>
    <row r="53" spans="1:1" hidden="1" x14ac:dyDescent="0.3">
      <c r="A53" t="s">
        <v>2074</v>
      </c>
    </row>
    <row r="54" spans="1:1" hidden="1" x14ac:dyDescent="0.3">
      <c r="A54" t="s">
        <v>2076</v>
      </c>
    </row>
    <row r="55" spans="1:1" hidden="1" x14ac:dyDescent="0.3">
      <c r="A55" t="s">
        <v>2075</v>
      </c>
    </row>
    <row r="56" spans="1:1" hidden="1" x14ac:dyDescent="0.3">
      <c r="A56" t="s">
        <v>2077</v>
      </c>
    </row>
    <row r="57" spans="1:1" hidden="1" x14ac:dyDescent="0.3">
      <c r="A57" t="s">
        <v>2078</v>
      </c>
    </row>
    <row r="58" spans="1:1" hidden="1" x14ac:dyDescent="0.3">
      <c r="A58" t="s">
        <v>2089</v>
      </c>
    </row>
    <row r="59" spans="1:1" hidden="1" x14ac:dyDescent="0.3">
      <c r="A59" t="s">
        <v>2088</v>
      </c>
    </row>
    <row r="60" spans="1:1" hidden="1" x14ac:dyDescent="0.3">
      <c r="A60" t="s">
        <v>2105</v>
      </c>
    </row>
    <row r="61" spans="1:1" hidden="1" x14ac:dyDescent="0.3">
      <c r="A61" t="s">
        <v>2106</v>
      </c>
    </row>
    <row r="62" spans="1:1" hidden="1" x14ac:dyDescent="0.3">
      <c r="A62" t="s">
        <v>2113</v>
      </c>
    </row>
    <row r="63" spans="1:1" ht="15.75" hidden="1" customHeight="1" x14ac:dyDescent="0.3">
      <c r="A63" t="s">
        <v>2107</v>
      </c>
    </row>
    <row r="64" spans="1:1" hidden="1" x14ac:dyDescent="0.3">
      <c r="A64" t="s">
        <v>2108</v>
      </c>
    </row>
    <row r="65" spans="1:1" hidden="1" x14ac:dyDescent="0.3">
      <c r="A65" t="s">
        <v>2109</v>
      </c>
    </row>
    <row r="66" spans="1:1" hidden="1" x14ac:dyDescent="0.3">
      <c r="A66" t="s">
        <v>2112</v>
      </c>
    </row>
    <row r="67" spans="1:1" hidden="1" x14ac:dyDescent="0.3">
      <c r="A67" t="s">
        <v>2114</v>
      </c>
    </row>
    <row r="68" spans="1:1" hidden="1" x14ac:dyDescent="0.3">
      <c r="A68" t="s">
        <v>2115</v>
      </c>
    </row>
    <row r="69" spans="1:1" hidden="1" x14ac:dyDescent="0.3">
      <c r="A69" t="s">
        <v>2116</v>
      </c>
    </row>
    <row r="70" spans="1:1" hidden="1" x14ac:dyDescent="0.3">
      <c r="A70" t="s">
        <v>2341</v>
      </c>
    </row>
    <row r="71" spans="1:1" hidden="1" x14ac:dyDescent="0.3">
      <c r="A71" t="s">
        <v>2342</v>
      </c>
    </row>
    <row r="72" spans="1:1" hidden="1" x14ac:dyDescent="0.3">
      <c r="A72" t="s">
        <v>2388</v>
      </c>
    </row>
    <row r="73" spans="1:1" hidden="1" x14ac:dyDescent="0.3"/>
    <row r="74" spans="1:1" hidden="1" x14ac:dyDescent="0.3">
      <c r="A74" s="1" t="s">
        <v>2389</v>
      </c>
    </row>
    <row r="75" spans="1:1" hidden="1" x14ac:dyDescent="0.3">
      <c r="A75" t="s">
        <v>2390</v>
      </c>
    </row>
    <row r="76" spans="1:1" hidden="1" x14ac:dyDescent="0.3">
      <c r="A76" t="s">
        <v>2391</v>
      </c>
    </row>
    <row r="77" spans="1:1" hidden="1" x14ac:dyDescent="0.3">
      <c r="A77" t="s">
        <v>2392</v>
      </c>
    </row>
    <row r="78" spans="1:1" hidden="1" x14ac:dyDescent="0.3">
      <c r="A78" t="s">
        <v>2393</v>
      </c>
    </row>
    <row r="79" spans="1:1" hidden="1" x14ac:dyDescent="0.3">
      <c r="A79" t="s">
        <v>2402</v>
      </c>
    </row>
    <row r="80" spans="1:1" hidden="1" x14ac:dyDescent="0.3">
      <c r="A80" t="s">
        <v>2403</v>
      </c>
    </row>
    <row r="81" spans="1:1" hidden="1" x14ac:dyDescent="0.3">
      <c r="A81" t="s">
        <v>2404</v>
      </c>
    </row>
    <row r="82" spans="1:1" hidden="1" x14ac:dyDescent="0.3">
      <c r="A82" t="s">
        <v>2406</v>
      </c>
    </row>
    <row r="83" spans="1:1" hidden="1" x14ac:dyDescent="0.3">
      <c r="A83" t="s">
        <v>2407</v>
      </c>
    </row>
    <row r="84" spans="1:1" hidden="1" x14ac:dyDescent="0.3">
      <c r="A84" t="s">
        <v>2411</v>
      </c>
    </row>
    <row r="85" spans="1:1" hidden="1" x14ac:dyDescent="0.3">
      <c r="A85" t="s">
        <v>2420</v>
      </c>
    </row>
    <row r="86" spans="1:1" hidden="1" x14ac:dyDescent="0.3">
      <c r="A86" t="s">
        <v>2421</v>
      </c>
    </row>
    <row r="87" spans="1:1" hidden="1" x14ac:dyDescent="0.3">
      <c r="A87" t="s">
        <v>2422</v>
      </c>
    </row>
    <row r="88" spans="1:1" hidden="1" x14ac:dyDescent="0.3">
      <c r="A88" t="s">
        <v>2424</v>
      </c>
    </row>
    <row r="89" spans="1:1" hidden="1" x14ac:dyDescent="0.3">
      <c r="A89" t="s">
        <v>2423</v>
      </c>
    </row>
    <row r="90" spans="1:1" hidden="1" x14ac:dyDescent="0.3">
      <c r="A90" t="s">
        <v>2425</v>
      </c>
    </row>
    <row r="91" spans="1:1" ht="16.5" hidden="1" customHeight="1" x14ac:dyDescent="0.3">
      <c r="A91" t="s">
        <v>2426</v>
      </c>
    </row>
    <row r="92" spans="1:1" hidden="1" x14ac:dyDescent="0.3">
      <c r="A92" t="s">
        <v>2427</v>
      </c>
    </row>
    <row r="93" spans="1:1" hidden="1" x14ac:dyDescent="0.3">
      <c r="A93" t="s">
        <v>2428</v>
      </c>
    </row>
    <row r="94" spans="1:1" hidden="1" x14ac:dyDescent="0.3">
      <c r="A94" t="s">
        <v>2429</v>
      </c>
    </row>
    <row r="95" spans="1:1" hidden="1" x14ac:dyDescent="0.3">
      <c r="A95" t="s">
        <v>2430</v>
      </c>
    </row>
    <row r="96" spans="1:1" hidden="1" x14ac:dyDescent="0.3">
      <c r="A96" t="s">
        <v>2431</v>
      </c>
    </row>
    <row r="97" spans="1:1" hidden="1" x14ac:dyDescent="0.3">
      <c r="A97" t="s">
        <v>2436</v>
      </c>
    </row>
    <row r="98" spans="1:1" hidden="1" x14ac:dyDescent="0.3">
      <c r="A98" t="s">
        <v>2442</v>
      </c>
    </row>
    <row r="99" spans="1:1" hidden="1" x14ac:dyDescent="0.3">
      <c r="A99" t="s">
        <v>2443</v>
      </c>
    </row>
    <row r="100" spans="1:1" hidden="1" x14ac:dyDescent="0.3">
      <c r="A100" t="s">
        <v>2451</v>
      </c>
    </row>
    <row r="101" spans="1:1" hidden="1" x14ac:dyDescent="0.3">
      <c r="A101" t="s">
        <v>2453</v>
      </c>
    </row>
    <row r="102" spans="1:1" hidden="1" x14ac:dyDescent="0.3">
      <c r="A102" t="s">
        <v>2454</v>
      </c>
    </row>
    <row r="103" spans="1:1" hidden="1" x14ac:dyDescent="0.3">
      <c r="A103" t="s">
        <v>2456</v>
      </c>
    </row>
    <row r="104" spans="1:1" hidden="1" x14ac:dyDescent="0.3">
      <c r="A104" t="s">
        <v>2459</v>
      </c>
    </row>
    <row r="105" spans="1:1" hidden="1" x14ac:dyDescent="0.3">
      <c r="A105" t="s">
        <v>2465</v>
      </c>
    </row>
    <row r="106" spans="1:1" hidden="1" x14ac:dyDescent="0.3"/>
    <row r="107" spans="1:1" hidden="1" x14ac:dyDescent="0.3">
      <c r="A107" s="1" t="s">
        <v>2466</v>
      </c>
    </row>
    <row r="108" spans="1:1" hidden="1" x14ac:dyDescent="0.3">
      <c r="A108" t="s">
        <v>2467</v>
      </c>
    </row>
    <row r="109" spans="1:1" hidden="1" x14ac:dyDescent="0.3">
      <c r="A109" t="s">
        <v>2468</v>
      </c>
    </row>
    <row r="110" spans="1:1" hidden="1" x14ac:dyDescent="0.3">
      <c r="A110" t="s">
        <v>2469</v>
      </c>
    </row>
    <row r="111" spans="1:1" hidden="1" x14ac:dyDescent="0.3">
      <c r="A111" t="s">
        <v>2489</v>
      </c>
    </row>
    <row r="112" spans="1:1" hidden="1" x14ac:dyDescent="0.3">
      <c r="A112" t="s">
        <v>2492</v>
      </c>
    </row>
    <row r="113" spans="1:1" hidden="1" x14ac:dyDescent="0.3">
      <c r="A113" t="s">
        <v>2493</v>
      </c>
    </row>
    <row r="114" spans="1:1" hidden="1" x14ac:dyDescent="0.3">
      <c r="A114" t="s">
        <v>2495</v>
      </c>
    </row>
    <row r="115" spans="1:1" hidden="1" x14ac:dyDescent="0.3">
      <c r="A115" t="s">
        <v>2496</v>
      </c>
    </row>
    <row r="116" spans="1:1" hidden="1" x14ac:dyDescent="0.3">
      <c r="A116" t="s">
        <v>2497</v>
      </c>
    </row>
    <row r="117" spans="1:1" hidden="1" x14ac:dyDescent="0.3">
      <c r="A117" t="s">
        <v>2498</v>
      </c>
    </row>
    <row r="118" spans="1:1" hidden="1" x14ac:dyDescent="0.3">
      <c r="A118" t="s">
        <v>2499</v>
      </c>
    </row>
    <row r="119" spans="1:1" hidden="1" x14ac:dyDescent="0.3">
      <c r="A119" t="s">
        <v>2898</v>
      </c>
    </row>
    <row r="120" spans="1:1" hidden="1" x14ac:dyDescent="0.3">
      <c r="A120" t="s">
        <v>2899</v>
      </c>
    </row>
    <row r="121" spans="1:1" hidden="1" x14ac:dyDescent="0.3">
      <c r="A121" t="s">
        <v>2900</v>
      </c>
    </row>
    <row r="122" spans="1:1" hidden="1" x14ac:dyDescent="0.3">
      <c r="A122" t="s">
        <v>2909</v>
      </c>
    </row>
    <row r="123" spans="1:1" hidden="1" x14ac:dyDescent="0.3">
      <c r="A123" t="s">
        <v>2914</v>
      </c>
    </row>
    <row r="124" spans="1:1" hidden="1" x14ac:dyDescent="0.3">
      <c r="A124" t="s">
        <v>2915</v>
      </c>
    </row>
    <row r="125" spans="1:1" hidden="1" x14ac:dyDescent="0.3">
      <c r="A125" t="s">
        <v>2917</v>
      </c>
    </row>
    <row r="126" spans="1:1" hidden="1" x14ac:dyDescent="0.3">
      <c r="A126" t="s">
        <v>2918</v>
      </c>
    </row>
    <row r="127" spans="1:1" hidden="1" x14ac:dyDescent="0.3">
      <c r="A127" t="s">
        <v>2932</v>
      </c>
    </row>
    <row r="128" spans="1:1" hidden="1" x14ac:dyDescent="0.3">
      <c r="A128" t="s">
        <v>2934</v>
      </c>
    </row>
    <row r="129" spans="1:1" hidden="1" x14ac:dyDescent="0.3">
      <c r="A129" t="s">
        <v>2935</v>
      </c>
    </row>
    <row r="130" spans="1:1" hidden="1" x14ac:dyDescent="0.3">
      <c r="A130" t="s">
        <v>2942</v>
      </c>
    </row>
    <row r="131" spans="1:1" hidden="1" x14ac:dyDescent="0.3">
      <c r="A131" t="s">
        <v>2943</v>
      </c>
    </row>
    <row r="132" spans="1:1" hidden="1" x14ac:dyDescent="0.3">
      <c r="A132" t="s">
        <v>2944</v>
      </c>
    </row>
    <row r="133" spans="1:1" hidden="1" x14ac:dyDescent="0.3">
      <c r="A133" t="s">
        <v>2947</v>
      </c>
    </row>
    <row r="134" spans="1:1" hidden="1" x14ac:dyDescent="0.3">
      <c r="A134" t="s">
        <v>2951</v>
      </c>
    </row>
    <row r="135" spans="1:1" hidden="1" x14ac:dyDescent="0.3">
      <c r="A135" t="s">
        <v>2956</v>
      </c>
    </row>
    <row r="136" spans="1:1" hidden="1" x14ac:dyDescent="0.3">
      <c r="A136" t="s">
        <v>2957</v>
      </c>
    </row>
    <row r="137" spans="1:1" hidden="1" x14ac:dyDescent="0.3">
      <c r="A137" t="s">
        <v>2958</v>
      </c>
    </row>
    <row r="138" spans="1:1" hidden="1" x14ac:dyDescent="0.3">
      <c r="A138" t="s">
        <v>2959</v>
      </c>
    </row>
    <row r="139" spans="1:1" hidden="1" x14ac:dyDescent="0.3"/>
    <row r="140" spans="1:1" hidden="1" x14ac:dyDescent="0.3">
      <c r="A140" s="1" t="s">
        <v>2965</v>
      </c>
    </row>
    <row r="141" spans="1:1" hidden="1" x14ac:dyDescent="0.3">
      <c r="A141" t="s">
        <v>2966</v>
      </c>
    </row>
    <row r="142" spans="1:1" hidden="1" x14ac:dyDescent="0.3">
      <c r="A142" t="s">
        <v>2967</v>
      </c>
    </row>
    <row r="143" spans="1:1" hidden="1" x14ac:dyDescent="0.3">
      <c r="A143" t="s">
        <v>2968</v>
      </c>
    </row>
    <row r="144" spans="1:1" hidden="1" x14ac:dyDescent="0.3">
      <c r="A144" t="s">
        <v>2969</v>
      </c>
    </row>
    <row r="145" spans="1:1" hidden="1" x14ac:dyDescent="0.3">
      <c r="A145" t="s">
        <v>2970</v>
      </c>
    </row>
    <row r="146" spans="1:1" hidden="1" x14ac:dyDescent="0.3">
      <c r="A146" t="s">
        <v>2971</v>
      </c>
    </row>
    <row r="147" spans="1:1" hidden="1" x14ac:dyDescent="0.3">
      <c r="A147" t="s">
        <v>2972</v>
      </c>
    </row>
    <row r="148" spans="1:1" hidden="1" x14ac:dyDescent="0.3">
      <c r="A148" t="s">
        <v>2973</v>
      </c>
    </row>
    <row r="149" spans="1:1" hidden="1" x14ac:dyDescent="0.3">
      <c r="A149" t="s">
        <v>2974</v>
      </c>
    </row>
    <row r="150" spans="1:1" hidden="1" x14ac:dyDescent="0.3">
      <c r="A150" t="s">
        <v>2975</v>
      </c>
    </row>
    <row r="151" spans="1:1" hidden="1" x14ac:dyDescent="0.3">
      <c r="A151" t="s">
        <v>2976</v>
      </c>
    </row>
    <row r="152" spans="1:1" ht="14.25" hidden="1" customHeight="1" x14ac:dyDescent="0.3">
      <c r="A152" t="s">
        <v>2977</v>
      </c>
    </row>
    <row r="153" spans="1:1" hidden="1" x14ac:dyDescent="0.3">
      <c r="A153" t="s">
        <v>2978</v>
      </c>
    </row>
    <row r="154" spans="1:1" hidden="1" x14ac:dyDescent="0.3">
      <c r="A154" t="s">
        <v>2979</v>
      </c>
    </row>
    <row r="155" spans="1:1" hidden="1" x14ac:dyDescent="0.3">
      <c r="A155" t="s">
        <v>2980</v>
      </c>
    </row>
    <row r="156" spans="1:1" hidden="1" x14ac:dyDescent="0.3"/>
    <row r="157" spans="1:1" hidden="1" x14ac:dyDescent="0.3">
      <c r="A157" s="1" t="s">
        <v>2981</v>
      </c>
    </row>
    <row r="158" spans="1:1" hidden="1" x14ac:dyDescent="0.3">
      <c r="A158" t="s">
        <v>2982</v>
      </c>
    </row>
    <row r="159" spans="1:1" hidden="1" x14ac:dyDescent="0.3">
      <c r="A159" t="s">
        <v>2983</v>
      </c>
    </row>
    <row r="160" spans="1:1" hidden="1" x14ac:dyDescent="0.3">
      <c r="A160" t="s">
        <v>3000</v>
      </c>
    </row>
    <row r="161" spans="1:1" hidden="1" x14ac:dyDescent="0.3">
      <c r="A161" t="s">
        <v>3001</v>
      </c>
    </row>
    <row r="162" spans="1:1" hidden="1" x14ac:dyDescent="0.3">
      <c r="A162" t="s">
        <v>3003</v>
      </c>
    </row>
    <row r="163" spans="1:1" hidden="1" x14ac:dyDescent="0.3">
      <c r="A163" t="s">
        <v>3010</v>
      </c>
    </row>
    <row r="164" spans="1:1" hidden="1" x14ac:dyDescent="0.3">
      <c r="A164" t="s">
        <v>3011</v>
      </c>
    </row>
    <row r="165" spans="1:1" hidden="1" x14ac:dyDescent="0.3">
      <c r="A165" t="s">
        <v>3023</v>
      </c>
    </row>
    <row r="166" spans="1:1" hidden="1" x14ac:dyDescent="0.3"/>
    <row r="167" spans="1:1" hidden="1" x14ac:dyDescent="0.3">
      <c r="A167" s="1" t="s">
        <v>3024</v>
      </c>
    </row>
    <row r="168" spans="1:1" hidden="1" x14ac:dyDescent="0.3">
      <c r="A168" t="s">
        <v>3025</v>
      </c>
    </row>
    <row r="169" spans="1:1" hidden="1" x14ac:dyDescent="0.3">
      <c r="A169" t="s">
        <v>3086</v>
      </c>
    </row>
    <row r="170" spans="1:1" hidden="1" x14ac:dyDescent="0.3">
      <c r="A170" t="s">
        <v>3088</v>
      </c>
    </row>
    <row r="171" spans="1:1" hidden="1" x14ac:dyDescent="0.3">
      <c r="A171" t="s">
        <v>3094</v>
      </c>
    </row>
    <row r="172" spans="1:1" hidden="1" x14ac:dyDescent="0.3">
      <c r="A172" t="s">
        <v>3095</v>
      </c>
    </row>
    <row r="173" spans="1:1" hidden="1" x14ac:dyDescent="0.3"/>
    <row r="174" spans="1:1" hidden="1" x14ac:dyDescent="0.3">
      <c r="A174" s="1" t="s">
        <v>3097</v>
      </c>
    </row>
    <row r="175" spans="1:1" hidden="1" x14ac:dyDescent="0.3">
      <c r="A175" t="s">
        <v>3104</v>
      </c>
    </row>
    <row r="176" spans="1:1" hidden="1" x14ac:dyDescent="0.3">
      <c r="A176" t="s">
        <v>3107</v>
      </c>
    </row>
    <row r="177" spans="1:1" hidden="1" x14ac:dyDescent="0.3">
      <c r="A177" t="s">
        <v>3105</v>
      </c>
    </row>
    <row r="178" spans="1:1" hidden="1" x14ac:dyDescent="0.3">
      <c r="A178" t="s">
        <v>3106</v>
      </c>
    </row>
    <row r="179" spans="1:1" hidden="1" x14ac:dyDescent="0.3">
      <c r="A179" t="s">
        <v>3112</v>
      </c>
    </row>
    <row r="180" spans="1:1" hidden="1" x14ac:dyDescent="0.3">
      <c r="A180" t="s">
        <v>3111</v>
      </c>
    </row>
    <row r="181" spans="1:1" hidden="1" x14ac:dyDescent="0.3">
      <c r="A181" t="s">
        <v>3113</v>
      </c>
    </row>
    <row r="182" spans="1:1" hidden="1" x14ac:dyDescent="0.3">
      <c r="A182" t="s">
        <v>3119</v>
      </c>
    </row>
    <row r="183" spans="1:1" hidden="1" x14ac:dyDescent="0.3">
      <c r="A183" t="s">
        <v>3188</v>
      </c>
    </row>
    <row r="184" spans="1:1" hidden="1" x14ac:dyDescent="0.3">
      <c r="A184" t="s">
        <v>3189</v>
      </c>
    </row>
    <row r="185" spans="1:1" hidden="1" x14ac:dyDescent="0.3">
      <c r="A185" t="s">
        <v>3190</v>
      </c>
    </row>
    <row r="186" spans="1:1" hidden="1" x14ac:dyDescent="0.3">
      <c r="A186" t="s">
        <v>3191</v>
      </c>
    </row>
    <row r="187" spans="1:1" hidden="1" x14ac:dyDescent="0.3">
      <c r="A187" t="s">
        <v>3192</v>
      </c>
    </row>
    <row r="188" spans="1:1" hidden="1" x14ac:dyDescent="0.3">
      <c r="A188" t="s">
        <v>3344</v>
      </c>
    </row>
    <row r="189" spans="1:1" hidden="1" x14ac:dyDescent="0.3">
      <c r="A189" t="s">
        <v>3255</v>
      </c>
    </row>
    <row r="190" spans="1:1" hidden="1" x14ac:dyDescent="0.3">
      <c r="A190" t="s">
        <v>3267</v>
      </c>
    </row>
    <row r="191" spans="1:1" hidden="1" x14ac:dyDescent="0.3">
      <c r="A191" t="s">
        <v>3334</v>
      </c>
    </row>
    <row r="192" spans="1:1" hidden="1" x14ac:dyDescent="0.3">
      <c r="A192" t="s">
        <v>3538</v>
      </c>
    </row>
    <row r="193" spans="1:1" hidden="1" x14ac:dyDescent="0.3">
      <c r="A193" t="s">
        <v>3608</v>
      </c>
    </row>
    <row r="194" spans="1:1" hidden="1" x14ac:dyDescent="0.3">
      <c r="A194" t="s">
        <v>3572</v>
      </c>
    </row>
    <row r="195" spans="1:1" hidden="1" x14ac:dyDescent="0.3">
      <c r="A195" t="s">
        <v>3609</v>
      </c>
    </row>
    <row r="196" spans="1:1" hidden="1" x14ac:dyDescent="0.3">
      <c r="A196" t="s">
        <v>3620</v>
      </c>
    </row>
    <row r="197" spans="1:1" hidden="1" x14ac:dyDescent="0.3">
      <c r="A197" t="s">
        <v>3621</v>
      </c>
    </row>
    <row r="198" spans="1:1" hidden="1" x14ac:dyDescent="0.3">
      <c r="A198" t="s">
        <v>3636</v>
      </c>
    </row>
    <row r="199" spans="1:1" hidden="1" x14ac:dyDescent="0.3">
      <c r="A199" t="s">
        <v>3640</v>
      </c>
    </row>
    <row r="200" spans="1:1" hidden="1" x14ac:dyDescent="0.3">
      <c r="A200" t="s">
        <v>3646</v>
      </c>
    </row>
    <row r="201" spans="1:1" hidden="1" x14ac:dyDescent="0.3">
      <c r="A201" t="s">
        <v>3699</v>
      </c>
    </row>
    <row r="202" spans="1:1" hidden="1" x14ac:dyDescent="0.3">
      <c r="A202" t="s">
        <v>3755</v>
      </c>
    </row>
    <row r="203" spans="1:1" hidden="1" x14ac:dyDescent="0.3">
      <c r="A203" t="s">
        <v>3756</v>
      </c>
    </row>
    <row r="204" spans="1:1" hidden="1" x14ac:dyDescent="0.3"/>
    <row r="205" spans="1:1" hidden="1" x14ac:dyDescent="0.3">
      <c r="A205" s="1" t="s">
        <v>3757</v>
      </c>
    </row>
    <row r="206" spans="1:1" hidden="1" x14ac:dyDescent="0.3">
      <c r="A206" t="s">
        <v>3758</v>
      </c>
    </row>
    <row r="207" spans="1:1" hidden="1" x14ac:dyDescent="0.3">
      <c r="A207" t="s">
        <v>3760</v>
      </c>
    </row>
    <row r="208" spans="1:1" hidden="1" x14ac:dyDescent="0.3">
      <c r="A208" t="s">
        <v>3761</v>
      </c>
    </row>
    <row r="209" spans="1:1" hidden="1" x14ac:dyDescent="0.3">
      <c r="A209" t="s">
        <v>3762</v>
      </c>
    </row>
    <row r="210" spans="1:1" hidden="1" x14ac:dyDescent="0.3">
      <c r="A210" t="s">
        <v>3763</v>
      </c>
    </row>
    <row r="211" spans="1:1" hidden="1" x14ac:dyDescent="0.3"/>
    <row r="212" spans="1:1" hidden="1" x14ac:dyDescent="0.3">
      <c r="A212" s="1" t="s">
        <v>3764</v>
      </c>
    </row>
    <row r="213" spans="1:1" hidden="1" x14ac:dyDescent="0.3">
      <c r="A213" t="s">
        <v>3765</v>
      </c>
    </row>
    <row r="214" spans="1:1" hidden="1" x14ac:dyDescent="0.3">
      <c r="A214" t="s">
        <v>3766</v>
      </c>
    </row>
    <row r="215" spans="1:1" hidden="1" x14ac:dyDescent="0.3">
      <c r="A215" t="s">
        <v>3770</v>
      </c>
    </row>
    <row r="216" spans="1:1" hidden="1" x14ac:dyDescent="0.3">
      <c r="A216" t="s">
        <v>3771</v>
      </c>
    </row>
    <row r="217" spans="1:1" hidden="1" x14ac:dyDescent="0.3">
      <c r="A217" t="s">
        <v>3775</v>
      </c>
    </row>
    <row r="218" spans="1:1" hidden="1" x14ac:dyDescent="0.3">
      <c r="A218" t="s">
        <v>3778</v>
      </c>
    </row>
    <row r="219" spans="1:1" hidden="1" x14ac:dyDescent="0.3">
      <c r="A219" t="s">
        <v>3779</v>
      </c>
    </row>
    <row r="220" spans="1:1" hidden="1" x14ac:dyDescent="0.3">
      <c r="A220" t="s">
        <v>3780</v>
      </c>
    </row>
    <row r="221" spans="1:1" hidden="1" x14ac:dyDescent="0.3">
      <c r="A221" t="s">
        <v>3783</v>
      </c>
    </row>
    <row r="222" spans="1:1" hidden="1" x14ac:dyDescent="0.3"/>
    <row r="223" spans="1:1" hidden="1" x14ac:dyDescent="0.3">
      <c r="A223" s="1" t="s">
        <v>3842</v>
      </c>
    </row>
    <row r="224" spans="1:1" hidden="1" x14ac:dyDescent="0.3">
      <c r="A224" t="s">
        <v>3843</v>
      </c>
    </row>
    <row r="225" spans="1:1" hidden="1" x14ac:dyDescent="0.3">
      <c r="A225" t="s">
        <v>3844</v>
      </c>
    </row>
    <row r="226" spans="1:1" hidden="1" x14ac:dyDescent="0.3">
      <c r="A226" t="s">
        <v>3893</v>
      </c>
    </row>
    <row r="227" spans="1:1" hidden="1" x14ac:dyDescent="0.3">
      <c r="A227" t="s">
        <v>3945</v>
      </c>
    </row>
    <row r="228" spans="1:1" hidden="1" x14ac:dyDescent="0.3">
      <c r="A228" t="s">
        <v>3946</v>
      </c>
    </row>
    <row r="229" spans="1:1" hidden="1" x14ac:dyDescent="0.3">
      <c r="A229" t="s">
        <v>3947</v>
      </c>
    </row>
    <row r="230" spans="1:1" hidden="1" x14ac:dyDescent="0.3">
      <c r="A230" t="s">
        <v>3948</v>
      </c>
    </row>
    <row r="231" spans="1:1" hidden="1" x14ac:dyDescent="0.3">
      <c r="A231" t="s">
        <v>3950</v>
      </c>
    </row>
    <row r="232" spans="1:1" hidden="1" x14ac:dyDescent="0.3">
      <c r="A232" t="s">
        <v>3951</v>
      </c>
    </row>
    <row r="233" spans="1:1" hidden="1" x14ac:dyDescent="0.3">
      <c r="A233" t="s">
        <v>3952</v>
      </c>
    </row>
    <row r="234" spans="1:1" hidden="1" x14ac:dyDescent="0.3">
      <c r="A234" t="s">
        <v>3953</v>
      </c>
    </row>
    <row r="235" spans="1:1" hidden="1" x14ac:dyDescent="0.3"/>
    <row r="236" spans="1:1" hidden="1" x14ac:dyDescent="0.3">
      <c r="A236" s="1" t="s">
        <v>3979</v>
      </c>
    </row>
    <row r="237" spans="1:1" hidden="1" x14ac:dyDescent="0.3">
      <c r="A237" t="s">
        <v>3980</v>
      </c>
    </row>
    <row r="238" spans="1:1" hidden="1" x14ac:dyDescent="0.3">
      <c r="A238" t="s">
        <v>3981</v>
      </c>
    </row>
    <row r="239" spans="1:1" hidden="1" x14ac:dyDescent="0.3">
      <c r="A239" t="s">
        <v>3982</v>
      </c>
    </row>
    <row r="240" spans="1:1" hidden="1" x14ac:dyDescent="0.3">
      <c r="A240" t="s">
        <v>3983</v>
      </c>
    </row>
    <row r="241" spans="1:1" hidden="1" x14ac:dyDescent="0.3">
      <c r="A241" t="s">
        <v>3984</v>
      </c>
    </row>
    <row r="242" spans="1:1" hidden="1" x14ac:dyDescent="0.3">
      <c r="A242" t="s">
        <v>3991</v>
      </c>
    </row>
    <row r="243" spans="1:1" hidden="1" x14ac:dyDescent="0.3">
      <c r="A243" t="s">
        <v>3992</v>
      </c>
    </row>
    <row r="244" spans="1:1" hidden="1" x14ac:dyDescent="0.3">
      <c r="A244" t="s">
        <v>3994</v>
      </c>
    </row>
    <row r="245" spans="1:1" hidden="1" x14ac:dyDescent="0.3">
      <c r="A245" t="s">
        <v>4020</v>
      </c>
    </row>
    <row r="246" spans="1:1" hidden="1" x14ac:dyDescent="0.3">
      <c r="A246" t="s">
        <v>4021</v>
      </c>
    </row>
    <row r="247" spans="1:1" hidden="1" x14ac:dyDescent="0.3">
      <c r="A247" t="s">
        <v>4042</v>
      </c>
    </row>
    <row r="248" spans="1:1" hidden="1" x14ac:dyDescent="0.3">
      <c r="A248" t="s">
        <v>4034</v>
      </c>
    </row>
    <row r="249" spans="1:1" hidden="1" x14ac:dyDescent="0.3">
      <c r="A249" t="s">
        <v>4040</v>
      </c>
    </row>
    <row r="250" spans="1:1" hidden="1" x14ac:dyDescent="0.3">
      <c r="A250" t="s">
        <v>4035</v>
      </c>
    </row>
    <row r="251" spans="1:1" hidden="1" x14ac:dyDescent="0.3">
      <c r="A251" t="s">
        <v>4047</v>
      </c>
    </row>
    <row r="252" spans="1:1" hidden="1" x14ac:dyDescent="0.3"/>
    <row r="253" spans="1:1" hidden="1" x14ac:dyDescent="0.3">
      <c r="A253" s="1" t="s">
        <v>4048</v>
      </c>
    </row>
    <row r="254" spans="1:1" hidden="1" x14ac:dyDescent="0.3">
      <c r="A254" t="s">
        <v>4049</v>
      </c>
    </row>
    <row r="255" spans="1:1" hidden="1" x14ac:dyDescent="0.3">
      <c r="A255" t="s">
        <v>4065</v>
      </c>
    </row>
    <row r="256" spans="1:1" hidden="1" x14ac:dyDescent="0.3">
      <c r="A256" t="s">
        <v>4066</v>
      </c>
    </row>
    <row r="257" spans="1:2" hidden="1" x14ac:dyDescent="0.3">
      <c r="A257" t="s">
        <v>4067</v>
      </c>
    </row>
    <row r="258" spans="1:2" hidden="1" x14ac:dyDescent="0.3">
      <c r="A258" t="s">
        <v>4068</v>
      </c>
    </row>
    <row r="259" spans="1:2" hidden="1" x14ac:dyDescent="0.3">
      <c r="A259" t="s">
        <v>4069</v>
      </c>
    </row>
    <row r="260" spans="1:2" hidden="1" x14ac:dyDescent="0.3">
      <c r="A260" t="s">
        <v>4072</v>
      </c>
    </row>
    <row r="261" spans="1:2" hidden="1" x14ac:dyDescent="0.3">
      <c r="A261" t="s">
        <v>4073</v>
      </c>
    </row>
    <row r="262" spans="1:2" hidden="1" x14ac:dyDescent="0.3">
      <c r="A262" t="s">
        <v>4130</v>
      </c>
    </row>
    <row r="263" spans="1:2" hidden="1" x14ac:dyDescent="0.3">
      <c r="B263" t="s">
        <v>4131</v>
      </c>
    </row>
    <row r="264" spans="1:2" hidden="1" x14ac:dyDescent="0.3">
      <c r="A264" t="s">
        <v>4135</v>
      </c>
    </row>
    <row r="265" spans="1:2" hidden="1" x14ac:dyDescent="0.3">
      <c r="A265" t="s">
        <v>4136</v>
      </c>
    </row>
    <row r="266" spans="1:2" hidden="1" x14ac:dyDescent="0.3">
      <c r="A266" t="s">
        <v>4137</v>
      </c>
    </row>
    <row r="267" spans="1:2" hidden="1" x14ac:dyDescent="0.3">
      <c r="A267" t="s">
        <v>4138</v>
      </c>
    </row>
    <row r="268" spans="1:2" hidden="1" x14ac:dyDescent="0.3">
      <c r="A268" t="s">
        <v>4139</v>
      </c>
    </row>
    <row r="269" spans="1:2" hidden="1" x14ac:dyDescent="0.3">
      <c r="A269" t="s">
        <v>4140</v>
      </c>
    </row>
    <row r="270" spans="1:2" hidden="1" x14ac:dyDescent="0.3">
      <c r="A270" t="s">
        <v>4141</v>
      </c>
    </row>
    <row r="271" spans="1:2" hidden="1" x14ac:dyDescent="0.3">
      <c r="A271" t="s">
        <v>4142</v>
      </c>
    </row>
    <row r="272" spans="1:2" hidden="1" x14ac:dyDescent="0.3">
      <c r="A272" t="s">
        <v>4150</v>
      </c>
    </row>
    <row r="273" spans="1:1" hidden="1" x14ac:dyDescent="0.3">
      <c r="A273" t="s">
        <v>4151</v>
      </c>
    </row>
    <row r="274" spans="1:1" hidden="1" x14ac:dyDescent="0.3"/>
    <row r="275" spans="1:1" hidden="1" x14ac:dyDescent="0.3">
      <c r="A275" s="1" t="s">
        <v>4164</v>
      </c>
    </row>
    <row r="276" spans="1:1" hidden="1" x14ac:dyDescent="0.3">
      <c r="A276" t="s">
        <v>4163</v>
      </c>
    </row>
    <row r="277" spans="1:1" hidden="1" x14ac:dyDescent="0.3">
      <c r="A277" t="s">
        <v>4168</v>
      </c>
    </row>
    <row r="278" spans="1:1" hidden="1" x14ac:dyDescent="0.3">
      <c r="A278" t="s">
        <v>4172</v>
      </c>
    </row>
    <row r="279" spans="1:1" hidden="1" x14ac:dyDescent="0.3"/>
    <row r="280" spans="1:1" hidden="1" x14ac:dyDescent="0.3">
      <c r="A280" s="1" t="s">
        <v>4230</v>
      </c>
    </row>
    <row r="281" spans="1:1" hidden="1" x14ac:dyDescent="0.3">
      <c r="A281" t="s">
        <v>4231</v>
      </c>
    </row>
    <row r="282" spans="1:1" hidden="1" x14ac:dyDescent="0.3">
      <c r="A282" t="s">
        <v>4232</v>
      </c>
    </row>
    <row r="283" spans="1:1" hidden="1" x14ac:dyDescent="0.3">
      <c r="A283" t="s">
        <v>4755</v>
      </c>
    </row>
    <row r="284" spans="1:1" hidden="1" x14ac:dyDescent="0.3"/>
    <row r="285" spans="1:1" hidden="1" x14ac:dyDescent="0.3">
      <c r="A285" t="s">
        <v>4478</v>
      </c>
    </row>
    <row r="286" spans="1:1" hidden="1" x14ac:dyDescent="0.3">
      <c r="A286" t="s">
        <v>4241</v>
      </c>
    </row>
    <row r="287" spans="1:1" hidden="1" x14ac:dyDescent="0.3">
      <c r="A287" t="s">
        <v>4242</v>
      </c>
    </row>
    <row r="288" spans="1:1" hidden="1" x14ac:dyDescent="0.3">
      <c r="A288" t="s">
        <v>4282</v>
      </c>
    </row>
    <row r="289" spans="1:1" hidden="1" x14ac:dyDescent="0.3">
      <c r="A289" t="s">
        <v>4283</v>
      </c>
    </row>
    <row r="290" spans="1:1" hidden="1" x14ac:dyDescent="0.3">
      <c r="A290" t="s">
        <v>4297</v>
      </c>
    </row>
    <row r="291" spans="1:1" hidden="1" x14ac:dyDescent="0.3">
      <c r="A291" t="s">
        <v>4334</v>
      </c>
    </row>
    <row r="292" spans="1:1" hidden="1" x14ac:dyDescent="0.3">
      <c r="A292" t="s">
        <v>4409</v>
      </c>
    </row>
    <row r="293" spans="1:1" hidden="1" x14ac:dyDescent="0.3">
      <c r="A293" t="s">
        <v>4476</v>
      </c>
    </row>
    <row r="294" spans="1:1" hidden="1" x14ac:dyDescent="0.3">
      <c r="A294" t="s">
        <v>4477</v>
      </c>
    </row>
    <row r="295" spans="1:1" hidden="1" x14ac:dyDescent="0.3">
      <c r="A295" t="s">
        <v>4479</v>
      </c>
    </row>
    <row r="296" spans="1:1" hidden="1" x14ac:dyDescent="0.3">
      <c r="A296" t="s">
        <v>4480</v>
      </c>
    </row>
    <row r="297" spans="1:1" hidden="1" x14ac:dyDescent="0.3"/>
    <row r="298" spans="1:1" hidden="1" x14ac:dyDescent="0.3">
      <c r="A298" t="s">
        <v>4483</v>
      </c>
    </row>
    <row r="299" spans="1:1" hidden="1" x14ac:dyDescent="0.3">
      <c r="A299" t="s">
        <v>4485</v>
      </c>
    </row>
    <row r="300" spans="1:1" hidden="1" x14ac:dyDescent="0.3">
      <c r="A300" t="s">
        <v>4482</v>
      </c>
    </row>
    <row r="301" spans="1:1" hidden="1" x14ac:dyDescent="0.3">
      <c r="A301" t="s">
        <v>4484</v>
      </c>
    </row>
    <row r="302" spans="1:1" hidden="1" x14ac:dyDescent="0.3"/>
    <row r="303" spans="1:1" hidden="1" x14ac:dyDescent="0.3">
      <c r="A303" t="s">
        <v>4489</v>
      </c>
    </row>
    <row r="304" spans="1:1" hidden="1" x14ac:dyDescent="0.3">
      <c r="A304" t="s">
        <v>4486</v>
      </c>
    </row>
    <row r="305" spans="1:1" hidden="1" x14ac:dyDescent="0.3">
      <c r="A305" t="s">
        <v>4487</v>
      </c>
    </row>
    <row r="306" spans="1:1" hidden="1" x14ac:dyDescent="0.3">
      <c r="A306" t="s">
        <v>4488</v>
      </c>
    </row>
    <row r="307" spans="1:1" hidden="1" x14ac:dyDescent="0.3"/>
    <row r="308" spans="1:1" hidden="1" x14ac:dyDescent="0.3">
      <c r="A308" t="s">
        <v>4534</v>
      </c>
    </row>
    <row r="309" spans="1:1" ht="13.5" hidden="1" customHeight="1" x14ac:dyDescent="0.3">
      <c r="A309" t="s">
        <v>4490</v>
      </c>
    </row>
    <row r="310" spans="1:1" hidden="1" x14ac:dyDescent="0.3">
      <c r="A310" t="s">
        <v>4491</v>
      </c>
    </row>
    <row r="311" spans="1:1" hidden="1" x14ac:dyDescent="0.3">
      <c r="A311" t="s">
        <v>4535</v>
      </c>
    </row>
    <row r="312" spans="1:1" hidden="1" x14ac:dyDescent="0.3"/>
    <row r="313" spans="1:1" hidden="1" x14ac:dyDescent="0.3">
      <c r="A313" t="s">
        <v>4592</v>
      </c>
    </row>
    <row r="314" spans="1:1" hidden="1" x14ac:dyDescent="0.3">
      <c r="A314" t="s">
        <v>4536</v>
      </c>
    </row>
    <row r="315" spans="1:1" hidden="1" x14ac:dyDescent="0.3">
      <c r="A315" t="s">
        <v>4537</v>
      </c>
    </row>
    <row r="316" spans="1:1" hidden="1" x14ac:dyDescent="0.3">
      <c r="A316" t="s">
        <v>4538</v>
      </c>
    </row>
    <row r="317" spans="1:1" hidden="1" x14ac:dyDescent="0.3">
      <c r="A317" t="s">
        <v>4539</v>
      </c>
    </row>
    <row r="318" spans="1:1" hidden="1" x14ac:dyDescent="0.3">
      <c r="A318" t="s">
        <v>4590</v>
      </c>
    </row>
    <row r="319" spans="1:1" hidden="1" x14ac:dyDescent="0.3">
      <c r="A319" t="s">
        <v>4591</v>
      </c>
    </row>
    <row r="320" spans="1:1" hidden="1" x14ac:dyDescent="0.3"/>
    <row r="321" spans="1:1" hidden="1" x14ac:dyDescent="0.3">
      <c r="A321" t="s">
        <v>4622</v>
      </c>
    </row>
    <row r="322" spans="1:1" hidden="1" x14ac:dyDescent="0.3">
      <c r="A322" t="s">
        <v>4601</v>
      </c>
    </row>
    <row r="323" spans="1:1" hidden="1" x14ac:dyDescent="0.3">
      <c r="A323" t="s">
        <v>4602</v>
      </c>
    </row>
    <row r="324" spans="1:1" hidden="1" x14ac:dyDescent="0.3">
      <c r="A324" t="s">
        <v>4603</v>
      </c>
    </row>
    <row r="325" spans="1:1" hidden="1" x14ac:dyDescent="0.3">
      <c r="A325" t="s">
        <v>4605</v>
      </c>
    </row>
    <row r="326" spans="1:1" hidden="1" x14ac:dyDescent="0.3">
      <c r="A326" t="s">
        <v>4619</v>
      </c>
    </row>
    <row r="327" spans="1:1" hidden="1" x14ac:dyDescent="0.3">
      <c r="A327" t="s">
        <v>4620</v>
      </c>
    </row>
    <row r="328" spans="1:1" hidden="1" x14ac:dyDescent="0.3"/>
    <row r="329" spans="1:1" hidden="1" x14ac:dyDescent="0.3">
      <c r="A329" t="s">
        <v>4623</v>
      </c>
    </row>
    <row r="330" spans="1:1" hidden="1" x14ac:dyDescent="0.3">
      <c r="A330" t="s">
        <v>4624</v>
      </c>
    </row>
    <row r="331" spans="1:1" hidden="1" x14ac:dyDescent="0.3">
      <c r="A331" t="s">
        <v>4625</v>
      </c>
    </row>
    <row r="332" spans="1:1" hidden="1" x14ac:dyDescent="0.3">
      <c r="A332" t="s">
        <v>4664</v>
      </c>
    </row>
    <row r="333" spans="1:1" hidden="1" x14ac:dyDescent="0.3">
      <c r="A333" t="s">
        <v>4688</v>
      </c>
    </row>
    <row r="334" spans="1:1" hidden="1" x14ac:dyDescent="0.3">
      <c r="A334" t="s">
        <v>4689</v>
      </c>
    </row>
    <row r="335" spans="1:1" hidden="1" x14ac:dyDescent="0.3">
      <c r="A335" t="s">
        <v>4690</v>
      </c>
    </row>
    <row r="336" spans="1:1" hidden="1" x14ac:dyDescent="0.3">
      <c r="A336" t="s">
        <v>4691</v>
      </c>
    </row>
    <row r="337" spans="1:1" hidden="1" x14ac:dyDescent="0.3">
      <c r="A337" t="s">
        <v>4692</v>
      </c>
    </row>
    <row r="338" spans="1:1" hidden="1" x14ac:dyDescent="0.3">
      <c r="A338" t="s">
        <v>4693</v>
      </c>
    </row>
    <row r="339" spans="1:1" hidden="1" x14ac:dyDescent="0.3">
      <c r="A339" t="s">
        <v>4694</v>
      </c>
    </row>
    <row r="340" spans="1:1" hidden="1" x14ac:dyDescent="0.3">
      <c r="A340" t="s">
        <v>4695</v>
      </c>
    </row>
    <row r="341" spans="1:1" hidden="1" x14ac:dyDescent="0.3">
      <c r="A341" t="s">
        <v>4696</v>
      </c>
    </row>
    <row r="342" spans="1:1" hidden="1" x14ac:dyDescent="0.3">
      <c r="A342" t="s">
        <v>4697</v>
      </c>
    </row>
    <row r="343" spans="1:1" hidden="1" x14ac:dyDescent="0.3">
      <c r="A343" t="s">
        <v>4698</v>
      </c>
    </row>
    <row r="344" spans="1:1" hidden="1" x14ac:dyDescent="0.3">
      <c r="A344" t="s">
        <v>4699</v>
      </c>
    </row>
    <row r="345" spans="1:1" hidden="1" x14ac:dyDescent="0.3">
      <c r="A345" t="s">
        <v>4705</v>
      </c>
    </row>
    <row r="346" spans="1:1" hidden="1" x14ac:dyDescent="0.3">
      <c r="A346" t="s">
        <v>4712</v>
      </c>
    </row>
    <row r="347" spans="1:1" hidden="1" x14ac:dyDescent="0.3"/>
    <row r="348" spans="1:1" hidden="1" x14ac:dyDescent="0.3">
      <c r="A348" t="s">
        <v>4713</v>
      </c>
    </row>
    <row r="349" spans="1:1" hidden="1" x14ac:dyDescent="0.3">
      <c r="A349" t="s">
        <v>4714</v>
      </c>
    </row>
    <row r="350" spans="1:1" hidden="1" x14ac:dyDescent="0.3">
      <c r="A350" t="s">
        <v>4715</v>
      </c>
    </row>
    <row r="351" spans="1:1" hidden="1" x14ac:dyDescent="0.3">
      <c r="A351" t="s">
        <v>4737</v>
      </c>
    </row>
    <row r="352" spans="1:1" hidden="1" x14ac:dyDescent="0.3">
      <c r="A352" t="s">
        <v>4741</v>
      </c>
    </row>
    <row r="353" spans="1:1" hidden="1" x14ac:dyDescent="0.3">
      <c r="A353" t="s">
        <v>4747</v>
      </c>
    </row>
    <row r="354" spans="1:1" hidden="1" x14ac:dyDescent="0.3"/>
    <row r="355" spans="1:1" hidden="1" x14ac:dyDescent="0.3">
      <c r="A355" t="s">
        <v>4748</v>
      </c>
    </row>
    <row r="356" spans="1:1" hidden="1" x14ac:dyDescent="0.3">
      <c r="A356" t="s">
        <v>4749</v>
      </c>
    </row>
    <row r="357" spans="1:1" hidden="1" x14ac:dyDescent="0.3">
      <c r="A357" t="s">
        <v>4750</v>
      </c>
    </row>
    <row r="358" spans="1:1" hidden="1" x14ac:dyDescent="0.3">
      <c r="A358" t="s">
        <v>4751</v>
      </c>
    </row>
    <row r="359" spans="1:1" hidden="1" x14ac:dyDescent="0.3">
      <c r="A359" t="s">
        <v>4752</v>
      </c>
    </row>
    <row r="360" spans="1:1" hidden="1" x14ac:dyDescent="0.3">
      <c r="A360" t="s">
        <v>4757</v>
      </c>
    </row>
    <row r="361" spans="1:1" hidden="1" x14ac:dyDescent="0.3">
      <c r="A361" t="s">
        <v>4791</v>
      </c>
    </row>
    <row r="362" spans="1:1" hidden="1" x14ac:dyDescent="0.3">
      <c r="A362" t="s">
        <v>4759</v>
      </c>
    </row>
    <row r="363" spans="1:1" hidden="1" x14ac:dyDescent="0.3"/>
    <row r="364" spans="1:1" hidden="1" x14ac:dyDescent="0.3">
      <c r="A364" t="s">
        <v>4760</v>
      </c>
    </row>
    <row r="365" spans="1:1" hidden="1" x14ac:dyDescent="0.3">
      <c r="A365" t="s">
        <v>4761</v>
      </c>
    </row>
    <row r="366" spans="1:1" hidden="1" x14ac:dyDescent="0.3">
      <c r="A366" t="s">
        <v>4774</v>
      </c>
    </row>
    <row r="367" spans="1:1" hidden="1" x14ac:dyDescent="0.3">
      <c r="A367" t="s">
        <v>4775</v>
      </c>
    </row>
    <row r="368" spans="1:1" hidden="1" x14ac:dyDescent="0.3">
      <c r="A368" t="s">
        <v>4787</v>
      </c>
    </row>
    <row r="369" spans="1:1" hidden="1" x14ac:dyDescent="0.3">
      <c r="A369" t="s">
        <v>4789</v>
      </c>
    </row>
    <row r="370" spans="1:1" hidden="1" x14ac:dyDescent="0.3"/>
    <row r="371" spans="1:1" hidden="1" x14ac:dyDescent="0.3">
      <c r="A371" t="s">
        <v>4790</v>
      </c>
    </row>
    <row r="372" spans="1:1" hidden="1" x14ac:dyDescent="0.3">
      <c r="A372" t="s">
        <v>4792</v>
      </c>
    </row>
    <row r="373" spans="1:1" hidden="1" x14ac:dyDescent="0.3">
      <c r="A373" t="s">
        <v>4795</v>
      </c>
    </row>
    <row r="374" spans="1:1" hidden="1" x14ac:dyDescent="0.3">
      <c r="A374" t="s">
        <v>4879</v>
      </c>
    </row>
    <row r="375" spans="1:1" hidden="1" x14ac:dyDescent="0.3">
      <c r="A375" t="s">
        <v>4880</v>
      </c>
    </row>
    <row r="376" spans="1:1" hidden="1" x14ac:dyDescent="0.3">
      <c r="A376" t="s">
        <v>4884</v>
      </c>
    </row>
    <row r="377" spans="1:1" hidden="1" x14ac:dyDescent="0.3">
      <c r="A377" t="s">
        <v>4885</v>
      </c>
    </row>
    <row r="378" spans="1:1" hidden="1" x14ac:dyDescent="0.3">
      <c r="A378" t="s">
        <v>4888</v>
      </c>
    </row>
    <row r="379" spans="1:1" hidden="1" x14ac:dyDescent="0.3">
      <c r="A379" t="s">
        <v>4891</v>
      </c>
    </row>
    <row r="380" spans="1:1" hidden="1" x14ac:dyDescent="0.3"/>
    <row r="381" spans="1:1" hidden="1" x14ac:dyDescent="0.3">
      <c r="A381" t="s">
        <v>4893</v>
      </c>
    </row>
    <row r="382" spans="1:1" hidden="1" x14ac:dyDescent="0.3">
      <c r="A382" t="s">
        <v>4894</v>
      </c>
    </row>
    <row r="383" spans="1:1" hidden="1" x14ac:dyDescent="0.3">
      <c r="A383" t="s">
        <v>4895</v>
      </c>
    </row>
    <row r="384" spans="1:1" hidden="1" x14ac:dyDescent="0.3">
      <c r="A384" t="s">
        <v>4896</v>
      </c>
    </row>
    <row r="385" spans="1:1" hidden="1" x14ac:dyDescent="0.3">
      <c r="A385" t="s">
        <v>4897</v>
      </c>
    </row>
    <row r="386" spans="1:1" hidden="1" x14ac:dyDescent="0.3">
      <c r="A386" t="s">
        <v>4899</v>
      </c>
    </row>
    <row r="387" spans="1:1" hidden="1" x14ac:dyDescent="0.3">
      <c r="A387" t="s">
        <v>4900</v>
      </c>
    </row>
    <row r="388" spans="1:1" hidden="1" x14ac:dyDescent="0.3">
      <c r="A388" t="s">
        <v>4909</v>
      </c>
    </row>
    <row r="389" spans="1:1" hidden="1" x14ac:dyDescent="0.3">
      <c r="A389" t="s">
        <v>4914</v>
      </c>
    </row>
    <row r="390" spans="1:1" hidden="1" x14ac:dyDescent="0.3">
      <c r="A390" t="s">
        <v>4934</v>
      </c>
    </row>
    <row r="391" spans="1:1" hidden="1" x14ac:dyDescent="0.3">
      <c r="A391" t="s">
        <v>4935</v>
      </c>
    </row>
    <row r="392" spans="1:1" hidden="1" x14ac:dyDescent="0.3">
      <c r="A392" t="s">
        <v>4953</v>
      </c>
    </row>
    <row r="393" spans="1:1" hidden="1" x14ac:dyDescent="0.3"/>
    <row r="394" spans="1:1" hidden="1" x14ac:dyDescent="0.3">
      <c r="A394" t="s">
        <v>4954</v>
      </c>
    </row>
    <row r="395" spans="1:1" hidden="1" x14ac:dyDescent="0.3">
      <c r="A395" t="s">
        <v>4955</v>
      </c>
    </row>
    <row r="396" spans="1:1" hidden="1" x14ac:dyDescent="0.3">
      <c r="A396" t="s">
        <v>4957</v>
      </c>
    </row>
    <row r="397" spans="1:1" hidden="1" x14ac:dyDescent="0.3">
      <c r="A397" t="s">
        <v>4959</v>
      </c>
    </row>
    <row r="398" spans="1:1" hidden="1" x14ac:dyDescent="0.3">
      <c r="A398" t="s">
        <v>4961</v>
      </c>
    </row>
    <row r="399" spans="1:1" hidden="1" x14ac:dyDescent="0.3">
      <c r="A399" t="s">
        <v>4963</v>
      </c>
    </row>
    <row r="400" spans="1:1" hidden="1" x14ac:dyDescent="0.3">
      <c r="A400" t="s">
        <v>4964</v>
      </c>
    </row>
    <row r="401" spans="1:1" hidden="1" x14ac:dyDescent="0.3">
      <c r="A401" t="s">
        <v>4965</v>
      </c>
    </row>
    <row r="402" spans="1:1" hidden="1" x14ac:dyDescent="0.3"/>
    <row r="403" spans="1:1" hidden="1" x14ac:dyDescent="0.3">
      <c r="A403" t="s">
        <v>4966</v>
      </c>
    </row>
    <row r="404" spans="1:1" hidden="1" x14ac:dyDescent="0.3">
      <c r="A404" t="s">
        <v>4967</v>
      </c>
    </row>
    <row r="405" spans="1:1" hidden="1" x14ac:dyDescent="0.3">
      <c r="A405" t="s">
        <v>4968</v>
      </c>
    </row>
    <row r="406" spans="1:1" hidden="1" x14ac:dyDescent="0.3">
      <c r="A406" t="s">
        <v>4969</v>
      </c>
    </row>
    <row r="407" spans="1:1" hidden="1" x14ac:dyDescent="0.3">
      <c r="A407" t="s">
        <v>4970</v>
      </c>
    </row>
    <row r="408" spans="1:1" hidden="1" x14ac:dyDescent="0.3">
      <c r="A408" t="s">
        <v>4971</v>
      </c>
    </row>
    <row r="409" spans="1:1" hidden="1" x14ac:dyDescent="0.3">
      <c r="A409" t="s">
        <v>4972</v>
      </c>
    </row>
    <row r="410" spans="1:1" hidden="1" x14ac:dyDescent="0.3">
      <c r="A410" t="s">
        <v>4973</v>
      </c>
    </row>
    <row r="411" spans="1:1" hidden="1" x14ac:dyDescent="0.3">
      <c r="A411" t="s">
        <v>4974</v>
      </c>
    </row>
    <row r="412" spans="1:1" hidden="1" x14ac:dyDescent="0.3"/>
    <row r="413" spans="1:1" hidden="1" x14ac:dyDescent="0.3">
      <c r="A413" t="s">
        <v>4975</v>
      </c>
    </row>
    <row r="414" spans="1:1" hidden="1" x14ac:dyDescent="0.3">
      <c r="A414" t="s">
        <v>4976</v>
      </c>
    </row>
    <row r="415" spans="1:1" hidden="1" x14ac:dyDescent="0.3">
      <c r="A415" t="s">
        <v>4977</v>
      </c>
    </row>
    <row r="416" spans="1:1" hidden="1" x14ac:dyDescent="0.3">
      <c r="A416" t="s">
        <v>4997</v>
      </c>
    </row>
    <row r="417" spans="1:1" hidden="1" x14ac:dyDescent="0.3"/>
    <row r="418" spans="1:1" hidden="1" x14ac:dyDescent="0.3">
      <c r="A418" t="s">
        <v>4998</v>
      </c>
    </row>
    <row r="419" spans="1:1" hidden="1" x14ac:dyDescent="0.3">
      <c r="A419" t="s">
        <v>5006</v>
      </c>
    </row>
    <row r="420" spans="1:1" hidden="1" x14ac:dyDescent="0.3">
      <c r="A420" t="s">
        <v>5007</v>
      </c>
    </row>
    <row r="421" spans="1:1" hidden="1" x14ac:dyDescent="0.3">
      <c r="A421" t="s">
        <v>5016</v>
      </c>
    </row>
    <row r="422" spans="1:1" hidden="1" x14ac:dyDescent="0.3">
      <c r="A422" t="s">
        <v>5023</v>
      </c>
    </row>
    <row r="423" spans="1:1" hidden="1" x14ac:dyDescent="0.3"/>
    <row r="424" spans="1:1" hidden="1" x14ac:dyDescent="0.3">
      <c r="A424" t="s">
        <v>5024</v>
      </c>
    </row>
    <row r="425" spans="1:1" hidden="1" x14ac:dyDescent="0.3">
      <c r="A425" t="s">
        <v>5025</v>
      </c>
    </row>
    <row r="426" spans="1:1" hidden="1" x14ac:dyDescent="0.3">
      <c r="A426" t="s">
        <v>5157</v>
      </c>
    </row>
    <row r="427" spans="1:1" hidden="1" x14ac:dyDescent="0.3">
      <c r="A427" t="s">
        <v>5186</v>
      </c>
    </row>
    <row r="428" spans="1:1" hidden="1" x14ac:dyDescent="0.3">
      <c r="A428" t="s">
        <v>5223</v>
      </c>
    </row>
    <row r="429" spans="1:1" hidden="1" x14ac:dyDescent="0.3">
      <c r="A429" t="s">
        <v>5224</v>
      </c>
    </row>
    <row r="430" spans="1:1" hidden="1" x14ac:dyDescent="0.3">
      <c r="A430" t="s">
        <v>5232</v>
      </c>
    </row>
    <row r="431" spans="1:1" hidden="1" x14ac:dyDescent="0.3">
      <c r="A431" t="s">
        <v>5234</v>
      </c>
    </row>
    <row r="432" spans="1:1" hidden="1" x14ac:dyDescent="0.3"/>
    <row r="433" spans="1:1" hidden="1" x14ac:dyDescent="0.3">
      <c r="A433" t="s">
        <v>5235</v>
      </c>
    </row>
    <row r="434" spans="1:1" hidden="1" x14ac:dyDescent="0.3">
      <c r="A434" t="s">
        <v>5386</v>
      </c>
    </row>
    <row r="435" spans="1:1" hidden="1" x14ac:dyDescent="0.3">
      <c r="A435" t="s">
        <v>5382</v>
      </c>
    </row>
    <row r="436" spans="1:1" hidden="1" x14ac:dyDescent="0.3">
      <c r="A436" t="s">
        <v>5399</v>
      </c>
    </row>
    <row r="437" spans="1:1" hidden="1" x14ac:dyDescent="0.3">
      <c r="A437" t="s">
        <v>5400</v>
      </c>
    </row>
    <row r="438" spans="1:1" hidden="1" x14ac:dyDescent="0.3">
      <c r="A438" t="s">
        <v>5401</v>
      </c>
    </row>
    <row r="439" spans="1:1" hidden="1" x14ac:dyDescent="0.3">
      <c r="A439" t="s">
        <v>5402</v>
      </c>
    </row>
    <row r="440" spans="1:1" hidden="1" x14ac:dyDescent="0.3">
      <c r="A440" t="s">
        <v>5404</v>
      </c>
    </row>
    <row r="441" spans="1:1" hidden="1" x14ac:dyDescent="0.3">
      <c r="A441" t="s">
        <v>5405</v>
      </c>
    </row>
    <row r="442" spans="1:1" hidden="1" x14ac:dyDescent="0.3">
      <c r="A442" t="s">
        <v>5406</v>
      </c>
    </row>
    <row r="443" spans="1:1" hidden="1" x14ac:dyDescent="0.3">
      <c r="A443" t="s">
        <v>5407</v>
      </c>
    </row>
    <row r="444" spans="1:1" hidden="1" x14ac:dyDescent="0.3">
      <c r="A444" t="s">
        <v>5415</v>
      </c>
    </row>
    <row r="445" spans="1:1" hidden="1" x14ac:dyDescent="0.3">
      <c r="A445" t="s">
        <v>5416</v>
      </c>
    </row>
    <row r="446" spans="1:1" hidden="1" x14ac:dyDescent="0.3"/>
    <row r="447" spans="1:1" hidden="1" x14ac:dyDescent="0.3">
      <c r="A447" t="s">
        <v>5417</v>
      </c>
    </row>
    <row r="448" spans="1:1" hidden="1" x14ac:dyDescent="0.3">
      <c r="A448" t="s">
        <v>5418</v>
      </c>
    </row>
    <row r="449" spans="1:1" hidden="1" x14ac:dyDescent="0.3">
      <c r="A449" t="s">
        <v>5419</v>
      </c>
    </row>
    <row r="450" spans="1:1" hidden="1" x14ac:dyDescent="0.3">
      <c r="A450" t="s">
        <v>5420</v>
      </c>
    </row>
    <row r="451" spans="1:1" hidden="1" x14ac:dyDescent="0.3">
      <c r="A451" t="s">
        <v>5421</v>
      </c>
    </row>
    <row r="452" spans="1:1" hidden="1" x14ac:dyDescent="0.3"/>
    <row r="453" spans="1:1" x14ac:dyDescent="0.3">
      <c r="A453" t="s">
        <v>5641</v>
      </c>
    </row>
    <row r="454" spans="1:1" x14ac:dyDescent="0.3">
      <c r="A454" t="s">
        <v>5642</v>
      </c>
    </row>
    <row r="455" spans="1:1" x14ac:dyDescent="0.3">
      <c r="A455" t="s">
        <v>5643</v>
      </c>
    </row>
    <row r="457" spans="1:1" x14ac:dyDescent="0.3">
      <c r="A457" t="s">
        <v>5640</v>
      </c>
    </row>
    <row r="458" spans="1:1" x14ac:dyDescent="0.3">
      <c r="A458" t="s">
        <v>5463</v>
      </c>
    </row>
    <row r="459" spans="1:1" x14ac:dyDescent="0.3">
      <c r="A459" t="s">
        <v>5464</v>
      </c>
    </row>
    <row r="460" spans="1:1" x14ac:dyDescent="0.3">
      <c r="A460" t="s">
        <v>5465</v>
      </c>
    </row>
    <row r="461" spans="1:1" x14ac:dyDescent="0.3">
      <c r="A461" t="s">
        <v>5466</v>
      </c>
    </row>
    <row r="462" spans="1:1" x14ac:dyDescent="0.3">
      <c r="A462" t="s">
        <v>5467</v>
      </c>
    </row>
    <row r="463" spans="1:1" x14ac:dyDescent="0.3">
      <c r="A463" t="s">
        <v>5469</v>
      </c>
    </row>
    <row r="464" spans="1:1" x14ac:dyDescent="0.3">
      <c r="A464" t="s">
        <v>5470</v>
      </c>
    </row>
    <row r="465" spans="1:1" x14ac:dyDescent="0.3">
      <c r="A465" t="s">
        <v>5483</v>
      </c>
    </row>
    <row r="466" spans="1:1" x14ac:dyDescent="0.3">
      <c r="A466" t="s">
        <v>5560</v>
      </c>
    </row>
    <row r="467" spans="1:1" x14ac:dyDescent="0.3">
      <c r="A467" t="s">
        <v>5582</v>
      </c>
    </row>
    <row r="468" spans="1:1" x14ac:dyDescent="0.3">
      <c r="A468" t="s">
        <v>5574</v>
      </c>
    </row>
    <row r="469" spans="1:1" x14ac:dyDescent="0.3">
      <c r="A469" t="s">
        <v>5591</v>
      </c>
    </row>
    <row r="470" spans="1:1" x14ac:dyDescent="0.3">
      <c r="A470" t="s">
        <v>5592</v>
      </c>
    </row>
    <row r="471" spans="1:1" x14ac:dyDescent="0.3">
      <c r="A471" t="s">
        <v>5593</v>
      </c>
    </row>
    <row r="472" spans="1:1" x14ac:dyDescent="0.3">
      <c r="A472" t="s">
        <v>5594</v>
      </c>
    </row>
    <row r="473" spans="1:1" x14ac:dyDescent="0.3">
      <c r="A473" t="s">
        <v>5595</v>
      </c>
    </row>
    <row r="474" spans="1:1" x14ac:dyDescent="0.3">
      <c r="A474" t="s">
        <v>5596</v>
      </c>
    </row>
    <row r="475" spans="1:1" x14ac:dyDescent="0.3">
      <c r="A475" t="s">
        <v>5597</v>
      </c>
    </row>
    <row r="476" spans="1:1" x14ac:dyDescent="0.3">
      <c r="A476" t="s">
        <v>5599</v>
      </c>
    </row>
    <row r="477" spans="1:1" x14ac:dyDescent="0.3">
      <c r="A477" t="s">
        <v>5602</v>
      </c>
    </row>
    <row r="478" spans="1:1" x14ac:dyDescent="0.3">
      <c r="A478" t="s">
        <v>5626</v>
      </c>
    </row>
    <row r="479" spans="1:1" x14ac:dyDescent="0.3">
      <c r="A479" t="s">
        <v>5627</v>
      </c>
    </row>
    <row r="480" spans="1:1" x14ac:dyDescent="0.3">
      <c r="A480" t="s">
        <v>5634</v>
      </c>
    </row>
    <row r="481" spans="1:1" x14ac:dyDescent="0.3">
      <c r="A481" t="s">
        <v>5635</v>
      </c>
    </row>
    <row r="482" spans="1:1" x14ac:dyDescent="0.3">
      <c r="A482" t="s">
        <v>5637</v>
      </c>
    </row>
    <row r="483" spans="1:1" x14ac:dyDescent="0.3">
      <c r="A483" t="s">
        <v>5638</v>
      </c>
    </row>
    <row r="484" spans="1:1" x14ac:dyDescent="0.3">
      <c r="A484" t="s">
        <v>5646</v>
      </c>
    </row>
    <row r="485" spans="1:1" x14ac:dyDescent="0.3">
      <c r="A485" t="s">
        <v>5650</v>
      </c>
    </row>
    <row r="487" spans="1:1" x14ac:dyDescent="0.3">
      <c r="A487" t="s">
        <v>5651</v>
      </c>
    </row>
    <row r="488" spans="1:1" x14ac:dyDescent="0.3">
      <c r="A488" t="s">
        <v>5659</v>
      </c>
    </row>
    <row r="489" spans="1:1" x14ac:dyDescent="0.3">
      <c r="A489" t="s">
        <v>5661</v>
      </c>
    </row>
    <row r="490" spans="1:1" x14ac:dyDescent="0.3">
      <c r="A490" t="s">
        <v>5664</v>
      </c>
    </row>
    <row r="491" spans="1:1" x14ac:dyDescent="0.3">
      <c r="A491" t="s">
        <v>5665</v>
      </c>
    </row>
    <row r="492" spans="1:1" x14ac:dyDescent="0.3">
      <c r="A492" t="s">
        <v>5666</v>
      </c>
    </row>
    <row r="493" spans="1:1" x14ac:dyDescent="0.3">
      <c r="A493" t="s">
        <v>5686</v>
      </c>
    </row>
    <row r="494" spans="1:1" x14ac:dyDescent="0.3">
      <c r="A494" t="s">
        <v>5687</v>
      </c>
    </row>
    <row r="495" spans="1:1" x14ac:dyDescent="0.3">
      <c r="A495" t="s">
        <v>5692</v>
      </c>
    </row>
    <row r="496" spans="1:1" x14ac:dyDescent="0.3">
      <c r="A496" t="s">
        <v>5693</v>
      </c>
    </row>
    <row r="498" spans="1:1" x14ac:dyDescent="0.3">
      <c r="A498" t="s">
        <v>5695</v>
      </c>
    </row>
    <row r="499" spans="1:1" x14ac:dyDescent="0.3">
      <c r="A499" t="s">
        <v>5708</v>
      </c>
    </row>
    <row r="500" spans="1:1" x14ac:dyDescent="0.3">
      <c r="A500" t="s">
        <v>5702</v>
      </c>
    </row>
    <row r="501" spans="1:1" x14ac:dyDescent="0.3">
      <c r="A501" t="s">
        <v>5707</v>
      </c>
    </row>
    <row r="502" spans="1:1" x14ac:dyDescent="0.3">
      <c r="A502" t="s">
        <v>5709</v>
      </c>
    </row>
    <row r="503" spans="1:1" x14ac:dyDescent="0.3">
      <c r="A503" t="s">
        <v>5714</v>
      </c>
    </row>
    <row r="504" spans="1:1" x14ac:dyDescent="0.3">
      <c r="A504" t="s">
        <v>5733</v>
      </c>
    </row>
    <row r="505" spans="1:1" x14ac:dyDescent="0.3">
      <c r="A505" t="s">
        <v>5734</v>
      </c>
    </row>
    <row r="506" spans="1:1" x14ac:dyDescent="0.3">
      <c r="A506" t="s">
        <v>5735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T1741"/>
  <sheetViews>
    <sheetView workbookViewId="0">
      <pane ySplit="2" topLeftCell="A3" activePane="bottomLeft" state="frozen"/>
      <selection activeCell="P191" sqref="P191"/>
      <selection pane="bottomLeft" activeCell="D517" sqref="D517"/>
    </sheetView>
  </sheetViews>
  <sheetFormatPr defaultRowHeight="14.4" outlineLevelRow="1" x14ac:dyDescent="0.3"/>
  <cols>
    <col min="1" max="1" width="25.33203125" style="606" customWidth="1"/>
    <col min="2" max="2" width="4.5546875" style="975" customWidth="1"/>
    <col min="3" max="3" width="6.44140625" customWidth="1"/>
    <col min="4" max="4" width="20" customWidth="1"/>
    <col min="5" max="5" width="10.33203125" style="10" customWidth="1"/>
    <col min="6" max="6" width="10" style="10" bestFit="1" customWidth="1"/>
    <col min="7" max="7" width="9.109375" style="10"/>
    <col min="8" max="8" width="9.88671875" style="10" customWidth="1"/>
    <col min="9" max="19" width="9.109375" style="10"/>
    <col min="20" max="20" width="4.109375" style="10" bestFit="1" customWidth="1"/>
  </cols>
  <sheetData>
    <row r="1" spans="1:20" x14ac:dyDescent="0.3">
      <c r="C1" s="9"/>
      <c r="D1" s="9" t="s">
        <v>278</v>
      </c>
      <c r="E1" s="441"/>
      <c r="F1" s="441" t="s">
        <v>1199</v>
      </c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  <c r="R1" s="441"/>
      <c r="S1" s="441"/>
      <c r="T1" s="441"/>
    </row>
    <row r="2" spans="1:20" x14ac:dyDescent="0.3">
      <c r="A2" s="976" t="s">
        <v>727</v>
      </c>
      <c r="B2" s="977" t="s">
        <v>3108</v>
      </c>
      <c r="C2" s="147" t="s">
        <v>1464</v>
      </c>
      <c r="D2" s="147" t="s">
        <v>25</v>
      </c>
      <c r="E2" s="442" t="s">
        <v>1558</v>
      </c>
      <c r="F2" s="442" t="s">
        <v>1491</v>
      </c>
      <c r="G2" s="442" t="s">
        <v>1492</v>
      </c>
      <c r="H2" s="442" t="s">
        <v>1493</v>
      </c>
      <c r="I2" s="442" t="s">
        <v>1494</v>
      </c>
      <c r="J2" s="442" t="s">
        <v>1495</v>
      </c>
      <c r="K2" s="442" t="s">
        <v>1496</v>
      </c>
      <c r="L2" s="442" t="s">
        <v>1497</v>
      </c>
      <c r="M2" s="442" t="s">
        <v>1498</v>
      </c>
      <c r="N2" s="442" t="s">
        <v>1499</v>
      </c>
      <c r="O2" s="442" t="s">
        <v>1500</v>
      </c>
      <c r="P2" s="442" t="s">
        <v>1501</v>
      </c>
      <c r="Q2" s="442" t="s">
        <v>1502</v>
      </c>
      <c r="R2" s="442" t="s">
        <v>1554</v>
      </c>
      <c r="S2" s="442" t="s">
        <v>1555</v>
      </c>
      <c r="T2" s="442" t="s">
        <v>1556</v>
      </c>
    </row>
    <row r="3" spans="1:20" x14ac:dyDescent="0.3">
      <c r="A3" s="583" t="s">
        <v>1463</v>
      </c>
      <c r="B3" s="591">
        <v>1</v>
      </c>
      <c r="C3" s="588" t="s">
        <v>1256</v>
      </c>
      <c r="D3" s="588" t="s">
        <v>5669</v>
      </c>
      <c r="E3" s="589" t="s">
        <v>410</v>
      </c>
      <c r="F3" s="590" t="s">
        <v>1465</v>
      </c>
      <c r="G3" s="590" t="s">
        <v>1466</v>
      </c>
      <c r="H3" s="590" t="s">
        <v>1467</v>
      </c>
      <c r="I3" s="590" t="s">
        <v>1468</v>
      </c>
      <c r="J3" s="590" t="s">
        <v>1469</v>
      </c>
      <c r="K3" s="590" t="s">
        <v>1470</v>
      </c>
      <c r="L3" s="441" t="s">
        <v>410</v>
      </c>
      <c r="M3" s="441" t="s">
        <v>410</v>
      </c>
      <c r="N3" s="441" t="s">
        <v>410</v>
      </c>
      <c r="O3" s="441" t="s">
        <v>410</v>
      </c>
      <c r="P3" s="441" t="s">
        <v>410</v>
      </c>
      <c r="Q3" s="441" t="s">
        <v>410</v>
      </c>
      <c r="R3" s="441" t="s">
        <v>410</v>
      </c>
      <c r="S3" s="441" t="s">
        <v>410</v>
      </c>
      <c r="T3" s="441" t="s">
        <v>410</v>
      </c>
    </row>
    <row r="4" spans="1:20" hidden="1" outlineLevel="1" x14ac:dyDescent="0.3">
      <c r="A4" s="583" t="s">
        <v>5670</v>
      </c>
      <c r="B4" s="591">
        <v>1</v>
      </c>
      <c r="C4" s="583" t="s">
        <v>1256</v>
      </c>
      <c r="D4" s="583" t="s">
        <v>5669</v>
      </c>
      <c r="E4" s="10" t="s">
        <v>410</v>
      </c>
      <c r="F4" s="237"/>
      <c r="G4" s="237"/>
      <c r="H4" s="237"/>
      <c r="I4" s="237"/>
      <c r="J4" s="237"/>
      <c r="K4" s="237"/>
      <c r="L4" s="237" t="s">
        <v>410</v>
      </c>
      <c r="M4" s="10" t="s">
        <v>410</v>
      </c>
      <c r="N4" s="237" t="s">
        <v>410</v>
      </c>
      <c r="O4" s="10" t="s">
        <v>410</v>
      </c>
      <c r="P4" s="237" t="s">
        <v>410</v>
      </c>
      <c r="Q4" s="10" t="s">
        <v>410</v>
      </c>
      <c r="R4" s="237" t="s">
        <v>410</v>
      </c>
      <c r="S4" s="10" t="s">
        <v>410</v>
      </c>
      <c r="T4" s="10" t="s">
        <v>410</v>
      </c>
    </row>
    <row r="5" spans="1:20" hidden="1" outlineLevel="1" x14ac:dyDescent="0.3">
      <c r="A5" s="583" t="s">
        <v>5679</v>
      </c>
      <c r="B5" s="591">
        <v>1</v>
      </c>
      <c r="C5" s="583" t="s">
        <v>1256</v>
      </c>
      <c r="D5" s="583" t="s">
        <v>5669</v>
      </c>
      <c r="E5" s="593" t="s">
        <v>410</v>
      </c>
      <c r="F5" s="593" t="s">
        <v>2042</v>
      </c>
      <c r="G5" s="593" t="s">
        <v>5682</v>
      </c>
      <c r="H5" s="593" t="s">
        <v>5681</v>
      </c>
      <c r="I5" s="593" t="s">
        <v>5683</v>
      </c>
      <c r="J5" s="593" t="s">
        <v>4770</v>
      </c>
      <c r="K5" s="593" t="s">
        <v>5680</v>
      </c>
      <c r="L5" s="441" t="s">
        <v>410</v>
      </c>
      <c r="M5" s="441" t="s">
        <v>410</v>
      </c>
      <c r="N5" s="441" t="s">
        <v>410</v>
      </c>
      <c r="O5" s="441" t="s">
        <v>410</v>
      </c>
      <c r="P5" s="441" t="s">
        <v>410</v>
      </c>
      <c r="Q5" s="441" t="s">
        <v>410</v>
      </c>
      <c r="R5" s="441" t="s">
        <v>410</v>
      </c>
      <c r="S5" s="441" t="s">
        <v>410</v>
      </c>
      <c r="T5" s="441" t="s">
        <v>410</v>
      </c>
    </row>
    <row r="6" spans="1:20" hidden="1" outlineLevel="1" x14ac:dyDescent="0.3">
      <c r="A6" s="583" t="s">
        <v>1478</v>
      </c>
      <c r="B6" s="591">
        <v>1</v>
      </c>
      <c r="C6" s="588" t="s">
        <v>1256</v>
      </c>
      <c r="D6" s="588" t="s">
        <v>5669</v>
      </c>
      <c r="E6" s="589" t="s">
        <v>410</v>
      </c>
      <c r="F6" s="590" t="s">
        <v>2117</v>
      </c>
      <c r="G6" s="590" t="s">
        <v>2118</v>
      </c>
      <c r="H6" s="590" t="s">
        <v>2119</v>
      </c>
      <c r="I6" s="590" t="s">
        <v>2120</v>
      </c>
      <c r="J6" s="590" t="s">
        <v>2121</v>
      </c>
      <c r="K6" s="590" t="s">
        <v>2122</v>
      </c>
      <c r="L6" s="441" t="s">
        <v>410</v>
      </c>
      <c r="M6" s="441" t="s">
        <v>410</v>
      </c>
      <c r="N6" s="441" t="s">
        <v>410</v>
      </c>
      <c r="O6" s="441" t="s">
        <v>410</v>
      </c>
      <c r="P6" s="441" t="s">
        <v>410</v>
      </c>
      <c r="Q6" s="441" t="s">
        <v>410</v>
      </c>
      <c r="R6" s="441" t="s">
        <v>410</v>
      </c>
      <c r="S6" s="441" t="s">
        <v>410</v>
      </c>
      <c r="T6" s="441" t="s">
        <v>410</v>
      </c>
    </row>
    <row r="7" spans="1:20" hidden="1" outlineLevel="1" x14ac:dyDescent="0.3">
      <c r="A7" s="583" t="s">
        <v>1557</v>
      </c>
      <c r="B7" s="591">
        <v>1</v>
      </c>
      <c r="C7" s="588" t="s">
        <v>1256</v>
      </c>
      <c r="D7" s="588" t="s">
        <v>5669</v>
      </c>
      <c r="E7" s="589" t="s">
        <v>410</v>
      </c>
      <c r="F7" s="426"/>
      <c r="G7" s="426"/>
      <c r="H7" s="426"/>
      <c r="I7" s="426"/>
      <c r="J7" s="426"/>
      <c r="K7" s="426"/>
      <c r="L7" s="426"/>
      <c r="M7" s="441" t="s">
        <v>410</v>
      </c>
      <c r="N7" s="441" t="s">
        <v>410</v>
      </c>
      <c r="O7" s="441" t="s">
        <v>410</v>
      </c>
      <c r="P7" s="441" t="s">
        <v>410</v>
      </c>
      <c r="Q7" s="441" t="s">
        <v>410</v>
      </c>
      <c r="R7" s="441" t="s">
        <v>410</v>
      </c>
      <c r="S7" s="441" t="s">
        <v>410</v>
      </c>
      <c r="T7" s="441" t="s">
        <v>410</v>
      </c>
    </row>
    <row r="8" spans="1:20" hidden="1" outlineLevel="1" x14ac:dyDescent="0.3">
      <c r="A8" s="583" t="s">
        <v>1566</v>
      </c>
      <c r="B8" s="591">
        <v>1</v>
      </c>
      <c r="C8" s="588" t="s">
        <v>1256</v>
      </c>
      <c r="D8" s="588" t="s">
        <v>5669</v>
      </c>
      <c r="E8" s="589" t="s">
        <v>410</v>
      </c>
      <c r="F8" s="594" t="str">
        <f>CONCATENATE(TEXT(0+IF(CHR&lt;0,0,CHR)*1,"0")," mg")</f>
        <v>0 mg</v>
      </c>
      <c r="G8" s="594" t="str">
        <f>CONCATENATE(TEXT(2+IF(CHR&lt;0,0,CHR)*1,"0")," mg")</f>
        <v>2 mg</v>
      </c>
      <c r="H8" s="594" t="str">
        <f>CONCATENATE(TEXT(4+IF(CHR&lt;0,0,CHR)*1,"0")," mg")</f>
        <v>4 mg</v>
      </c>
      <c r="I8" s="594" t="str">
        <f>CONCATENATE(TEXT(4+IF(CHR&lt;0,0,CHR)*2,"0")," mg")</f>
        <v>4 mg</v>
      </c>
      <c r="J8" s="594" t="str">
        <f>CONCATENATE(TEXT(6+IF(CHR&lt;0,0,CHR)*2,"0")," mg")</f>
        <v>6 mg</v>
      </c>
      <c r="K8" s="594" t="str">
        <f>CONCATENATE(TEXT(8+IF(CHR&lt;0,0,CHR)*2,"0")," mg")</f>
        <v>8 mg</v>
      </c>
      <c r="L8" s="594" t="str">
        <f>CONCATENATE(TEXT(10+IF(CHR&lt;0,0,CHR)*2,"0")," mg")</f>
        <v>10 mg</v>
      </c>
      <c r="M8" s="594" t="str">
        <f>CONCATENATE(TEXT(12+IF(CHR&lt;0,0,CHR)*2,"0")," mg")</f>
        <v>12 mg</v>
      </c>
      <c r="N8" s="594" t="str">
        <f>CONCATENATE(TEXT(14+IF(CHR&lt;0,0,CHR)*2,"0")," mg")</f>
        <v>14 mg</v>
      </c>
      <c r="O8" s="594" t="str">
        <f>CONCATENATE(TEXT(15+IF(CHR&lt;0,0,CHR)*3,"0")," mg")</f>
        <v>15 mg</v>
      </c>
      <c r="P8" s="441" t="s">
        <v>410</v>
      </c>
      <c r="Q8" s="441" t="s">
        <v>410</v>
      </c>
      <c r="R8" s="441" t="s">
        <v>410</v>
      </c>
      <c r="S8" s="441" t="s">
        <v>410</v>
      </c>
      <c r="T8" s="441" t="s">
        <v>410</v>
      </c>
    </row>
    <row r="9" spans="1:20" hidden="1" outlineLevel="1" x14ac:dyDescent="0.3">
      <c r="A9" s="583" t="s">
        <v>1572</v>
      </c>
      <c r="B9" s="591">
        <v>1</v>
      </c>
      <c r="C9" s="588" t="s">
        <v>1256</v>
      </c>
      <c r="D9" s="588" t="s">
        <v>5669</v>
      </c>
      <c r="E9" s="589" t="s">
        <v>410</v>
      </c>
      <c r="F9" s="594" t="str">
        <f>CONCATENATE(TEXT(0+IF(ZRČ&lt;0,0,ZRČ)*1,"0")," mg")</f>
        <v>0 mg</v>
      </c>
      <c r="G9" s="594" t="str">
        <f>CONCATENATE(TEXT(2+IF(ZRČ&lt;0,0,ZRČ)*1,"0")," mg")</f>
        <v>2 mg</v>
      </c>
      <c r="H9" s="594" t="str">
        <f>CONCATENATE(TEXT(4+IF(ZRČ&lt;0,0,ZRČ)*1,"0")," mg")</f>
        <v>4 mg</v>
      </c>
      <c r="I9" s="594" t="str">
        <f>CONCATENATE(TEXT(4+IF(ZRČ&lt;0,0,ZRČ)*2,"0")," mg")</f>
        <v>4 mg</v>
      </c>
      <c r="J9" s="594" t="str">
        <f>CONCATENATE(TEXT(6+IF(ZRČ&lt;0,0,ZRČ)*2,"0")," mg")</f>
        <v>6 mg</v>
      </c>
      <c r="K9" s="594" t="str">
        <f>CONCATENATE(TEXT(8+IF(ZRČ&lt;0,0,ZRČ)*2,"0")," mg")</f>
        <v>8 mg</v>
      </c>
      <c r="L9" s="594" t="str">
        <f>CONCATENATE(TEXT(10+IF(ZRČ&lt;0,0,ZRČ)*2,"0")," mg")</f>
        <v>10 mg</v>
      </c>
      <c r="M9" s="594" t="str">
        <f>CONCATENATE(TEXT(12+IF(ZRČ&lt;0,0,ZRČ)*2,"0")," mg")</f>
        <v>12 mg</v>
      </c>
      <c r="N9" s="594" t="str">
        <f>CONCATENATE(TEXT(14+IF(ZRČ&lt;0,0,ZRČ)*2,"0")," mg")</f>
        <v>14 mg</v>
      </c>
      <c r="O9" s="594" t="str">
        <f>CONCATENATE(TEXT(15+IF(ZRČ&lt;0,0,ZRČ)*3,"0")," mg")</f>
        <v>15 mg</v>
      </c>
      <c r="P9" s="441" t="s">
        <v>410</v>
      </c>
      <c r="Q9" s="441" t="s">
        <v>410</v>
      </c>
      <c r="R9" s="441" t="s">
        <v>410</v>
      </c>
      <c r="S9" s="441" t="s">
        <v>410</v>
      </c>
      <c r="T9" s="441" t="s">
        <v>410</v>
      </c>
    </row>
    <row r="10" spans="1:20" hidden="1" outlineLevel="1" x14ac:dyDescent="0.3">
      <c r="A10" s="583" t="s">
        <v>1575</v>
      </c>
      <c r="B10" s="591">
        <v>1</v>
      </c>
      <c r="C10" s="588" t="s">
        <v>1256</v>
      </c>
      <c r="D10" s="588" t="s">
        <v>5669</v>
      </c>
      <c r="E10" s="589" t="s">
        <v>410</v>
      </c>
      <c r="F10" s="594" t="str">
        <f>CONCATENATE(TEXT(0+IF(VOL&lt;0,0,VOL)*1,"0")," mg")</f>
        <v>0 mg</v>
      </c>
      <c r="G10" s="594" t="str">
        <f>CONCATENATE(TEXT(2+IF(VOL&lt;0,0,VOL)*1,"0")," mg")</f>
        <v>2 mg</v>
      </c>
      <c r="H10" s="594" t="str">
        <f>CONCATENATE(TEXT(4+IF(VOL&lt;0,0,VOL)*1,"0")," mg")</f>
        <v>4 mg</v>
      </c>
      <c r="I10" s="594" t="str">
        <f>CONCATENATE(TEXT(4+IF(VOL&lt;0,0,VOL)*2,"0")," mg")</f>
        <v>4 mg</v>
      </c>
      <c r="J10" s="594" t="str">
        <f>CONCATENATE(TEXT(6+IF(VOL&lt;0,0,VOL)*2,"0")," mg")</f>
        <v>6 mg</v>
      </c>
      <c r="K10" s="594" t="str">
        <f>CONCATENATE(TEXT(8+IF(VOL&lt;0,0,VOL)*2,"0")," mg")</f>
        <v>8 mg</v>
      </c>
      <c r="L10" s="594" t="str">
        <f>CONCATENATE(TEXT(10+IF(VOL&lt;0,0,VOL)*2,"0")," mg")</f>
        <v>10 mg</v>
      </c>
      <c r="M10" s="594" t="str">
        <f>CONCATENATE(TEXT(12+IF(VOL&lt;0,0,VOL)*2,"0")," mg")</f>
        <v>12 mg</v>
      </c>
      <c r="N10" s="594" t="str">
        <f>CONCATENATE(TEXT(14+IF(VOL&lt;0,0,VOL)*2,"0")," mg")</f>
        <v>14 mg</v>
      </c>
      <c r="O10" s="594" t="str">
        <f>CONCATENATE(TEXT(15+IF(VOL&lt;0,0,VOL)*3,"0")," mg")</f>
        <v>15 mg</v>
      </c>
      <c r="P10" s="441" t="s">
        <v>410</v>
      </c>
      <c r="Q10" s="441" t="s">
        <v>410</v>
      </c>
      <c r="R10" s="441" t="s">
        <v>410</v>
      </c>
      <c r="S10" s="441" t="s">
        <v>410</v>
      </c>
      <c r="T10" s="441" t="s">
        <v>410</v>
      </c>
    </row>
    <row r="11" spans="1:20" hidden="1" outlineLevel="1" x14ac:dyDescent="0.3">
      <c r="A11" s="583" t="s">
        <v>1593</v>
      </c>
      <c r="B11" s="591">
        <v>1</v>
      </c>
      <c r="C11" s="588" t="s">
        <v>1256</v>
      </c>
      <c r="D11" s="588" t="s">
        <v>5669</v>
      </c>
      <c r="E11" s="593" t="s">
        <v>1594</v>
      </c>
      <c r="F11" s="593" t="s">
        <v>1595</v>
      </c>
      <c r="G11" s="593" t="s">
        <v>1596</v>
      </c>
      <c r="H11" s="593" t="s">
        <v>1597</v>
      </c>
      <c r="I11" s="441" t="s">
        <v>410</v>
      </c>
      <c r="J11" s="441" t="s">
        <v>410</v>
      </c>
      <c r="K11" s="441" t="s">
        <v>410</v>
      </c>
      <c r="L11" s="441" t="s">
        <v>410</v>
      </c>
      <c r="M11" s="441" t="s">
        <v>410</v>
      </c>
      <c r="N11" s="441" t="s">
        <v>410</v>
      </c>
      <c r="O11" s="441" t="s">
        <v>410</v>
      </c>
      <c r="P11" s="441" t="s">
        <v>410</v>
      </c>
      <c r="Q11" s="441" t="s">
        <v>410</v>
      </c>
      <c r="R11" s="441" t="s">
        <v>410</v>
      </c>
      <c r="S11" s="441" t="s">
        <v>410</v>
      </c>
      <c r="T11" s="441" t="s">
        <v>410</v>
      </c>
    </row>
    <row r="12" spans="1:20" hidden="1" outlineLevel="1" x14ac:dyDescent="0.3">
      <c r="A12" s="583" t="s">
        <v>1610</v>
      </c>
      <c r="B12" s="591">
        <v>1</v>
      </c>
      <c r="C12" s="588" t="s">
        <v>1256</v>
      </c>
      <c r="D12" s="588" t="s">
        <v>5669</v>
      </c>
      <c r="E12" s="590" t="s">
        <v>2161</v>
      </c>
      <c r="F12" s="590" t="s">
        <v>2161</v>
      </c>
      <c r="G12" s="590" t="s">
        <v>2162</v>
      </c>
      <c r="H12" s="590" t="s">
        <v>2163</v>
      </c>
      <c r="I12" s="590" t="s">
        <v>2164</v>
      </c>
      <c r="J12" s="590" t="s">
        <v>2165</v>
      </c>
      <c r="K12" s="590" t="s">
        <v>2166</v>
      </c>
      <c r="L12" s="441" t="s">
        <v>410</v>
      </c>
      <c r="M12" s="441" t="s">
        <v>410</v>
      </c>
      <c r="N12" s="441" t="s">
        <v>410</v>
      </c>
      <c r="O12" s="441" t="s">
        <v>410</v>
      </c>
      <c r="P12" s="441" t="s">
        <v>410</v>
      </c>
      <c r="Q12" s="441" t="s">
        <v>410</v>
      </c>
      <c r="R12" s="441" t="s">
        <v>410</v>
      </c>
      <c r="S12" s="441" t="s">
        <v>410</v>
      </c>
      <c r="T12" s="441" t="s">
        <v>410</v>
      </c>
    </row>
    <row r="13" spans="1:20" hidden="1" outlineLevel="1" x14ac:dyDescent="0.3">
      <c r="A13" s="583" t="s">
        <v>4211</v>
      </c>
      <c r="B13" s="591">
        <v>1</v>
      </c>
      <c r="C13" s="588" t="s">
        <v>1256</v>
      </c>
      <c r="D13" s="588" t="s">
        <v>5669</v>
      </c>
      <c r="E13" s="592" t="s">
        <v>66</v>
      </c>
      <c r="F13" s="592" t="s">
        <v>4324</v>
      </c>
      <c r="G13" s="592" t="s">
        <v>68</v>
      </c>
      <c r="H13" s="592" t="s">
        <v>70</v>
      </c>
      <c r="I13" s="441" t="s">
        <v>410</v>
      </c>
      <c r="J13" s="441" t="s">
        <v>410</v>
      </c>
      <c r="K13" s="441" t="s">
        <v>410</v>
      </c>
      <c r="L13" s="441" t="s">
        <v>410</v>
      </c>
      <c r="M13" s="441" t="s">
        <v>410</v>
      </c>
      <c r="N13" s="441" t="s">
        <v>410</v>
      </c>
      <c r="O13" s="441" t="s">
        <v>410</v>
      </c>
      <c r="P13" s="441" t="s">
        <v>410</v>
      </c>
      <c r="Q13" s="441" t="s">
        <v>410</v>
      </c>
      <c r="R13" s="441" t="s">
        <v>410</v>
      </c>
      <c r="S13" s="441" t="s">
        <v>410</v>
      </c>
      <c r="T13" s="441" t="s">
        <v>410</v>
      </c>
    </row>
    <row r="14" spans="1:20" hidden="1" outlineLevel="1" x14ac:dyDescent="0.3">
      <c r="A14" s="583" t="s">
        <v>1665</v>
      </c>
      <c r="B14" s="591">
        <v>1</v>
      </c>
      <c r="C14" s="583" t="s">
        <v>1256</v>
      </c>
      <c r="D14" s="583" t="s">
        <v>5669</v>
      </c>
      <c r="E14" s="592" t="s">
        <v>410</v>
      </c>
      <c r="F14" s="593" t="s">
        <v>2500</v>
      </c>
      <c r="G14" s="593" t="s">
        <v>2501</v>
      </c>
      <c r="H14" s="593" t="s">
        <v>2502</v>
      </c>
      <c r="I14" s="593" t="s">
        <v>3162</v>
      </c>
      <c r="J14" s="593" t="s">
        <v>2503</v>
      </c>
      <c r="K14" s="237" t="s">
        <v>410</v>
      </c>
      <c r="L14" s="237" t="s">
        <v>410</v>
      </c>
      <c r="M14" s="237" t="s">
        <v>410</v>
      </c>
      <c r="N14" s="237" t="s">
        <v>410</v>
      </c>
      <c r="O14" s="237" t="s">
        <v>410</v>
      </c>
      <c r="P14" s="237" t="s">
        <v>410</v>
      </c>
      <c r="Q14" s="237" t="s">
        <v>410</v>
      </c>
      <c r="R14" s="237" t="s">
        <v>410</v>
      </c>
      <c r="S14" s="10" t="s">
        <v>410</v>
      </c>
      <c r="T14" s="10" t="s">
        <v>410</v>
      </c>
    </row>
    <row r="15" spans="1:20" hidden="1" outlineLevel="1" x14ac:dyDescent="0.3">
      <c r="A15" s="583" t="s">
        <v>1722</v>
      </c>
      <c r="B15" s="591">
        <v>1</v>
      </c>
      <c r="C15" s="583" t="s">
        <v>1256</v>
      </c>
      <c r="D15" s="583" t="s">
        <v>5669</v>
      </c>
      <c r="E15" s="592" t="s">
        <v>410</v>
      </c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 t="s">
        <v>410</v>
      </c>
      <c r="Q15" s="237" t="s">
        <v>410</v>
      </c>
      <c r="R15" s="237" t="s">
        <v>410</v>
      </c>
      <c r="S15" s="10" t="s">
        <v>410</v>
      </c>
      <c r="T15" s="10" t="s">
        <v>410</v>
      </c>
    </row>
    <row r="16" spans="1:20" hidden="1" outlineLevel="1" x14ac:dyDescent="0.3">
      <c r="A16" s="583" t="s">
        <v>5543</v>
      </c>
      <c r="B16" s="591">
        <v>1</v>
      </c>
      <c r="C16" s="583" t="s">
        <v>1256</v>
      </c>
      <c r="D16" s="583" t="s">
        <v>5669</v>
      </c>
      <c r="E16" s="593" t="s">
        <v>5539</v>
      </c>
      <c r="F16" s="593" t="s">
        <v>5538</v>
      </c>
      <c r="G16" s="593" t="s">
        <v>5540</v>
      </c>
      <c r="H16" s="593" t="s">
        <v>5544</v>
      </c>
      <c r="I16" s="593" t="s">
        <v>5541</v>
      </c>
      <c r="J16" s="593" t="s">
        <v>5542</v>
      </c>
      <c r="K16" s="237" t="s">
        <v>410</v>
      </c>
      <c r="L16" s="237" t="s">
        <v>410</v>
      </c>
      <c r="M16" s="237" t="s">
        <v>410</v>
      </c>
      <c r="N16" s="237" t="s">
        <v>410</v>
      </c>
      <c r="O16" s="237" t="s">
        <v>410</v>
      </c>
      <c r="P16" s="237" t="s">
        <v>410</v>
      </c>
      <c r="Q16" s="237" t="s">
        <v>410</v>
      </c>
      <c r="R16" s="237" t="s">
        <v>410</v>
      </c>
      <c r="S16" s="10" t="s">
        <v>410</v>
      </c>
      <c r="T16" s="10" t="s">
        <v>410</v>
      </c>
    </row>
    <row r="17" spans="1:20" hidden="1" outlineLevel="1" x14ac:dyDescent="0.3">
      <c r="A17" s="583" t="s">
        <v>1932</v>
      </c>
      <c r="B17" s="591">
        <v>1</v>
      </c>
      <c r="C17" s="583" t="s">
        <v>1256</v>
      </c>
      <c r="D17" s="583" t="s">
        <v>5669</v>
      </c>
      <c r="E17" s="614" t="s">
        <v>4203</v>
      </c>
      <c r="F17" s="614" t="s">
        <v>4204</v>
      </c>
      <c r="G17" s="614" t="s">
        <v>4205</v>
      </c>
      <c r="H17" s="614" t="s">
        <v>4206</v>
      </c>
      <c r="I17" s="614" t="s">
        <v>4207</v>
      </c>
      <c r="J17" s="614" t="s">
        <v>4208</v>
      </c>
      <c r="K17" s="614" t="s">
        <v>4209</v>
      </c>
      <c r="L17" s="237" t="s">
        <v>410</v>
      </c>
      <c r="M17" s="237" t="s">
        <v>410</v>
      </c>
      <c r="N17" s="237" t="s">
        <v>410</v>
      </c>
      <c r="O17" s="237" t="s">
        <v>410</v>
      </c>
      <c r="P17" s="237" t="s">
        <v>410</v>
      </c>
      <c r="Q17" s="237" t="s">
        <v>410</v>
      </c>
      <c r="R17" s="237" t="s">
        <v>410</v>
      </c>
      <c r="S17" s="10" t="s">
        <v>410</v>
      </c>
      <c r="T17" s="10" t="s">
        <v>410</v>
      </c>
    </row>
    <row r="18" spans="1:20" hidden="1" outlineLevel="1" x14ac:dyDescent="0.3">
      <c r="A18" s="583" t="s">
        <v>1949</v>
      </c>
      <c r="B18" s="591">
        <v>1</v>
      </c>
      <c r="C18" s="583" t="s">
        <v>1256</v>
      </c>
      <c r="D18" s="583" t="s">
        <v>5669</v>
      </c>
      <c r="E18" s="594" t="str">
        <f>CONCATENATE(TEXT(sSms,"0")," %")</f>
        <v>5 %</v>
      </c>
      <c r="F18" s="594" t="str">
        <f>CONCATENATE(TEXT(sSms+10,"0")," %")</f>
        <v>15 %</v>
      </c>
      <c r="G18" s="594" t="str">
        <f>CONCATENATE(TEXT(sSms+20,"0")," %")</f>
        <v>25 %</v>
      </c>
      <c r="H18" s="594" t="str">
        <f>CONCATENATE(TEXT(sSms+30,"0")," %")</f>
        <v>35 %</v>
      </c>
      <c r="I18" s="594" t="str">
        <f>CONCATENATE(TEXT(sSms+40,"0")," %")</f>
        <v>45 %</v>
      </c>
      <c r="J18" s="594" t="str">
        <f>CONCATENATE(TEXT(sSms+50,"0")," %")</f>
        <v>55 %</v>
      </c>
      <c r="K18" s="237" t="s">
        <v>410</v>
      </c>
      <c r="L18" s="237" t="s">
        <v>410</v>
      </c>
      <c r="M18" s="237" t="s">
        <v>410</v>
      </c>
      <c r="N18" s="237" t="s">
        <v>410</v>
      </c>
      <c r="O18" s="237" t="s">
        <v>410</v>
      </c>
      <c r="P18" s="237" t="s">
        <v>410</v>
      </c>
      <c r="Q18" s="237" t="s">
        <v>410</v>
      </c>
      <c r="R18" s="237" t="s">
        <v>410</v>
      </c>
      <c r="S18" s="237" t="s">
        <v>410</v>
      </c>
      <c r="T18" s="237" t="s">
        <v>410</v>
      </c>
    </row>
    <row r="19" spans="1:20" hidden="1" outlineLevel="1" x14ac:dyDescent="0.3">
      <c r="A19" s="583" t="s">
        <v>3033</v>
      </c>
      <c r="B19" s="591">
        <v>2</v>
      </c>
      <c r="C19" s="583" t="s">
        <v>1256</v>
      </c>
      <c r="D19" s="583" t="s">
        <v>5669</v>
      </c>
      <c r="E19" s="593" t="s">
        <v>3034</v>
      </c>
      <c r="F19" s="593" t="s">
        <v>3035</v>
      </c>
      <c r="G19" s="593" t="s">
        <v>3036</v>
      </c>
      <c r="H19" s="593" t="s">
        <v>3038</v>
      </c>
      <c r="I19" s="593" t="s">
        <v>3037</v>
      </c>
      <c r="J19" s="237" t="s">
        <v>410</v>
      </c>
      <c r="K19" s="237" t="s">
        <v>410</v>
      </c>
      <c r="L19" s="237" t="s">
        <v>410</v>
      </c>
      <c r="M19" s="237" t="s">
        <v>410</v>
      </c>
      <c r="N19" s="237" t="s">
        <v>410</v>
      </c>
      <c r="O19" s="237" t="s">
        <v>410</v>
      </c>
      <c r="P19" s="237" t="s">
        <v>410</v>
      </c>
      <c r="Q19" s="237" t="s">
        <v>410</v>
      </c>
      <c r="R19" s="237" t="s">
        <v>410</v>
      </c>
      <c r="S19" s="10" t="s">
        <v>410</v>
      </c>
      <c r="T19" s="10" t="s">
        <v>410</v>
      </c>
    </row>
    <row r="20" spans="1:20" hidden="1" outlineLevel="1" x14ac:dyDescent="0.3">
      <c r="A20" s="583" t="s">
        <v>1845</v>
      </c>
      <c r="B20" s="591">
        <v>5</v>
      </c>
      <c r="C20" s="583" t="s">
        <v>1256</v>
      </c>
      <c r="D20" s="583" t="s">
        <v>5669</v>
      </c>
      <c r="E20" s="10" t="s">
        <v>410</v>
      </c>
      <c r="F20" s="593" t="s">
        <v>3311</v>
      </c>
      <c r="G20" s="593" t="s">
        <v>3312</v>
      </c>
      <c r="H20" s="593" t="s">
        <v>3313</v>
      </c>
      <c r="I20" s="593" t="s">
        <v>3314</v>
      </c>
      <c r="J20" s="593" t="s">
        <v>3315</v>
      </c>
      <c r="K20" s="237" t="s">
        <v>410</v>
      </c>
      <c r="L20" s="237" t="s">
        <v>410</v>
      </c>
      <c r="M20" s="237" t="s">
        <v>410</v>
      </c>
      <c r="N20" s="237" t="s">
        <v>410</v>
      </c>
      <c r="O20" s="237" t="s">
        <v>410</v>
      </c>
      <c r="P20" s="237" t="s">
        <v>410</v>
      </c>
      <c r="Q20" s="237" t="s">
        <v>410</v>
      </c>
      <c r="R20" s="237" t="s">
        <v>410</v>
      </c>
      <c r="S20" s="10" t="s">
        <v>410</v>
      </c>
      <c r="T20" s="10" t="s">
        <v>410</v>
      </c>
    </row>
    <row r="21" spans="1:20" hidden="1" outlineLevel="1" x14ac:dyDescent="0.3">
      <c r="A21" s="583" t="s">
        <v>5485</v>
      </c>
      <c r="B21" s="591">
        <v>5</v>
      </c>
      <c r="C21" s="583" t="s">
        <v>1256</v>
      </c>
      <c r="D21" s="583" t="s">
        <v>5669</v>
      </c>
      <c r="E21" s="592" t="s">
        <v>410</v>
      </c>
      <c r="F21" s="593" t="s">
        <v>3269</v>
      </c>
      <c r="G21" s="593" t="s">
        <v>3270</v>
      </c>
      <c r="H21" s="593" t="s">
        <v>3271</v>
      </c>
      <c r="I21" s="593" t="s">
        <v>3272</v>
      </c>
      <c r="J21" s="593" t="s">
        <v>4303</v>
      </c>
      <c r="K21" s="237" t="s">
        <v>410</v>
      </c>
      <c r="L21" s="237" t="s">
        <v>410</v>
      </c>
      <c r="M21" s="237" t="s">
        <v>410</v>
      </c>
      <c r="N21" s="237" t="s">
        <v>410</v>
      </c>
      <c r="O21" s="237" t="s">
        <v>410</v>
      </c>
      <c r="P21" s="237" t="s">
        <v>410</v>
      </c>
      <c r="Q21" s="237" t="s">
        <v>410</v>
      </c>
      <c r="R21" s="237" t="s">
        <v>410</v>
      </c>
      <c r="S21" s="10" t="s">
        <v>410</v>
      </c>
      <c r="T21" s="10" t="s">
        <v>410</v>
      </c>
    </row>
    <row r="22" spans="1:20" hidden="1" outlineLevel="1" x14ac:dyDescent="0.3">
      <c r="A22" s="583" t="s">
        <v>1489</v>
      </c>
      <c r="B22" s="591">
        <v>6</v>
      </c>
      <c r="C22" s="588" t="s">
        <v>1256</v>
      </c>
      <c r="D22" s="588" t="s">
        <v>5669</v>
      </c>
      <c r="E22" s="589" t="s">
        <v>410</v>
      </c>
      <c r="F22" s="590" t="s">
        <v>3117</v>
      </c>
      <c r="G22" s="590" t="s">
        <v>3118</v>
      </c>
      <c r="H22" s="590" t="s">
        <v>3179</v>
      </c>
      <c r="I22" s="590" t="s">
        <v>3180</v>
      </c>
      <c r="J22" s="590" t="s">
        <v>3181</v>
      </c>
      <c r="K22" s="590" t="s">
        <v>3178</v>
      </c>
      <c r="L22" s="441" t="s">
        <v>410</v>
      </c>
      <c r="M22" s="441" t="s">
        <v>410</v>
      </c>
      <c r="N22" s="441" t="s">
        <v>410</v>
      </c>
      <c r="O22" s="441" t="s">
        <v>410</v>
      </c>
      <c r="P22" s="441" t="s">
        <v>410</v>
      </c>
      <c r="Q22" s="441" t="s">
        <v>410</v>
      </c>
      <c r="R22" s="441" t="s">
        <v>410</v>
      </c>
      <c r="S22" s="441" t="s">
        <v>410</v>
      </c>
      <c r="T22" s="441" t="s">
        <v>410</v>
      </c>
    </row>
    <row r="23" spans="1:20" hidden="1" outlineLevel="1" x14ac:dyDescent="0.3">
      <c r="A23" s="583" t="s">
        <v>1774</v>
      </c>
      <c r="B23" s="591">
        <v>6</v>
      </c>
      <c r="C23" s="583" t="s">
        <v>1256</v>
      </c>
      <c r="D23" s="583" t="s">
        <v>5669</v>
      </c>
      <c r="E23" s="592" t="s">
        <v>410</v>
      </c>
      <c r="F23" s="593" t="s">
        <v>67</v>
      </c>
      <c r="G23" s="593" t="s">
        <v>3159</v>
      </c>
      <c r="H23" s="593" t="s">
        <v>3160</v>
      </c>
      <c r="I23" s="593" t="s">
        <v>3274</v>
      </c>
      <c r="J23" s="237" t="s">
        <v>410</v>
      </c>
      <c r="K23" s="237" t="s">
        <v>410</v>
      </c>
      <c r="L23" s="237" t="s">
        <v>410</v>
      </c>
      <c r="M23" s="237" t="s">
        <v>410</v>
      </c>
      <c r="N23" s="237" t="s">
        <v>410</v>
      </c>
      <c r="O23" s="237" t="s">
        <v>410</v>
      </c>
      <c r="P23" s="237" t="s">
        <v>410</v>
      </c>
      <c r="Q23" s="237" t="s">
        <v>410</v>
      </c>
      <c r="R23" s="237" t="s">
        <v>410</v>
      </c>
      <c r="S23" s="10" t="s">
        <v>410</v>
      </c>
      <c r="T23" s="10" t="s">
        <v>410</v>
      </c>
    </row>
    <row r="24" spans="1:20" hidden="1" outlineLevel="1" x14ac:dyDescent="0.3">
      <c r="A24" s="583" t="s">
        <v>3268</v>
      </c>
      <c r="B24" s="591">
        <v>6</v>
      </c>
      <c r="C24" s="583" t="s">
        <v>1256</v>
      </c>
      <c r="D24" s="583" t="s">
        <v>5669</v>
      </c>
      <c r="E24" s="592" t="s">
        <v>410</v>
      </c>
      <c r="F24" s="593" t="s">
        <v>3126</v>
      </c>
      <c r="G24" s="593" t="s">
        <v>3127</v>
      </c>
      <c r="H24" s="593" t="s">
        <v>3128</v>
      </c>
      <c r="I24" s="593" t="s">
        <v>3129</v>
      </c>
      <c r="J24" s="593" t="s">
        <v>3130</v>
      </c>
      <c r="K24" s="237" t="s">
        <v>410</v>
      </c>
      <c r="L24" s="237" t="s">
        <v>410</v>
      </c>
      <c r="M24" s="237" t="s">
        <v>410</v>
      </c>
      <c r="N24" s="237" t="s">
        <v>410</v>
      </c>
      <c r="O24" s="237" t="s">
        <v>410</v>
      </c>
      <c r="P24" s="237" t="s">
        <v>410</v>
      </c>
      <c r="Q24" s="237" t="s">
        <v>410</v>
      </c>
      <c r="R24" s="237" t="s">
        <v>410</v>
      </c>
      <c r="S24" s="10" t="s">
        <v>410</v>
      </c>
      <c r="T24" s="10" t="s">
        <v>410</v>
      </c>
    </row>
    <row r="25" spans="1:20" hidden="1" outlineLevel="1" x14ac:dyDescent="0.3">
      <c r="A25" s="583" t="s">
        <v>1922</v>
      </c>
      <c r="B25" s="591">
        <v>6</v>
      </c>
      <c r="C25" s="583" t="s">
        <v>1256</v>
      </c>
      <c r="D25" s="583" t="s">
        <v>5669</v>
      </c>
      <c r="E25" s="592" t="s">
        <v>410</v>
      </c>
      <c r="F25" s="593" t="s">
        <v>107</v>
      </c>
      <c r="G25" s="593" t="s">
        <v>1924</v>
      </c>
      <c r="H25" s="593" t="s">
        <v>1925</v>
      </c>
      <c r="I25" s="593" t="s">
        <v>3154</v>
      </c>
      <c r="J25" s="593" t="s">
        <v>3155</v>
      </c>
      <c r="K25" s="237" t="s">
        <v>410</v>
      </c>
      <c r="L25" s="237" t="s">
        <v>410</v>
      </c>
      <c r="M25" s="237" t="s">
        <v>410</v>
      </c>
      <c r="N25" s="237" t="s">
        <v>410</v>
      </c>
      <c r="O25" s="237" t="s">
        <v>410</v>
      </c>
      <c r="P25" s="237" t="s">
        <v>410</v>
      </c>
      <c r="Q25" s="237" t="s">
        <v>410</v>
      </c>
      <c r="R25" s="237" t="s">
        <v>410</v>
      </c>
      <c r="S25" s="10" t="s">
        <v>410</v>
      </c>
      <c r="T25" s="10" t="s">
        <v>410</v>
      </c>
    </row>
    <row r="26" spans="1:20" hidden="1" outlineLevel="1" x14ac:dyDescent="0.3">
      <c r="A26" s="583" t="s">
        <v>3004</v>
      </c>
      <c r="B26" s="591">
        <v>11</v>
      </c>
      <c r="C26" s="583" t="s">
        <v>1256</v>
      </c>
      <c r="D26" s="583" t="s">
        <v>5669</v>
      </c>
      <c r="E26" s="592" t="s">
        <v>410</v>
      </c>
      <c r="F26" s="593" t="s">
        <v>3005</v>
      </c>
      <c r="G26" s="593" t="s">
        <v>3006</v>
      </c>
      <c r="H26" s="593" t="s">
        <v>3007</v>
      </c>
      <c r="I26" s="593" t="s">
        <v>3008</v>
      </c>
      <c r="J26" s="593" t="s">
        <v>3009</v>
      </c>
      <c r="K26" s="237" t="s">
        <v>410</v>
      </c>
      <c r="L26" s="237" t="s">
        <v>410</v>
      </c>
      <c r="M26" s="237" t="s">
        <v>410</v>
      </c>
      <c r="N26" s="237" t="s">
        <v>410</v>
      </c>
      <c r="O26" s="237" t="s">
        <v>410</v>
      </c>
      <c r="P26" s="237" t="s">
        <v>410</v>
      </c>
      <c r="Q26" s="237" t="s">
        <v>410</v>
      </c>
      <c r="R26" s="237" t="s">
        <v>410</v>
      </c>
      <c r="S26" s="10" t="s">
        <v>410</v>
      </c>
      <c r="T26" s="10" t="s">
        <v>410</v>
      </c>
    </row>
    <row r="27" spans="1:20" hidden="1" outlineLevel="1" x14ac:dyDescent="0.3">
      <c r="A27" s="583" t="s">
        <v>5671</v>
      </c>
      <c r="B27" s="591">
        <v>16</v>
      </c>
      <c r="C27" s="583" t="s">
        <v>1256</v>
      </c>
      <c r="D27" s="583" t="s">
        <v>5669</v>
      </c>
      <c r="E27" s="592" t="s">
        <v>410</v>
      </c>
      <c r="F27" s="593"/>
      <c r="G27" s="237"/>
      <c r="H27" s="237"/>
      <c r="I27" s="237"/>
      <c r="J27" s="237"/>
      <c r="K27" s="10" t="s">
        <v>410</v>
      </c>
      <c r="L27" s="237" t="s">
        <v>410</v>
      </c>
      <c r="M27" s="10" t="s">
        <v>410</v>
      </c>
      <c r="N27" s="237" t="s">
        <v>410</v>
      </c>
      <c r="O27" s="10" t="s">
        <v>410</v>
      </c>
      <c r="P27" s="237" t="s">
        <v>410</v>
      </c>
      <c r="Q27" s="10" t="s">
        <v>410</v>
      </c>
      <c r="R27" s="237" t="s">
        <v>410</v>
      </c>
      <c r="S27" s="10" t="s">
        <v>410</v>
      </c>
      <c r="T27" s="10" t="s">
        <v>410</v>
      </c>
    </row>
    <row r="28" spans="1:20" hidden="1" outlineLevel="1" x14ac:dyDescent="0.3">
      <c r="A28" s="583" t="s">
        <v>1657</v>
      </c>
      <c r="B28" s="591">
        <v>16</v>
      </c>
      <c r="C28" s="583" t="s">
        <v>1256</v>
      </c>
      <c r="D28" s="583" t="s">
        <v>5669</v>
      </c>
      <c r="E28" s="592" t="s">
        <v>410</v>
      </c>
      <c r="F28" s="594" t="str">
        <f>CONCATENATE("ROZ~",TEXT(12-'1-Vlastnosti'!$D$9,0),"~0,Žt-9,Mg-13,BÚ+11")</f>
        <v>ROZ~17~0,Žt-9,Mg-13,BÚ+11</v>
      </c>
      <c r="G28" s="594" t="str">
        <f>CONCATENATE("ROZ~",TEXT(11-'1-Vlastnosti'!$D$9,0),"~0,Žt-8,Mg-12,BÚ+10")</f>
        <v>ROZ~16~0,Žt-8,Mg-12,BÚ+10</v>
      </c>
      <c r="H28" s="594" t="str">
        <f>CONCATENATE("ROZ~",TEXT(10-'1-Vlastnosti'!$D$9,0),"~0,Žt-7,Mg-11,BÚ+9")</f>
        <v>ROZ~15~0,Žt-7,Mg-11,BÚ+9</v>
      </c>
      <c r="I28" s="594" t="str">
        <f>CONCATENATE("ROZ~",TEXT(9-'1-Vlastnosti'!$D$9,0),"~0,Žt-6,Mg-10,BÚ+8")</f>
        <v>ROZ~14~0,Žt-6,Mg-10,BÚ+8</v>
      </c>
      <c r="J28" s="594" t="str">
        <f>CONCATENATE("ROZ~",TEXT(8-'1-Vlastnosti'!$D$9,0),"~0,Žt-5,Mg-9,BÚ+7")</f>
        <v>ROZ~13~0,Žt-5,Mg-9,BÚ+7</v>
      </c>
      <c r="K28" s="594" t="str">
        <f>CONCATENATE("ROZ~",TEXT(7-'1-Vlastnosti'!$D$9,0),"~0,Žt-4,Mg-8,BÚ+6")</f>
        <v>ROZ~12~0,Žt-4,Mg-8,BÚ+6</v>
      </c>
      <c r="L28" s="237" t="s">
        <v>410</v>
      </c>
      <c r="M28" s="237" t="s">
        <v>410</v>
      </c>
      <c r="N28" s="237" t="s">
        <v>410</v>
      </c>
      <c r="O28" s="237" t="s">
        <v>410</v>
      </c>
      <c r="P28" s="237" t="s">
        <v>410</v>
      </c>
      <c r="Q28" s="237" t="s">
        <v>410</v>
      </c>
      <c r="R28" s="237" t="s">
        <v>410</v>
      </c>
      <c r="S28" s="10" t="s">
        <v>410</v>
      </c>
      <c r="T28" s="10" t="s">
        <v>410</v>
      </c>
    </row>
    <row r="29" spans="1:20" hidden="1" outlineLevel="1" x14ac:dyDescent="0.3">
      <c r="A29" s="583" t="s">
        <v>5672</v>
      </c>
      <c r="B29" s="591">
        <v>21</v>
      </c>
      <c r="C29" s="583" t="s">
        <v>1256</v>
      </c>
      <c r="D29" s="583" t="s">
        <v>5669</v>
      </c>
      <c r="E29" s="593" t="s">
        <v>410</v>
      </c>
      <c r="F29" s="593" t="s">
        <v>5673</v>
      </c>
      <c r="G29" s="593" t="s">
        <v>5674</v>
      </c>
      <c r="H29" s="593" t="s">
        <v>5675</v>
      </c>
      <c r="I29" s="593" t="s">
        <v>5676</v>
      </c>
      <c r="J29" s="593" t="s">
        <v>5677</v>
      </c>
      <c r="K29" s="593" t="s">
        <v>5678</v>
      </c>
      <c r="L29" s="237" t="s">
        <v>410</v>
      </c>
      <c r="M29" s="237" t="s">
        <v>410</v>
      </c>
      <c r="N29" s="237" t="s">
        <v>410</v>
      </c>
      <c r="O29" s="237" t="s">
        <v>410</v>
      </c>
      <c r="P29" s="237" t="s">
        <v>410</v>
      </c>
      <c r="Q29" s="237" t="s">
        <v>410</v>
      </c>
      <c r="R29" s="237" t="s">
        <v>410</v>
      </c>
      <c r="S29" s="237" t="s">
        <v>410</v>
      </c>
      <c r="T29" s="237" t="s">
        <v>410</v>
      </c>
    </row>
    <row r="30" spans="1:20" hidden="1" outlineLevel="1" x14ac:dyDescent="0.3">
      <c r="A30" s="583" t="s">
        <v>2910</v>
      </c>
      <c r="B30" s="591">
        <v>0</v>
      </c>
      <c r="C30" s="588" t="s">
        <v>1564</v>
      </c>
      <c r="D30" s="588" t="s">
        <v>5669</v>
      </c>
      <c r="E30" s="615" t="s">
        <v>2950</v>
      </c>
      <c r="F30" s="9" t="s">
        <v>410</v>
      </c>
      <c r="G30" s="9" t="s">
        <v>410</v>
      </c>
      <c r="H30" s="9" t="s">
        <v>410</v>
      </c>
      <c r="I30" s="9" t="s">
        <v>410</v>
      </c>
      <c r="J30" s="9" t="s">
        <v>410</v>
      </c>
      <c r="K30" s="9" t="s">
        <v>410</v>
      </c>
      <c r="L30" s="9" t="s">
        <v>410</v>
      </c>
      <c r="M30" s="9" t="s">
        <v>410</v>
      </c>
      <c r="N30" s="9" t="s">
        <v>410</v>
      </c>
      <c r="O30" s="9" t="s">
        <v>410</v>
      </c>
      <c r="P30" s="9" t="s">
        <v>410</v>
      </c>
      <c r="Q30" s="9" t="s">
        <v>410</v>
      </c>
      <c r="R30" s="9" t="s">
        <v>410</v>
      </c>
      <c r="S30" s="9" t="s">
        <v>410</v>
      </c>
      <c r="T30" s="9" t="s">
        <v>410</v>
      </c>
    </row>
    <row r="31" spans="1:20" hidden="1" outlineLevel="1" x14ac:dyDescent="0.3">
      <c r="A31" s="583" t="s">
        <v>3286</v>
      </c>
      <c r="B31" s="591">
        <v>0</v>
      </c>
      <c r="C31" s="588" t="s">
        <v>1564</v>
      </c>
      <c r="D31" s="588" t="s">
        <v>5669</v>
      </c>
      <c r="E31" s="615" t="s">
        <v>3287</v>
      </c>
      <c r="F31" s="9" t="s">
        <v>410</v>
      </c>
      <c r="G31" s="9" t="s">
        <v>410</v>
      </c>
      <c r="H31" s="9" t="s">
        <v>410</v>
      </c>
      <c r="I31" s="9" t="s">
        <v>410</v>
      </c>
      <c r="J31" s="9" t="s">
        <v>410</v>
      </c>
      <c r="K31" s="9" t="s">
        <v>410</v>
      </c>
      <c r="L31" s="9" t="s">
        <v>410</v>
      </c>
      <c r="M31" s="9" t="s">
        <v>410</v>
      </c>
      <c r="N31" s="9" t="s">
        <v>410</v>
      </c>
      <c r="O31" s="9" t="s">
        <v>410</v>
      </c>
      <c r="P31" s="9" t="s">
        <v>410</v>
      </c>
      <c r="Q31" s="9" t="s">
        <v>410</v>
      </c>
      <c r="R31" s="9" t="s">
        <v>410</v>
      </c>
      <c r="S31" s="9" t="s">
        <v>410</v>
      </c>
      <c r="T31" s="9" t="s">
        <v>410</v>
      </c>
    </row>
    <row r="32" spans="1:20" hidden="1" outlineLevel="1" x14ac:dyDescent="0.3">
      <c r="A32" s="583" t="s">
        <v>2067</v>
      </c>
      <c r="B32" s="591">
        <v>0</v>
      </c>
      <c r="C32" s="588" t="s">
        <v>1564</v>
      </c>
      <c r="D32" s="588" t="s">
        <v>5669</v>
      </c>
      <c r="E32" s="595"/>
      <c r="F32" s="9" t="s">
        <v>410</v>
      </c>
      <c r="G32" s="9" t="s">
        <v>410</v>
      </c>
      <c r="H32" s="9" t="s">
        <v>410</v>
      </c>
      <c r="I32" s="9" t="s">
        <v>410</v>
      </c>
      <c r="J32" s="9" t="s">
        <v>410</v>
      </c>
      <c r="K32" s="9" t="s">
        <v>410</v>
      </c>
      <c r="L32" s="9" t="s">
        <v>410</v>
      </c>
      <c r="M32" s="9" t="s">
        <v>410</v>
      </c>
      <c r="N32" s="9" t="s">
        <v>410</v>
      </c>
      <c r="O32" s="9" t="s">
        <v>410</v>
      </c>
      <c r="P32" s="9" t="s">
        <v>410</v>
      </c>
      <c r="Q32" s="9" t="s">
        <v>410</v>
      </c>
      <c r="R32" s="9" t="s">
        <v>410</v>
      </c>
      <c r="S32" s="9" t="s">
        <v>410</v>
      </c>
      <c r="T32" s="9" t="s">
        <v>410</v>
      </c>
    </row>
    <row r="33" spans="1:20" hidden="1" outlineLevel="1" x14ac:dyDescent="0.3">
      <c r="A33" s="583" t="s">
        <v>2204</v>
      </c>
      <c r="B33" s="591">
        <v>0</v>
      </c>
      <c r="C33" s="583" t="s">
        <v>1564</v>
      </c>
      <c r="D33" s="583" t="s">
        <v>5669</v>
      </c>
      <c r="E33" s="592" t="s">
        <v>2205</v>
      </c>
      <c r="F33" s="593" t="s">
        <v>410</v>
      </c>
      <c r="G33" s="237" t="s">
        <v>410</v>
      </c>
      <c r="H33" s="237" t="s">
        <v>410</v>
      </c>
      <c r="I33" s="237" t="s">
        <v>410</v>
      </c>
      <c r="J33" s="237" t="s">
        <v>410</v>
      </c>
      <c r="K33" s="237" t="s">
        <v>410</v>
      </c>
      <c r="L33" s="237" t="s">
        <v>410</v>
      </c>
      <c r="M33" s="237" t="s">
        <v>410</v>
      </c>
      <c r="N33" s="237" t="s">
        <v>410</v>
      </c>
      <c r="O33" s="237" t="s">
        <v>410</v>
      </c>
      <c r="P33" s="237" t="s">
        <v>410</v>
      </c>
      <c r="Q33" s="237" t="s">
        <v>410</v>
      </c>
      <c r="R33" s="237" t="s">
        <v>410</v>
      </c>
      <c r="S33" s="10" t="s">
        <v>410</v>
      </c>
      <c r="T33" s="10" t="s">
        <v>410</v>
      </c>
    </row>
    <row r="34" spans="1:20" hidden="1" outlineLevel="1" x14ac:dyDescent="0.3">
      <c r="A34" s="583" t="s">
        <v>2066</v>
      </c>
      <c r="B34" s="591">
        <v>0</v>
      </c>
      <c r="C34" s="583" t="s">
        <v>1564</v>
      </c>
      <c r="D34" s="583" t="s">
        <v>5669</v>
      </c>
      <c r="F34" t="s">
        <v>410</v>
      </c>
      <c r="G34" t="s">
        <v>410</v>
      </c>
      <c r="H34" t="s">
        <v>410</v>
      </c>
      <c r="I34" t="s">
        <v>410</v>
      </c>
      <c r="J34" t="s">
        <v>410</v>
      </c>
      <c r="K34" t="s">
        <v>410</v>
      </c>
      <c r="L34" t="s">
        <v>410</v>
      </c>
      <c r="M34" t="s">
        <v>410</v>
      </c>
      <c r="N34" t="s">
        <v>410</v>
      </c>
      <c r="O34" t="s">
        <v>410</v>
      </c>
      <c r="P34" t="s">
        <v>410</v>
      </c>
      <c r="Q34" t="s">
        <v>410</v>
      </c>
      <c r="R34" t="s">
        <v>410</v>
      </c>
      <c r="S34" t="s">
        <v>410</v>
      </c>
      <c r="T34" t="s">
        <v>410</v>
      </c>
    </row>
    <row r="35" spans="1:20" hidden="1" outlineLevel="1" x14ac:dyDescent="0.3">
      <c r="A35" s="583" t="s">
        <v>3150</v>
      </c>
      <c r="B35" s="591">
        <v>1</v>
      </c>
      <c r="C35" s="583" t="s">
        <v>1564</v>
      </c>
      <c r="D35" s="583" t="s">
        <v>5669</v>
      </c>
      <c r="E35" s="593" t="s">
        <v>410</v>
      </c>
      <c r="F35" s="593" t="s">
        <v>3054</v>
      </c>
      <c r="G35" s="593" t="s">
        <v>3055</v>
      </c>
      <c r="H35" s="593" t="s">
        <v>3056</v>
      </c>
      <c r="I35" s="593" t="s">
        <v>3057</v>
      </c>
      <c r="J35" s="593" t="s">
        <v>3059</v>
      </c>
      <c r="K35" s="593" t="s">
        <v>3060</v>
      </c>
      <c r="L35" s="593" t="s">
        <v>3058</v>
      </c>
      <c r="M35" s="593" t="s">
        <v>3061</v>
      </c>
      <c r="N35" s="237" t="s">
        <v>410</v>
      </c>
      <c r="O35" s="237" t="s">
        <v>410</v>
      </c>
      <c r="P35" s="237" t="s">
        <v>410</v>
      </c>
      <c r="Q35" s="237" t="s">
        <v>410</v>
      </c>
      <c r="R35" s="237" t="s">
        <v>410</v>
      </c>
      <c r="S35" s="237" t="s">
        <v>410</v>
      </c>
      <c r="T35" s="237" t="s">
        <v>410</v>
      </c>
    </row>
    <row r="36" spans="1:20" hidden="1" outlineLevel="1" x14ac:dyDescent="0.3">
      <c r="A36" s="583" t="s">
        <v>2196</v>
      </c>
      <c r="B36" s="591">
        <v>1</v>
      </c>
      <c r="C36" s="583" t="s">
        <v>1564</v>
      </c>
      <c r="D36" s="583" t="s">
        <v>5669</v>
      </c>
      <c r="E36" s="592" t="s">
        <v>410</v>
      </c>
      <c r="F36" s="592" t="s">
        <v>3164</v>
      </c>
      <c r="G36" s="592" t="s">
        <v>3165</v>
      </c>
      <c r="H36" s="592" t="s">
        <v>3166</v>
      </c>
      <c r="I36" s="592" t="s">
        <v>3167</v>
      </c>
      <c r="J36" s="592" t="s">
        <v>3168</v>
      </c>
      <c r="K36" s="583" t="s">
        <v>410</v>
      </c>
      <c r="L36" t="s">
        <v>410</v>
      </c>
      <c r="M36" t="s">
        <v>410</v>
      </c>
      <c r="N36" t="s">
        <v>410</v>
      </c>
      <c r="O36" t="s">
        <v>410</v>
      </c>
      <c r="P36" t="s">
        <v>410</v>
      </c>
      <c r="Q36" t="s">
        <v>410</v>
      </c>
      <c r="R36" t="s">
        <v>410</v>
      </c>
      <c r="S36" t="s">
        <v>410</v>
      </c>
      <c r="T36" t="s">
        <v>410</v>
      </c>
    </row>
    <row r="37" spans="1:20" hidden="1" outlineLevel="1" x14ac:dyDescent="0.3">
      <c r="A37" s="583" t="s">
        <v>5233</v>
      </c>
      <c r="B37" s="591">
        <v>1</v>
      </c>
      <c r="C37" s="583" t="s">
        <v>1564</v>
      </c>
      <c r="D37" s="583" t="s">
        <v>5669</v>
      </c>
      <c r="E37" s="593" t="s">
        <v>410</v>
      </c>
      <c r="F37" s="594" t="str">
        <f>CONCATENATE(TEXT(Úr*2+sInt,0)," %")</f>
        <v>10 %</v>
      </c>
      <c r="G37" s="237" t="s">
        <v>410</v>
      </c>
      <c r="H37" s="237" t="s">
        <v>410</v>
      </c>
      <c r="I37" s="237" t="s">
        <v>410</v>
      </c>
      <c r="J37" s="237" t="s">
        <v>410</v>
      </c>
      <c r="K37" s="237" t="s">
        <v>410</v>
      </c>
      <c r="L37" s="237" t="s">
        <v>410</v>
      </c>
      <c r="M37" s="237" t="s">
        <v>410</v>
      </c>
      <c r="N37" s="237" t="s">
        <v>410</v>
      </c>
      <c r="O37" s="237" t="s">
        <v>410</v>
      </c>
      <c r="P37" s="237" t="s">
        <v>410</v>
      </c>
      <c r="Q37" s="237" t="s">
        <v>410</v>
      </c>
      <c r="R37" s="237" t="s">
        <v>410</v>
      </c>
      <c r="S37" s="237" t="s">
        <v>410</v>
      </c>
      <c r="T37" s="237" t="s">
        <v>410</v>
      </c>
    </row>
    <row r="38" spans="1:20" hidden="1" outlineLevel="1" x14ac:dyDescent="0.3">
      <c r="A38" s="583" t="s">
        <v>1687</v>
      </c>
      <c r="B38" s="591">
        <v>1</v>
      </c>
      <c r="C38" s="583" t="s">
        <v>1564</v>
      </c>
      <c r="D38" s="583" t="s">
        <v>5669</v>
      </c>
      <c r="E38" s="592" t="s">
        <v>410</v>
      </c>
      <c r="F38" s="593" t="s">
        <v>5521</v>
      </c>
      <c r="G38" s="237" t="s">
        <v>410</v>
      </c>
      <c r="H38" s="237" t="s">
        <v>410</v>
      </c>
      <c r="I38" s="237" t="s">
        <v>410</v>
      </c>
      <c r="J38" s="237" t="s">
        <v>410</v>
      </c>
      <c r="K38" s="237" t="s">
        <v>410</v>
      </c>
      <c r="L38" s="237" t="s">
        <v>410</v>
      </c>
      <c r="M38" s="237" t="s">
        <v>410</v>
      </c>
      <c r="N38" s="237" t="s">
        <v>410</v>
      </c>
      <c r="O38" s="237" t="s">
        <v>410</v>
      </c>
      <c r="P38" s="237" t="s">
        <v>410</v>
      </c>
      <c r="Q38" s="237" t="s">
        <v>410</v>
      </c>
      <c r="R38" s="237" t="s">
        <v>410</v>
      </c>
      <c r="S38" s="10" t="s">
        <v>410</v>
      </c>
      <c r="T38" s="10" t="s">
        <v>410</v>
      </c>
    </row>
    <row r="39" spans="1:20" hidden="1" outlineLevel="1" x14ac:dyDescent="0.3">
      <c r="A39" s="583" t="s">
        <v>1695</v>
      </c>
      <c r="B39" s="591">
        <v>1</v>
      </c>
      <c r="C39" s="583" t="s">
        <v>1564</v>
      </c>
      <c r="D39" s="583" t="s">
        <v>5669</v>
      </c>
      <c r="E39" s="592" t="s">
        <v>410</v>
      </c>
      <c r="F39" s="593" t="s">
        <v>5520</v>
      </c>
      <c r="G39" s="237" t="s">
        <v>410</v>
      </c>
      <c r="H39" s="237" t="s">
        <v>410</v>
      </c>
      <c r="I39" s="237" t="s">
        <v>410</v>
      </c>
      <c r="J39" s="237" t="s">
        <v>410</v>
      </c>
      <c r="K39" s="237" t="s">
        <v>410</v>
      </c>
      <c r="L39" s="237" t="s">
        <v>410</v>
      </c>
      <c r="M39" s="237" t="s">
        <v>410</v>
      </c>
      <c r="N39" s="237" t="s">
        <v>410</v>
      </c>
      <c r="O39" s="237" t="s">
        <v>410</v>
      </c>
      <c r="P39" s="237" t="s">
        <v>410</v>
      </c>
      <c r="Q39" s="237" t="s">
        <v>410</v>
      </c>
      <c r="R39" s="237" t="s">
        <v>410</v>
      </c>
      <c r="S39" s="10" t="s">
        <v>410</v>
      </c>
      <c r="T39" s="10" t="s">
        <v>410</v>
      </c>
    </row>
    <row r="40" spans="1:20" hidden="1" outlineLevel="1" x14ac:dyDescent="0.3">
      <c r="A40" s="583" t="s">
        <v>1705</v>
      </c>
      <c r="B40" s="591">
        <v>1</v>
      </c>
      <c r="C40" s="583" t="s">
        <v>1564</v>
      </c>
      <c r="D40" s="583" t="s">
        <v>5669</v>
      </c>
      <c r="E40" s="592" t="s">
        <v>410</v>
      </c>
      <c r="F40" s="593"/>
      <c r="G40" s="237" t="s">
        <v>410</v>
      </c>
      <c r="H40" s="237" t="s">
        <v>410</v>
      </c>
      <c r="I40" s="237" t="s">
        <v>410</v>
      </c>
      <c r="J40" s="237" t="s">
        <v>410</v>
      </c>
      <c r="K40" s="237" t="s">
        <v>410</v>
      </c>
      <c r="L40" s="237" t="s">
        <v>410</v>
      </c>
      <c r="M40" s="237" t="s">
        <v>410</v>
      </c>
      <c r="N40" s="237" t="s">
        <v>410</v>
      </c>
      <c r="O40" s="237" t="s">
        <v>410</v>
      </c>
      <c r="P40" s="237" t="s">
        <v>410</v>
      </c>
      <c r="Q40" s="237" t="s">
        <v>410</v>
      </c>
      <c r="R40" s="237" t="s">
        <v>410</v>
      </c>
      <c r="S40" s="10" t="s">
        <v>410</v>
      </c>
      <c r="T40" s="10" t="s">
        <v>410</v>
      </c>
    </row>
    <row r="41" spans="1:20" hidden="1" outlineLevel="1" x14ac:dyDescent="0.3">
      <c r="A41" s="583" t="s">
        <v>1875</v>
      </c>
      <c r="B41" s="591">
        <v>1</v>
      </c>
      <c r="C41" s="583" t="s">
        <v>1564</v>
      </c>
      <c r="D41" s="583" t="s">
        <v>5669</v>
      </c>
      <c r="E41" s="592" t="s">
        <v>410</v>
      </c>
      <c r="F41" s="593" t="s">
        <v>4983</v>
      </c>
      <c r="G41" s="237" t="s">
        <v>410</v>
      </c>
      <c r="H41" s="237" t="s">
        <v>410</v>
      </c>
      <c r="I41" s="237" t="s">
        <v>410</v>
      </c>
      <c r="J41" s="237" t="s">
        <v>410</v>
      </c>
      <c r="K41" s="237" t="s">
        <v>410</v>
      </c>
      <c r="L41" s="237" t="s">
        <v>410</v>
      </c>
      <c r="M41" s="237" t="s">
        <v>410</v>
      </c>
      <c r="N41" s="237" t="s">
        <v>410</v>
      </c>
      <c r="O41" s="237" t="s">
        <v>410</v>
      </c>
      <c r="P41" s="237" t="s">
        <v>410</v>
      </c>
      <c r="Q41" s="237" t="s">
        <v>410</v>
      </c>
      <c r="R41" s="237" t="s">
        <v>410</v>
      </c>
      <c r="S41" s="10" t="s">
        <v>410</v>
      </c>
      <c r="T41" s="10" t="s">
        <v>410</v>
      </c>
    </row>
    <row r="42" spans="1:20" hidden="1" outlineLevel="1" x14ac:dyDescent="0.3">
      <c r="A42" s="583" t="s">
        <v>1876</v>
      </c>
      <c r="B42" s="591">
        <v>1</v>
      </c>
      <c r="C42" s="583" t="s">
        <v>1564</v>
      </c>
      <c r="D42" s="583" t="s">
        <v>5669</v>
      </c>
      <c r="E42" s="592" t="s">
        <v>410</v>
      </c>
      <c r="F42" s="593" t="s">
        <v>4978</v>
      </c>
      <c r="G42" s="237" t="s">
        <v>410</v>
      </c>
      <c r="H42" s="237" t="s">
        <v>410</v>
      </c>
      <c r="I42" s="237" t="s">
        <v>410</v>
      </c>
      <c r="J42" s="237" t="s">
        <v>410</v>
      </c>
      <c r="K42" s="237" t="s">
        <v>410</v>
      </c>
      <c r="L42" s="237" t="s">
        <v>410</v>
      </c>
      <c r="M42" s="237" t="s">
        <v>410</v>
      </c>
      <c r="N42" s="237" t="s">
        <v>410</v>
      </c>
      <c r="O42" s="237" t="s">
        <v>410</v>
      </c>
      <c r="P42" s="237" t="s">
        <v>410</v>
      </c>
      <c r="Q42" s="237" t="s">
        <v>410</v>
      </c>
      <c r="R42" s="237" t="s">
        <v>410</v>
      </c>
      <c r="S42" s="10" t="s">
        <v>410</v>
      </c>
      <c r="T42" s="10" t="s">
        <v>410</v>
      </c>
    </row>
    <row r="43" spans="1:20" hidden="1" outlineLevel="1" x14ac:dyDescent="0.3">
      <c r="A43" s="583" t="s">
        <v>3026</v>
      </c>
      <c r="B43" s="591">
        <v>1</v>
      </c>
      <c r="C43" s="583" t="s">
        <v>1564</v>
      </c>
      <c r="D43" s="583" t="s">
        <v>5669</v>
      </c>
      <c r="E43" s="592"/>
      <c r="F43" s="592" t="s">
        <v>410</v>
      </c>
      <c r="G43" s="592" t="s">
        <v>410</v>
      </c>
      <c r="H43" s="592" t="s">
        <v>410</v>
      </c>
      <c r="I43" s="10" t="s">
        <v>410</v>
      </c>
      <c r="J43" s="10" t="s">
        <v>410</v>
      </c>
      <c r="K43" s="10" t="s">
        <v>410</v>
      </c>
      <c r="L43" s="10" t="s">
        <v>410</v>
      </c>
      <c r="M43" s="10" t="s">
        <v>410</v>
      </c>
      <c r="N43" s="10" t="s">
        <v>410</v>
      </c>
      <c r="O43" s="10" t="s">
        <v>410</v>
      </c>
      <c r="P43" s="10" t="s">
        <v>410</v>
      </c>
      <c r="Q43" s="10" t="s">
        <v>410</v>
      </c>
      <c r="R43" s="10" t="s">
        <v>410</v>
      </c>
      <c r="S43" s="10" t="s">
        <v>410</v>
      </c>
      <c r="T43" s="10" t="s">
        <v>410</v>
      </c>
    </row>
    <row r="44" spans="1:20" hidden="1" outlineLevel="1" x14ac:dyDescent="0.3">
      <c r="A44" s="583" t="s">
        <v>2197</v>
      </c>
      <c r="B44" s="591">
        <v>2</v>
      </c>
      <c r="C44" s="583" t="s">
        <v>1564</v>
      </c>
      <c r="D44" s="583" t="s">
        <v>5669</v>
      </c>
      <c r="E44" s="592" t="s">
        <v>410</v>
      </c>
      <c r="F44" s="583" t="s">
        <v>410</v>
      </c>
      <c r="G44" s="583" t="s">
        <v>3169</v>
      </c>
      <c r="H44" s="583" t="s">
        <v>3170</v>
      </c>
      <c r="I44" s="583" t="s">
        <v>3171</v>
      </c>
      <c r="J44" s="583" t="s">
        <v>3172</v>
      </c>
      <c r="K44" s="583" t="s">
        <v>410</v>
      </c>
      <c r="L44" t="s">
        <v>410</v>
      </c>
      <c r="M44" t="s">
        <v>410</v>
      </c>
      <c r="N44" t="s">
        <v>410</v>
      </c>
      <c r="O44" t="s">
        <v>410</v>
      </c>
      <c r="P44" t="s">
        <v>410</v>
      </c>
      <c r="Q44" t="s">
        <v>410</v>
      </c>
      <c r="R44" t="s">
        <v>410</v>
      </c>
      <c r="S44" t="s">
        <v>410</v>
      </c>
      <c r="T44" t="s">
        <v>410</v>
      </c>
    </row>
    <row r="45" spans="1:20" hidden="1" outlineLevel="1" x14ac:dyDescent="0.3">
      <c r="A45" s="583" t="s">
        <v>4439</v>
      </c>
      <c r="B45" s="591">
        <v>2</v>
      </c>
      <c r="C45" s="583" t="s">
        <v>1564</v>
      </c>
      <c r="D45" s="583" t="s">
        <v>5669</v>
      </c>
      <c r="E45" s="592" t="s">
        <v>410</v>
      </c>
      <c r="F45" s="593" t="s">
        <v>3622</v>
      </c>
      <c r="G45" s="237" t="s">
        <v>410</v>
      </c>
      <c r="H45" s="237" t="s">
        <v>410</v>
      </c>
      <c r="I45" s="237" t="s">
        <v>410</v>
      </c>
      <c r="J45" s="237" t="s">
        <v>410</v>
      </c>
      <c r="K45" s="237" t="s">
        <v>410</v>
      </c>
      <c r="L45" s="237" t="s">
        <v>410</v>
      </c>
      <c r="M45" s="237" t="s">
        <v>410</v>
      </c>
      <c r="N45" s="237" t="s">
        <v>410</v>
      </c>
      <c r="O45" s="237" t="s">
        <v>410</v>
      </c>
      <c r="P45" s="237" t="s">
        <v>410</v>
      </c>
      <c r="Q45" s="237" t="s">
        <v>410</v>
      </c>
      <c r="R45" s="237" t="s">
        <v>410</v>
      </c>
      <c r="S45" s="10" t="s">
        <v>410</v>
      </c>
      <c r="T45" s="10" t="s">
        <v>410</v>
      </c>
    </row>
    <row r="46" spans="1:20" hidden="1" outlineLevel="1" x14ac:dyDescent="0.3">
      <c r="A46" s="583" t="s">
        <v>1688</v>
      </c>
      <c r="B46" s="591">
        <v>2</v>
      </c>
      <c r="C46" s="583" t="s">
        <v>1564</v>
      </c>
      <c r="D46" s="583" t="s">
        <v>5669</v>
      </c>
      <c r="E46" s="592" t="s">
        <v>410</v>
      </c>
      <c r="F46" s="593" t="s">
        <v>3622</v>
      </c>
      <c r="G46" s="237" t="s">
        <v>410</v>
      </c>
      <c r="H46" s="237" t="s">
        <v>410</v>
      </c>
      <c r="I46" s="237" t="s">
        <v>410</v>
      </c>
      <c r="J46" s="237" t="s">
        <v>410</v>
      </c>
      <c r="K46" s="237" t="s">
        <v>410</v>
      </c>
      <c r="L46" s="237" t="s">
        <v>410</v>
      </c>
      <c r="M46" s="237" t="s">
        <v>410</v>
      </c>
      <c r="N46" s="237" t="s">
        <v>410</v>
      </c>
      <c r="O46" s="237" t="s">
        <v>410</v>
      </c>
      <c r="P46" s="237" t="s">
        <v>410</v>
      </c>
      <c r="Q46" s="237" t="s">
        <v>410</v>
      </c>
      <c r="R46" s="237" t="s">
        <v>410</v>
      </c>
      <c r="S46" s="10" t="s">
        <v>410</v>
      </c>
      <c r="T46" s="10" t="s">
        <v>410</v>
      </c>
    </row>
    <row r="47" spans="1:20" hidden="1" outlineLevel="1" x14ac:dyDescent="0.3">
      <c r="A47" s="583" t="s">
        <v>5167</v>
      </c>
      <c r="B47" s="591">
        <v>2</v>
      </c>
      <c r="C47" s="583" t="s">
        <v>1564</v>
      </c>
      <c r="D47" s="583" t="s">
        <v>5669</v>
      </c>
      <c r="E47" s="592" t="s">
        <v>410</v>
      </c>
      <c r="F47" s="593" t="s">
        <v>3622</v>
      </c>
      <c r="G47" s="237" t="s">
        <v>410</v>
      </c>
      <c r="H47" s="237" t="s">
        <v>410</v>
      </c>
      <c r="I47" s="237" t="s">
        <v>410</v>
      </c>
      <c r="J47" s="237" t="s">
        <v>410</v>
      </c>
      <c r="K47" s="237" t="s">
        <v>410</v>
      </c>
      <c r="L47" s="237" t="s">
        <v>410</v>
      </c>
      <c r="M47" s="237" t="s">
        <v>410</v>
      </c>
      <c r="N47" s="237" t="s">
        <v>410</v>
      </c>
      <c r="O47" s="237" t="s">
        <v>410</v>
      </c>
      <c r="P47" s="237" t="s">
        <v>410</v>
      </c>
      <c r="Q47" s="237" t="s">
        <v>410</v>
      </c>
      <c r="R47" s="237" t="s">
        <v>410</v>
      </c>
      <c r="S47" s="10" t="s">
        <v>410</v>
      </c>
      <c r="T47" s="10" t="s">
        <v>410</v>
      </c>
    </row>
    <row r="48" spans="1:20" hidden="1" outlineLevel="1" x14ac:dyDescent="0.3">
      <c r="A48" s="583" t="s">
        <v>1877</v>
      </c>
      <c r="B48" s="591">
        <v>2</v>
      </c>
      <c r="C48" s="583" t="s">
        <v>1564</v>
      </c>
      <c r="D48" s="583" t="s">
        <v>5669</v>
      </c>
      <c r="E48" s="592" t="s">
        <v>410</v>
      </c>
      <c r="F48" s="593" t="s">
        <v>4979</v>
      </c>
      <c r="G48" s="237" t="s">
        <v>410</v>
      </c>
      <c r="H48" s="237" t="s">
        <v>410</v>
      </c>
      <c r="I48" s="237" t="s">
        <v>410</v>
      </c>
      <c r="J48" s="237" t="s">
        <v>410</v>
      </c>
      <c r="K48" s="237" t="s">
        <v>410</v>
      </c>
      <c r="L48" s="237" t="s">
        <v>410</v>
      </c>
      <c r="M48" s="237" t="s">
        <v>410</v>
      </c>
      <c r="N48" s="237" t="s">
        <v>410</v>
      </c>
      <c r="O48" s="237" t="s">
        <v>410</v>
      </c>
      <c r="P48" s="237" t="s">
        <v>410</v>
      </c>
      <c r="Q48" s="237" t="s">
        <v>410</v>
      </c>
      <c r="R48" s="237" t="s">
        <v>410</v>
      </c>
      <c r="S48" s="10" t="s">
        <v>410</v>
      </c>
      <c r="T48" s="10" t="s">
        <v>410</v>
      </c>
    </row>
    <row r="49" spans="1:20" hidden="1" outlineLevel="1" x14ac:dyDescent="0.3">
      <c r="A49" s="583" t="s">
        <v>3586</v>
      </c>
      <c r="B49" s="591">
        <v>3</v>
      </c>
      <c r="C49" s="583" t="s">
        <v>1564</v>
      </c>
      <c r="D49" s="583" t="s">
        <v>5669</v>
      </c>
      <c r="E49" s="593" t="s">
        <v>410</v>
      </c>
      <c r="F49" s="593" t="s">
        <v>4665</v>
      </c>
      <c r="G49" s="593" t="s">
        <v>4291</v>
      </c>
      <c r="H49" s="593" t="s">
        <v>4666</v>
      </c>
      <c r="I49" s="593" t="s">
        <v>4667</v>
      </c>
      <c r="J49" s="593" t="s">
        <v>4668</v>
      </c>
      <c r="K49" s="593" t="s">
        <v>4669</v>
      </c>
      <c r="L49" s="593" t="s">
        <v>4670</v>
      </c>
      <c r="M49" s="593" t="s">
        <v>4671</v>
      </c>
      <c r="N49" s="237" t="s">
        <v>410</v>
      </c>
      <c r="O49" s="237" t="s">
        <v>410</v>
      </c>
      <c r="P49" s="237" t="s">
        <v>410</v>
      </c>
      <c r="Q49" s="237" t="s">
        <v>410</v>
      </c>
      <c r="R49" s="237" t="s">
        <v>410</v>
      </c>
      <c r="S49" s="237" t="s">
        <v>410</v>
      </c>
      <c r="T49" s="237" t="s">
        <v>410</v>
      </c>
    </row>
    <row r="50" spans="1:20" hidden="1" outlineLevel="1" x14ac:dyDescent="0.3">
      <c r="A50" s="583" t="s">
        <v>2198</v>
      </c>
      <c r="B50" s="591">
        <v>3</v>
      </c>
      <c r="C50" s="583" t="s">
        <v>1564</v>
      </c>
      <c r="D50" s="583" t="s">
        <v>5669</v>
      </c>
      <c r="E50" s="592" t="s">
        <v>410</v>
      </c>
      <c r="F50" s="583" t="s">
        <v>410</v>
      </c>
      <c r="G50" s="583" t="s">
        <v>410</v>
      </c>
      <c r="H50" s="592" t="s">
        <v>3173</v>
      </c>
      <c r="I50" s="592" t="s">
        <v>3173</v>
      </c>
      <c r="J50" s="592" t="s">
        <v>3174</v>
      </c>
      <c r="K50" s="583" t="s">
        <v>410</v>
      </c>
      <c r="L50" t="s">
        <v>410</v>
      </c>
      <c r="M50" t="s">
        <v>410</v>
      </c>
      <c r="N50" t="s">
        <v>410</v>
      </c>
      <c r="O50" t="s">
        <v>410</v>
      </c>
      <c r="P50" t="s">
        <v>410</v>
      </c>
      <c r="Q50" t="s">
        <v>410</v>
      </c>
      <c r="R50" t="s">
        <v>410</v>
      </c>
      <c r="S50" t="s">
        <v>410</v>
      </c>
      <c r="T50" t="s">
        <v>410</v>
      </c>
    </row>
    <row r="51" spans="1:20" hidden="1" outlineLevel="1" x14ac:dyDescent="0.3">
      <c r="A51" s="583" t="s">
        <v>1690</v>
      </c>
      <c r="B51" s="591">
        <v>3</v>
      </c>
      <c r="C51" s="583" t="s">
        <v>1564</v>
      </c>
      <c r="D51" s="583" t="s">
        <v>5669</v>
      </c>
      <c r="E51" s="592" t="s">
        <v>410</v>
      </c>
      <c r="F51" s="593" t="s">
        <v>4332</v>
      </c>
      <c r="G51" s="237" t="s">
        <v>410</v>
      </c>
      <c r="H51" s="237" t="s">
        <v>410</v>
      </c>
      <c r="I51" s="237" t="s">
        <v>410</v>
      </c>
      <c r="J51" s="237" t="s">
        <v>410</v>
      </c>
      <c r="K51" s="237" t="s">
        <v>410</v>
      </c>
      <c r="L51" s="237" t="s">
        <v>410</v>
      </c>
      <c r="M51" s="237" t="s">
        <v>410</v>
      </c>
      <c r="N51" s="237" t="s">
        <v>410</v>
      </c>
      <c r="O51" s="237" t="s">
        <v>410</v>
      </c>
      <c r="P51" s="237" t="s">
        <v>410</v>
      </c>
      <c r="Q51" s="237" t="s">
        <v>410</v>
      </c>
      <c r="R51" s="237" t="s">
        <v>410</v>
      </c>
      <c r="S51" s="10" t="s">
        <v>410</v>
      </c>
      <c r="T51" s="10" t="s">
        <v>410</v>
      </c>
    </row>
    <row r="52" spans="1:20" hidden="1" outlineLevel="1" x14ac:dyDescent="0.3">
      <c r="A52" s="583" t="s">
        <v>5168</v>
      </c>
      <c r="B52" s="591">
        <v>3</v>
      </c>
      <c r="C52" s="583" t="s">
        <v>1564</v>
      </c>
      <c r="D52" s="583" t="s">
        <v>5669</v>
      </c>
      <c r="E52" s="592" t="s">
        <v>410</v>
      </c>
      <c r="F52" s="593" t="s">
        <v>5169</v>
      </c>
      <c r="G52" s="237" t="s">
        <v>410</v>
      </c>
      <c r="H52" s="237" t="s">
        <v>410</v>
      </c>
      <c r="I52" s="237" t="s">
        <v>410</v>
      </c>
      <c r="J52" s="237" t="s">
        <v>410</v>
      </c>
      <c r="K52" s="237" t="s">
        <v>410</v>
      </c>
      <c r="L52" s="237" t="s">
        <v>410</v>
      </c>
      <c r="M52" s="237" t="s">
        <v>410</v>
      </c>
      <c r="N52" s="237" t="s">
        <v>410</v>
      </c>
      <c r="O52" s="237" t="s">
        <v>410</v>
      </c>
      <c r="P52" s="237" t="s">
        <v>410</v>
      </c>
      <c r="Q52" s="237" t="s">
        <v>410</v>
      </c>
      <c r="R52" s="237" t="s">
        <v>410</v>
      </c>
      <c r="S52" s="10" t="s">
        <v>410</v>
      </c>
      <c r="T52" s="10" t="s">
        <v>410</v>
      </c>
    </row>
    <row r="53" spans="1:20" hidden="1" outlineLevel="1" x14ac:dyDescent="0.3">
      <c r="A53" s="583" t="s">
        <v>1878</v>
      </c>
      <c r="B53" s="591">
        <v>3</v>
      </c>
      <c r="C53" s="583" t="s">
        <v>1564</v>
      </c>
      <c r="D53" s="583" t="s">
        <v>5669</v>
      </c>
      <c r="E53" s="592" t="s">
        <v>410</v>
      </c>
      <c r="F53" s="593" t="s">
        <v>4980</v>
      </c>
      <c r="G53" s="237" t="s">
        <v>410</v>
      </c>
      <c r="H53" s="237" t="s">
        <v>410</v>
      </c>
      <c r="I53" s="237" t="s">
        <v>410</v>
      </c>
      <c r="J53" s="237" t="s">
        <v>410</v>
      </c>
      <c r="K53" s="237" t="s">
        <v>410</v>
      </c>
      <c r="L53" s="237" t="s">
        <v>410</v>
      </c>
      <c r="M53" s="237" t="s">
        <v>410</v>
      </c>
      <c r="N53" s="237" t="s">
        <v>410</v>
      </c>
      <c r="O53" s="237" t="s">
        <v>410</v>
      </c>
      <c r="P53" s="237" t="s">
        <v>410</v>
      </c>
      <c r="Q53" s="237" t="s">
        <v>410</v>
      </c>
      <c r="R53" s="237" t="s">
        <v>410</v>
      </c>
      <c r="S53" s="10" t="s">
        <v>410</v>
      </c>
      <c r="T53" s="10" t="s">
        <v>410</v>
      </c>
    </row>
    <row r="54" spans="1:20" hidden="1" outlineLevel="1" x14ac:dyDescent="0.3">
      <c r="A54" s="583" t="s">
        <v>3163</v>
      </c>
      <c r="B54" s="591">
        <v>4</v>
      </c>
      <c r="C54" s="583" t="s">
        <v>1564</v>
      </c>
      <c r="D54" s="583" t="s">
        <v>5669</v>
      </c>
      <c r="E54" s="592" t="s">
        <v>410</v>
      </c>
      <c r="F54" s="583" t="s">
        <v>410</v>
      </c>
      <c r="G54" s="583" t="s">
        <v>410</v>
      </c>
      <c r="H54" s="583" t="s">
        <v>410</v>
      </c>
      <c r="I54" s="592" t="s">
        <v>3175</v>
      </c>
      <c r="J54" s="592" t="s">
        <v>3175</v>
      </c>
      <c r="K54" s="583" t="s">
        <v>410</v>
      </c>
      <c r="L54" t="s">
        <v>410</v>
      </c>
      <c r="M54" t="s">
        <v>410</v>
      </c>
      <c r="N54" t="s">
        <v>410</v>
      </c>
      <c r="O54" t="s">
        <v>410</v>
      </c>
      <c r="P54" t="s">
        <v>410</v>
      </c>
      <c r="Q54" t="s">
        <v>410</v>
      </c>
      <c r="R54" t="s">
        <v>410</v>
      </c>
      <c r="S54" t="s">
        <v>410</v>
      </c>
      <c r="T54" t="s">
        <v>410</v>
      </c>
    </row>
    <row r="55" spans="1:20" hidden="1" outlineLevel="1" x14ac:dyDescent="0.3">
      <c r="A55" s="583" t="s">
        <v>1879</v>
      </c>
      <c r="B55" s="591">
        <v>4</v>
      </c>
      <c r="C55" s="583" t="s">
        <v>1564</v>
      </c>
      <c r="D55" s="583" t="s">
        <v>5669</v>
      </c>
      <c r="E55" s="592" t="s">
        <v>410</v>
      </c>
      <c r="F55" s="593" t="s">
        <v>3949</v>
      </c>
      <c r="G55" s="237" t="s">
        <v>410</v>
      </c>
      <c r="H55" s="237" t="s">
        <v>410</v>
      </c>
      <c r="I55" s="237" t="s">
        <v>410</v>
      </c>
      <c r="J55" s="237" t="s">
        <v>410</v>
      </c>
      <c r="K55" s="237" t="s">
        <v>410</v>
      </c>
      <c r="L55" s="237" t="s">
        <v>410</v>
      </c>
      <c r="M55" s="237" t="s">
        <v>410</v>
      </c>
      <c r="N55" s="237" t="s">
        <v>410</v>
      </c>
      <c r="O55" s="237" t="s">
        <v>410</v>
      </c>
      <c r="P55" s="237" t="s">
        <v>410</v>
      </c>
      <c r="Q55" s="237" t="s">
        <v>410</v>
      </c>
      <c r="R55" s="237" t="s">
        <v>410</v>
      </c>
      <c r="S55" s="10" t="s">
        <v>410</v>
      </c>
      <c r="T55" s="10" t="s">
        <v>410</v>
      </c>
    </row>
    <row r="56" spans="1:20" hidden="1" outlineLevel="1" x14ac:dyDescent="0.3">
      <c r="A56" s="583" t="s">
        <v>2199</v>
      </c>
      <c r="B56" s="591">
        <v>5</v>
      </c>
      <c r="C56" s="583" t="s">
        <v>1564</v>
      </c>
      <c r="D56" s="583" t="s">
        <v>5669</v>
      </c>
      <c r="E56" s="592" t="s">
        <v>410</v>
      </c>
      <c r="F56" s="583" t="s">
        <v>410</v>
      </c>
      <c r="G56" s="583" t="s">
        <v>410</v>
      </c>
      <c r="H56" s="583" t="s">
        <v>410</v>
      </c>
      <c r="I56" s="583" t="s">
        <v>410</v>
      </c>
      <c r="J56" s="592" t="s">
        <v>2200</v>
      </c>
      <c r="K56" s="583" t="s">
        <v>410</v>
      </c>
      <c r="L56" t="s">
        <v>410</v>
      </c>
      <c r="M56" t="s">
        <v>410</v>
      </c>
      <c r="N56" t="s">
        <v>410</v>
      </c>
      <c r="O56" t="s">
        <v>410</v>
      </c>
      <c r="P56" t="s">
        <v>410</v>
      </c>
      <c r="Q56" t="s">
        <v>410</v>
      </c>
      <c r="R56" t="s">
        <v>410</v>
      </c>
      <c r="S56" t="s">
        <v>410</v>
      </c>
      <c r="T56" t="s">
        <v>410</v>
      </c>
    </row>
    <row r="57" spans="1:20" hidden="1" outlineLevel="1" x14ac:dyDescent="0.3">
      <c r="A57" s="583" t="s">
        <v>1880</v>
      </c>
      <c r="B57" s="591">
        <v>5</v>
      </c>
      <c r="C57" s="583" t="s">
        <v>1564</v>
      </c>
      <c r="D57" s="583" t="s">
        <v>5669</v>
      </c>
      <c r="E57" s="592" t="s">
        <v>410</v>
      </c>
      <c r="F57" s="593" t="s">
        <v>4982</v>
      </c>
      <c r="G57" s="237" t="s">
        <v>410</v>
      </c>
      <c r="H57" s="237" t="s">
        <v>410</v>
      </c>
      <c r="I57" s="237" t="s">
        <v>410</v>
      </c>
      <c r="J57" s="237" t="s">
        <v>410</v>
      </c>
      <c r="K57" s="237" t="s">
        <v>410</v>
      </c>
      <c r="L57" s="237" t="s">
        <v>410</v>
      </c>
      <c r="M57" s="237" t="s">
        <v>410</v>
      </c>
      <c r="N57" s="237" t="s">
        <v>410</v>
      </c>
      <c r="O57" s="237" t="s">
        <v>410</v>
      </c>
      <c r="P57" s="237" t="s">
        <v>410</v>
      </c>
      <c r="Q57" s="237" t="s">
        <v>410</v>
      </c>
      <c r="R57" s="237" t="s">
        <v>410</v>
      </c>
      <c r="S57" s="10" t="s">
        <v>410</v>
      </c>
      <c r="T57" s="10" t="s">
        <v>410</v>
      </c>
    </row>
    <row r="58" spans="1:20" hidden="1" outlineLevel="1" x14ac:dyDescent="0.3">
      <c r="A58" s="583" t="s">
        <v>3028</v>
      </c>
      <c r="B58" s="591">
        <v>6</v>
      </c>
      <c r="C58" s="588" t="s">
        <v>1564</v>
      </c>
      <c r="D58" s="588" t="s">
        <v>5669</v>
      </c>
      <c r="E58" s="589" t="s">
        <v>410</v>
      </c>
      <c r="F58" s="594" t="str">
        <f>CONCATENATE(TEXT(0+IF(INT&lt;0,0,INT)*1,"0")," mg")</f>
        <v>0 mg</v>
      </c>
      <c r="G58" s="594" t="str">
        <f>CONCATENATE(TEXT(2+IF(INT&lt;0,0,INT)*1,"0")," mg")</f>
        <v>2 mg</v>
      </c>
      <c r="H58" s="594" t="str">
        <f>CONCATENATE(TEXT(4+IF(INT&lt;0,0,INT)*1,"0")," mg")</f>
        <v>4 mg</v>
      </c>
      <c r="I58" s="594" t="str">
        <f>CONCATENATE(TEXT(4+IF(INT&lt;0,0,INT)*2,"0")," mg")</f>
        <v>4 mg</v>
      </c>
      <c r="J58" s="594" t="str">
        <f>CONCATENATE(TEXT(6+IF(INT&lt;0,0,INT)*2,"0")," mg")</f>
        <v>6 mg</v>
      </c>
      <c r="K58" s="594" t="str">
        <f>CONCATENATE(TEXT(8+IF(INT&lt;0,0,INT)*2,"0")," mg")</f>
        <v>8 mg</v>
      </c>
      <c r="L58" s="594" t="str">
        <f>CONCATENATE(TEXT(10+IF(INT&lt;0,0,INT)*2,"0")," mg")</f>
        <v>10 mg</v>
      </c>
      <c r="M58" s="594" t="str">
        <f>CONCATENATE(TEXT(12+IF(INT&lt;0,0,INT)*2,"0")," mg")</f>
        <v>12 mg</v>
      </c>
      <c r="N58" s="594" t="str">
        <f>CONCATENATE(TEXT(14+IF(INT&lt;0,0,INT)*2,"0")," mg")</f>
        <v>14 mg</v>
      </c>
      <c r="O58" s="594" t="str">
        <f>CONCATENATE(TEXT(15+IF(INT&lt;0,0,INT)*3,"0")," mg")</f>
        <v>15 mg</v>
      </c>
      <c r="P58" s="441" t="s">
        <v>410</v>
      </c>
      <c r="Q58" s="441" t="s">
        <v>410</v>
      </c>
      <c r="R58" s="441" t="s">
        <v>410</v>
      </c>
      <c r="S58" s="441" t="s">
        <v>410</v>
      </c>
      <c r="T58" s="441" t="s">
        <v>410</v>
      </c>
    </row>
    <row r="59" spans="1:20" hidden="1" outlineLevel="1" x14ac:dyDescent="0.3">
      <c r="A59" s="583" t="s">
        <v>3145</v>
      </c>
      <c r="B59" s="591">
        <v>6</v>
      </c>
      <c r="C59" s="583" t="s">
        <v>1564</v>
      </c>
      <c r="D59" s="583" t="s">
        <v>5669</v>
      </c>
      <c r="E59" s="593" t="s">
        <v>410</v>
      </c>
      <c r="F59" s="593" t="s">
        <v>3039</v>
      </c>
      <c r="G59" s="593" t="s">
        <v>3040</v>
      </c>
      <c r="H59" s="593" t="s">
        <v>3041</v>
      </c>
      <c r="I59" s="593" t="s">
        <v>4634</v>
      </c>
      <c r="J59" s="593" t="s">
        <v>3042</v>
      </c>
      <c r="K59" s="593" t="s">
        <v>3043</v>
      </c>
      <c r="L59" s="593" t="s">
        <v>3044</v>
      </c>
      <c r="M59" s="593" t="s">
        <v>3045</v>
      </c>
      <c r="N59" s="237" t="s">
        <v>410</v>
      </c>
      <c r="O59" s="237" t="s">
        <v>410</v>
      </c>
      <c r="P59" s="237" t="s">
        <v>410</v>
      </c>
      <c r="Q59" s="237" t="s">
        <v>410</v>
      </c>
      <c r="R59" s="237" t="s">
        <v>410</v>
      </c>
      <c r="S59" s="237" t="s">
        <v>410</v>
      </c>
      <c r="T59" s="237" t="s">
        <v>410</v>
      </c>
    </row>
    <row r="60" spans="1:20" hidden="1" outlineLevel="1" x14ac:dyDescent="0.3">
      <c r="A60" s="583" t="s">
        <v>3591</v>
      </c>
      <c r="B60" s="591">
        <v>11</v>
      </c>
      <c r="C60" s="583" t="s">
        <v>1564</v>
      </c>
      <c r="D60" s="583" t="s">
        <v>5669</v>
      </c>
      <c r="E60" s="593" t="s">
        <v>410</v>
      </c>
      <c r="F60" s="593" t="s">
        <v>4680</v>
      </c>
      <c r="G60" s="593" t="s">
        <v>4681</v>
      </c>
      <c r="H60" s="593" t="s">
        <v>4682</v>
      </c>
      <c r="I60" s="593" t="s">
        <v>4683</v>
      </c>
      <c r="J60" s="593" t="s">
        <v>4684</v>
      </c>
      <c r="K60" s="593" t="s">
        <v>4685</v>
      </c>
      <c r="L60" s="593" t="s">
        <v>4686</v>
      </c>
      <c r="M60" s="593" t="s">
        <v>4687</v>
      </c>
      <c r="N60" s="237" t="s">
        <v>410</v>
      </c>
      <c r="O60" s="237" t="s">
        <v>410</v>
      </c>
      <c r="P60" s="237" t="s">
        <v>410</v>
      </c>
      <c r="Q60" s="237" t="s">
        <v>410</v>
      </c>
      <c r="R60" s="237" t="s">
        <v>410</v>
      </c>
      <c r="S60" s="237" t="s">
        <v>410</v>
      </c>
      <c r="T60" s="237" t="s">
        <v>410</v>
      </c>
    </row>
    <row r="61" spans="1:20" hidden="1" outlineLevel="1" x14ac:dyDescent="0.3">
      <c r="A61" s="583" t="s">
        <v>4773</v>
      </c>
      <c r="B61" s="591">
        <v>16</v>
      </c>
      <c r="C61" s="583" t="s">
        <v>1564</v>
      </c>
      <c r="D61" s="583" t="s">
        <v>5669</v>
      </c>
      <c r="E61" s="593" t="s">
        <v>410</v>
      </c>
      <c r="F61" s="593"/>
      <c r="G61" s="593"/>
      <c r="H61" s="593"/>
      <c r="I61" s="593"/>
      <c r="J61" s="593"/>
      <c r="K61" s="593"/>
      <c r="L61" s="593"/>
      <c r="M61" s="593"/>
      <c r="N61" s="237" t="s">
        <v>410</v>
      </c>
      <c r="O61" s="237" t="s">
        <v>410</v>
      </c>
      <c r="P61" s="237" t="s">
        <v>410</v>
      </c>
      <c r="Q61" s="237" t="s">
        <v>410</v>
      </c>
      <c r="R61" s="237" t="s">
        <v>410</v>
      </c>
      <c r="S61" s="237" t="s">
        <v>410</v>
      </c>
      <c r="T61" s="237" t="s">
        <v>410</v>
      </c>
    </row>
    <row r="62" spans="1:20" hidden="1" outlineLevel="1" x14ac:dyDescent="0.3">
      <c r="A62" s="583" t="s">
        <v>1706</v>
      </c>
      <c r="B62" s="591">
        <v>16</v>
      </c>
      <c r="C62" s="583" t="s">
        <v>1564</v>
      </c>
      <c r="D62" s="583" t="s">
        <v>5669</v>
      </c>
      <c r="E62" s="592" t="s">
        <v>410</v>
      </c>
      <c r="F62" s="593" t="s">
        <v>4331</v>
      </c>
      <c r="G62" s="237" t="s">
        <v>410</v>
      </c>
      <c r="H62" s="237" t="s">
        <v>410</v>
      </c>
      <c r="I62" s="237" t="s">
        <v>410</v>
      </c>
      <c r="J62" s="237" t="s">
        <v>410</v>
      </c>
      <c r="K62" s="237" t="s">
        <v>410</v>
      </c>
      <c r="L62" s="237" t="s">
        <v>410</v>
      </c>
      <c r="M62" s="237" t="s">
        <v>410</v>
      </c>
      <c r="N62" s="237" t="s">
        <v>410</v>
      </c>
      <c r="O62" s="237" t="s">
        <v>410</v>
      </c>
      <c r="P62" s="237" t="s">
        <v>410</v>
      </c>
      <c r="Q62" s="237" t="s">
        <v>410</v>
      </c>
      <c r="R62" s="237" t="s">
        <v>410</v>
      </c>
      <c r="S62" s="10" t="s">
        <v>410</v>
      </c>
      <c r="T62" s="10" t="s">
        <v>410</v>
      </c>
    </row>
    <row r="63" spans="1:20" hidden="1" outlineLevel="1" x14ac:dyDescent="0.3">
      <c r="A63" s="583" t="s">
        <v>5171</v>
      </c>
      <c r="B63" s="591">
        <v>16</v>
      </c>
      <c r="C63" s="583" t="s">
        <v>1564</v>
      </c>
      <c r="D63" s="583" t="s">
        <v>5669</v>
      </c>
      <c r="E63" s="592" t="s">
        <v>410</v>
      </c>
      <c r="F63" s="593" t="s">
        <v>3634</v>
      </c>
      <c r="G63" s="237" t="s">
        <v>410</v>
      </c>
      <c r="H63" s="237" t="s">
        <v>410</v>
      </c>
      <c r="I63" s="237" t="s">
        <v>410</v>
      </c>
      <c r="J63" s="237" t="s">
        <v>410</v>
      </c>
      <c r="K63" s="237" t="s">
        <v>410</v>
      </c>
      <c r="L63" s="237" t="s">
        <v>410</v>
      </c>
      <c r="M63" s="237" t="s">
        <v>410</v>
      </c>
      <c r="N63" s="237" t="s">
        <v>410</v>
      </c>
      <c r="O63" s="237" t="s">
        <v>410</v>
      </c>
      <c r="P63" s="237" t="s">
        <v>410</v>
      </c>
      <c r="Q63" s="237" t="s">
        <v>410</v>
      </c>
      <c r="R63" s="237" t="s">
        <v>410</v>
      </c>
      <c r="S63" s="10" t="s">
        <v>410</v>
      </c>
      <c r="T63" s="10" t="s">
        <v>410</v>
      </c>
    </row>
    <row r="64" spans="1:20" hidden="1" outlineLevel="1" x14ac:dyDescent="0.3">
      <c r="A64" s="583" t="s">
        <v>5159</v>
      </c>
      <c r="B64" s="591">
        <v>16</v>
      </c>
      <c r="C64" s="583" t="s">
        <v>1564</v>
      </c>
      <c r="D64" s="583" t="s">
        <v>5669</v>
      </c>
      <c r="E64" s="592" t="s">
        <v>410</v>
      </c>
      <c r="F64" s="593" t="s">
        <v>5172</v>
      </c>
      <c r="G64" s="237" t="s">
        <v>410</v>
      </c>
      <c r="H64" s="237" t="s">
        <v>410</v>
      </c>
      <c r="I64" s="237" t="s">
        <v>410</v>
      </c>
      <c r="J64" s="237" t="s">
        <v>410</v>
      </c>
      <c r="K64" s="237" t="s">
        <v>410</v>
      </c>
      <c r="L64" s="237" t="s">
        <v>410</v>
      </c>
      <c r="M64" s="237" t="s">
        <v>410</v>
      </c>
      <c r="N64" s="237" t="s">
        <v>410</v>
      </c>
      <c r="O64" s="237" t="s">
        <v>410</v>
      </c>
      <c r="P64" s="237" t="s">
        <v>410</v>
      </c>
      <c r="Q64" s="237" t="s">
        <v>410</v>
      </c>
      <c r="R64" s="237" t="s">
        <v>410</v>
      </c>
      <c r="S64" s="10" t="s">
        <v>410</v>
      </c>
      <c r="T64" s="10" t="s">
        <v>410</v>
      </c>
    </row>
    <row r="65" spans="1:20" hidden="1" outlineLevel="1" x14ac:dyDescent="0.3">
      <c r="A65" s="583" t="s">
        <v>1692</v>
      </c>
      <c r="B65" s="591">
        <v>16</v>
      </c>
      <c r="C65" s="583" t="s">
        <v>1564</v>
      </c>
      <c r="D65" s="583" t="s">
        <v>5669</v>
      </c>
      <c r="E65" s="592" t="s">
        <v>410</v>
      </c>
      <c r="F65" s="593" t="s">
        <v>3634</v>
      </c>
      <c r="G65" s="237" t="s">
        <v>410</v>
      </c>
      <c r="H65" s="237" t="s">
        <v>410</v>
      </c>
      <c r="I65" s="237" t="s">
        <v>410</v>
      </c>
      <c r="J65" s="237" t="s">
        <v>410</v>
      </c>
      <c r="K65" s="237" t="s">
        <v>410</v>
      </c>
      <c r="L65" s="237" t="s">
        <v>410</v>
      </c>
      <c r="M65" s="237" t="s">
        <v>410</v>
      </c>
      <c r="N65" s="237" t="s">
        <v>410</v>
      </c>
      <c r="O65" s="237" t="s">
        <v>410</v>
      </c>
      <c r="P65" s="237" t="s">
        <v>410</v>
      </c>
      <c r="Q65" s="237" t="s">
        <v>410</v>
      </c>
      <c r="R65" s="237" t="s">
        <v>410</v>
      </c>
      <c r="S65" s="10" t="s">
        <v>410</v>
      </c>
      <c r="T65" s="10" t="s">
        <v>410</v>
      </c>
    </row>
    <row r="66" spans="1:20" hidden="1" outlineLevel="1" x14ac:dyDescent="0.3">
      <c r="A66" s="583" t="s">
        <v>1709</v>
      </c>
      <c r="B66" s="591">
        <v>17</v>
      </c>
      <c r="C66" s="583" t="s">
        <v>1564</v>
      </c>
      <c r="D66" s="583" t="s">
        <v>5669</v>
      </c>
      <c r="E66" s="592" t="s">
        <v>410</v>
      </c>
      <c r="F66" s="593" t="s">
        <v>5170</v>
      </c>
      <c r="G66" s="237" t="s">
        <v>410</v>
      </c>
      <c r="H66" s="237" t="s">
        <v>410</v>
      </c>
      <c r="I66" s="237" t="s">
        <v>410</v>
      </c>
      <c r="J66" s="237" t="s">
        <v>410</v>
      </c>
      <c r="K66" s="237" t="s">
        <v>410</v>
      </c>
      <c r="L66" s="237" t="s">
        <v>410</v>
      </c>
      <c r="M66" s="237" t="s">
        <v>410</v>
      </c>
      <c r="N66" s="237" t="s">
        <v>410</v>
      </c>
      <c r="O66" s="237" t="s">
        <v>410</v>
      </c>
      <c r="P66" s="237" t="s">
        <v>410</v>
      </c>
      <c r="Q66" s="237" t="s">
        <v>410</v>
      </c>
      <c r="R66" s="237" t="s">
        <v>410</v>
      </c>
      <c r="S66" s="10" t="s">
        <v>410</v>
      </c>
      <c r="T66" s="10" t="s">
        <v>410</v>
      </c>
    </row>
    <row r="67" spans="1:20" hidden="1" outlineLevel="1" x14ac:dyDescent="0.3">
      <c r="A67" s="583" t="s">
        <v>1693</v>
      </c>
      <c r="B67" s="591">
        <v>17</v>
      </c>
      <c r="C67" s="583" t="s">
        <v>1564</v>
      </c>
      <c r="D67" s="583" t="s">
        <v>5669</v>
      </c>
      <c r="E67" s="592" t="s">
        <v>410</v>
      </c>
      <c r="F67" s="593" t="s">
        <v>4333</v>
      </c>
      <c r="G67" s="237" t="s">
        <v>410</v>
      </c>
      <c r="H67" s="237" t="s">
        <v>410</v>
      </c>
      <c r="I67" s="237" t="s">
        <v>410</v>
      </c>
      <c r="J67" s="237" t="s">
        <v>410</v>
      </c>
      <c r="K67" s="237" t="s">
        <v>410</v>
      </c>
      <c r="L67" s="237" t="s">
        <v>410</v>
      </c>
      <c r="M67" s="237" t="s">
        <v>410</v>
      </c>
      <c r="N67" s="237" t="s">
        <v>410</v>
      </c>
      <c r="O67" s="237" t="s">
        <v>410</v>
      </c>
      <c r="P67" s="237" t="s">
        <v>410</v>
      </c>
      <c r="Q67" s="237" t="s">
        <v>410</v>
      </c>
      <c r="R67" s="237" t="s">
        <v>410</v>
      </c>
      <c r="S67" s="10" t="s">
        <v>410</v>
      </c>
      <c r="T67" s="10" t="s">
        <v>410</v>
      </c>
    </row>
    <row r="68" spans="1:20" hidden="1" outlineLevel="1" x14ac:dyDescent="0.3">
      <c r="A68" s="583" t="s">
        <v>1711</v>
      </c>
      <c r="B68" s="591">
        <v>18</v>
      </c>
      <c r="C68" s="583" t="s">
        <v>1564</v>
      </c>
      <c r="D68" s="583" t="s">
        <v>5669</v>
      </c>
      <c r="E68" s="592" t="s">
        <v>410</v>
      </c>
      <c r="F68" s="593" t="s">
        <v>3628</v>
      </c>
      <c r="G68" s="237" t="s">
        <v>410</v>
      </c>
      <c r="H68" s="237" t="s">
        <v>410</v>
      </c>
      <c r="I68" s="237" t="s">
        <v>410</v>
      </c>
      <c r="J68" s="237" t="s">
        <v>410</v>
      </c>
      <c r="K68" s="237" t="s">
        <v>410</v>
      </c>
      <c r="L68" s="237" t="s">
        <v>410</v>
      </c>
      <c r="M68" s="237" t="s">
        <v>410</v>
      </c>
      <c r="N68" s="237" t="s">
        <v>410</v>
      </c>
      <c r="O68" s="237" t="s">
        <v>410</v>
      </c>
      <c r="P68" s="237" t="s">
        <v>410</v>
      </c>
      <c r="Q68" s="237" t="s">
        <v>410</v>
      </c>
      <c r="R68" s="237" t="s">
        <v>410</v>
      </c>
      <c r="S68" s="10" t="s">
        <v>410</v>
      </c>
      <c r="T68" s="10" t="s">
        <v>410</v>
      </c>
    </row>
    <row r="69" spans="1:20" hidden="1" outlineLevel="1" x14ac:dyDescent="0.3">
      <c r="A69" s="583" t="s">
        <v>1712</v>
      </c>
      <c r="B69" s="591">
        <v>19</v>
      </c>
      <c r="C69" s="583" t="s">
        <v>1564</v>
      </c>
      <c r="D69" s="583" t="s">
        <v>5669</v>
      </c>
      <c r="E69" s="592" t="s">
        <v>410</v>
      </c>
      <c r="F69" s="593" t="s">
        <v>3633</v>
      </c>
      <c r="G69" s="237" t="s">
        <v>410</v>
      </c>
      <c r="H69" s="237" t="s">
        <v>410</v>
      </c>
      <c r="I69" s="237" t="s">
        <v>410</v>
      </c>
      <c r="J69" s="237" t="s">
        <v>410</v>
      </c>
      <c r="K69" s="237" t="s">
        <v>410</v>
      </c>
      <c r="L69" s="237" t="s">
        <v>410</v>
      </c>
      <c r="M69" s="237" t="s">
        <v>410</v>
      </c>
      <c r="N69" s="237" t="s">
        <v>410</v>
      </c>
      <c r="O69" s="237" t="s">
        <v>410</v>
      </c>
      <c r="P69" s="237" t="s">
        <v>410</v>
      </c>
      <c r="Q69" s="237" t="s">
        <v>410</v>
      </c>
      <c r="R69" s="237" t="s">
        <v>410</v>
      </c>
      <c r="S69" s="10" t="s">
        <v>410</v>
      </c>
      <c r="T69" s="10" t="s">
        <v>410</v>
      </c>
    </row>
    <row r="70" spans="1:20" hidden="1" outlineLevel="1" x14ac:dyDescent="0.3">
      <c r="A70" s="583" t="s">
        <v>3151</v>
      </c>
      <c r="B70" s="591">
        <v>21</v>
      </c>
      <c r="C70" s="583" t="s">
        <v>1564</v>
      </c>
      <c r="D70" s="583" t="s">
        <v>5669</v>
      </c>
      <c r="E70" s="593" t="s">
        <v>410</v>
      </c>
      <c r="F70" s="593" t="s">
        <v>3070</v>
      </c>
      <c r="G70" s="593" t="s">
        <v>3071</v>
      </c>
      <c r="H70" s="593" t="s">
        <v>3072</v>
      </c>
      <c r="I70" s="593" t="s">
        <v>3073</v>
      </c>
      <c r="J70" s="593" t="s">
        <v>3074</v>
      </c>
      <c r="K70" s="593" t="s">
        <v>3075</v>
      </c>
      <c r="L70" s="593" t="s">
        <v>3076</v>
      </c>
      <c r="M70" s="593" t="s">
        <v>1068</v>
      </c>
      <c r="N70" s="237" t="s">
        <v>410</v>
      </c>
      <c r="O70" s="237" t="s">
        <v>410</v>
      </c>
      <c r="P70" s="237" t="s">
        <v>410</v>
      </c>
      <c r="Q70" s="237" t="s">
        <v>410</v>
      </c>
      <c r="R70" s="237" t="s">
        <v>410</v>
      </c>
      <c r="S70" s="237" t="s">
        <v>410</v>
      </c>
      <c r="T70" s="237" t="s">
        <v>410</v>
      </c>
    </row>
    <row r="71" spans="1:20" collapsed="1" x14ac:dyDescent="0.3">
      <c r="A71" s="583" t="s">
        <v>1478</v>
      </c>
      <c r="B71" s="591">
        <v>1</v>
      </c>
      <c r="C71" s="588" t="s">
        <v>1256</v>
      </c>
      <c r="D71" s="588" t="s">
        <v>3114</v>
      </c>
      <c r="E71" s="589" t="s">
        <v>410</v>
      </c>
      <c r="F71" s="590" t="s">
        <v>2117</v>
      </c>
      <c r="G71" s="590" t="s">
        <v>2118</v>
      </c>
      <c r="H71" s="590" t="s">
        <v>2119</v>
      </c>
      <c r="I71" s="590" t="s">
        <v>2120</v>
      </c>
      <c r="J71" s="590" t="s">
        <v>2121</v>
      </c>
      <c r="K71" s="590" t="s">
        <v>2122</v>
      </c>
      <c r="L71" s="441" t="s">
        <v>410</v>
      </c>
      <c r="M71" s="441" t="s">
        <v>410</v>
      </c>
      <c r="N71" s="441" t="s">
        <v>410</v>
      </c>
      <c r="O71" s="441" t="s">
        <v>410</v>
      </c>
      <c r="P71" s="441" t="s">
        <v>410</v>
      </c>
      <c r="Q71" s="441" t="s">
        <v>410</v>
      </c>
      <c r="R71" s="441" t="s">
        <v>410</v>
      </c>
      <c r="S71" s="441" t="s">
        <v>410</v>
      </c>
      <c r="T71" s="441" t="s">
        <v>410</v>
      </c>
    </row>
    <row r="72" spans="1:20" hidden="1" outlineLevel="1" x14ac:dyDescent="0.3">
      <c r="A72" s="583" t="s">
        <v>1518</v>
      </c>
      <c r="B72" s="591">
        <v>1</v>
      </c>
      <c r="C72" s="588" t="s">
        <v>1256</v>
      </c>
      <c r="D72" s="588" t="s">
        <v>3114</v>
      </c>
      <c r="E72" s="589" t="s">
        <v>410</v>
      </c>
      <c r="F72" s="590" t="s">
        <v>3514</v>
      </c>
      <c r="G72" s="590" t="s">
        <v>3515</v>
      </c>
      <c r="H72" s="590" t="s">
        <v>3516</v>
      </c>
      <c r="I72" s="590" t="s">
        <v>3517</v>
      </c>
      <c r="J72" s="441" t="s">
        <v>410</v>
      </c>
      <c r="K72" s="441" t="s">
        <v>410</v>
      </c>
      <c r="L72" s="441" t="s">
        <v>410</v>
      </c>
      <c r="M72" s="441" t="s">
        <v>410</v>
      </c>
      <c r="N72" s="441" t="s">
        <v>410</v>
      </c>
      <c r="O72" s="441" t="s">
        <v>410</v>
      </c>
      <c r="P72" s="441" t="s">
        <v>410</v>
      </c>
      <c r="Q72" s="441" t="s">
        <v>410</v>
      </c>
      <c r="R72" s="441" t="s">
        <v>410</v>
      </c>
      <c r="S72" s="441" t="s">
        <v>410</v>
      </c>
      <c r="T72" s="441" t="s">
        <v>410</v>
      </c>
    </row>
    <row r="73" spans="1:20" hidden="1" outlineLevel="1" x14ac:dyDescent="0.3">
      <c r="A73" s="583" t="s">
        <v>1622</v>
      </c>
      <c r="B73" s="591">
        <v>1</v>
      </c>
      <c r="C73" s="588" t="s">
        <v>1256</v>
      </c>
      <c r="D73" s="588" t="s">
        <v>3114</v>
      </c>
      <c r="E73" s="855" t="s">
        <v>410</v>
      </c>
      <c r="F73" s="592" t="s">
        <v>5565</v>
      </c>
      <c r="G73" s="592" t="s">
        <v>5566</v>
      </c>
      <c r="H73" s="592" t="s">
        <v>5567</v>
      </c>
      <c r="I73" s="441" t="s">
        <v>410</v>
      </c>
      <c r="J73" s="441" t="s">
        <v>410</v>
      </c>
      <c r="K73" s="441" t="s">
        <v>410</v>
      </c>
      <c r="L73" s="441" t="s">
        <v>410</v>
      </c>
      <c r="M73" s="441" t="s">
        <v>410</v>
      </c>
      <c r="N73" s="441" t="s">
        <v>410</v>
      </c>
      <c r="O73" s="441" t="s">
        <v>410</v>
      </c>
      <c r="P73" s="441" t="s">
        <v>410</v>
      </c>
      <c r="Q73" s="441" t="s">
        <v>410</v>
      </c>
      <c r="R73" s="441" t="s">
        <v>410</v>
      </c>
      <c r="S73" s="441" t="s">
        <v>410</v>
      </c>
      <c r="T73" s="441" t="s">
        <v>410</v>
      </c>
    </row>
    <row r="74" spans="1:20" hidden="1" outlineLevel="1" x14ac:dyDescent="0.3">
      <c r="A74" s="583" t="s">
        <v>3368</v>
      </c>
      <c r="B74" s="591">
        <v>1</v>
      </c>
      <c r="C74" s="583" t="s">
        <v>1256</v>
      </c>
      <c r="D74" s="583" t="s">
        <v>3114</v>
      </c>
      <c r="E74" s="592" t="s">
        <v>410</v>
      </c>
      <c r="F74" s="593" t="s">
        <v>5581</v>
      </c>
      <c r="G74" s="593" t="s">
        <v>68</v>
      </c>
      <c r="H74" s="593" t="s">
        <v>70</v>
      </c>
      <c r="I74" s="593" t="s">
        <v>72</v>
      </c>
      <c r="J74" s="593" t="s">
        <v>74</v>
      </c>
      <c r="K74" s="237" t="s">
        <v>410</v>
      </c>
      <c r="L74" s="237" t="s">
        <v>410</v>
      </c>
      <c r="M74" s="237" t="s">
        <v>410</v>
      </c>
      <c r="N74" s="237" t="s">
        <v>410</v>
      </c>
      <c r="O74" s="237" t="s">
        <v>410</v>
      </c>
      <c r="P74" s="237" t="s">
        <v>410</v>
      </c>
      <c r="Q74" s="237" t="s">
        <v>410</v>
      </c>
      <c r="R74" s="237" t="s">
        <v>410</v>
      </c>
      <c r="S74" s="10" t="s">
        <v>410</v>
      </c>
      <c r="T74" s="10" t="s">
        <v>410</v>
      </c>
    </row>
    <row r="75" spans="1:20" hidden="1" outlineLevel="1" x14ac:dyDescent="0.3">
      <c r="A75" s="583" t="s">
        <v>1673</v>
      </c>
      <c r="B75" s="591">
        <v>1</v>
      </c>
      <c r="C75" s="583" t="s">
        <v>1256</v>
      </c>
      <c r="D75" s="583" t="s">
        <v>3114</v>
      </c>
      <c r="E75" s="592" t="s">
        <v>66</v>
      </c>
      <c r="F75" s="593" t="s">
        <v>67</v>
      </c>
      <c r="G75" s="593" t="s">
        <v>68</v>
      </c>
      <c r="H75" s="593" t="s">
        <v>70</v>
      </c>
      <c r="I75" s="593" t="s">
        <v>72</v>
      </c>
      <c r="J75" s="593" t="s">
        <v>74</v>
      </c>
      <c r="K75" s="593" t="s">
        <v>75</v>
      </c>
      <c r="L75" s="237" t="s">
        <v>410</v>
      </c>
      <c r="M75" s="237" t="s">
        <v>410</v>
      </c>
      <c r="N75" s="237" t="s">
        <v>410</v>
      </c>
      <c r="O75" s="237" t="s">
        <v>410</v>
      </c>
      <c r="P75" s="237" t="s">
        <v>410</v>
      </c>
      <c r="Q75" s="237" t="s">
        <v>410</v>
      </c>
      <c r="R75" s="237" t="s">
        <v>410</v>
      </c>
      <c r="S75" s="10" t="s">
        <v>410</v>
      </c>
      <c r="T75" s="10" t="s">
        <v>410</v>
      </c>
    </row>
    <row r="76" spans="1:20" hidden="1" outlineLevel="1" x14ac:dyDescent="0.3">
      <c r="A76" s="583" t="s">
        <v>1759</v>
      </c>
      <c r="B76" s="591">
        <v>1</v>
      </c>
      <c r="C76" s="583" t="s">
        <v>1256</v>
      </c>
      <c r="D76" s="583" t="s">
        <v>3114</v>
      </c>
      <c r="E76" s="592" t="s">
        <v>410</v>
      </c>
      <c r="F76" s="593" t="s">
        <v>1760</v>
      </c>
      <c r="G76" s="593" t="s">
        <v>1761</v>
      </c>
      <c r="H76" s="593" t="s">
        <v>1762</v>
      </c>
      <c r="I76" s="594" t="str">
        <f>CONCATENATE("NBZ - ",TEXT(IF(CHR&lt;4,4,CHR),0))</f>
        <v>NBZ - 4</v>
      </c>
      <c r="J76" s="237" t="s">
        <v>410</v>
      </c>
      <c r="K76" s="237" t="s">
        <v>410</v>
      </c>
      <c r="L76" s="237" t="s">
        <v>410</v>
      </c>
      <c r="M76" s="237" t="s">
        <v>410</v>
      </c>
      <c r="N76" s="237" t="s">
        <v>410</v>
      </c>
      <c r="O76" s="237" t="s">
        <v>410</v>
      </c>
      <c r="P76" s="237" t="s">
        <v>410</v>
      </c>
      <c r="Q76" s="237" t="s">
        <v>410</v>
      </c>
      <c r="R76" s="237" t="s">
        <v>410</v>
      </c>
      <c r="S76" s="10" t="s">
        <v>410</v>
      </c>
      <c r="T76" s="10" t="s">
        <v>410</v>
      </c>
    </row>
    <row r="77" spans="1:20" hidden="1" outlineLevel="1" x14ac:dyDescent="0.3">
      <c r="A77" s="583" t="s">
        <v>1821</v>
      </c>
      <c r="B77" s="591">
        <v>1</v>
      </c>
      <c r="C77" s="583" t="s">
        <v>1256</v>
      </c>
      <c r="D77" s="583" t="s">
        <v>3114</v>
      </c>
      <c r="E77" s="592" t="s">
        <v>65</v>
      </c>
      <c r="F77" s="593" t="s">
        <v>66</v>
      </c>
      <c r="G77" s="593" t="s">
        <v>67</v>
      </c>
      <c r="H77" s="593" t="s">
        <v>68</v>
      </c>
      <c r="I77" s="593" t="s">
        <v>70</v>
      </c>
      <c r="J77" s="237" t="s">
        <v>410</v>
      </c>
      <c r="K77" s="237" t="s">
        <v>410</v>
      </c>
      <c r="L77" s="237" t="s">
        <v>410</v>
      </c>
      <c r="M77" s="237" t="s">
        <v>410</v>
      </c>
      <c r="N77" s="237" t="s">
        <v>410</v>
      </c>
      <c r="O77" s="237" t="s">
        <v>410</v>
      </c>
      <c r="P77" s="237" t="s">
        <v>410</v>
      </c>
      <c r="Q77" s="237" t="s">
        <v>410</v>
      </c>
      <c r="R77" s="237" t="s">
        <v>410</v>
      </c>
      <c r="S77" s="10" t="s">
        <v>410</v>
      </c>
      <c r="T77" s="10" t="s">
        <v>410</v>
      </c>
    </row>
    <row r="78" spans="1:20" hidden="1" outlineLevel="1" x14ac:dyDescent="0.3">
      <c r="A78" s="583" t="s">
        <v>5484</v>
      </c>
      <c r="B78" s="591">
        <v>1</v>
      </c>
      <c r="C78" s="583" t="s">
        <v>1256</v>
      </c>
      <c r="D78" s="583" t="s">
        <v>3114</v>
      </c>
      <c r="E78" s="592" t="s">
        <v>410</v>
      </c>
      <c r="F78" s="593" t="s">
        <v>2243</v>
      </c>
      <c r="G78" s="593" t="s">
        <v>2244</v>
      </c>
      <c r="H78" s="593" t="s">
        <v>2245</v>
      </c>
      <c r="I78" s="593" t="s">
        <v>2246</v>
      </c>
      <c r="J78" s="237" t="s">
        <v>410</v>
      </c>
      <c r="K78" s="237" t="s">
        <v>410</v>
      </c>
      <c r="L78" s="237" t="s">
        <v>410</v>
      </c>
      <c r="M78" s="237" t="s">
        <v>410</v>
      </c>
      <c r="N78" s="237" t="s">
        <v>410</v>
      </c>
      <c r="O78" s="237" t="s">
        <v>410</v>
      </c>
      <c r="P78" s="237" t="s">
        <v>410</v>
      </c>
      <c r="Q78" s="237" t="s">
        <v>410</v>
      </c>
      <c r="R78" s="237" t="s">
        <v>410</v>
      </c>
      <c r="S78" s="10" t="s">
        <v>410</v>
      </c>
      <c r="T78" s="10" t="s">
        <v>410</v>
      </c>
    </row>
    <row r="79" spans="1:20" hidden="1" outlineLevel="1" x14ac:dyDescent="0.3">
      <c r="A79" s="583" t="s">
        <v>1892</v>
      </c>
      <c r="B79" s="591">
        <v>1</v>
      </c>
      <c r="C79" s="583" t="s">
        <v>1256</v>
      </c>
      <c r="D79" s="583" t="s">
        <v>3114</v>
      </c>
      <c r="E79" s="592" t="s">
        <v>410</v>
      </c>
      <c r="F79" s="593" t="s">
        <v>67</v>
      </c>
      <c r="G79" s="593" t="s">
        <v>68</v>
      </c>
      <c r="H79" s="593" t="s">
        <v>70</v>
      </c>
      <c r="I79" s="594">
        <f>IF(CHR&lt;4,4,CHR)</f>
        <v>4</v>
      </c>
      <c r="J79" s="237" t="s">
        <v>410</v>
      </c>
      <c r="K79" s="237" t="s">
        <v>410</v>
      </c>
      <c r="L79" s="237" t="s">
        <v>410</v>
      </c>
      <c r="M79" s="237" t="s">
        <v>410</v>
      </c>
      <c r="N79" s="237" t="s">
        <v>410</v>
      </c>
      <c r="O79" s="237" t="s">
        <v>410</v>
      </c>
      <c r="P79" s="237" t="s">
        <v>410</v>
      </c>
      <c r="Q79" s="237" t="s">
        <v>410</v>
      </c>
      <c r="R79" s="237" t="s">
        <v>410</v>
      </c>
      <c r="S79" s="10" t="s">
        <v>410</v>
      </c>
      <c r="T79" s="10" t="s">
        <v>410</v>
      </c>
    </row>
    <row r="80" spans="1:20" hidden="1" outlineLevel="1" x14ac:dyDescent="0.3">
      <c r="A80" s="583" t="s">
        <v>1929</v>
      </c>
      <c r="B80" s="591">
        <v>1</v>
      </c>
      <c r="C80" s="583" t="s">
        <v>1256</v>
      </c>
      <c r="D80" s="583" t="s">
        <v>3114</v>
      </c>
      <c r="E80" s="592" t="s">
        <v>410</v>
      </c>
      <c r="F80" s="593" t="s">
        <v>67</v>
      </c>
      <c r="G80" s="593" t="s">
        <v>68</v>
      </c>
      <c r="H80" s="593" t="s">
        <v>70</v>
      </c>
      <c r="I80" s="593" t="s">
        <v>72</v>
      </c>
      <c r="J80" s="237" t="s">
        <v>410</v>
      </c>
      <c r="K80" s="237" t="s">
        <v>410</v>
      </c>
      <c r="L80" s="237" t="s">
        <v>410</v>
      </c>
      <c r="M80" s="237" t="s">
        <v>410</v>
      </c>
      <c r="N80" s="237" t="s">
        <v>410</v>
      </c>
      <c r="O80" s="237" t="s">
        <v>410</v>
      </c>
      <c r="P80" s="237" t="s">
        <v>410</v>
      </c>
      <c r="Q80" s="237" t="s">
        <v>410</v>
      </c>
      <c r="R80" s="237" t="s">
        <v>410</v>
      </c>
      <c r="S80" s="10" t="s">
        <v>410</v>
      </c>
      <c r="T80" s="10" t="s">
        <v>410</v>
      </c>
    </row>
    <row r="81" spans="1:20" hidden="1" outlineLevel="1" x14ac:dyDescent="0.3">
      <c r="A81" s="583" t="s">
        <v>1937</v>
      </c>
      <c r="B81" s="591">
        <v>1</v>
      </c>
      <c r="C81" s="583" t="s">
        <v>1256</v>
      </c>
      <c r="D81" s="583" t="s">
        <v>3114</v>
      </c>
      <c r="E81" s="592" t="s">
        <v>410</v>
      </c>
      <c r="F81" s="593" t="s">
        <v>67</v>
      </c>
      <c r="G81" s="593" t="s">
        <v>68</v>
      </c>
      <c r="H81" s="593" t="s">
        <v>70</v>
      </c>
      <c r="I81" s="593" t="s">
        <v>72</v>
      </c>
      <c r="J81" s="237" t="s">
        <v>410</v>
      </c>
      <c r="K81" s="237" t="s">
        <v>410</v>
      </c>
      <c r="L81" s="237" t="s">
        <v>410</v>
      </c>
      <c r="M81" s="237" t="s">
        <v>410</v>
      </c>
      <c r="N81" s="237" t="s">
        <v>410</v>
      </c>
      <c r="O81" s="237" t="s">
        <v>410</v>
      </c>
      <c r="P81" s="237" t="s">
        <v>410</v>
      </c>
      <c r="Q81" s="237" t="s">
        <v>410</v>
      </c>
      <c r="R81" s="237" t="s">
        <v>410</v>
      </c>
      <c r="S81" s="10" t="s">
        <v>410</v>
      </c>
      <c r="T81" s="10" t="s">
        <v>410</v>
      </c>
    </row>
    <row r="82" spans="1:20" hidden="1" outlineLevel="1" x14ac:dyDescent="0.3">
      <c r="A82" s="583" t="s">
        <v>5124</v>
      </c>
      <c r="B82" s="591">
        <v>1</v>
      </c>
      <c r="C82" s="583" t="s">
        <v>1256</v>
      </c>
      <c r="D82" s="583" t="s">
        <v>3114</v>
      </c>
      <c r="E82" s="592" t="s">
        <v>410</v>
      </c>
      <c r="F82" s="593" t="s">
        <v>2176</v>
      </c>
      <c r="G82" s="441" t="s">
        <v>410</v>
      </c>
      <c r="H82" s="441" t="s">
        <v>410</v>
      </c>
      <c r="I82" s="441" t="s">
        <v>410</v>
      </c>
      <c r="J82" s="441" t="s">
        <v>410</v>
      </c>
      <c r="K82" s="441" t="s">
        <v>410</v>
      </c>
      <c r="L82" s="441" t="s">
        <v>410</v>
      </c>
      <c r="M82" s="441" t="s">
        <v>410</v>
      </c>
      <c r="N82" s="441" t="s">
        <v>410</v>
      </c>
      <c r="O82" s="441" t="s">
        <v>410</v>
      </c>
      <c r="P82" s="441" t="s">
        <v>410</v>
      </c>
      <c r="Q82" s="441" t="s">
        <v>410</v>
      </c>
      <c r="R82" s="441" t="s">
        <v>410</v>
      </c>
      <c r="S82" s="441" t="s">
        <v>410</v>
      </c>
      <c r="T82" s="441" t="s">
        <v>410</v>
      </c>
    </row>
    <row r="83" spans="1:20" hidden="1" outlineLevel="1" x14ac:dyDescent="0.3">
      <c r="A83" s="583" t="s">
        <v>5203</v>
      </c>
      <c r="B83" s="591">
        <v>1</v>
      </c>
      <c r="C83" s="583" t="s">
        <v>1256</v>
      </c>
      <c r="D83" s="583" t="s">
        <v>3114</v>
      </c>
      <c r="E83" s="593" t="s">
        <v>410</v>
      </c>
      <c r="F83" s="593" t="s">
        <v>68</v>
      </c>
      <c r="G83" s="593" t="s">
        <v>72</v>
      </c>
      <c r="H83" s="593" t="s">
        <v>75</v>
      </c>
      <c r="I83" s="593" t="s">
        <v>77</v>
      </c>
      <c r="J83" s="593" t="s">
        <v>111</v>
      </c>
      <c r="K83" s="237" t="s">
        <v>410</v>
      </c>
      <c r="L83" s="237" t="s">
        <v>410</v>
      </c>
      <c r="M83" s="237" t="s">
        <v>410</v>
      </c>
      <c r="N83" s="237" t="s">
        <v>410</v>
      </c>
      <c r="O83" s="237" t="s">
        <v>410</v>
      </c>
      <c r="P83" s="237" t="s">
        <v>410</v>
      </c>
      <c r="Q83" s="237" t="s">
        <v>410</v>
      </c>
      <c r="R83" s="237" t="s">
        <v>410</v>
      </c>
      <c r="S83" s="237" t="s">
        <v>410</v>
      </c>
      <c r="T83" s="237" t="s">
        <v>410</v>
      </c>
    </row>
    <row r="84" spans="1:20" hidden="1" outlineLevel="1" x14ac:dyDescent="0.3">
      <c r="A84" s="583" t="s">
        <v>1477</v>
      </c>
      <c r="B84" s="591">
        <v>2</v>
      </c>
      <c r="C84" s="588" t="s">
        <v>1256</v>
      </c>
      <c r="D84" s="588" t="s">
        <v>3114</v>
      </c>
      <c r="E84" s="589" t="s">
        <v>410</v>
      </c>
      <c r="F84" s="590" t="s">
        <v>1525</v>
      </c>
      <c r="G84" s="590" t="s">
        <v>3316</v>
      </c>
      <c r="H84" s="590" t="s">
        <v>4233</v>
      </c>
      <c r="I84" s="590" t="s">
        <v>4234</v>
      </c>
      <c r="J84" s="441" t="s">
        <v>410</v>
      </c>
      <c r="K84" s="441" t="s">
        <v>410</v>
      </c>
      <c r="L84" s="441" t="s">
        <v>410</v>
      </c>
      <c r="M84" s="441" t="s">
        <v>410</v>
      </c>
      <c r="N84" s="441" t="s">
        <v>410</v>
      </c>
      <c r="O84" s="441" t="s">
        <v>410</v>
      </c>
      <c r="P84" s="441" t="s">
        <v>410</v>
      </c>
      <c r="Q84" s="441" t="s">
        <v>410</v>
      </c>
      <c r="R84" s="441" t="s">
        <v>410</v>
      </c>
      <c r="S84" s="441" t="s">
        <v>410</v>
      </c>
      <c r="T84" s="441" t="s">
        <v>410</v>
      </c>
    </row>
    <row r="85" spans="1:20" hidden="1" outlineLevel="1" x14ac:dyDescent="0.3">
      <c r="A85" s="583" t="s">
        <v>5571</v>
      </c>
      <c r="B85" s="591">
        <v>3</v>
      </c>
      <c r="C85" s="583" t="s">
        <v>1256</v>
      </c>
      <c r="D85" s="583" t="s">
        <v>3114</v>
      </c>
      <c r="E85" s="592" t="s">
        <v>410</v>
      </c>
      <c r="F85" s="593" t="s">
        <v>4300</v>
      </c>
      <c r="G85" s="593" t="s">
        <v>2168</v>
      </c>
      <c r="H85" s="593" t="s">
        <v>4301</v>
      </c>
      <c r="I85" s="593" t="s">
        <v>3531</v>
      </c>
      <c r="J85" s="593" t="s">
        <v>4302</v>
      </c>
      <c r="K85" s="237" t="s">
        <v>410</v>
      </c>
      <c r="L85" s="237" t="s">
        <v>410</v>
      </c>
      <c r="M85" s="237" t="s">
        <v>410</v>
      </c>
      <c r="N85" s="237" t="s">
        <v>410</v>
      </c>
      <c r="O85" s="237" t="s">
        <v>410</v>
      </c>
      <c r="P85" s="237" t="s">
        <v>410</v>
      </c>
      <c r="Q85" s="237" t="s">
        <v>410</v>
      </c>
      <c r="R85" s="237" t="s">
        <v>410</v>
      </c>
      <c r="S85" s="10" t="s">
        <v>410</v>
      </c>
      <c r="T85" s="10" t="s">
        <v>410</v>
      </c>
    </row>
    <row r="86" spans="1:20" hidden="1" outlineLevel="1" x14ac:dyDescent="0.3">
      <c r="A86" s="583" t="s">
        <v>1851</v>
      </c>
      <c r="B86" s="591">
        <v>5</v>
      </c>
      <c r="C86" s="583" t="s">
        <v>1256</v>
      </c>
      <c r="D86" s="583" t="s">
        <v>3114</v>
      </c>
      <c r="E86" s="592" t="s">
        <v>410</v>
      </c>
      <c r="F86" s="593" t="s">
        <v>3269</v>
      </c>
      <c r="G86" s="593" t="s">
        <v>3270</v>
      </c>
      <c r="H86" s="593" t="s">
        <v>3271</v>
      </c>
      <c r="I86" s="593" t="s">
        <v>3272</v>
      </c>
      <c r="J86" s="593" t="s">
        <v>4303</v>
      </c>
      <c r="K86" s="237" t="s">
        <v>410</v>
      </c>
      <c r="L86" s="237" t="s">
        <v>410</v>
      </c>
      <c r="M86" s="237" t="s">
        <v>410</v>
      </c>
      <c r="N86" s="237" t="s">
        <v>410</v>
      </c>
      <c r="O86" s="237" t="s">
        <v>410</v>
      </c>
      <c r="P86" s="237" t="s">
        <v>410</v>
      </c>
      <c r="Q86" s="237" t="s">
        <v>410</v>
      </c>
      <c r="R86" s="237" t="s">
        <v>410</v>
      </c>
      <c r="S86" s="10" t="s">
        <v>410</v>
      </c>
      <c r="T86" s="10" t="s">
        <v>410</v>
      </c>
    </row>
    <row r="87" spans="1:20" hidden="1" outlineLevel="1" x14ac:dyDescent="0.3">
      <c r="A87" s="583" t="s">
        <v>1623</v>
      </c>
      <c r="B87" s="591">
        <v>6</v>
      </c>
      <c r="C87" s="588" t="s">
        <v>1256</v>
      </c>
      <c r="D87" s="588" t="s">
        <v>3114</v>
      </c>
      <c r="E87" s="592" t="s">
        <v>410</v>
      </c>
      <c r="F87" s="589" t="s">
        <v>67</v>
      </c>
      <c r="G87" s="592" t="s">
        <v>68</v>
      </c>
      <c r="H87" s="592" t="s">
        <v>70</v>
      </c>
      <c r="I87" s="614" t="str">
        <f>CONCATENATE("+",TEXT(IF(ZRČ&gt;4,ZRČ,4),0))</f>
        <v>+4</v>
      </c>
      <c r="J87" s="441" t="s">
        <v>410</v>
      </c>
      <c r="K87" s="441" t="s">
        <v>410</v>
      </c>
      <c r="L87" s="441" t="s">
        <v>410</v>
      </c>
      <c r="M87" s="441" t="s">
        <v>410</v>
      </c>
      <c r="N87" s="441" t="s">
        <v>410</v>
      </c>
      <c r="O87" s="441" t="s">
        <v>410</v>
      </c>
      <c r="P87" s="441" t="s">
        <v>410</v>
      </c>
      <c r="Q87" s="441" t="s">
        <v>410</v>
      </c>
      <c r="R87" s="441" t="s">
        <v>410</v>
      </c>
      <c r="S87" s="441" t="s">
        <v>410</v>
      </c>
      <c r="T87" s="441" t="s">
        <v>410</v>
      </c>
    </row>
    <row r="88" spans="1:20" hidden="1" outlineLevel="1" x14ac:dyDescent="0.3">
      <c r="A88" s="583" t="s">
        <v>1733</v>
      </c>
      <c r="B88" s="591">
        <v>6</v>
      </c>
      <c r="C88" s="583" t="s">
        <v>1256</v>
      </c>
      <c r="D88" s="583" t="s">
        <v>3114</v>
      </c>
      <c r="E88" s="592" t="s">
        <v>410</v>
      </c>
      <c r="F88" s="593" t="s">
        <v>4313</v>
      </c>
      <c r="G88" s="237"/>
      <c r="H88" s="237"/>
      <c r="I88" s="237"/>
      <c r="J88" s="237"/>
      <c r="K88" s="237"/>
      <c r="L88" s="237"/>
      <c r="M88" s="237"/>
      <c r="N88" s="237" t="s">
        <v>410</v>
      </c>
      <c r="O88" s="237" t="s">
        <v>410</v>
      </c>
      <c r="P88" s="237" t="s">
        <v>410</v>
      </c>
      <c r="Q88" s="237" t="s">
        <v>410</v>
      </c>
      <c r="R88" s="237" t="s">
        <v>410</v>
      </c>
      <c r="S88" s="10" t="s">
        <v>410</v>
      </c>
      <c r="T88" s="10" t="s">
        <v>410</v>
      </c>
    </row>
    <row r="89" spans="1:20" hidden="1" outlineLevel="1" x14ac:dyDescent="0.3">
      <c r="A89" s="583" t="s">
        <v>1789</v>
      </c>
      <c r="B89" s="591">
        <v>6</v>
      </c>
      <c r="C89" s="583" t="s">
        <v>1256</v>
      </c>
      <c r="D89" s="583" t="s">
        <v>3114</v>
      </c>
      <c r="E89" s="592" t="s">
        <v>410</v>
      </c>
      <c r="F89" s="593" t="s">
        <v>66</v>
      </c>
      <c r="G89" s="593" t="s">
        <v>67</v>
      </c>
      <c r="H89" s="593" t="s">
        <v>68</v>
      </c>
      <c r="I89" s="593" t="s">
        <v>70</v>
      </c>
      <c r="J89" s="593" t="s">
        <v>72</v>
      </c>
      <c r="K89" s="593" t="s">
        <v>74</v>
      </c>
      <c r="L89" s="237" t="s">
        <v>410</v>
      </c>
      <c r="M89" s="237" t="s">
        <v>410</v>
      </c>
      <c r="N89" s="237" t="s">
        <v>410</v>
      </c>
      <c r="O89" s="237" t="s">
        <v>410</v>
      </c>
      <c r="P89" s="237" t="s">
        <v>410</v>
      </c>
      <c r="Q89" s="237" t="s">
        <v>410</v>
      </c>
      <c r="R89" s="237" t="s">
        <v>410</v>
      </c>
      <c r="S89" s="10" t="s">
        <v>410</v>
      </c>
      <c r="T89" s="10" t="s">
        <v>410</v>
      </c>
    </row>
    <row r="90" spans="1:20" hidden="1" outlineLevel="1" x14ac:dyDescent="0.3">
      <c r="A90" s="583" t="s">
        <v>4315</v>
      </c>
      <c r="B90" s="591">
        <v>6</v>
      </c>
      <c r="C90" s="583" t="s">
        <v>1256</v>
      </c>
      <c r="D90" s="583" t="s">
        <v>3114</v>
      </c>
      <c r="E90" s="592" t="s">
        <v>410</v>
      </c>
      <c r="F90" s="593" t="s">
        <v>4316</v>
      </c>
      <c r="G90" s="593" t="s">
        <v>4317</v>
      </c>
      <c r="H90" s="593" t="s">
        <v>4318</v>
      </c>
      <c r="I90" s="593" t="s">
        <v>4319</v>
      </c>
      <c r="J90" s="593" t="s">
        <v>4320</v>
      </c>
      <c r="K90" s="237" t="s">
        <v>410</v>
      </c>
      <c r="L90" s="237" t="s">
        <v>410</v>
      </c>
      <c r="M90" s="237" t="s">
        <v>410</v>
      </c>
      <c r="N90" s="237" t="s">
        <v>410</v>
      </c>
      <c r="O90" s="237" t="s">
        <v>410</v>
      </c>
      <c r="P90" s="237" t="s">
        <v>410</v>
      </c>
      <c r="Q90" s="237" t="s">
        <v>410</v>
      </c>
      <c r="R90" s="237" t="s">
        <v>410</v>
      </c>
      <c r="S90" s="10" t="s">
        <v>410</v>
      </c>
      <c r="T90" s="10" t="s">
        <v>410</v>
      </c>
    </row>
    <row r="91" spans="1:20" hidden="1" outlineLevel="1" x14ac:dyDescent="0.3">
      <c r="A91" s="583" t="s">
        <v>3268</v>
      </c>
      <c r="B91" s="591">
        <v>6</v>
      </c>
      <c r="C91" s="583" t="s">
        <v>1256</v>
      </c>
      <c r="D91" s="583" t="s">
        <v>3114</v>
      </c>
      <c r="E91" s="592" t="s">
        <v>410</v>
      </c>
      <c r="F91" s="593" t="s">
        <v>3126</v>
      </c>
      <c r="G91" s="593" t="s">
        <v>3127</v>
      </c>
      <c r="H91" s="593" t="s">
        <v>3128</v>
      </c>
      <c r="I91" s="593" t="s">
        <v>3129</v>
      </c>
      <c r="J91" s="593" t="s">
        <v>3130</v>
      </c>
      <c r="K91" s="237" t="s">
        <v>410</v>
      </c>
      <c r="L91" s="237" t="s">
        <v>410</v>
      </c>
      <c r="M91" s="237" t="s">
        <v>410</v>
      </c>
      <c r="N91" s="237" t="s">
        <v>410</v>
      </c>
      <c r="O91" s="237" t="s">
        <v>410</v>
      </c>
      <c r="P91" s="237" t="s">
        <v>410</v>
      </c>
      <c r="Q91" s="237" t="s">
        <v>410</v>
      </c>
      <c r="R91" s="237" t="s">
        <v>410</v>
      </c>
      <c r="S91" s="10" t="s">
        <v>410</v>
      </c>
      <c r="T91" s="10" t="s">
        <v>410</v>
      </c>
    </row>
    <row r="92" spans="1:20" hidden="1" outlineLevel="1" x14ac:dyDescent="0.3">
      <c r="A92" s="583" t="s">
        <v>1907</v>
      </c>
      <c r="B92" s="591">
        <v>6</v>
      </c>
      <c r="C92" s="583" t="s">
        <v>1256</v>
      </c>
      <c r="D92" s="583" t="s">
        <v>3114</v>
      </c>
      <c r="E92" s="592" t="s">
        <v>410</v>
      </c>
      <c r="F92" s="593" t="s">
        <v>2265</v>
      </c>
      <c r="G92" s="593" t="s">
        <v>2266</v>
      </c>
      <c r="H92" s="593" t="s">
        <v>2267</v>
      </c>
      <c r="I92" s="593" t="s">
        <v>2268</v>
      </c>
      <c r="J92" s="237" t="s">
        <v>410</v>
      </c>
      <c r="K92" s="237" t="s">
        <v>410</v>
      </c>
      <c r="L92" s="237" t="s">
        <v>410</v>
      </c>
      <c r="M92" s="237" t="s">
        <v>410</v>
      </c>
      <c r="N92" s="237" t="s">
        <v>410</v>
      </c>
      <c r="O92" s="237" t="s">
        <v>410</v>
      </c>
      <c r="P92" s="237" t="s">
        <v>410</v>
      </c>
      <c r="Q92" s="237" t="s">
        <v>410</v>
      </c>
      <c r="R92" s="237" t="s">
        <v>410</v>
      </c>
      <c r="S92" s="10" t="s">
        <v>410</v>
      </c>
      <c r="T92" s="10" t="s">
        <v>410</v>
      </c>
    </row>
    <row r="93" spans="1:20" hidden="1" outlineLevel="1" x14ac:dyDescent="0.3">
      <c r="A93" s="583" t="s">
        <v>1920</v>
      </c>
      <c r="B93" s="591">
        <v>6</v>
      </c>
      <c r="C93" s="583" t="s">
        <v>1256</v>
      </c>
      <c r="D93" s="583" t="s">
        <v>3114</v>
      </c>
      <c r="E93" s="10" t="s">
        <v>410</v>
      </c>
      <c r="F93" s="593" t="s">
        <v>4322</v>
      </c>
      <c r="G93" s="593" t="s">
        <v>68</v>
      </c>
      <c r="H93" s="593" t="s">
        <v>70</v>
      </c>
      <c r="I93" s="593" t="s">
        <v>72</v>
      </c>
      <c r="J93" s="237" t="s">
        <v>410</v>
      </c>
      <c r="K93" s="237" t="s">
        <v>410</v>
      </c>
      <c r="L93" s="237" t="s">
        <v>410</v>
      </c>
      <c r="M93" s="237" t="s">
        <v>410</v>
      </c>
      <c r="N93" s="237" t="s">
        <v>410</v>
      </c>
      <c r="O93" s="237" t="s">
        <v>410</v>
      </c>
      <c r="P93" s="237" t="s">
        <v>410</v>
      </c>
      <c r="Q93" s="237" t="s">
        <v>410</v>
      </c>
      <c r="R93" s="237" t="s">
        <v>410</v>
      </c>
      <c r="S93" s="10" t="s">
        <v>410</v>
      </c>
      <c r="T93" s="10" t="s">
        <v>410</v>
      </c>
    </row>
    <row r="94" spans="1:20" hidden="1" outlineLevel="1" x14ac:dyDescent="0.3">
      <c r="A94" s="583" t="s">
        <v>4189</v>
      </c>
      <c r="B94" s="591">
        <v>6</v>
      </c>
      <c r="C94" s="583" t="s">
        <v>1256</v>
      </c>
      <c r="D94" s="583" t="s">
        <v>3114</v>
      </c>
      <c r="E94" s="592" t="s">
        <v>410</v>
      </c>
      <c r="F94" s="593" t="s">
        <v>4304</v>
      </c>
      <c r="G94" s="593" t="s">
        <v>4305</v>
      </c>
      <c r="H94" s="593" t="s">
        <v>4306</v>
      </c>
      <c r="I94" s="593" t="s">
        <v>4307</v>
      </c>
      <c r="J94" s="593" t="s">
        <v>4308</v>
      </c>
      <c r="K94" s="593" t="s">
        <v>4309</v>
      </c>
      <c r="L94" s="593" t="s">
        <v>4310</v>
      </c>
      <c r="M94" s="593" t="s">
        <v>4311</v>
      </c>
      <c r="N94" s="593" t="s">
        <v>410</v>
      </c>
      <c r="O94" s="593" t="s">
        <v>410</v>
      </c>
      <c r="P94" s="237" t="s">
        <v>410</v>
      </c>
      <c r="Q94" s="237" t="s">
        <v>410</v>
      </c>
      <c r="R94" s="237" t="s">
        <v>410</v>
      </c>
      <c r="S94" s="10" t="s">
        <v>410</v>
      </c>
      <c r="T94" s="10" t="s">
        <v>410</v>
      </c>
    </row>
    <row r="95" spans="1:20" hidden="1" outlineLevel="1" x14ac:dyDescent="0.3">
      <c r="A95" s="583" t="s">
        <v>1939</v>
      </c>
      <c r="B95" s="591">
        <v>6</v>
      </c>
      <c r="C95" s="583" t="s">
        <v>1256</v>
      </c>
      <c r="D95" s="583" t="s">
        <v>3114</v>
      </c>
      <c r="E95" s="592" t="s">
        <v>410</v>
      </c>
      <c r="F95" s="593" t="s">
        <v>67</v>
      </c>
      <c r="G95" s="593" t="s">
        <v>68</v>
      </c>
      <c r="H95" s="593" t="s">
        <v>70</v>
      </c>
      <c r="I95" s="593" t="s">
        <v>72</v>
      </c>
      <c r="J95" s="593" t="s">
        <v>74</v>
      </c>
      <c r="K95" s="237" t="s">
        <v>410</v>
      </c>
      <c r="L95" s="237" t="s">
        <v>410</v>
      </c>
      <c r="M95" s="237" t="s">
        <v>410</v>
      </c>
      <c r="N95" s="237" t="s">
        <v>410</v>
      </c>
      <c r="O95" s="237" t="s">
        <v>410</v>
      </c>
      <c r="P95" s="237" t="s">
        <v>410</v>
      </c>
      <c r="Q95" s="237" t="s">
        <v>410</v>
      </c>
      <c r="R95" s="237" t="s">
        <v>410</v>
      </c>
      <c r="S95" s="10" t="s">
        <v>410</v>
      </c>
      <c r="T95" s="10" t="s">
        <v>410</v>
      </c>
    </row>
    <row r="96" spans="1:20" hidden="1" outlineLevel="1" x14ac:dyDescent="0.3">
      <c r="A96" s="583" t="s">
        <v>1994</v>
      </c>
      <c r="B96" s="591">
        <v>6</v>
      </c>
      <c r="C96" s="583" t="s">
        <v>1256</v>
      </c>
      <c r="D96" s="583" t="s">
        <v>3114</v>
      </c>
      <c r="E96" s="593" t="s">
        <v>410</v>
      </c>
      <c r="F96" s="593" t="s">
        <v>67</v>
      </c>
      <c r="G96" s="593" t="s">
        <v>3159</v>
      </c>
      <c r="H96" s="593" t="s">
        <v>3160</v>
      </c>
      <c r="I96" s="237" t="s">
        <v>410</v>
      </c>
      <c r="J96" s="237" t="s">
        <v>410</v>
      </c>
      <c r="K96" s="237" t="s">
        <v>410</v>
      </c>
      <c r="L96" s="237" t="s">
        <v>410</v>
      </c>
      <c r="M96" s="237" t="s">
        <v>410</v>
      </c>
      <c r="N96" s="237" t="s">
        <v>410</v>
      </c>
      <c r="O96" s="237" t="s">
        <v>410</v>
      </c>
      <c r="P96" s="237" t="s">
        <v>410</v>
      </c>
      <c r="Q96" s="237" t="s">
        <v>410</v>
      </c>
      <c r="R96" s="237" t="s">
        <v>410</v>
      </c>
      <c r="S96" s="237" t="s">
        <v>410</v>
      </c>
      <c r="T96" s="237" t="s">
        <v>410</v>
      </c>
    </row>
    <row r="97" spans="1:20" hidden="1" outlineLevel="1" x14ac:dyDescent="0.3">
      <c r="A97" s="583" t="s">
        <v>5060</v>
      </c>
      <c r="B97" s="591">
        <v>8</v>
      </c>
      <c r="C97" s="583" t="s">
        <v>1256</v>
      </c>
      <c r="D97" s="583" t="s">
        <v>3114</v>
      </c>
      <c r="E97" s="593" t="s">
        <v>410</v>
      </c>
      <c r="F97" s="593"/>
      <c r="G97" s="441" t="s">
        <v>410</v>
      </c>
      <c r="H97" s="441" t="s">
        <v>410</v>
      </c>
      <c r="I97" s="441" t="s">
        <v>410</v>
      </c>
      <c r="J97" s="441" t="s">
        <v>410</v>
      </c>
      <c r="K97" s="441" t="s">
        <v>410</v>
      </c>
      <c r="L97" s="441" t="s">
        <v>410</v>
      </c>
      <c r="M97" s="441" t="s">
        <v>410</v>
      </c>
      <c r="N97" s="441" t="s">
        <v>410</v>
      </c>
      <c r="O97" s="441" t="s">
        <v>410</v>
      </c>
      <c r="P97" s="441" t="s">
        <v>410</v>
      </c>
      <c r="Q97" s="441" t="s">
        <v>410</v>
      </c>
      <c r="R97" s="441" t="s">
        <v>410</v>
      </c>
      <c r="S97" s="441" t="s">
        <v>410</v>
      </c>
      <c r="T97" s="441" t="s">
        <v>410</v>
      </c>
    </row>
    <row r="98" spans="1:20" hidden="1" outlineLevel="1" x14ac:dyDescent="0.3">
      <c r="A98" s="583" t="s">
        <v>5226</v>
      </c>
      <c r="B98" s="591">
        <v>8</v>
      </c>
      <c r="C98" s="583" t="s">
        <v>1256</v>
      </c>
      <c r="D98" s="583" t="s">
        <v>3114</v>
      </c>
      <c r="E98" s="593" t="s">
        <v>410</v>
      </c>
      <c r="F98" s="593"/>
      <c r="G98" s="441" t="s">
        <v>410</v>
      </c>
      <c r="H98" s="441" t="s">
        <v>410</v>
      </c>
      <c r="I98" s="441" t="s">
        <v>410</v>
      </c>
      <c r="J98" s="441" t="s">
        <v>410</v>
      </c>
      <c r="K98" s="441" t="s">
        <v>410</v>
      </c>
      <c r="L98" s="441" t="s">
        <v>410</v>
      </c>
      <c r="M98" s="441" t="s">
        <v>410</v>
      </c>
      <c r="N98" s="441" t="s">
        <v>410</v>
      </c>
      <c r="O98" s="441" t="s">
        <v>410</v>
      </c>
      <c r="P98" s="441" t="s">
        <v>410</v>
      </c>
      <c r="Q98" s="441" t="s">
        <v>410</v>
      </c>
      <c r="R98" s="441" t="s">
        <v>410</v>
      </c>
      <c r="S98" s="441" t="s">
        <v>410</v>
      </c>
      <c r="T98" s="441" t="s">
        <v>410</v>
      </c>
    </row>
    <row r="99" spans="1:20" hidden="1" outlineLevel="1" x14ac:dyDescent="0.3">
      <c r="A99" s="583" t="s">
        <v>5225</v>
      </c>
      <c r="B99" s="591">
        <v>8</v>
      </c>
      <c r="C99" s="583" t="s">
        <v>1256</v>
      </c>
      <c r="D99" s="583" t="s">
        <v>3114</v>
      </c>
      <c r="E99" s="593" t="s">
        <v>410</v>
      </c>
      <c r="F99" s="593"/>
      <c r="G99" s="441" t="s">
        <v>410</v>
      </c>
      <c r="H99" s="441" t="s">
        <v>410</v>
      </c>
      <c r="I99" s="441" t="s">
        <v>410</v>
      </c>
      <c r="J99" s="441" t="s">
        <v>410</v>
      </c>
      <c r="K99" s="441" t="s">
        <v>410</v>
      </c>
      <c r="L99" s="441" t="s">
        <v>410</v>
      </c>
      <c r="M99" s="441" t="s">
        <v>410</v>
      </c>
      <c r="N99" s="441" t="s">
        <v>410</v>
      </c>
      <c r="O99" s="441" t="s">
        <v>410</v>
      </c>
      <c r="P99" s="441" t="s">
        <v>410</v>
      </c>
      <c r="Q99" s="441" t="s">
        <v>410</v>
      </c>
      <c r="R99" s="441" t="s">
        <v>410</v>
      </c>
      <c r="S99" s="441" t="s">
        <v>410</v>
      </c>
      <c r="T99" s="441" t="s">
        <v>410</v>
      </c>
    </row>
    <row r="100" spans="1:20" hidden="1" outlineLevel="1" x14ac:dyDescent="0.3">
      <c r="A100" s="583" t="s">
        <v>5061</v>
      </c>
      <c r="B100" s="591">
        <v>8</v>
      </c>
      <c r="C100" s="583" t="s">
        <v>1256</v>
      </c>
      <c r="D100" s="583" t="s">
        <v>3114</v>
      </c>
      <c r="E100" s="592" t="s">
        <v>410</v>
      </c>
      <c r="F100" s="593"/>
      <c r="G100" s="441" t="s">
        <v>410</v>
      </c>
      <c r="H100" s="441" t="s">
        <v>410</v>
      </c>
      <c r="I100" s="441" t="s">
        <v>410</v>
      </c>
      <c r="J100" s="441" t="s">
        <v>410</v>
      </c>
      <c r="K100" s="441" t="s">
        <v>410</v>
      </c>
      <c r="L100" s="441" t="s">
        <v>410</v>
      </c>
      <c r="M100" s="441" t="s">
        <v>410</v>
      </c>
      <c r="N100" s="441" t="s">
        <v>410</v>
      </c>
      <c r="O100" s="441" t="s">
        <v>410</v>
      </c>
      <c r="P100" s="441" t="s">
        <v>410</v>
      </c>
      <c r="Q100" s="441" t="s">
        <v>410</v>
      </c>
      <c r="R100" s="441" t="s">
        <v>410</v>
      </c>
      <c r="S100" s="441" t="s">
        <v>410</v>
      </c>
      <c r="T100" s="441" t="s">
        <v>410</v>
      </c>
    </row>
    <row r="101" spans="1:20" hidden="1" outlineLevel="1" x14ac:dyDescent="0.3">
      <c r="A101" s="583" t="s">
        <v>5218</v>
      </c>
      <c r="B101" s="591">
        <v>8</v>
      </c>
      <c r="C101" s="583" t="s">
        <v>1256</v>
      </c>
      <c r="D101" s="583" t="s">
        <v>3114</v>
      </c>
      <c r="E101" s="593" t="s">
        <v>410</v>
      </c>
      <c r="F101" s="593"/>
      <c r="G101" s="441" t="s">
        <v>410</v>
      </c>
      <c r="H101" s="441" t="s">
        <v>410</v>
      </c>
      <c r="I101" s="441" t="s">
        <v>410</v>
      </c>
      <c r="J101" s="441" t="s">
        <v>410</v>
      </c>
      <c r="K101" s="441" t="s">
        <v>410</v>
      </c>
      <c r="L101" s="441" t="s">
        <v>410</v>
      </c>
      <c r="M101" s="441" t="s">
        <v>410</v>
      </c>
      <c r="N101" s="441" t="s">
        <v>410</v>
      </c>
      <c r="O101" s="441" t="s">
        <v>410</v>
      </c>
      <c r="P101" s="441" t="s">
        <v>410</v>
      </c>
      <c r="Q101" s="441" t="s">
        <v>410</v>
      </c>
      <c r="R101" s="441" t="s">
        <v>410</v>
      </c>
      <c r="S101" s="441" t="s">
        <v>410</v>
      </c>
      <c r="T101" s="441" t="s">
        <v>410</v>
      </c>
    </row>
    <row r="102" spans="1:20" hidden="1" outlineLevel="1" x14ac:dyDescent="0.3">
      <c r="A102" s="583" t="s">
        <v>5065</v>
      </c>
      <c r="B102" s="591">
        <v>8</v>
      </c>
      <c r="C102" s="583" t="s">
        <v>1256</v>
      </c>
      <c r="D102" s="583" t="s">
        <v>3114</v>
      </c>
      <c r="E102" s="592" t="s">
        <v>410</v>
      </c>
      <c r="F102" s="593"/>
      <c r="G102" s="441" t="s">
        <v>410</v>
      </c>
      <c r="H102" s="441" t="s">
        <v>410</v>
      </c>
      <c r="I102" s="441" t="s">
        <v>410</v>
      </c>
      <c r="J102" s="441" t="s">
        <v>410</v>
      </c>
      <c r="K102" s="441" t="s">
        <v>410</v>
      </c>
      <c r="L102" s="441" t="s">
        <v>410</v>
      </c>
      <c r="M102" s="441" t="s">
        <v>410</v>
      </c>
      <c r="N102" s="441" t="s">
        <v>410</v>
      </c>
      <c r="O102" s="441" t="s">
        <v>410</v>
      </c>
      <c r="P102" s="441" t="s">
        <v>410</v>
      </c>
      <c r="Q102" s="441" t="s">
        <v>410</v>
      </c>
      <c r="R102" s="441" t="s">
        <v>410</v>
      </c>
      <c r="S102" s="441" t="s">
        <v>410</v>
      </c>
      <c r="T102" s="441" t="s">
        <v>410</v>
      </c>
    </row>
    <row r="103" spans="1:20" hidden="1" outlineLevel="1" x14ac:dyDescent="0.3">
      <c r="A103" s="583" t="s">
        <v>5219</v>
      </c>
      <c r="B103" s="591">
        <v>8</v>
      </c>
      <c r="C103" s="583" t="s">
        <v>1256</v>
      </c>
      <c r="D103" s="583" t="s">
        <v>3114</v>
      </c>
      <c r="E103" s="593" t="s">
        <v>410</v>
      </c>
      <c r="F103" s="593"/>
      <c r="G103" s="441" t="s">
        <v>410</v>
      </c>
      <c r="H103" s="441" t="s">
        <v>410</v>
      </c>
      <c r="I103" s="441" t="s">
        <v>410</v>
      </c>
      <c r="J103" s="441" t="s">
        <v>410</v>
      </c>
      <c r="K103" s="441" t="s">
        <v>410</v>
      </c>
      <c r="L103" s="441" t="s">
        <v>410</v>
      </c>
      <c r="M103" s="441" t="s">
        <v>410</v>
      </c>
      <c r="N103" s="441" t="s">
        <v>410</v>
      </c>
      <c r="O103" s="441" t="s">
        <v>410</v>
      </c>
      <c r="P103" s="441" t="s">
        <v>410</v>
      </c>
      <c r="Q103" s="441" t="s">
        <v>410</v>
      </c>
      <c r="R103" s="441" t="s">
        <v>410</v>
      </c>
      <c r="S103" s="441" t="s">
        <v>410</v>
      </c>
      <c r="T103" s="441" t="s">
        <v>410</v>
      </c>
    </row>
    <row r="104" spans="1:20" hidden="1" outlineLevel="1" x14ac:dyDescent="0.3">
      <c r="A104" s="583" t="s">
        <v>5220</v>
      </c>
      <c r="B104" s="591">
        <v>8</v>
      </c>
      <c r="C104" s="583" t="s">
        <v>1256</v>
      </c>
      <c r="D104" s="583" t="s">
        <v>3114</v>
      </c>
      <c r="E104" s="592" t="s">
        <v>410</v>
      </c>
      <c r="F104" s="593"/>
      <c r="G104" s="441" t="s">
        <v>410</v>
      </c>
      <c r="H104" s="441" t="s">
        <v>410</v>
      </c>
      <c r="I104" s="441" t="s">
        <v>410</v>
      </c>
      <c r="J104" s="441" t="s">
        <v>410</v>
      </c>
      <c r="K104" s="441" t="s">
        <v>410</v>
      </c>
      <c r="L104" s="441" t="s">
        <v>410</v>
      </c>
      <c r="M104" s="441" t="s">
        <v>410</v>
      </c>
      <c r="N104" s="441" t="s">
        <v>410</v>
      </c>
      <c r="O104" s="441" t="s">
        <v>410</v>
      </c>
      <c r="P104" s="441" t="s">
        <v>410</v>
      </c>
      <c r="Q104" s="441" t="s">
        <v>410</v>
      </c>
      <c r="R104" s="441" t="s">
        <v>410</v>
      </c>
      <c r="S104" s="441" t="s">
        <v>410</v>
      </c>
      <c r="T104" s="441" t="s">
        <v>410</v>
      </c>
    </row>
    <row r="105" spans="1:20" hidden="1" outlineLevel="1" x14ac:dyDescent="0.3">
      <c r="A105" s="583" t="s">
        <v>5227</v>
      </c>
      <c r="B105" s="591">
        <v>8</v>
      </c>
      <c r="C105" s="583" t="s">
        <v>1256</v>
      </c>
      <c r="D105" s="583" t="s">
        <v>3114</v>
      </c>
      <c r="E105" s="592" t="s">
        <v>410</v>
      </c>
      <c r="F105" s="593"/>
      <c r="G105" s="441" t="s">
        <v>410</v>
      </c>
      <c r="H105" s="441" t="s">
        <v>410</v>
      </c>
      <c r="I105" s="441" t="s">
        <v>410</v>
      </c>
      <c r="J105" s="441" t="s">
        <v>410</v>
      </c>
      <c r="K105" s="441" t="s">
        <v>410</v>
      </c>
      <c r="L105" s="441" t="s">
        <v>410</v>
      </c>
      <c r="M105" s="441" t="s">
        <v>410</v>
      </c>
      <c r="N105" s="441" t="s">
        <v>410</v>
      </c>
      <c r="O105" s="441" t="s">
        <v>410</v>
      </c>
      <c r="P105" s="441" t="s">
        <v>410</v>
      </c>
      <c r="Q105" s="441" t="s">
        <v>410</v>
      </c>
      <c r="R105" s="441" t="s">
        <v>410</v>
      </c>
      <c r="S105" s="441" t="s">
        <v>410</v>
      </c>
      <c r="T105" s="441" t="s">
        <v>410</v>
      </c>
    </row>
    <row r="106" spans="1:20" hidden="1" outlineLevel="1" x14ac:dyDescent="0.3">
      <c r="A106" s="583" t="s">
        <v>5221</v>
      </c>
      <c r="B106" s="591">
        <v>8</v>
      </c>
      <c r="C106" s="583" t="s">
        <v>1256</v>
      </c>
      <c r="D106" s="583" t="s">
        <v>3114</v>
      </c>
      <c r="E106" s="593" t="s">
        <v>410</v>
      </c>
      <c r="F106" s="593"/>
      <c r="G106" s="441" t="s">
        <v>410</v>
      </c>
      <c r="H106" s="441" t="s">
        <v>410</v>
      </c>
      <c r="I106" s="441" t="s">
        <v>410</v>
      </c>
      <c r="J106" s="441" t="s">
        <v>410</v>
      </c>
      <c r="K106" s="441" t="s">
        <v>410</v>
      </c>
      <c r="L106" s="441" t="s">
        <v>410</v>
      </c>
      <c r="M106" s="441" t="s">
        <v>410</v>
      </c>
      <c r="N106" s="441" t="s">
        <v>410</v>
      </c>
      <c r="O106" s="441" t="s">
        <v>410</v>
      </c>
      <c r="P106" s="441" t="s">
        <v>410</v>
      </c>
      <c r="Q106" s="441" t="s">
        <v>410</v>
      </c>
      <c r="R106" s="441" t="s">
        <v>410</v>
      </c>
      <c r="S106" s="441" t="s">
        <v>410</v>
      </c>
      <c r="T106" s="441" t="s">
        <v>410</v>
      </c>
    </row>
    <row r="107" spans="1:20" hidden="1" outlineLevel="1" x14ac:dyDescent="0.3">
      <c r="A107" s="583" t="s">
        <v>1553</v>
      </c>
      <c r="B107" s="591">
        <v>11</v>
      </c>
      <c r="C107" s="588" t="s">
        <v>1256</v>
      </c>
      <c r="D107" s="588" t="s">
        <v>3114</v>
      </c>
      <c r="E107" s="589" t="s">
        <v>410</v>
      </c>
      <c r="F107" s="590" t="s">
        <v>3356</v>
      </c>
      <c r="G107" s="590" t="s">
        <v>3357</v>
      </c>
      <c r="H107" s="590" t="s">
        <v>3358</v>
      </c>
      <c r="I107" s="590" t="s">
        <v>3359</v>
      </c>
      <c r="J107" s="590" t="s">
        <v>3360</v>
      </c>
      <c r="K107" s="590" t="s">
        <v>3361</v>
      </c>
      <c r="L107" s="590" t="s">
        <v>3362</v>
      </c>
      <c r="M107" s="590" t="s">
        <v>3363</v>
      </c>
      <c r="N107" s="590" t="s">
        <v>3364</v>
      </c>
      <c r="O107" s="590" t="s">
        <v>3365</v>
      </c>
      <c r="P107" s="590" t="s">
        <v>3366</v>
      </c>
      <c r="Q107" s="590" t="s">
        <v>3367</v>
      </c>
      <c r="R107" s="441" t="s">
        <v>410</v>
      </c>
      <c r="S107" s="441" t="s">
        <v>410</v>
      </c>
      <c r="T107" s="441" t="s">
        <v>410</v>
      </c>
    </row>
    <row r="108" spans="1:20" hidden="1" outlineLevel="1" x14ac:dyDescent="0.3">
      <c r="A108" s="583" t="s">
        <v>2201</v>
      </c>
      <c r="B108" s="591">
        <v>11</v>
      </c>
      <c r="C108" s="583" t="s">
        <v>1256</v>
      </c>
      <c r="D108" s="583" t="s">
        <v>3114</v>
      </c>
      <c r="E108" s="592" t="s">
        <v>410</v>
      </c>
      <c r="F108" s="593" t="s">
        <v>3523</v>
      </c>
      <c r="G108" s="593" t="s">
        <v>3524</v>
      </c>
      <c r="H108" s="593" t="s">
        <v>3525</v>
      </c>
      <c r="I108" s="593" t="s">
        <v>3526</v>
      </c>
      <c r="J108" s="593" t="s">
        <v>3527</v>
      </c>
      <c r="K108" s="237" t="s">
        <v>410</v>
      </c>
      <c r="L108" s="237" t="s">
        <v>410</v>
      </c>
      <c r="M108" s="237" t="s">
        <v>410</v>
      </c>
      <c r="N108" s="237" t="s">
        <v>410</v>
      </c>
      <c r="O108" s="237" t="s">
        <v>410</v>
      </c>
      <c r="P108" s="237" t="s">
        <v>410</v>
      </c>
      <c r="Q108" s="237" t="s">
        <v>410</v>
      </c>
      <c r="R108" s="237" t="s">
        <v>410</v>
      </c>
      <c r="S108" s="10" t="s">
        <v>410</v>
      </c>
      <c r="T108" s="10" t="s">
        <v>410</v>
      </c>
    </row>
    <row r="109" spans="1:20" hidden="1" outlineLevel="1" x14ac:dyDescent="0.3">
      <c r="A109" s="583" t="s">
        <v>1782</v>
      </c>
      <c r="B109" s="591">
        <v>11</v>
      </c>
      <c r="C109" s="583" t="s">
        <v>1256</v>
      </c>
      <c r="D109" s="583" t="s">
        <v>3114</v>
      </c>
      <c r="E109" s="592" t="s">
        <v>410</v>
      </c>
      <c r="F109" s="593" t="s">
        <v>66</v>
      </c>
      <c r="G109" s="593" t="s">
        <v>67</v>
      </c>
      <c r="H109" s="593" t="s">
        <v>68</v>
      </c>
      <c r="I109" s="593" t="s">
        <v>70</v>
      </c>
      <c r="J109" s="237" t="s">
        <v>410</v>
      </c>
      <c r="K109" s="237" t="s">
        <v>410</v>
      </c>
      <c r="L109" s="237" t="s">
        <v>410</v>
      </c>
      <c r="M109" s="237" t="s">
        <v>410</v>
      </c>
      <c r="N109" s="237" t="s">
        <v>410</v>
      </c>
      <c r="O109" s="237" t="s">
        <v>410</v>
      </c>
      <c r="P109" s="237" t="s">
        <v>410</v>
      </c>
      <c r="Q109" s="237" t="s">
        <v>410</v>
      </c>
      <c r="R109" s="237" t="s">
        <v>410</v>
      </c>
      <c r="S109" s="10" t="s">
        <v>410</v>
      </c>
      <c r="T109" s="10" t="s">
        <v>410</v>
      </c>
    </row>
    <row r="110" spans="1:20" hidden="1" outlineLevel="1" x14ac:dyDescent="0.3">
      <c r="A110" s="583" t="s">
        <v>1837</v>
      </c>
      <c r="B110" s="591">
        <v>11</v>
      </c>
      <c r="C110" s="583" t="s">
        <v>1256</v>
      </c>
      <c r="D110" s="583" t="s">
        <v>3114</v>
      </c>
      <c r="E110" s="592" t="s">
        <v>410</v>
      </c>
      <c r="F110" s="593" t="s">
        <v>62</v>
      </c>
      <c r="G110" s="593" t="s">
        <v>63</v>
      </c>
      <c r="H110" s="593" t="s">
        <v>64</v>
      </c>
      <c r="I110" s="593" t="s">
        <v>65</v>
      </c>
      <c r="J110" s="237" t="s">
        <v>410</v>
      </c>
      <c r="K110" s="237" t="s">
        <v>410</v>
      </c>
      <c r="L110" s="237" t="s">
        <v>410</v>
      </c>
      <c r="M110" s="237" t="s">
        <v>410</v>
      </c>
      <c r="N110" s="237" t="s">
        <v>410</v>
      </c>
      <c r="O110" s="237" t="s">
        <v>410</v>
      </c>
      <c r="P110" s="237" t="s">
        <v>410</v>
      </c>
      <c r="Q110" s="237" t="s">
        <v>410</v>
      </c>
      <c r="R110" s="237" t="s">
        <v>410</v>
      </c>
      <c r="S110" s="10" t="s">
        <v>410</v>
      </c>
      <c r="T110" s="10" t="s">
        <v>410</v>
      </c>
    </row>
    <row r="111" spans="1:20" hidden="1" outlineLevel="1" x14ac:dyDescent="0.3">
      <c r="A111" s="583" t="s">
        <v>1915</v>
      </c>
      <c r="B111" s="591">
        <v>11</v>
      </c>
      <c r="C111" s="583" t="s">
        <v>1256</v>
      </c>
      <c r="D111" s="583" t="s">
        <v>3114</v>
      </c>
      <c r="E111" s="592" t="s">
        <v>410</v>
      </c>
      <c r="F111" s="593" t="s">
        <v>1916</v>
      </c>
      <c r="G111" s="593" t="s">
        <v>1917</v>
      </c>
      <c r="H111" s="593" t="s">
        <v>3202</v>
      </c>
      <c r="I111" s="237" t="s">
        <v>410</v>
      </c>
      <c r="J111" s="237" t="s">
        <v>410</v>
      </c>
      <c r="K111" s="237" t="s">
        <v>410</v>
      </c>
      <c r="L111" s="237" t="s">
        <v>410</v>
      </c>
      <c r="M111" s="237" t="s">
        <v>410</v>
      </c>
      <c r="N111" s="237" t="s">
        <v>410</v>
      </c>
      <c r="O111" s="237" t="s">
        <v>410</v>
      </c>
      <c r="P111" s="237" t="s">
        <v>410</v>
      </c>
      <c r="Q111" s="237" t="s">
        <v>410</v>
      </c>
      <c r="R111" s="237" t="s">
        <v>410</v>
      </c>
      <c r="S111" s="10" t="s">
        <v>410</v>
      </c>
      <c r="T111" s="10" t="s">
        <v>410</v>
      </c>
    </row>
    <row r="112" spans="1:20" hidden="1" outlineLevel="1" x14ac:dyDescent="0.3">
      <c r="A112" s="583" t="s">
        <v>1918</v>
      </c>
      <c r="B112" s="591">
        <v>11</v>
      </c>
      <c r="C112" s="583" t="s">
        <v>1256</v>
      </c>
      <c r="D112" s="583" t="s">
        <v>3114</v>
      </c>
      <c r="E112" s="592" t="s">
        <v>410</v>
      </c>
      <c r="F112" s="593" t="s">
        <v>4321</v>
      </c>
      <c r="G112" s="593" t="s">
        <v>3377</v>
      </c>
      <c r="H112" s="593" t="s">
        <v>3378</v>
      </c>
      <c r="I112" s="237" t="s">
        <v>410</v>
      </c>
      <c r="J112" s="237" t="s">
        <v>410</v>
      </c>
      <c r="K112" s="237" t="s">
        <v>410</v>
      </c>
      <c r="L112" s="237" t="s">
        <v>410</v>
      </c>
      <c r="M112" s="237" t="s">
        <v>410</v>
      </c>
      <c r="N112" s="237" t="s">
        <v>410</v>
      </c>
      <c r="O112" s="237" t="s">
        <v>410</v>
      </c>
      <c r="P112" s="237" t="s">
        <v>410</v>
      </c>
      <c r="Q112" s="237" t="s">
        <v>410</v>
      </c>
      <c r="R112" s="237" t="s">
        <v>410</v>
      </c>
      <c r="S112" s="10" t="s">
        <v>410</v>
      </c>
      <c r="T112" s="10" t="s">
        <v>410</v>
      </c>
    </row>
    <row r="113" spans="1:20" hidden="1" outlineLevel="1" x14ac:dyDescent="0.3">
      <c r="A113" s="583" t="s">
        <v>1741</v>
      </c>
      <c r="B113" s="591">
        <v>16</v>
      </c>
      <c r="C113" s="583" t="s">
        <v>1256</v>
      </c>
      <c r="D113" s="583" t="s">
        <v>3114</v>
      </c>
      <c r="E113" s="592" t="s">
        <v>410</v>
      </c>
      <c r="F113" s="593" t="s">
        <v>2212</v>
      </c>
      <c r="G113" s="593" t="s">
        <v>2213</v>
      </c>
      <c r="H113" s="593" t="s">
        <v>2214</v>
      </c>
      <c r="I113" s="593" t="s">
        <v>3530</v>
      </c>
      <c r="J113" s="593" t="s">
        <v>3529</v>
      </c>
      <c r="K113" s="593" t="s">
        <v>3528</v>
      </c>
      <c r="L113" s="237" t="s">
        <v>410</v>
      </c>
      <c r="M113" s="237" t="s">
        <v>410</v>
      </c>
      <c r="N113" s="237" t="s">
        <v>410</v>
      </c>
      <c r="O113" s="237" t="s">
        <v>410</v>
      </c>
      <c r="P113" s="237" t="s">
        <v>410</v>
      </c>
      <c r="Q113" s="237" t="s">
        <v>410</v>
      </c>
      <c r="R113" s="237" t="s">
        <v>410</v>
      </c>
      <c r="S113" s="10" t="s">
        <v>410</v>
      </c>
      <c r="T113" s="10" t="s">
        <v>410</v>
      </c>
    </row>
    <row r="114" spans="1:20" hidden="1" outlineLevel="1" x14ac:dyDescent="0.3">
      <c r="A114" s="583" t="s">
        <v>1745</v>
      </c>
      <c r="B114" s="591">
        <v>16</v>
      </c>
      <c r="C114" s="583" t="s">
        <v>1256</v>
      </c>
      <c r="D114" s="583" t="s">
        <v>3114</v>
      </c>
      <c r="E114" s="592" t="s">
        <v>410</v>
      </c>
      <c r="F114" s="593" t="s">
        <v>3522</v>
      </c>
      <c r="G114" s="593" t="s">
        <v>3518</v>
      </c>
      <c r="H114" s="593" t="s">
        <v>3519</v>
      </c>
      <c r="I114" s="593" t="s">
        <v>3520</v>
      </c>
      <c r="J114" s="593" t="s">
        <v>3521</v>
      </c>
      <c r="K114" s="237" t="s">
        <v>410</v>
      </c>
      <c r="L114" s="237" t="s">
        <v>410</v>
      </c>
      <c r="M114" s="237" t="s">
        <v>410</v>
      </c>
      <c r="N114" s="237" t="s">
        <v>410</v>
      </c>
      <c r="O114" s="237" t="s">
        <v>410</v>
      </c>
      <c r="P114" s="237" t="s">
        <v>410</v>
      </c>
      <c r="Q114" s="237" t="s">
        <v>410</v>
      </c>
      <c r="R114" s="237" t="s">
        <v>410</v>
      </c>
      <c r="S114" s="10" t="s">
        <v>410</v>
      </c>
      <c r="T114" s="10" t="s">
        <v>410</v>
      </c>
    </row>
    <row r="115" spans="1:20" hidden="1" outlineLevel="1" x14ac:dyDescent="0.3">
      <c r="A115" s="583" t="s">
        <v>1756</v>
      </c>
      <c r="B115" s="591">
        <v>16</v>
      </c>
      <c r="C115" s="583" t="s">
        <v>1256</v>
      </c>
      <c r="D115" s="583" t="s">
        <v>3114</v>
      </c>
      <c r="E115" s="592" t="s">
        <v>410</v>
      </c>
      <c r="F115" s="593" t="s">
        <v>2216</v>
      </c>
      <c r="G115" s="593" t="s">
        <v>2217</v>
      </c>
      <c r="H115" s="593" t="s">
        <v>2218</v>
      </c>
      <c r="I115" s="593" t="s">
        <v>2219</v>
      </c>
      <c r="J115" s="593" t="s">
        <v>2220</v>
      </c>
      <c r="K115" s="237" t="s">
        <v>410</v>
      </c>
      <c r="L115" s="237" t="s">
        <v>410</v>
      </c>
      <c r="M115" s="237" t="s">
        <v>410</v>
      </c>
      <c r="N115" s="237" t="s">
        <v>410</v>
      </c>
      <c r="O115" s="237" t="s">
        <v>410</v>
      </c>
      <c r="P115" s="237" t="s">
        <v>410</v>
      </c>
      <c r="Q115" s="237" t="s">
        <v>410</v>
      </c>
      <c r="R115" s="237" t="s">
        <v>410</v>
      </c>
      <c r="S115" s="10" t="s">
        <v>410</v>
      </c>
      <c r="T115" s="10" t="s">
        <v>410</v>
      </c>
    </row>
    <row r="116" spans="1:20" hidden="1" outlineLevel="1" x14ac:dyDescent="0.3">
      <c r="A116" s="583" t="s">
        <v>1787</v>
      </c>
      <c r="B116" s="591">
        <v>16</v>
      </c>
      <c r="C116" s="583" t="s">
        <v>1256</v>
      </c>
      <c r="D116" s="583" t="s">
        <v>3114</v>
      </c>
      <c r="E116" s="592" t="s">
        <v>410</v>
      </c>
      <c r="F116" s="593" t="s">
        <v>4314</v>
      </c>
      <c r="G116" s="593"/>
      <c r="H116" s="593"/>
      <c r="I116" s="593"/>
      <c r="J116" s="593"/>
      <c r="K116" s="593"/>
      <c r="L116" s="593"/>
      <c r="M116" s="593"/>
      <c r="N116" s="237" t="s">
        <v>410</v>
      </c>
      <c r="O116" s="237" t="s">
        <v>410</v>
      </c>
      <c r="P116" s="237" t="s">
        <v>410</v>
      </c>
      <c r="Q116" s="237" t="s">
        <v>410</v>
      </c>
      <c r="R116" s="237" t="s">
        <v>410</v>
      </c>
      <c r="S116" s="10" t="s">
        <v>410</v>
      </c>
      <c r="T116" s="10" t="s">
        <v>410</v>
      </c>
    </row>
    <row r="117" spans="1:20" hidden="1" outlineLevel="1" x14ac:dyDescent="0.3">
      <c r="A117" s="583" t="s">
        <v>1814</v>
      </c>
      <c r="B117" s="591">
        <v>16</v>
      </c>
      <c r="C117" s="583" t="s">
        <v>1256</v>
      </c>
      <c r="D117" s="583" t="s">
        <v>3114</v>
      </c>
      <c r="E117" s="592" t="s">
        <v>410</v>
      </c>
      <c r="F117" s="593" t="s">
        <v>1482</v>
      </c>
      <c r="G117" s="593" t="s">
        <v>3433</v>
      </c>
      <c r="H117" s="593" t="s">
        <v>3435</v>
      </c>
      <c r="I117" s="593" t="s">
        <v>4298</v>
      </c>
      <c r="J117" s="593" t="s">
        <v>4299</v>
      </c>
      <c r="K117" s="237" t="s">
        <v>410</v>
      </c>
      <c r="L117" s="237" t="s">
        <v>410</v>
      </c>
      <c r="M117" s="237" t="s">
        <v>410</v>
      </c>
      <c r="N117" s="237" t="s">
        <v>410</v>
      </c>
      <c r="O117" s="237" t="s">
        <v>410</v>
      </c>
      <c r="P117" s="237" t="s">
        <v>410</v>
      </c>
      <c r="Q117" s="237" t="s">
        <v>410</v>
      </c>
      <c r="R117" s="237" t="s">
        <v>410</v>
      </c>
      <c r="S117" s="10" t="s">
        <v>410</v>
      </c>
      <c r="T117" s="10" t="s">
        <v>410</v>
      </c>
    </row>
    <row r="118" spans="1:20" hidden="1" outlineLevel="1" x14ac:dyDescent="0.3">
      <c r="A118" s="583" t="s">
        <v>1870</v>
      </c>
      <c r="B118" s="591">
        <v>16</v>
      </c>
      <c r="C118" s="583" t="s">
        <v>1256</v>
      </c>
      <c r="D118" s="583" t="s">
        <v>3114</v>
      </c>
      <c r="E118" s="592" t="s">
        <v>410</v>
      </c>
      <c r="F118" s="593" t="s">
        <v>3532</v>
      </c>
      <c r="G118" s="593" t="s">
        <v>3533</v>
      </c>
      <c r="H118" s="593" t="s">
        <v>3534</v>
      </c>
      <c r="I118" s="593" t="s">
        <v>3535</v>
      </c>
      <c r="J118" s="593" t="s">
        <v>3536</v>
      </c>
      <c r="K118" t="s">
        <v>410</v>
      </c>
      <c r="L118" t="s">
        <v>410</v>
      </c>
      <c r="M118" s="237" t="s">
        <v>410</v>
      </c>
      <c r="N118" s="237" t="s">
        <v>410</v>
      </c>
      <c r="O118" s="237" t="s">
        <v>410</v>
      </c>
      <c r="P118" s="237" t="s">
        <v>410</v>
      </c>
      <c r="Q118" s="237" t="s">
        <v>410</v>
      </c>
      <c r="R118" s="237" t="s">
        <v>410</v>
      </c>
      <c r="S118" s="10" t="s">
        <v>410</v>
      </c>
      <c r="T118" s="10" t="s">
        <v>410</v>
      </c>
    </row>
    <row r="119" spans="1:20" hidden="1" outlineLevel="1" x14ac:dyDescent="0.3">
      <c r="A119" s="583" t="s">
        <v>1866</v>
      </c>
      <c r="B119" s="591">
        <v>16</v>
      </c>
      <c r="C119" s="583" t="s">
        <v>1256</v>
      </c>
      <c r="D119" s="583" t="s">
        <v>3114</v>
      </c>
      <c r="E119" s="592" t="s">
        <v>410</v>
      </c>
      <c r="F119" s="593" t="s">
        <v>67</v>
      </c>
      <c r="G119" s="593" t="s">
        <v>68</v>
      </c>
      <c r="H119" s="593" t="s">
        <v>70</v>
      </c>
      <c r="I119" s="593" t="s">
        <v>72</v>
      </c>
      <c r="J119" s="593" t="s">
        <v>74</v>
      </c>
      <c r="K119" s="237" t="s">
        <v>410</v>
      </c>
      <c r="L119" s="237" t="s">
        <v>410</v>
      </c>
      <c r="M119" s="237" t="s">
        <v>410</v>
      </c>
      <c r="N119" s="237" t="s">
        <v>410</v>
      </c>
      <c r="O119" s="237" t="s">
        <v>410</v>
      </c>
      <c r="P119" s="237" t="s">
        <v>410</v>
      </c>
      <c r="Q119" s="237" t="s">
        <v>410</v>
      </c>
      <c r="R119" s="237" t="s">
        <v>410</v>
      </c>
      <c r="S119" s="10" t="s">
        <v>410</v>
      </c>
      <c r="T119" s="10" t="s">
        <v>410</v>
      </c>
    </row>
    <row r="120" spans="1:20" hidden="1" outlineLevel="1" x14ac:dyDescent="0.3">
      <c r="A120" s="583" t="s">
        <v>1974</v>
      </c>
      <c r="B120" s="591">
        <v>16</v>
      </c>
      <c r="C120" s="583" t="s">
        <v>1256</v>
      </c>
      <c r="D120" s="583" t="s">
        <v>3114</v>
      </c>
      <c r="E120" s="593" t="s">
        <v>410</v>
      </c>
      <c r="F120" s="593" t="s">
        <v>4312</v>
      </c>
      <c r="G120" s="593" t="s">
        <v>2307</v>
      </c>
      <c r="H120" s="593" t="s">
        <v>2308</v>
      </c>
      <c r="I120" s="593" t="s">
        <v>2309</v>
      </c>
      <c r="J120" s="593" t="s">
        <v>2310</v>
      </c>
      <c r="K120" s="593" t="s">
        <v>2311</v>
      </c>
      <c r="L120" s="237" t="s">
        <v>410</v>
      </c>
      <c r="M120" s="237" t="s">
        <v>410</v>
      </c>
      <c r="N120" s="237" t="s">
        <v>410</v>
      </c>
      <c r="O120" s="237" t="s">
        <v>410</v>
      </c>
      <c r="P120" s="237" t="s">
        <v>410</v>
      </c>
      <c r="Q120" s="237" t="s">
        <v>410</v>
      </c>
      <c r="R120" s="237" t="s">
        <v>410</v>
      </c>
      <c r="S120" s="237" t="s">
        <v>410</v>
      </c>
      <c r="T120" s="237" t="s">
        <v>410</v>
      </c>
    </row>
    <row r="121" spans="1:20" hidden="1" outlineLevel="1" x14ac:dyDescent="0.3">
      <c r="A121" s="583" t="s">
        <v>5204</v>
      </c>
      <c r="B121" s="591">
        <v>16</v>
      </c>
      <c r="C121" s="583" t="s">
        <v>1256</v>
      </c>
      <c r="D121" s="583" t="s">
        <v>3114</v>
      </c>
      <c r="E121" s="593" t="s">
        <v>410</v>
      </c>
      <c r="F121" s="593" t="s">
        <v>5217</v>
      </c>
      <c r="G121" s="593" t="s">
        <v>1975</v>
      </c>
      <c r="H121" s="593" t="s">
        <v>1976</v>
      </c>
      <c r="I121" s="593" t="s">
        <v>1977</v>
      </c>
      <c r="J121" s="593" t="s">
        <v>3354</v>
      </c>
      <c r="K121" s="237" t="s">
        <v>410</v>
      </c>
      <c r="L121" s="237" t="s">
        <v>410</v>
      </c>
      <c r="M121" s="237" t="s">
        <v>410</v>
      </c>
      <c r="N121" s="237" t="s">
        <v>410</v>
      </c>
      <c r="O121" s="237" t="s">
        <v>410</v>
      </c>
      <c r="P121" s="237" t="s">
        <v>410</v>
      </c>
      <c r="Q121" s="237" t="s">
        <v>410</v>
      </c>
      <c r="R121" s="237" t="s">
        <v>410</v>
      </c>
      <c r="S121" s="237" t="s">
        <v>410</v>
      </c>
      <c r="T121" s="237" t="s">
        <v>410</v>
      </c>
    </row>
    <row r="122" spans="1:20" hidden="1" outlineLevel="1" x14ac:dyDescent="0.3">
      <c r="A122" s="583" t="s">
        <v>1861</v>
      </c>
      <c r="B122" s="591">
        <v>21</v>
      </c>
      <c r="C122" s="583" t="s">
        <v>1256</v>
      </c>
      <c r="D122" s="583" t="s">
        <v>3114</v>
      </c>
      <c r="E122" s="592" t="s">
        <v>410</v>
      </c>
      <c r="F122" s="593" t="s">
        <v>3375</v>
      </c>
      <c r="G122" s="593" t="s">
        <v>3353</v>
      </c>
      <c r="H122" s="593" t="s">
        <v>3353</v>
      </c>
      <c r="I122" s="593" t="s">
        <v>3353</v>
      </c>
      <c r="J122" s="593" t="s">
        <v>3353</v>
      </c>
      <c r="K122" s="593" t="s">
        <v>3353</v>
      </c>
      <c r="L122" s="593" t="s">
        <v>3353</v>
      </c>
      <c r="M122" s="593" t="s">
        <v>3353</v>
      </c>
      <c r="N122" s="593" t="s">
        <v>3353</v>
      </c>
      <c r="O122" s="237" t="s">
        <v>410</v>
      </c>
      <c r="P122" s="237" t="s">
        <v>410</v>
      </c>
      <c r="Q122" s="237" t="s">
        <v>410</v>
      </c>
      <c r="R122" s="237" t="s">
        <v>410</v>
      </c>
      <c r="S122" s="10" t="s">
        <v>410</v>
      </c>
      <c r="T122" s="10" t="s">
        <v>410</v>
      </c>
    </row>
    <row r="123" spans="1:20" ht="14.25" hidden="1" customHeight="1" outlineLevel="1" x14ac:dyDescent="0.3">
      <c r="A123" s="583" t="s">
        <v>3537</v>
      </c>
      <c r="B123" s="591">
        <v>0</v>
      </c>
      <c r="C123" s="583" t="s">
        <v>1564</v>
      </c>
      <c r="D123" s="583" t="s">
        <v>3114</v>
      </c>
      <c r="F123" s="237" t="s">
        <v>410</v>
      </c>
      <c r="G123" s="237" t="s">
        <v>410</v>
      </c>
      <c r="H123" s="237" t="s">
        <v>410</v>
      </c>
      <c r="I123" s="237" t="s">
        <v>410</v>
      </c>
      <c r="J123" s="237" t="s">
        <v>410</v>
      </c>
      <c r="K123" s="237" t="s">
        <v>410</v>
      </c>
      <c r="L123" s="237" t="s">
        <v>410</v>
      </c>
      <c r="M123" s="237" t="s">
        <v>410</v>
      </c>
      <c r="N123" s="237" t="s">
        <v>410</v>
      </c>
      <c r="O123" s="237" t="s">
        <v>410</v>
      </c>
      <c r="P123" s="237" t="s">
        <v>410</v>
      </c>
      <c r="Q123" s="237" t="s">
        <v>410</v>
      </c>
      <c r="R123" s="237" t="s">
        <v>410</v>
      </c>
      <c r="S123" s="10" t="s">
        <v>410</v>
      </c>
      <c r="T123" s="10" t="s">
        <v>410</v>
      </c>
    </row>
    <row r="124" spans="1:20" hidden="1" outlineLevel="1" x14ac:dyDescent="0.3">
      <c r="A124" s="583" t="s">
        <v>2269</v>
      </c>
      <c r="B124" s="591">
        <v>6</v>
      </c>
      <c r="C124" s="583" t="s">
        <v>1564</v>
      </c>
      <c r="D124" s="583" t="s">
        <v>3114</v>
      </c>
      <c r="E124" s="592" t="s">
        <v>2273</v>
      </c>
      <c r="F124" t="s">
        <v>410</v>
      </c>
      <c r="G124" t="s">
        <v>410</v>
      </c>
      <c r="H124" t="s">
        <v>410</v>
      </c>
      <c r="I124" t="s">
        <v>410</v>
      </c>
      <c r="J124" t="s">
        <v>410</v>
      </c>
      <c r="K124" t="s">
        <v>410</v>
      </c>
      <c r="L124" t="s">
        <v>410</v>
      </c>
      <c r="M124" t="s">
        <v>410</v>
      </c>
      <c r="N124" t="s">
        <v>410</v>
      </c>
      <c r="O124" t="s">
        <v>410</v>
      </c>
      <c r="P124" t="s">
        <v>410</v>
      </c>
      <c r="Q124" t="s">
        <v>410</v>
      </c>
      <c r="R124" t="s">
        <v>410</v>
      </c>
      <c r="S124" t="s">
        <v>410</v>
      </c>
      <c r="T124" t="s">
        <v>410</v>
      </c>
    </row>
    <row r="125" spans="1:20" hidden="1" outlineLevel="1" x14ac:dyDescent="0.3">
      <c r="A125" s="583" t="s">
        <v>2270</v>
      </c>
      <c r="B125" s="591">
        <v>7</v>
      </c>
      <c r="C125" s="583" t="s">
        <v>1564</v>
      </c>
      <c r="D125" s="583" t="s">
        <v>3114</v>
      </c>
      <c r="E125" s="592" t="s">
        <v>2274</v>
      </c>
      <c r="F125" t="s">
        <v>410</v>
      </c>
      <c r="G125" t="s">
        <v>410</v>
      </c>
      <c r="H125" t="s">
        <v>410</v>
      </c>
      <c r="I125" t="s">
        <v>410</v>
      </c>
      <c r="J125" t="s">
        <v>410</v>
      </c>
      <c r="K125" t="s">
        <v>410</v>
      </c>
      <c r="L125" t="s">
        <v>410</v>
      </c>
      <c r="M125" t="s">
        <v>410</v>
      </c>
      <c r="N125" t="s">
        <v>410</v>
      </c>
      <c r="O125" t="s">
        <v>410</v>
      </c>
      <c r="P125" t="s">
        <v>410</v>
      </c>
      <c r="Q125" t="s">
        <v>410</v>
      </c>
      <c r="R125" t="s">
        <v>410</v>
      </c>
      <c r="S125" t="s">
        <v>410</v>
      </c>
      <c r="T125" t="s">
        <v>410</v>
      </c>
    </row>
    <row r="126" spans="1:20" hidden="1" outlineLevel="1" x14ac:dyDescent="0.3">
      <c r="A126" s="583" t="s">
        <v>2271</v>
      </c>
      <c r="B126" s="591">
        <v>8</v>
      </c>
      <c r="C126" s="583" t="s">
        <v>1564</v>
      </c>
      <c r="D126" s="583" t="s">
        <v>3114</v>
      </c>
      <c r="E126" s="614" t="str">
        <f>CONCATENATE(CONCATENATE(TEXT(36+7*'1-Vlastnosti'!$U$2,0))," %")</f>
        <v>43 %</v>
      </c>
      <c r="F126" t="s">
        <v>410</v>
      </c>
      <c r="G126" t="s">
        <v>410</v>
      </c>
      <c r="H126" t="s">
        <v>410</v>
      </c>
      <c r="I126" t="s">
        <v>410</v>
      </c>
      <c r="J126" t="s">
        <v>410</v>
      </c>
      <c r="K126" t="s">
        <v>410</v>
      </c>
      <c r="L126" t="s">
        <v>410</v>
      </c>
      <c r="M126" t="s">
        <v>410</v>
      </c>
      <c r="N126" t="s">
        <v>410</v>
      </c>
      <c r="O126" t="s">
        <v>410</v>
      </c>
      <c r="P126" t="s">
        <v>410</v>
      </c>
      <c r="Q126" t="s">
        <v>410</v>
      </c>
      <c r="R126" t="s">
        <v>410</v>
      </c>
      <c r="S126" t="s">
        <v>410</v>
      </c>
      <c r="T126" t="s">
        <v>410</v>
      </c>
    </row>
    <row r="127" spans="1:20" hidden="1" outlineLevel="1" x14ac:dyDescent="0.3">
      <c r="A127" s="583" t="s">
        <v>2272</v>
      </c>
      <c r="B127" s="591">
        <v>9</v>
      </c>
      <c r="C127" s="583" t="s">
        <v>1564</v>
      </c>
      <c r="D127" s="583" t="s">
        <v>3114</v>
      </c>
      <c r="E127" s="592" t="s">
        <v>2275</v>
      </c>
      <c r="F127" t="s">
        <v>410</v>
      </c>
      <c r="G127" t="s">
        <v>410</v>
      </c>
      <c r="H127" t="s">
        <v>410</v>
      </c>
      <c r="I127" t="s">
        <v>410</v>
      </c>
      <c r="J127" t="s">
        <v>410</v>
      </c>
      <c r="K127" t="s">
        <v>410</v>
      </c>
      <c r="L127" t="s">
        <v>410</v>
      </c>
      <c r="M127" t="s">
        <v>410</v>
      </c>
      <c r="N127" t="s">
        <v>410</v>
      </c>
      <c r="O127" t="s">
        <v>410</v>
      </c>
      <c r="P127" t="s">
        <v>410</v>
      </c>
      <c r="Q127" t="s">
        <v>410</v>
      </c>
      <c r="R127" t="s">
        <v>410</v>
      </c>
      <c r="S127" t="s">
        <v>410</v>
      </c>
      <c r="T127" t="s">
        <v>410</v>
      </c>
    </row>
    <row r="128" spans="1:20" hidden="1" outlineLevel="1" x14ac:dyDescent="0.3">
      <c r="A128" s="583" t="s">
        <v>3540</v>
      </c>
      <c r="B128" s="591">
        <v>16</v>
      </c>
      <c r="C128" s="583" t="s">
        <v>1564</v>
      </c>
      <c r="D128" s="583" t="s">
        <v>3114</v>
      </c>
      <c r="E128" s="594" t="s">
        <v>3546</v>
      </c>
      <c r="F128" t="s">
        <v>410</v>
      </c>
      <c r="G128" t="s">
        <v>410</v>
      </c>
      <c r="H128" t="s">
        <v>410</v>
      </c>
      <c r="I128" t="s">
        <v>410</v>
      </c>
      <c r="J128" t="s">
        <v>410</v>
      </c>
      <c r="K128" t="s">
        <v>410</v>
      </c>
      <c r="L128" t="s">
        <v>410</v>
      </c>
      <c r="M128" t="s">
        <v>410</v>
      </c>
      <c r="N128" t="s">
        <v>410</v>
      </c>
      <c r="O128" t="s">
        <v>410</v>
      </c>
      <c r="P128" t="s">
        <v>410</v>
      </c>
      <c r="Q128" t="s">
        <v>410</v>
      </c>
      <c r="R128" t="s">
        <v>410</v>
      </c>
      <c r="S128" t="s">
        <v>410</v>
      </c>
      <c r="T128" t="s">
        <v>410</v>
      </c>
    </row>
    <row r="129" spans="1:20" hidden="1" outlineLevel="1" x14ac:dyDescent="0.3">
      <c r="A129" s="583" t="s">
        <v>3544</v>
      </c>
      <c r="B129" s="591">
        <v>17</v>
      </c>
      <c r="C129" s="583" t="s">
        <v>1564</v>
      </c>
      <c r="D129" s="583" t="s">
        <v>3114</v>
      </c>
      <c r="E129" s="594" t="s">
        <v>3547</v>
      </c>
      <c r="F129" t="s">
        <v>410</v>
      </c>
      <c r="G129" t="s">
        <v>410</v>
      </c>
      <c r="H129" t="s">
        <v>410</v>
      </c>
      <c r="I129" t="s">
        <v>410</v>
      </c>
      <c r="J129" t="s">
        <v>410</v>
      </c>
      <c r="K129" t="s">
        <v>410</v>
      </c>
      <c r="L129" t="s">
        <v>410</v>
      </c>
      <c r="M129" t="s">
        <v>410</v>
      </c>
      <c r="N129" t="s">
        <v>410</v>
      </c>
      <c r="O129" t="s">
        <v>410</v>
      </c>
      <c r="P129" t="s">
        <v>410</v>
      </c>
      <c r="Q129" t="s">
        <v>410</v>
      </c>
      <c r="R129" t="s">
        <v>410</v>
      </c>
      <c r="S129" t="s">
        <v>410</v>
      </c>
      <c r="T129" t="s">
        <v>410</v>
      </c>
    </row>
    <row r="130" spans="1:20" hidden="1" outlineLevel="1" x14ac:dyDescent="0.3">
      <c r="A130" s="583" t="s">
        <v>3543</v>
      </c>
      <c r="B130" s="591">
        <v>18</v>
      </c>
      <c r="C130" s="583" t="s">
        <v>1564</v>
      </c>
      <c r="D130" s="583" t="s">
        <v>3114</v>
      </c>
      <c r="E130" s="594" t="s">
        <v>3548</v>
      </c>
      <c r="F130" t="s">
        <v>410</v>
      </c>
      <c r="G130" t="s">
        <v>410</v>
      </c>
      <c r="H130" t="s">
        <v>410</v>
      </c>
      <c r="I130" t="s">
        <v>410</v>
      </c>
      <c r="J130" t="s">
        <v>410</v>
      </c>
      <c r="K130" t="s">
        <v>410</v>
      </c>
      <c r="L130" t="s">
        <v>410</v>
      </c>
      <c r="M130" t="s">
        <v>410</v>
      </c>
      <c r="N130" t="s">
        <v>410</v>
      </c>
      <c r="O130" t="s">
        <v>410</v>
      </c>
      <c r="P130" t="s">
        <v>410</v>
      </c>
      <c r="Q130" t="s">
        <v>410</v>
      </c>
      <c r="R130" t="s">
        <v>410</v>
      </c>
      <c r="S130" t="s">
        <v>410</v>
      </c>
      <c r="T130" t="s">
        <v>410</v>
      </c>
    </row>
    <row r="131" spans="1:20" hidden="1" outlineLevel="1" x14ac:dyDescent="0.3">
      <c r="A131" s="583" t="s">
        <v>3542</v>
      </c>
      <c r="B131" s="591">
        <v>19</v>
      </c>
      <c r="C131" s="583" t="s">
        <v>1564</v>
      </c>
      <c r="D131" s="583" t="s">
        <v>3114</v>
      </c>
      <c r="E131" s="594" t="s">
        <v>3549</v>
      </c>
      <c r="F131" t="s">
        <v>410</v>
      </c>
      <c r="G131" t="s">
        <v>410</v>
      </c>
      <c r="H131" t="s">
        <v>410</v>
      </c>
      <c r="I131" t="s">
        <v>410</v>
      </c>
      <c r="J131" t="s">
        <v>410</v>
      </c>
      <c r="K131" t="s">
        <v>410</v>
      </c>
      <c r="L131" t="s">
        <v>410</v>
      </c>
      <c r="M131" t="s">
        <v>410</v>
      </c>
      <c r="N131" t="s">
        <v>410</v>
      </c>
      <c r="O131" t="s">
        <v>410</v>
      </c>
      <c r="P131" t="s">
        <v>410</v>
      </c>
      <c r="Q131" t="s">
        <v>410</v>
      </c>
      <c r="R131" t="s">
        <v>410</v>
      </c>
      <c r="S131" t="s">
        <v>410</v>
      </c>
      <c r="T131" t="s">
        <v>410</v>
      </c>
    </row>
    <row r="132" spans="1:20" hidden="1" outlineLevel="1" x14ac:dyDescent="0.3">
      <c r="A132" s="583" t="s">
        <v>3541</v>
      </c>
      <c r="B132" s="591">
        <v>20</v>
      </c>
      <c r="C132" s="583" t="s">
        <v>1564</v>
      </c>
      <c r="D132" s="583" t="s">
        <v>3114</v>
      </c>
      <c r="E132" s="594" t="s">
        <v>3550</v>
      </c>
      <c r="F132" t="s">
        <v>410</v>
      </c>
      <c r="G132" t="s">
        <v>410</v>
      </c>
      <c r="H132" t="s">
        <v>410</v>
      </c>
      <c r="I132" t="s">
        <v>410</v>
      </c>
      <c r="J132" t="s">
        <v>410</v>
      </c>
      <c r="K132" t="s">
        <v>410</v>
      </c>
      <c r="L132" t="s">
        <v>410</v>
      </c>
      <c r="M132" t="s">
        <v>410</v>
      </c>
      <c r="N132" t="s">
        <v>410</v>
      </c>
      <c r="O132" t="s">
        <v>410</v>
      </c>
      <c r="P132" t="s">
        <v>410</v>
      </c>
      <c r="Q132" t="s">
        <v>410</v>
      </c>
      <c r="R132" t="s">
        <v>410</v>
      </c>
      <c r="S132" t="s">
        <v>410</v>
      </c>
      <c r="T132" t="s">
        <v>410</v>
      </c>
    </row>
    <row r="133" spans="1:20" hidden="1" outlineLevel="1" x14ac:dyDescent="0.3">
      <c r="A133" s="583" t="s">
        <v>3545</v>
      </c>
      <c r="B133" s="591">
        <v>21</v>
      </c>
      <c r="C133" s="583" t="s">
        <v>1564</v>
      </c>
      <c r="D133" s="583" t="s">
        <v>3114</v>
      </c>
      <c r="E133" s="594" t="s">
        <v>3551</v>
      </c>
      <c r="F133" t="s">
        <v>410</v>
      </c>
      <c r="G133" t="s">
        <v>410</v>
      </c>
      <c r="H133" t="s">
        <v>410</v>
      </c>
      <c r="I133" t="s">
        <v>410</v>
      </c>
      <c r="J133" t="s">
        <v>410</v>
      </c>
      <c r="K133" t="s">
        <v>410</v>
      </c>
      <c r="L133" t="s">
        <v>410</v>
      </c>
      <c r="M133" t="s">
        <v>410</v>
      </c>
      <c r="N133" t="s">
        <v>410</v>
      </c>
      <c r="O133" t="s">
        <v>410</v>
      </c>
      <c r="P133" t="s">
        <v>410</v>
      </c>
      <c r="Q133" t="s">
        <v>410</v>
      </c>
      <c r="R133" t="s">
        <v>410</v>
      </c>
      <c r="S133" t="s">
        <v>410</v>
      </c>
      <c r="T133" t="s">
        <v>410</v>
      </c>
    </row>
    <row r="134" spans="1:20" collapsed="1" x14ac:dyDescent="0.3">
      <c r="A134" s="583" t="s">
        <v>1463</v>
      </c>
      <c r="B134" s="591">
        <v>1</v>
      </c>
      <c r="C134" s="588" t="s">
        <v>1256</v>
      </c>
      <c r="D134" s="588" t="s">
        <v>3153</v>
      </c>
      <c r="E134" s="589" t="s">
        <v>410</v>
      </c>
      <c r="F134" s="590" t="s">
        <v>1465</v>
      </c>
      <c r="G134" s="590" t="s">
        <v>1466</v>
      </c>
      <c r="H134" s="590" t="s">
        <v>1467</v>
      </c>
      <c r="I134" s="590" t="s">
        <v>1468</v>
      </c>
      <c r="J134" s="590" t="s">
        <v>1469</v>
      </c>
      <c r="K134" s="590" t="s">
        <v>1470</v>
      </c>
      <c r="L134" s="441" t="s">
        <v>410</v>
      </c>
      <c r="M134" s="441" t="s">
        <v>410</v>
      </c>
      <c r="N134" s="441" t="s">
        <v>410</v>
      </c>
      <c r="O134" s="441" t="s">
        <v>410</v>
      </c>
      <c r="P134" s="441" t="s">
        <v>410</v>
      </c>
      <c r="Q134" s="441" t="s">
        <v>410</v>
      </c>
      <c r="R134" s="441" t="s">
        <v>410</v>
      </c>
      <c r="S134" s="441" t="s">
        <v>410</v>
      </c>
      <c r="T134" s="441" t="s">
        <v>410</v>
      </c>
    </row>
    <row r="135" spans="1:20" hidden="1" outlineLevel="1" x14ac:dyDescent="0.3">
      <c r="A135" s="583" t="s">
        <v>1478</v>
      </c>
      <c r="B135" s="591">
        <v>1</v>
      </c>
      <c r="C135" s="588" t="s">
        <v>1256</v>
      </c>
      <c r="D135" s="588" t="s">
        <v>3153</v>
      </c>
      <c r="E135" s="589" t="s">
        <v>410</v>
      </c>
      <c r="F135" s="590" t="s">
        <v>2117</v>
      </c>
      <c r="G135" s="590" t="s">
        <v>2118</v>
      </c>
      <c r="H135" s="590" t="s">
        <v>2119</v>
      </c>
      <c r="I135" s="590" t="s">
        <v>2120</v>
      </c>
      <c r="J135" s="590" t="s">
        <v>2121</v>
      </c>
      <c r="K135" s="590" t="s">
        <v>2122</v>
      </c>
      <c r="L135" s="441" t="s">
        <v>410</v>
      </c>
      <c r="M135" s="441" t="s">
        <v>410</v>
      </c>
      <c r="N135" s="441" t="s">
        <v>410</v>
      </c>
      <c r="O135" s="441" t="s">
        <v>410</v>
      </c>
      <c r="P135" s="441" t="s">
        <v>410</v>
      </c>
      <c r="Q135" s="441" t="s">
        <v>410</v>
      </c>
      <c r="R135" s="441" t="s">
        <v>410</v>
      </c>
      <c r="S135" s="441" t="s">
        <v>410</v>
      </c>
      <c r="T135" s="441" t="s">
        <v>410</v>
      </c>
    </row>
    <row r="136" spans="1:20" hidden="1" outlineLevel="1" x14ac:dyDescent="0.3">
      <c r="A136" s="583" t="s">
        <v>1593</v>
      </c>
      <c r="B136" s="591">
        <v>1</v>
      </c>
      <c r="C136" s="588" t="s">
        <v>1256</v>
      </c>
      <c r="D136" s="588" t="s">
        <v>3153</v>
      </c>
      <c r="E136" s="593" t="s">
        <v>1594</v>
      </c>
      <c r="F136" s="593" t="s">
        <v>1595</v>
      </c>
      <c r="G136" s="593" t="s">
        <v>1596</v>
      </c>
      <c r="H136" s="593" t="s">
        <v>1597</v>
      </c>
      <c r="I136" s="441" t="s">
        <v>410</v>
      </c>
      <c r="J136" s="441" t="s">
        <v>410</v>
      </c>
      <c r="K136" s="441" t="s">
        <v>410</v>
      </c>
      <c r="L136" s="441" t="s">
        <v>410</v>
      </c>
      <c r="M136" s="441" t="s">
        <v>410</v>
      </c>
      <c r="N136" s="441" t="s">
        <v>410</v>
      </c>
      <c r="O136" s="441" t="s">
        <v>410</v>
      </c>
      <c r="P136" s="441" t="s">
        <v>410</v>
      </c>
      <c r="Q136" s="441" t="s">
        <v>410</v>
      </c>
      <c r="R136" s="441" t="s">
        <v>410</v>
      </c>
      <c r="S136" s="441" t="s">
        <v>410</v>
      </c>
      <c r="T136" s="441" t="s">
        <v>410</v>
      </c>
    </row>
    <row r="137" spans="1:20" hidden="1" outlineLevel="1" x14ac:dyDescent="0.3">
      <c r="A137" s="583" t="s">
        <v>1610</v>
      </c>
      <c r="B137" s="591">
        <v>1</v>
      </c>
      <c r="C137" s="588" t="s">
        <v>1256</v>
      </c>
      <c r="D137" s="588" t="s">
        <v>3153</v>
      </c>
      <c r="E137" s="590" t="s">
        <v>2161</v>
      </c>
      <c r="F137" s="590" t="s">
        <v>2161</v>
      </c>
      <c r="G137" s="590" t="s">
        <v>2162</v>
      </c>
      <c r="H137" s="590" t="s">
        <v>2163</v>
      </c>
      <c r="I137" s="590" t="s">
        <v>2164</v>
      </c>
      <c r="J137" s="590" t="s">
        <v>2165</v>
      </c>
      <c r="K137" s="590" t="s">
        <v>2166</v>
      </c>
      <c r="L137" s="441" t="s">
        <v>410</v>
      </c>
      <c r="M137" s="441" t="s">
        <v>410</v>
      </c>
      <c r="N137" s="441" t="s">
        <v>410</v>
      </c>
      <c r="O137" s="441" t="s">
        <v>410</v>
      </c>
      <c r="P137" s="441" t="s">
        <v>410</v>
      </c>
      <c r="Q137" s="441" t="s">
        <v>410</v>
      </c>
      <c r="R137" s="441" t="s">
        <v>410</v>
      </c>
      <c r="S137" s="441" t="s">
        <v>410</v>
      </c>
      <c r="T137" s="441" t="s">
        <v>410</v>
      </c>
    </row>
    <row r="138" spans="1:20" hidden="1" outlineLevel="1" x14ac:dyDescent="0.3">
      <c r="A138" s="583" t="s">
        <v>1622</v>
      </c>
      <c r="B138" s="591">
        <v>1</v>
      </c>
      <c r="C138" s="588" t="s">
        <v>1256</v>
      </c>
      <c r="D138" s="588" t="s">
        <v>3153</v>
      </c>
      <c r="E138" s="855" t="s">
        <v>410</v>
      </c>
      <c r="F138" s="592" t="s">
        <v>5565</v>
      </c>
      <c r="G138" s="592" t="s">
        <v>5566</v>
      </c>
      <c r="H138" s="592" t="s">
        <v>5567</v>
      </c>
      <c r="I138" s="441" t="s">
        <v>410</v>
      </c>
      <c r="J138" s="441" t="s">
        <v>410</v>
      </c>
      <c r="K138" s="441" t="s">
        <v>410</v>
      </c>
      <c r="L138" s="441" t="s">
        <v>410</v>
      </c>
      <c r="M138" s="441" t="s">
        <v>410</v>
      </c>
      <c r="N138" s="441" t="s">
        <v>410</v>
      </c>
      <c r="O138" s="441" t="s">
        <v>410</v>
      </c>
      <c r="P138" s="441" t="s">
        <v>410</v>
      </c>
      <c r="Q138" s="441" t="s">
        <v>410</v>
      </c>
      <c r="R138" s="441" t="s">
        <v>410</v>
      </c>
      <c r="S138" s="441" t="s">
        <v>410</v>
      </c>
      <c r="T138" s="441" t="s">
        <v>410</v>
      </c>
    </row>
    <row r="139" spans="1:20" hidden="1" outlineLevel="1" x14ac:dyDescent="0.3">
      <c r="A139" s="583" t="s">
        <v>4211</v>
      </c>
      <c r="B139" s="591">
        <v>1</v>
      </c>
      <c r="C139" s="588" t="s">
        <v>1256</v>
      </c>
      <c r="D139" s="588" t="s">
        <v>3153</v>
      </c>
      <c r="E139" s="592" t="s">
        <v>66</v>
      </c>
      <c r="F139" s="592" t="s">
        <v>4324</v>
      </c>
      <c r="G139" s="592" t="s">
        <v>68</v>
      </c>
      <c r="H139" s="592" t="s">
        <v>70</v>
      </c>
      <c r="I139" s="441" t="s">
        <v>410</v>
      </c>
      <c r="J139" s="441" t="s">
        <v>410</v>
      </c>
      <c r="K139" s="441" t="s">
        <v>410</v>
      </c>
      <c r="L139" s="441" t="s">
        <v>410</v>
      </c>
      <c r="M139" s="441" t="s">
        <v>410</v>
      </c>
      <c r="N139" s="441" t="s">
        <v>410</v>
      </c>
      <c r="O139" s="441" t="s">
        <v>410</v>
      </c>
      <c r="P139" s="441" t="s">
        <v>410</v>
      </c>
      <c r="Q139" s="441" t="s">
        <v>410</v>
      </c>
      <c r="R139" s="441" t="s">
        <v>410</v>
      </c>
      <c r="S139" s="441" t="s">
        <v>410</v>
      </c>
      <c r="T139" s="441" t="s">
        <v>410</v>
      </c>
    </row>
    <row r="140" spans="1:20" hidden="1" outlineLevel="1" x14ac:dyDescent="0.3">
      <c r="A140" s="583" t="s">
        <v>1673</v>
      </c>
      <c r="B140" s="591">
        <v>1</v>
      </c>
      <c r="C140" s="588" t="s">
        <v>1256</v>
      </c>
      <c r="D140" s="588" t="s">
        <v>3153</v>
      </c>
      <c r="E140" s="594">
        <v>0</v>
      </c>
      <c r="F140" s="594">
        <v>1</v>
      </c>
      <c r="G140" s="594">
        <v>2</v>
      </c>
      <c r="H140" s="594">
        <v>3</v>
      </c>
      <c r="I140" s="594">
        <v>4</v>
      </c>
      <c r="J140" s="594">
        <v>5</v>
      </c>
      <c r="K140" s="594">
        <v>6</v>
      </c>
      <c r="L140" s="237" t="s">
        <v>410</v>
      </c>
      <c r="M140" s="237" t="s">
        <v>410</v>
      </c>
      <c r="N140" s="237" t="s">
        <v>410</v>
      </c>
      <c r="O140" s="237" t="s">
        <v>410</v>
      </c>
      <c r="P140" s="237" t="s">
        <v>410</v>
      </c>
      <c r="Q140" s="237" t="s">
        <v>410</v>
      </c>
      <c r="R140" s="237" t="s">
        <v>410</v>
      </c>
      <c r="S140" s="10" t="s">
        <v>410</v>
      </c>
      <c r="T140" s="10" t="s">
        <v>410</v>
      </c>
    </row>
    <row r="141" spans="1:20" hidden="1" outlineLevel="1" x14ac:dyDescent="0.3">
      <c r="A141" s="583" t="s">
        <v>1675</v>
      </c>
      <c r="B141" s="591">
        <v>1</v>
      </c>
      <c r="C141" s="583" t="s">
        <v>1256</v>
      </c>
      <c r="D141" s="583" t="s">
        <v>3153</v>
      </c>
      <c r="E141" s="10" t="s">
        <v>410</v>
      </c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37" t="s">
        <v>410</v>
      </c>
      <c r="S141" s="10" t="s">
        <v>410</v>
      </c>
      <c r="T141" s="10" t="s">
        <v>410</v>
      </c>
    </row>
    <row r="142" spans="1:20" hidden="1" outlineLevel="1" x14ac:dyDescent="0.3">
      <c r="A142" s="583" t="s">
        <v>1932</v>
      </c>
      <c r="B142" s="591">
        <v>1</v>
      </c>
      <c r="C142" s="583" t="s">
        <v>1256</v>
      </c>
      <c r="D142" s="583" t="s">
        <v>3153</v>
      </c>
      <c r="E142" s="614" t="s">
        <v>4203</v>
      </c>
      <c r="F142" s="614" t="s">
        <v>4204</v>
      </c>
      <c r="G142" s="614" t="s">
        <v>4205</v>
      </c>
      <c r="H142" s="614" t="s">
        <v>4206</v>
      </c>
      <c r="I142" s="614" t="s">
        <v>4207</v>
      </c>
      <c r="J142" s="614" t="s">
        <v>4208</v>
      </c>
      <c r="K142" s="614" t="s">
        <v>4209</v>
      </c>
      <c r="L142" s="237" t="s">
        <v>410</v>
      </c>
      <c r="M142" s="237" t="s">
        <v>410</v>
      </c>
      <c r="N142" s="237" t="s">
        <v>410</v>
      </c>
      <c r="O142" s="237" t="s">
        <v>410</v>
      </c>
      <c r="P142" s="237" t="s">
        <v>410</v>
      </c>
      <c r="Q142" s="237" t="s">
        <v>410</v>
      </c>
      <c r="R142" s="237" t="s">
        <v>410</v>
      </c>
      <c r="S142" s="10" t="s">
        <v>410</v>
      </c>
      <c r="T142" s="10" t="s">
        <v>410</v>
      </c>
    </row>
    <row r="143" spans="1:20" hidden="1" outlineLevel="1" x14ac:dyDescent="0.3">
      <c r="A143" s="583" t="s">
        <v>1949</v>
      </c>
      <c r="B143" s="591">
        <v>1</v>
      </c>
      <c r="C143" s="583" t="s">
        <v>1256</v>
      </c>
      <c r="D143" s="583" t="s">
        <v>3153</v>
      </c>
      <c r="E143" s="594" t="str">
        <f>CONCATENATE(TEXT(sSms,"0")," %")</f>
        <v>5 %</v>
      </c>
      <c r="F143" s="594" t="str">
        <f>CONCATENATE(TEXT(sSms+10,"0")," %")</f>
        <v>15 %</v>
      </c>
      <c r="G143" s="594" t="str">
        <f>CONCATENATE(TEXT(sSms+20,"0")," %")</f>
        <v>25 %</v>
      </c>
      <c r="H143" s="594" t="str">
        <f>CONCATENATE(TEXT(sSms+30,"0")," %")</f>
        <v>35 %</v>
      </c>
      <c r="I143" s="594" t="str">
        <f>CONCATENATE(TEXT(sSms+40,"0")," %")</f>
        <v>45 %</v>
      </c>
      <c r="J143" s="594" t="str">
        <f>CONCATENATE(TEXT(sSms+50,"0")," %")</f>
        <v>55 %</v>
      </c>
      <c r="K143" s="237" t="s">
        <v>410</v>
      </c>
      <c r="L143" s="237" t="s">
        <v>410</v>
      </c>
      <c r="M143" s="237" t="s">
        <v>410</v>
      </c>
      <c r="N143" s="237" t="s">
        <v>410</v>
      </c>
      <c r="O143" s="237" t="s">
        <v>410</v>
      </c>
      <c r="P143" s="237" t="s">
        <v>410</v>
      </c>
      <c r="Q143" s="237" t="s">
        <v>410</v>
      </c>
      <c r="R143" s="237" t="s">
        <v>410</v>
      </c>
      <c r="S143" s="237" t="s">
        <v>410</v>
      </c>
      <c r="T143" s="237" t="s">
        <v>410</v>
      </c>
    </row>
    <row r="144" spans="1:20" hidden="1" outlineLevel="1" x14ac:dyDescent="0.3">
      <c r="A144" s="583" t="s">
        <v>1872</v>
      </c>
      <c r="B144" s="591">
        <v>4</v>
      </c>
      <c r="C144" s="583" t="s">
        <v>1256</v>
      </c>
      <c r="D144" s="583" t="s">
        <v>3153</v>
      </c>
      <c r="E144" s="855" t="s">
        <v>410</v>
      </c>
      <c r="F144" s="593" t="s">
        <v>4212</v>
      </c>
      <c r="G144" s="593" t="s">
        <v>4213</v>
      </c>
      <c r="H144" s="593" t="s">
        <v>4214</v>
      </c>
      <c r="I144" s="237" t="s">
        <v>410</v>
      </c>
      <c r="J144" s="237" t="s">
        <v>410</v>
      </c>
      <c r="K144" s="237" t="s">
        <v>410</v>
      </c>
      <c r="L144" s="237" t="s">
        <v>410</v>
      </c>
      <c r="M144" s="237" t="s">
        <v>410</v>
      </c>
      <c r="N144" s="237" t="s">
        <v>410</v>
      </c>
      <c r="O144" s="237" t="s">
        <v>410</v>
      </c>
      <c r="P144" s="237" t="s">
        <v>410</v>
      </c>
      <c r="Q144" s="237" t="s">
        <v>410</v>
      </c>
      <c r="R144" s="237" t="s">
        <v>410</v>
      </c>
      <c r="S144" s="10" t="s">
        <v>410</v>
      </c>
      <c r="T144" s="10" t="s">
        <v>410</v>
      </c>
    </row>
    <row r="145" spans="1:20" hidden="1" outlineLevel="1" x14ac:dyDescent="0.3">
      <c r="A145" s="583" t="s">
        <v>5485</v>
      </c>
      <c r="B145" s="591">
        <v>5</v>
      </c>
      <c r="C145" s="583" t="s">
        <v>1256</v>
      </c>
      <c r="D145" s="583" t="s">
        <v>3153</v>
      </c>
      <c r="E145" s="592" t="s">
        <v>410</v>
      </c>
      <c r="F145" s="593" t="s">
        <v>3269</v>
      </c>
      <c r="G145" s="593" t="s">
        <v>3270</v>
      </c>
      <c r="H145" s="593" t="s">
        <v>3271</v>
      </c>
      <c r="I145" s="593" t="s">
        <v>3272</v>
      </c>
      <c r="J145" s="593" t="s">
        <v>4303</v>
      </c>
      <c r="K145" s="237" t="s">
        <v>410</v>
      </c>
      <c r="L145" s="237" t="s">
        <v>410</v>
      </c>
      <c r="M145" s="237" t="s">
        <v>410</v>
      </c>
      <c r="N145" s="237" t="s">
        <v>410</v>
      </c>
      <c r="O145" s="237" t="s">
        <v>410</v>
      </c>
      <c r="P145" s="237" t="s">
        <v>410</v>
      </c>
      <c r="Q145" s="237" t="s">
        <v>410</v>
      </c>
      <c r="R145" s="237" t="s">
        <v>410</v>
      </c>
      <c r="S145" s="10" t="s">
        <v>410</v>
      </c>
      <c r="T145" s="10" t="s">
        <v>410</v>
      </c>
    </row>
    <row r="146" spans="1:20" hidden="1" outlineLevel="1" x14ac:dyDescent="0.3">
      <c r="A146" s="583" t="s">
        <v>4217</v>
      </c>
      <c r="B146" s="591">
        <v>6</v>
      </c>
      <c r="C146" s="583" t="s">
        <v>1256</v>
      </c>
      <c r="D146" s="583" t="s">
        <v>3153</v>
      </c>
      <c r="E146" s="593" t="s">
        <v>410</v>
      </c>
      <c r="F146" s="237" t="s">
        <v>4218</v>
      </c>
      <c r="G146" s="237" t="s">
        <v>4219</v>
      </c>
      <c r="H146" s="237" t="s">
        <v>4220</v>
      </c>
      <c r="I146" s="237" t="s">
        <v>4221</v>
      </c>
      <c r="J146" s="237" t="s">
        <v>4222</v>
      </c>
      <c r="K146" s="237" t="s">
        <v>410</v>
      </c>
      <c r="L146" s="237" t="s">
        <v>410</v>
      </c>
      <c r="M146" s="237" t="s">
        <v>410</v>
      </c>
      <c r="N146" s="237" t="s">
        <v>410</v>
      </c>
      <c r="O146" s="237" t="s">
        <v>410</v>
      </c>
      <c r="P146" s="237" t="s">
        <v>410</v>
      </c>
      <c r="Q146" s="237" t="s">
        <v>410</v>
      </c>
      <c r="R146" s="237" t="s">
        <v>410</v>
      </c>
      <c r="S146" s="237" t="s">
        <v>410</v>
      </c>
      <c r="T146" s="237" t="s">
        <v>410</v>
      </c>
    </row>
    <row r="147" spans="1:20" hidden="1" outlineLevel="1" x14ac:dyDescent="0.3">
      <c r="A147" s="583" t="s">
        <v>1623</v>
      </c>
      <c r="B147" s="591">
        <v>6</v>
      </c>
      <c r="C147" s="588" t="s">
        <v>1256</v>
      </c>
      <c r="D147" s="588" t="s">
        <v>3153</v>
      </c>
      <c r="E147" s="592" t="s">
        <v>410</v>
      </c>
      <c r="F147" s="589" t="s">
        <v>67</v>
      </c>
      <c r="G147" s="592" t="s">
        <v>68</v>
      </c>
      <c r="H147" s="592" t="s">
        <v>70</v>
      </c>
      <c r="I147" s="614" t="str">
        <f>CONCATENATE("+",TEXT(IF(ZRČ&gt;4,ZRČ,4),0))</f>
        <v>+4</v>
      </c>
      <c r="J147" s="441" t="s">
        <v>410</v>
      </c>
      <c r="K147" s="441" t="s">
        <v>410</v>
      </c>
      <c r="L147" s="441" t="s">
        <v>410</v>
      </c>
      <c r="M147" s="441" t="s">
        <v>410</v>
      </c>
      <c r="N147" s="441" t="s">
        <v>410</v>
      </c>
      <c r="O147" s="441" t="s">
        <v>410</v>
      </c>
      <c r="P147" s="441" t="s">
        <v>410</v>
      </c>
      <c r="Q147" s="441" t="s">
        <v>410</v>
      </c>
      <c r="R147" s="441" t="s">
        <v>410</v>
      </c>
      <c r="S147" s="441" t="s">
        <v>410</v>
      </c>
      <c r="T147" s="441" t="s">
        <v>410</v>
      </c>
    </row>
    <row r="148" spans="1:20" hidden="1" outlineLevel="1" x14ac:dyDescent="0.3">
      <c r="A148" s="583" t="s">
        <v>3012</v>
      </c>
      <c r="B148" s="591">
        <v>6</v>
      </c>
      <c r="C148" s="583" t="s">
        <v>1256</v>
      </c>
      <c r="D148" s="583" t="s">
        <v>3153</v>
      </c>
      <c r="E148" s="592" t="s">
        <v>410</v>
      </c>
      <c r="F148" s="593" t="s">
        <v>3288</v>
      </c>
      <c r="G148" s="593" t="s">
        <v>3013</v>
      </c>
      <c r="H148" s="593" t="s">
        <v>3014</v>
      </c>
      <c r="I148" s="593" t="s">
        <v>3015</v>
      </c>
      <c r="J148" s="593" t="s">
        <v>3016</v>
      </c>
      <c r="K148" s="593" t="s">
        <v>3017</v>
      </c>
      <c r="L148" s="593" t="s">
        <v>3018</v>
      </c>
      <c r="M148" s="593" t="s">
        <v>3019</v>
      </c>
      <c r="N148" s="237" t="s">
        <v>410</v>
      </c>
      <c r="O148" s="237" t="s">
        <v>410</v>
      </c>
      <c r="P148" s="237" t="s">
        <v>410</v>
      </c>
      <c r="Q148" s="237" t="s">
        <v>410</v>
      </c>
      <c r="R148" s="237" t="s">
        <v>410</v>
      </c>
      <c r="S148" s="10" t="s">
        <v>410</v>
      </c>
      <c r="T148" s="10" t="s">
        <v>410</v>
      </c>
    </row>
    <row r="149" spans="1:20" hidden="1" outlineLevel="1" x14ac:dyDescent="0.3">
      <c r="A149" s="583" t="s">
        <v>1774</v>
      </c>
      <c r="B149" s="591">
        <v>6</v>
      </c>
      <c r="C149" s="583" t="s">
        <v>1256</v>
      </c>
      <c r="D149" s="583" t="s">
        <v>3153</v>
      </c>
      <c r="E149" s="592" t="s">
        <v>410</v>
      </c>
      <c r="F149" s="593" t="s">
        <v>67</v>
      </c>
      <c r="G149" s="593" t="s">
        <v>3159</v>
      </c>
      <c r="H149" s="593" t="s">
        <v>3160</v>
      </c>
      <c r="I149" s="593" t="s">
        <v>3274</v>
      </c>
      <c r="J149" s="237" t="s">
        <v>410</v>
      </c>
      <c r="K149" s="237" t="s">
        <v>410</v>
      </c>
      <c r="L149" s="237" t="s">
        <v>410</v>
      </c>
      <c r="M149" s="237" t="s">
        <v>410</v>
      </c>
      <c r="N149" s="237" t="s">
        <v>410</v>
      </c>
      <c r="O149" s="237" t="s">
        <v>410</v>
      </c>
      <c r="P149" s="237" t="s">
        <v>410</v>
      </c>
      <c r="Q149" s="237" t="s">
        <v>410</v>
      </c>
      <c r="R149" s="237" t="s">
        <v>410</v>
      </c>
      <c r="S149" s="10" t="s">
        <v>410</v>
      </c>
      <c r="T149" s="10" t="s">
        <v>410</v>
      </c>
    </row>
    <row r="150" spans="1:20" hidden="1" outlineLevel="1" x14ac:dyDescent="0.3">
      <c r="A150" s="583" t="s">
        <v>3268</v>
      </c>
      <c r="B150" s="591">
        <v>6</v>
      </c>
      <c r="C150" s="583" t="s">
        <v>1256</v>
      </c>
      <c r="D150" s="583" t="s">
        <v>3153</v>
      </c>
      <c r="E150" s="592" t="s">
        <v>410</v>
      </c>
      <c r="F150" s="593" t="s">
        <v>3126</v>
      </c>
      <c r="G150" s="593" t="s">
        <v>3127</v>
      </c>
      <c r="H150" s="593" t="s">
        <v>3128</v>
      </c>
      <c r="I150" s="593" t="s">
        <v>3129</v>
      </c>
      <c r="J150" s="593" t="s">
        <v>3130</v>
      </c>
      <c r="K150" s="237" t="s">
        <v>410</v>
      </c>
      <c r="L150" s="237" t="s">
        <v>410</v>
      </c>
      <c r="M150" s="237" t="s">
        <v>410</v>
      </c>
      <c r="N150" s="237" t="s">
        <v>410</v>
      </c>
      <c r="O150" s="237" t="s">
        <v>410</v>
      </c>
      <c r="P150" s="237" t="s">
        <v>410</v>
      </c>
      <c r="Q150" s="237" t="s">
        <v>410</v>
      </c>
      <c r="R150" s="237" t="s">
        <v>410</v>
      </c>
      <c r="S150" s="10" t="s">
        <v>410</v>
      </c>
      <c r="T150" s="10" t="s">
        <v>410</v>
      </c>
    </row>
    <row r="151" spans="1:20" hidden="1" outlineLevel="1" x14ac:dyDescent="0.3">
      <c r="A151" s="583" t="s">
        <v>1984</v>
      </c>
      <c r="B151" s="591">
        <v>6</v>
      </c>
      <c r="C151" s="583" t="s">
        <v>1256</v>
      </c>
      <c r="D151" s="583" t="s">
        <v>3153</v>
      </c>
      <c r="E151" s="593" t="s">
        <v>1985</v>
      </c>
      <c r="F151" s="593" t="s">
        <v>1986</v>
      </c>
      <c r="G151" s="593" t="s">
        <v>3284</v>
      </c>
      <c r="H151" s="593" t="s">
        <v>1987</v>
      </c>
      <c r="I151" s="593" t="s">
        <v>3285</v>
      </c>
      <c r="J151" s="237" t="s">
        <v>410</v>
      </c>
      <c r="K151" s="237" t="s">
        <v>410</v>
      </c>
      <c r="L151" s="237" t="s">
        <v>410</v>
      </c>
      <c r="M151" s="237" t="s">
        <v>410</v>
      </c>
      <c r="N151" s="237" t="s">
        <v>410</v>
      </c>
      <c r="O151" s="237" t="s">
        <v>410</v>
      </c>
      <c r="P151" s="237" t="s">
        <v>410</v>
      </c>
      <c r="Q151" s="237" t="s">
        <v>410</v>
      </c>
      <c r="R151" s="237" t="s">
        <v>410</v>
      </c>
      <c r="S151" s="237" t="s">
        <v>410</v>
      </c>
      <c r="T151" s="237" t="s">
        <v>410</v>
      </c>
    </row>
    <row r="152" spans="1:20" hidden="1" outlineLevel="1" x14ac:dyDescent="0.3">
      <c r="A152" s="583" t="s">
        <v>1928</v>
      </c>
      <c r="B152" s="591">
        <v>11</v>
      </c>
      <c r="C152" s="583" t="s">
        <v>1256</v>
      </c>
      <c r="D152" s="583" t="s">
        <v>3153</v>
      </c>
      <c r="E152" s="592" t="s">
        <v>410</v>
      </c>
      <c r="F152" s="593" t="s">
        <v>3289</v>
      </c>
      <c r="G152" s="593" t="s">
        <v>3290</v>
      </c>
      <c r="H152" s="593" t="s">
        <v>3291</v>
      </c>
      <c r="I152" s="593" t="s">
        <v>3292</v>
      </c>
      <c r="J152" s="237" t="s">
        <v>410</v>
      </c>
      <c r="K152" s="237" t="s">
        <v>410</v>
      </c>
      <c r="L152" s="237" t="s">
        <v>410</v>
      </c>
      <c r="M152" s="237" t="s">
        <v>410</v>
      </c>
      <c r="N152" s="237" t="s">
        <v>410</v>
      </c>
      <c r="O152" s="237" t="s">
        <v>410</v>
      </c>
      <c r="P152" s="237" t="s">
        <v>410</v>
      </c>
      <c r="Q152" s="237" t="s">
        <v>410</v>
      </c>
      <c r="R152" s="237" t="s">
        <v>410</v>
      </c>
      <c r="S152" s="10" t="s">
        <v>410</v>
      </c>
      <c r="T152" s="10" t="s">
        <v>410</v>
      </c>
    </row>
    <row r="153" spans="1:20" hidden="1" outlineLevel="1" x14ac:dyDescent="0.3">
      <c r="A153" s="583" t="s">
        <v>1967</v>
      </c>
      <c r="B153" s="591">
        <v>11</v>
      </c>
      <c r="C153" s="583" t="s">
        <v>1256</v>
      </c>
      <c r="D153" s="583" t="s">
        <v>3153</v>
      </c>
      <c r="E153" s="593" t="s">
        <v>410</v>
      </c>
      <c r="F153" s="593" t="s">
        <v>4223</v>
      </c>
      <c r="G153" s="593" t="s">
        <v>3281</v>
      </c>
      <c r="H153" s="593" t="s">
        <v>3282</v>
      </c>
      <c r="I153" s="593" t="s">
        <v>3283</v>
      </c>
      <c r="J153" s="237" t="s">
        <v>410</v>
      </c>
      <c r="K153" s="237" t="s">
        <v>410</v>
      </c>
      <c r="L153" s="237" t="s">
        <v>410</v>
      </c>
      <c r="M153" s="237" t="s">
        <v>410</v>
      </c>
      <c r="N153" s="237" t="s">
        <v>410</v>
      </c>
      <c r="O153" s="237" t="s">
        <v>410</v>
      </c>
      <c r="P153" s="237" t="s">
        <v>410</v>
      </c>
      <c r="Q153" s="237" t="s">
        <v>410</v>
      </c>
      <c r="R153" s="237" t="s">
        <v>410</v>
      </c>
      <c r="S153" s="237" t="s">
        <v>410</v>
      </c>
      <c r="T153" s="237" t="s">
        <v>410</v>
      </c>
    </row>
    <row r="154" spans="1:20" hidden="1" outlineLevel="1" x14ac:dyDescent="0.3">
      <c r="A154" s="583" t="s">
        <v>1676</v>
      </c>
      <c r="B154" s="591">
        <v>16</v>
      </c>
      <c r="C154" s="583" t="s">
        <v>1256</v>
      </c>
      <c r="D154" s="583" t="s">
        <v>3153</v>
      </c>
      <c r="E154" s="592" t="s">
        <v>410</v>
      </c>
      <c r="F154" s="593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37" t="s">
        <v>410</v>
      </c>
      <c r="S154" s="10" t="s">
        <v>410</v>
      </c>
      <c r="T154" s="10" t="s">
        <v>410</v>
      </c>
    </row>
    <row r="155" spans="1:20" hidden="1" outlineLevel="1" x14ac:dyDescent="0.3">
      <c r="A155" s="583" t="s">
        <v>4323</v>
      </c>
      <c r="B155" s="591">
        <v>16</v>
      </c>
      <c r="C155" s="583" t="s">
        <v>1256</v>
      </c>
      <c r="D155" s="583" t="s">
        <v>3153</v>
      </c>
      <c r="E155" s="592" t="s">
        <v>410</v>
      </c>
      <c r="F155" s="593" t="s">
        <v>3347</v>
      </c>
      <c r="G155" s="593" t="s">
        <v>3193</v>
      </c>
      <c r="H155" s="593" t="s">
        <v>3345</v>
      </c>
      <c r="I155" s="593" t="s">
        <v>3346</v>
      </c>
      <c r="J155" s="593" t="s">
        <v>3124</v>
      </c>
      <c r="K155" s="237" t="s">
        <v>410</v>
      </c>
      <c r="L155" s="237" t="s">
        <v>410</v>
      </c>
      <c r="M155" s="237" t="s">
        <v>410</v>
      </c>
      <c r="N155" s="237" t="s">
        <v>410</v>
      </c>
      <c r="O155" s="237" t="s">
        <v>410</v>
      </c>
      <c r="P155" s="237" t="s">
        <v>410</v>
      </c>
      <c r="Q155" s="237" t="s">
        <v>410</v>
      </c>
      <c r="R155" s="237" t="s">
        <v>410</v>
      </c>
      <c r="S155" s="10" t="s">
        <v>410</v>
      </c>
      <c r="T155" s="10" t="s">
        <v>410</v>
      </c>
    </row>
    <row r="156" spans="1:20" hidden="1" outlineLevel="1" x14ac:dyDescent="0.3">
      <c r="A156" s="583" t="s">
        <v>1873</v>
      </c>
      <c r="B156" s="591">
        <v>16</v>
      </c>
      <c r="C156" s="583" t="s">
        <v>1256</v>
      </c>
      <c r="D156" s="583" t="s">
        <v>3153</v>
      </c>
      <c r="E156" s="592" t="s">
        <v>410</v>
      </c>
      <c r="F156" s="593" t="s">
        <v>3275</v>
      </c>
      <c r="G156" s="593" t="s">
        <v>3276</v>
      </c>
      <c r="H156" s="593" t="s">
        <v>3277</v>
      </c>
      <c r="I156" s="593" t="s">
        <v>3278</v>
      </c>
      <c r="J156" s="593" t="s">
        <v>3279</v>
      </c>
      <c r="K156" s="593" t="s">
        <v>3280</v>
      </c>
      <c r="L156" s="237" t="s">
        <v>410</v>
      </c>
      <c r="M156" s="237" t="s">
        <v>410</v>
      </c>
      <c r="N156" s="237" t="s">
        <v>410</v>
      </c>
      <c r="O156" s="237" t="s">
        <v>410</v>
      </c>
      <c r="P156" s="237" t="s">
        <v>410</v>
      </c>
      <c r="Q156" s="237" t="s">
        <v>410</v>
      </c>
      <c r="R156" s="237" t="s">
        <v>410</v>
      </c>
      <c r="S156" s="10" t="s">
        <v>410</v>
      </c>
      <c r="T156" s="10" t="s">
        <v>410</v>
      </c>
    </row>
    <row r="157" spans="1:20" hidden="1" outlineLevel="1" x14ac:dyDescent="0.3">
      <c r="A157" s="583" t="s">
        <v>1963</v>
      </c>
      <c r="B157" s="591">
        <v>16</v>
      </c>
      <c r="C157" s="583" t="s">
        <v>1256</v>
      </c>
      <c r="D157" s="583" t="s">
        <v>3153</v>
      </c>
      <c r="E157" s="237"/>
      <c r="F157" s="237"/>
      <c r="G157" s="237"/>
      <c r="H157" s="237"/>
      <c r="I157" s="237"/>
      <c r="J157" s="237"/>
      <c r="K157" s="237" t="s">
        <v>410</v>
      </c>
      <c r="L157" s="237" t="s">
        <v>410</v>
      </c>
      <c r="M157" s="237" t="s">
        <v>410</v>
      </c>
      <c r="N157" s="237" t="s">
        <v>410</v>
      </c>
      <c r="O157" s="237" t="s">
        <v>410</v>
      </c>
      <c r="P157" s="237" t="s">
        <v>410</v>
      </c>
      <c r="Q157" s="237" t="s">
        <v>410</v>
      </c>
      <c r="R157" s="237" t="s">
        <v>410</v>
      </c>
      <c r="S157" s="237" t="s">
        <v>410</v>
      </c>
      <c r="T157" s="237" t="s">
        <v>410</v>
      </c>
    </row>
    <row r="158" spans="1:20" hidden="1" outlineLevel="1" x14ac:dyDescent="0.3">
      <c r="A158" s="583" t="s">
        <v>1964</v>
      </c>
      <c r="B158" s="591">
        <v>16</v>
      </c>
      <c r="C158" s="583" t="s">
        <v>1256</v>
      </c>
      <c r="D158" s="583" t="s">
        <v>3153</v>
      </c>
      <c r="E158" s="593" t="s">
        <v>410</v>
      </c>
      <c r="F158" s="237"/>
      <c r="G158" s="237"/>
      <c r="H158" s="237"/>
      <c r="I158" s="237"/>
      <c r="J158" s="237"/>
      <c r="K158" s="237"/>
      <c r="L158" s="237"/>
      <c r="M158" s="237"/>
      <c r="N158" s="237" t="s">
        <v>410</v>
      </c>
      <c r="O158" s="237" t="s">
        <v>410</v>
      </c>
      <c r="P158" s="237" t="s">
        <v>410</v>
      </c>
      <c r="Q158" s="237" t="s">
        <v>410</v>
      </c>
      <c r="R158" s="237" t="s">
        <v>410</v>
      </c>
      <c r="S158" s="237" t="s">
        <v>410</v>
      </c>
      <c r="T158" s="237" t="s">
        <v>410</v>
      </c>
    </row>
    <row r="159" spans="1:20" hidden="1" outlineLevel="1" x14ac:dyDescent="0.3">
      <c r="A159" s="583" t="s">
        <v>5672</v>
      </c>
      <c r="B159" s="591">
        <v>21</v>
      </c>
      <c r="C159" s="583" t="s">
        <v>1256</v>
      </c>
      <c r="D159" s="583" t="s">
        <v>3153</v>
      </c>
      <c r="E159" s="593" t="s">
        <v>410</v>
      </c>
      <c r="F159" s="593" t="s">
        <v>5673</v>
      </c>
      <c r="G159" s="593" t="s">
        <v>5674</v>
      </c>
      <c r="H159" s="593" t="s">
        <v>5675</v>
      </c>
      <c r="I159" s="593" t="s">
        <v>5676</v>
      </c>
      <c r="J159" s="593" t="s">
        <v>5677</v>
      </c>
      <c r="K159" s="593" t="s">
        <v>5678</v>
      </c>
      <c r="L159" s="237" t="s">
        <v>410</v>
      </c>
      <c r="M159" s="237" t="s">
        <v>410</v>
      </c>
      <c r="N159" s="237" t="s">
        <v>410</v>
      </c>
      <c r="O159" s="237" t="s">
        <v>410</v>
      </c>
      <c r="P159" s="237" t="s">
        <v>410</v>
      </c>
      <c r="Q159" s="237" t="s">
        <v>410</v>
      </c>
      <c r="R159" s="237" t="s">
        <v>410</v>
      </c>
      <c r="S159" s="237" t="s">
        <v>410</v>
      </c>
      <c r="T159" s="237" t="s">
        <v>410</v>
      </c>
    </row>
    <row r="160" spans="1:20" hidden="1" outlineLevel="1" x14ac:dyDescent="0.3">
      <c r="A160" s="583" t="s">
        <v>1621</v>
      </c>
      <c r="B160" s="591">
        <v>21</v>
      </c>
      <c r="C160" s="588" t="s">
        <v>1256</v>
      </c>
      <c r="D160" s="588" t="s">
        <v>3153</v>
      </c>
      <c r="E160" s="592" t="s">
        <v>410</v>
      </c>
      <c r="F160" s="592" t="s">
        <v>90</v>
      </c>
      <c r="G160" s="592" t="s">
        <v>91</v>
      </c>
      <c r="H160" s="592" t="s">
        <v>92</v>
      </c>
      <c r="I160" s="592" t="s">
        <v>100</v>
      </c>
      <c r="J160" s="592" t="s">
        <v>102</v>
      </c>
      <c r="K160" s="592" t="s">
        <v>104</v>
      </c>
      <c r="L160" s="441" t="s">
        <v>410</v>
      </c>
      <c r="M160" s="441" t="s">
        <v>410</v>
      </c>
      <c r="N160" s="441" t="s">
        <v>410</v>
      </c>
      <c r="O160" s="441" t="s">
        <v>410</v>
      </c>
      <c r="P160" s="441" t="s">
        <v>410</v>
      </c>
      <c r="Q160" s="441" t="s">
        <v>410</v>
      </c>
      <c r="R160" s="441" t="s">
        <v>410</v>
      </c>
      <c r="S160" s="441" t="s">
        <v>410</v>
      </c>
      <c r="T160" s="441" t="s">
        <v>410</v>
      </c>
    </row>
    <row r="161" spans="1:20" hidden="1" outlineLevel="1" x14ac:dyDescent="0.3">
      <c r="A161" s="583" t="s">
        <v>2910</v>
      </c>
      <c r="B161" s="591">
        <v>0</v>
      </c>
      <c r="C161" s="588" t="s">
        <v>1564</v>
      </c>
      <c r="D161" s="588" t="s">
        <v>3153</v>
      </c>
      <c r="E161" s="615" t="s">
        <v>2950</v>
      </c>
      <c r="F161" s="9" t="s">
        <v>410</v>
      </c>
      <c r="G161" s="9" t="s">
        <v>410</v>
      </c>
      <c r="H161" s="9" t="s">
        <v>410</v>
      </c>
      <c r="I161" s="9" t="s">
        <v>410</v>
      </c>
      <c r="J161" s="9" t="s">
        <v>410</v>
      </c>
      <c r="K161" s="9" t="s">
        <v>410</v>
      </c>
      <c r="L161" s="9" t="s">
        <v>410</v>
      </c>
      <c r="M161" s="9" t="s">
        <v>410</v>
      </c>
      <c r="N161" s="9" t="s">
        <v>410</v>
      </c>
      <c r="O161" s="9" t="s">
        <v>410</v>
      </c>
      <c r="P161" s="9" t="s">
        <v>410</v>
      </c>
      <c r="Q161" s="9" t="s">
        <v>410</v>
      </c>
      <c r="R161" s="9" t="s">
        <v>410</v>
      </c>
      <c r="S161" s="9" t="s">
        <v>410</v>
      </c>
      <c r="T161" s="9" t="s">
        <v>410</v>
      </c>
    </row>
    <row r="162" spans="1:20" hidden="1" outlineLevel="1" x14ac:dyDescent="0.3">
      <c r="A162" s="583" t="s">
        <v>3286</v>
      </c>
      <c r="B162" s="591">
        <v>0</v>
      </c>
      <c r="C162" s="588" t="s">
        <v>1564</v>
      </c>
      <c r="D162" s="588" t="s">
        <v>3153</v>
      </c>
      <c r="E162" s="615" t="s">
        <v>3287</v>
      </c>
      <c r="F162" s="9" t="s">
        <v>410</v>
      </c>
      <c r="G162" s="9" t="s">
        <v>410</v>
      </c>
      <c r="H162" s="9" t="s">
        <v>410</v>
      </c>
      <c r="I162" s="9" t="s">
        <v>410</v>
      </c>
      <c r="J162" s="9" t="s">
        <v>410</v>
      </c>
      <c r="K162" s="9" t="s">
        <v>410</v>
      </c>
      <c r="L162" s="9" t="s">
        <v>410</v>
      </c>
      <c r="M162" s="9" t="s">
        <v>410</v>
      </c>
      <c r="N162" s="9" t="s">
        <v>410</v>
      </c>
      <c r="O162" s="9" t="s">
        <v>410</v>
      </c>
      <c r="P162" s="9" t="s">
        <v>410</v>
      </c>
      <c r="Q162" s="9" t="s">
        <v>410</v>
      </c>
      <c r="R162" s="9" t="s">
        <v>410</v>
      </c>
      <c r="S162" s="9" t="s">
        <v>410</v>
      </c>
      <c r="T162" s="9" t="s">
        <v>410</v>
      </c>
    </row>
    <row r="163" spans="1:20" hidden="1" outlineLevel="1" x14ac:dyDescent="0.3">
      <c r="A163" s="583" t="s">
        <v>2067</v>
      </c>
      <c r="B163" s="591">
        <v>0</v>
      </c>
      <c r="C163" s="588" t="s">
        <v>1564</v>
      </c>
      <c r="D163" s="588" t="s">
        <v>3153</v>
      </c>
      <c r="E163" s="595"/>
      <c r="F163" s="9" t="s">
        <v>410</v>
      </c>
      <c r="G163" s="9" t="s">
        <v>410</v>
      </c>
      <c r="H163" s="9" t="s">
        <v>410</v>
      </c>
      <c r="I163" s="9" t="s">
        <v>410</v>
      </c>
      <c r="J163" s="9" t="s">
        <v>410</v>
      </c>
      <c r="K163" s="9" t="s">
        <v>410</v>
      </c>
      <c r="L163" s="9" t="s">
        <v>410</v>
      </c>
      <c r="M163" s="9" t="s">
        <v>410</v>
      </c>
      <c r="N163" s="9" t="s">
        <v>410</v>
      </c>
      <c r="O163" s="9" t="s">
        <v>410</v>
      </c>
      <c r="P163" s="9" t="s">
        <v>410</v>
      </c>
      <c r="Q163" s="9" t="s">
        <v>410</v>
      </c>
      <c r="R163" s="9" t="s">
        <v>410</v>
      </c>
      <c r="S163" s="9" t="s">
        <v>410</v>
      </c>
      <c r="T163" s="9" t="s">
        <v>410</v>
      </c>
    </row>
    <row r="164" spans="1:20" hidden="1" outlineLevel="1" x14ac:dyDescent="0.3">
      <c r="A164" s="583" t="s">
        <v>1687</v>
      </c>
      <c r="B164" s="591">
        <v>1</v>
      </c>
      <c r="C164" s="583" t="s">
        <v>1564</v>
      </c>
      <c r="D164" s="583" t="s">
        <v>3153</v>
      </c>
      <c r="E164" s="592" t="s">
        <v>410</v>
      </c>
      <c r="F164" s="593" t="s">
        <v>5521</v>
      </c>
      <c r="G164" s="237" t="s">
        <v>410</v>
      </c>
      <c r="H164" s="237" t="s">
        <v>410</v>
      </c>
      <c r="I164" s="237" t="s">
        <v>410</v>
      </c>
      <c r="J164" s="237" t="s">
        <v>410</v>
      </c>
      <c r="K164" s="237" t="s">
        <v>410</v>
      </c>
      <c r="L164" s="237" t="s">
        <v>410</v>
      </c>
      <c r="M164" s="237" t="s">
        <v>410</v>
      </c>
      <c r="N164" s="237" t="s">
        <v>410</v>
      </c>
      <c r="O164" s="237" t="s">
        <v>410</v>
      </c>
      <c r="P164" s="237" t="s">
        <v>410</v>
      </c>
      <c r="Q164" s="237" t="s">
        <v>410</v>
      </c>
      <c r="R164" s="237" t="s">
        <v>410</v>
      </c>
      <c r="S164" s="10" t="s">
        <v>410</v>
      </c>
      <c r="T164" s="10" t="s">
        <v>410</v>
      </c>
    </row>
    <row r="165" spans="1:20" hidden="1" outlineLevel="1" x14ac:dyDescent="0.3">
      <c r="A165" s="583" t="s">
        <v>1695</v>
      </c>
      <c r="B165" s="591">
        <v>1</v>
      </c>
      <c r="C165" s="583" t="s">
        <v>1564</v>
      </c>
      <c r="D165" s="583" t="s">
        <v>3153</v>
      </c>
      <c r="E165" s="592" t="s">
        <v>410</v>
      </c>
      <c r="F165" s="593" t="s">
        <v>5520</v>
      </c>
      <c r="G165" s="237" t="s">
        <v>410</v>
      </c>
      <c r="H165" s="237" t="s">
        <v>410</v>
      </c>
      <c r="I165" s="237" t="s">
        <v>410</v>
      </c>
      <c r="J165" s="237" t="s">
        <v>410</v>
      </c>
      <c r="K165" s="237" t="s">
        <v>410</v>
      </c>
      <c r="L165" s="237" t="s">
        <v>410</v>
      </c>
      <c r="M165" s="237" t="s">
        <v>410</v>
      </c>
      <c r="N165" s="237" t="s">
        <v>410</v>
      </c>
      <c r="O165" s="237" t="s">
        <v>410</v>
      </c>
      <c r="P165" s="237" t="s">
        <v>410</v>
      </c>
      <c r="Q165" s="237" t="s">
        <v>410</v>
      </c>
      <c r="R165" s="237" t="s">
        <v>410</v>
      </c>
      <c r="S165" s="10" t="s">
        <v>410</v>
      </c>
      <c r="T165" s="10" t="s">
        <v>410</v>
      </c>
    </row>
    <row r="166" spans="1:20" hidden="1" outlineLevel="1" x14ac:dyDescent="0.3">
      <c r="A166" s="583" t="s">
        <v>1705</v>
      </c>
      <c r="B166" s="591">
        <v>1</v>
      </c>
      <c r="C166" s="583" t="s">
        <v>1564</v>
      </c>
      <c r="D166" s="583" t="s">
        <v>3153</v>
      </c>
      <c r="E166" s="592" t="s">
        <v>410</v>
      </c>
      <c r="F166" s="593"/>
      <c r="G166" s="237" t="s">
        <v>410</v>
      </c>
      <c r="H166" s="237" t="s">
        <v>410</v>
      </c>
      <c r="I166" s="237" t="s">
        <v>410</v>
      </c>
      <c r="J166" s="237" t="s">
        <v>410</v>
      </c>
      <c r="K166" s="237" t="s">
        <v>410</v>
      </c>
      <c r="L166" s="237" t="s">
        <v>410</v>
      </c>
      <c r="M166" s="237" t="s">
        <v>410</v>
      </c>
      <c r="N166" s="237" t="s">
        <v>410</v>
      </c>
      <c r="O166" s="237" t="s">
        <v>410</v>
      </c>
      <c r="P166" s="237" t="s">
        <v>410</v>
      </c>
      <c r="Q166" s="237" t="s">
        <v>410</v>
      </c>
      <c r="R166" s="237" t="s">
        <v>410</v>
      </c>
      <c r="S166" s="10" t="s">
        <v>410</v>
      </c>
      <c r="T166" s="10" t="s">
        <v>410</v>
      </c>
    </row>
    <row r="167" spans="1:20" hidden="1" outlineLevel="1" x14ac:dyDescent="0.3">
      <c r="A167" s="583" t="s">
        <v>5159</v>
      </c>
      <c r="B167" s="591">
        <v>2</v>
      </c>
      <c r="C167" s="583" t="s">
        <v>1564</v>
      </c>
      <c r="D167" s="583" t="s">
        <v>3153</v>
      </c>
      <c r="E167" s="592" t="s">
        <v>410</v>
      </c>
      <c r="F167" s="593" t="s">
        <v>5172</v>
      </c>
      <c r="G167" s="237" t="s">
        <v>410</v>
      </c>
      <c r="H167" s="237" t="s">
        <v>410</v>
      </c>
      <c r="I167" s="237" t="s">
        <v>410</v>
      </c>
      <c r="J167" s="237" t="s">
        <v>410</v>
      </c>
      <c r="K167" s="237" t="s">
        <v>410</v>
      </c>
      <c r="L167" s="237" t="s">
        <v>410</v>
      </c>
      <c r="M167" s="237" t="s">
        <v>410</v>
      </c>
      <c r="N167" s="237" t="s">
        <v>410</v>
      </c>
      <c r="O167" s="237" t="s">
        <v>410</v>
      </c>
      <c r="P167" s="237" t="s">
        <v>410</v>
      </c>
      <c r="Q167" s="237" t="s">
        <v>410</v>
      </c>
      <c r="R167" s="237" t="s">
        <v>410</v>
      </c>
      <c r="S167" s="10" t="s">
        <v>410</v>
      </c>
      <c r="T167" s="10" t="s">
        <v>410</v>
      </c>
    </row>
    <row r="168" spans="1:20" hidden="1" outlineLevel="1" x14ac:dyDescent="0.3">
      <c r="A168" s="583" t="s">
        <v>4439</v>
      </c>
      <c r="B168" s="591">
        <v>2</v>
      </c>
      <c r="C168" s="583" t="s">
        <v>1564</v>
      </c>
      <c r="D168" s="583" t="s">
        <v>3153</v>
      </c>
      <c r="E168" s="592" t="s">
        <v>410</v>
      </c>
      <c r="F168" s="593" t="s">
        <v>3622</v>
      </c>
      <c r="G168" s="237" t="s">
        <v>410</v>
      </c>
      <c r="H168" s="237" t="s">
        <v>410</v>
      </c>
      <c r="I168" s="237" t="s">
        <v>410</v>
      </c>
      <c r="J168" s="237" t="s">
        <v>410</v>
      </c>
      <c r="K168" s="237" t="s">
        <v>410</v>
      </c>
      <c r="L168" s="237" t="s">
        <v>410</v>
      </c>
      <c r="M168" s="237" t="s">
        <v>410</v>
      </c>
      <c r="N168" s="237" t="s">
        <v>410</v>
      </c>
      <c r="O168" s="237" t="s">
        <v>410</v>
      </c>
      <c r="P168" s="237" t="s">
        <v>410</v>
      </c>
      <c r="Q168" s="237" t="s">
        <v>410</v>
      </c>
      <c r="R168" s="237" t="s">
        <v>410</v>
      </c>
      <c r="S168" s="10" t="s">
        <v>410</v>
      </c>
      <c r="T168" s="10" t="s">
        <v>410</v>
      </c>
    </row>
    <row r="169" spans="1:20" hidden="1" outlineLevel="1" x14ac:dyDescent="0.3">
      <c r="A169" s="583" t="s">
        <v>5162</v>
      </c>
      <c r="B169" s="591">
        <v>2</v>
      </c>
      <c r="C169" s="583" t="s">
        <v>1564</v>
      </c>
      <c r="D169" s="583" t="s">
        <v>3153</v>
      </c>
      <c r="E169" s="592" t="s">
        <v>410</v>
      </c>
      <c r="F169" s="593" t="s">
        <v>4326</v>
      </c>
      <c r="G169" s="237" t="s">
        <v>410</v>
      </c>
      <c r="H169" s="237" t="s">
        <v>410</v>
      </c>
      <c r="I169" s="237" t="s">
        <v>410</v>
      </c>
      <c r="J169" s="237" t="s">
        <v>410</v>
      </c>
      <c r="K169" s="237" t="s">
        <v>410</v>
      </c>
      <c r="L169" s="237" t="s">
        <v>410</v>
      </c>
      <c r="M169" s="237" t="s">
        <v>410</v>
      </c>
      <c r="N169" s="237" t="s">
        <v>410</v>
      </c>
      <c r="O169" s="237" t="s">
        <v>410</v>
      </c>
      <c r="P169" s="237" t="s">
        <v>410</v>
      </c>
      <c r="Q169" s="237" t="s">
        <v>410</v>
      </c>
      <c r="R169" s="237" t="s">
        <v>410</v>
      </c>
      <c r="S169" s="10" t="s">
        <v>410</v>
      </c>
      <c r="T169" s="10" t="s">
        <v>410</v>
      </c>
    </row>
    <row r="170" spans="1:20" hidden="1" outlineLevel="1" x14ac:dyDescent="0.3">
      <c r="A170" s="583" t="s">
        <v>1688</v>
      </c>
      <c r="B170" s="591">
        <v>2</v>
      </c>
      <c r="C170" s="583" t="s">
        <v>1564</v>
      </c>
      <c r="D170" s="583" t="s">
        <v>3153</v>
      </c>
      <c r="E170" s="592" t="s">
        <v>410</v>
      </c>
      <c r="F170" s="593" t="s">
        <v>3622</v>
      </c>
      <c r="G170" s="237" t="s">
        <v>410</v>
      </c>
      <c r="H170" s="237" t="s">
        <v>410</v>
      </c>
      <c r="I170" s="237" t="s">
        <v>410</v>
      </c>
      <c r="J170" s="237" t="s">
        <v>410</v>
      </c>
      <c r="K170" s="237" t="s">
        <v>410</v>
      </c>
      <c r="L170" s="237" t="s">
        <v>410</v>
      </c>
      <c r="M170" s="237" t="s">
        <v>410</v>
      </c>
      <c r="N170" s="237" t="s">
        <v>410</v>
      </c>
      <c r="O170" s="237" t="s">
        <v>410</v>
      </c>
      <c r="P170" s="237" t="s">
        <v>410</v>
      </c>
      <c r="Q170" s="237" t="s">
        <v>410</v>
      </c>
      <c r="R170" s="237" t="s">
        <v>410</v>
      </c>
      <c r="S170" s="10" t="s">
        <v>410</v>
      </c>
      <c r="T170" s="10" t="s">
        <v>410</v>
      </c>
    </row>
    <row r="171" spans="1:20" hidden="1" outlineLevel="1" x14ac:dyDescent="0.3">
      <c r="A171" s="583" t="s">
        <v>1698</v>
      </c>
      <c r="B171" s="591">
        <v>2</v>
      </c>
      <c r="C171" s="583" t="s">
        <v>1564</v>
      </c>
      <c r="D171" s="583" t="s">
        <v>3153</v>
      </c>
      <c r="E171" s="592" t="s">
        <v>410</v>
      </c>
      <c r="F171" s="593" t="s">
        <v>3622</v>
      </c>
      <c r="G171" s="237" t="s">
        <v>410</v>
      </c>
      <c r="H171" s="237" t="s">
        <v>410</v>
      </c>
      <c r="I171" s="237" t="s">
        <v>410</v>
      </c>
      <c r="J171" s="237" t="s">
        <v>410</v>
      </c>
      <c r="K171" s="237" t="s">
        <v>410</v>
      </c>
      <c r="L171" s="237" t="s">
        <v>410</v>
      </c>
      <c r="M171" s="237" t="s">
        <v>410</v>
      </c>
      <c r="N171" s="237" t="s">
        <v>410</v>
      </c>
      <c r="O171" s="237" t="s">
        <v>410</v>
      </c>
      <c r="P171" s="237" t="s">
        <v>410</v>
      </c>
      <c r="Q171" s="237" t="s">
        <v>410</v>
      </c>
      <c r="R171" s="237" t="s">
        <v>410</v>
      </c>
      <c r="S171" s="10" t="s">
        <v>410</v>
      </c>
      <c r="T171" s="10" t="s">
        <v>410</v>
      </c>
    </row>
    <row r="172" spans="1:20" hidden="1" outlineLevel="1" x14ac:dyDescent="0.3">
      <c r="A172" s="583" t="s">
        <v>5167</v>
      </c>
      <c r="B172" s="591">
        <v>2</v>
      </c>
      <c r="C172" s="583" t="s">
        <v>1564</v>
      </c>
      <c r="D172" s="583" t="s">
        <v>3153</v>
      </c>
      <c r="E172" s="592" t="s">
        <v>410</v>
      </c>
      <c r="F172" s="593" t="s">
        <v>3622</v>
      </c>
      <c r="G172" s="237" t="s">
        <v>410</v>
      </c>
      <c r="H172" s="237" t="s">
        <v>410</v>
      </c>
      <c r="I172" s="237" t="s">
        <v>410</v>
      </c>
      <c r="J172" s="237" t="s">
        <v>410</v>
      </c>
      <c r="K172" s="237" t="s">
        <v>410</v>
      </c>
      <c r="L172" s="237" t="s">
        <v>410</v>
      </c>
      <c r="M172" s="237" t="s">
        <v>410</v>
      </c>
      <c r="N172" s="237" t="s">
        <v>410</v>
      </c>
      <c r="O172" s="237" t="s">
        <v>410</v>
      </c>
      <c r="P172" s="237" t="s">
        <v>410</v>
      </c>
      <c r="Q172" s="237" t="s">
        <v>410</v>
      </c>
      <c r="R172" s="237" t="s">
        <v>410</v>
      </c>
      <c r="S172" s="10" t="s">
        <v>410</v>
      </c>
      <c r="T172" s="10" t="s">
        <v>410</v>
      </c>
    </row>
    <row r="173" spans="1:20" hidden="1" outlineLevel="1" x14ac:dyDescent="0.3">
      <c r="A173" s="583" t="s">
        <v>1678</v>
      </c>
      <c r="B173" s="591">
        <v>3</v>
      </c>
      <c r="C173" s="583" t="s">
        <v>1564</v>
      </c>
      <c r="D173" s="583" t="s">
        <v>3153</v>
      </c>
      <c r="E173" s="592" t="s">
        <v>410</v>
      </c>
      <c r="F173" s="593" t="s">
        <v>3624</v>
      </c>
      <c r="G173" s="237" t="s">
        <v>410</v>
      </c>
      <c r="H173" s="237" t="s">
        <v>410</v>
      </c>
      <c r="I173" s="237" t="s">
        <v>410</v>
      </c>
      <c r="J173" s="237" t="s">
        <v>410</v>
      </c>
      <c r="K173" s="237" t="s">
        <v>410</v>
      </c>
      <c r="L173" s="237" t="s">
        <v>410</v>
      </c>
      <c r="M173" s="237" t="s">
        <v>410</v>
      </c>
      <c r="N173" s="237" t="s">
        <v>410</v>
      </c>
      <c r="O173" s="237" t="s">
        <v>410</v>
      </c>
      <c r="P173" s="237" t="s">
        <v>410</v>
      </c>
      <c r="Q173" s="237" t="s">
        <v>410</v>
      </c>
      <c r="R173" s="237" t="s">
        <v>410</v>
      </c>
      <c r="S173" s="10" t="s">
        <v>410</v>
      </c>
      <c r="T173" s="10" t="s">
        <v>410</v>
      </c>
    </row>
    <row r="174" spans="1:20" hidden="1" outlineLevel="1" x14ac:dyDescent="0.3">
      <c r="A174" s="583" t="s">
        <v>5163</v>
      </c>
      <c r="B174" s="591">
        <v>3</v>
      </c>
      <c r="C174" s="583" t="s">
        <v>1564</v>
      </c>
      <c r="D174" s="583" t="s">
        <v>3153</v>
      </c>
      <c r="E174" s="592" t="s">
        <v>410</v>
      </c>
      <c r="F174" s="593" t="s">
        <v>5164</v>
      </c>
      <c r="G174" s="237" t="s">
        <v>410</v>
      </c>
      <c r="H174" s="237" t="s">
        <v>410</v>
      </c>
      <c r="I174" s="237" t="s">
        <v>410</v>
      </c>
      <c r="J174" s="237" t="s">
        <v>410</v>
      </c>
      <c r="K174" s="237" t="s">
        <v>410</v>
      </c>
      <c r="L174" s="237" t="s">
        <v>410</v>
      </c>
      <c r="M174" s="237" t="s">
        <v>410</v>
      </c>
      <c r="N174" s="237" t="s">
        <v>410</v>
      </c>
      <c r="O174" s="237" t="s">
        <v>410</v>
      </c>
      <c r="P174" s="237" t="s">
        <v>410</v>
      </c>
      <c r="Q174" s="237" t="s">
        <v>410</v>
      </c>
      <c r="R174" s="237" t="s">
        <v>410</v>
      </c>
      <c r="S174" s="10" t="s">
        <v>410</v>
      </c>
      <c r="T174" s="10" t="s">
        <v>410</v>
      </c>
    </row>
    <row r="175" spans="1:20" hidden="1" outlineLevel="1" x14ac:dyDescent="0.3">
      <c r="A175" s="583" t="s">
        <v>1690</v>
      </c>
      <c r="B175" s="591">
        <v>3</v>
      </c>
      <c r="C175" s="583" t="s">
        <v>1564</v>
      </c>
      <c r="D175" s="583" t="s">
        <v>3153</v>
      </c>
      <c r="E175" s="592" t="s">
        <v>410</v>
      </c>
      <c r="F175" s="593" t="s">
        <v>4332</v>
      </c>
      <c r="G175" s="237" t="s">
        <v>410</v>
      </c>
      <c r="H175" s="237" t="s">
        <v>410</v>
      </c>
      <c r="I175" s="237" t="s">
        <v>410</v>
      </c>
      <c r="J175" s="237" t="s">
        <v>410</v>
      </c>
      <c r="K175" s="237" t="s">
        <v>410</v>
      </c>
      <c r="L175" s="237" t="s">
        <v>410</v>
      </c>
      <c r="M175" s="237" t="s">
        <v>410</v>
      </c>
      <c r="N175" s="237" t="s">
        <v>410</v>
      </c>
      <c r="O175" s="237" t="s">
        <v>410</v>
      </c>
      <c r="P175" s="237" t="s">
        <v>410</v>
      </c>
      <c r="Q175" s="237" t="s">
        <v>410</v>
      </c>
      <c r="R175" s="237" t="s">
        <v>410</v>
      </c>
      <c r="S175" s="10" t="s">
        <v>410</v>
      </c>
      <c r="T175" s="10" t="s">
        <v>410</v>
      </c>
    </row>
    <row r="176" spans="1:20" hidden="1" outlineLevel="1" x14ac:dyDescent="0.3">
      <c r="A176" s="583" t="s">
        <v>1699</v>
      </c>
      <c r="B176" s="591">
        <v>3</v>
      </c>
      <c r="C176" s="583" t="s">
        <v>1564</v>
      </c>
      <c r="D176" s="583" t="s">
        <v>3153</v>
      </c>
      <c r="E176" s="592" t="s">
        <v>410</v>
      </c>
      <c r="F176" s="593" t="s">
        <v>5522</v>
      </c>
      <c r="G176" s="237" t="s">
        <v>410</v>
      </c>
      <c r="H176" s="237" t="s">
        <v>410</v>
      </c>
      <c r="I176" s="237" t="s">
        <v>410</v>
      </c>
      <c r="J176" s="237" t="s">
        <v>410</v>
      </c>
      <c r="K176" s="237" t="s">
        <v>410</v>
      </c>
      <c r="L176" s="237" t="s">
        <v>410</v>
      </c>
      <c r="M176" s="237" t="s">
        <v>410</v>
      </c>
      <c r="N176" s="237" t="s">
        <v>410</v>
      </c>
      <c r="O176" s="237" t="s">
        <v>410</v>
      </c>
      <c r="P176" s="237" t="s">
        <v>410</v>
      </c>
      <c r="Q176" s="237" t="s">
        <v>410</v>
      </c>
      <c r="R176" s="237" t="s">
        <v>410</v>
      </c>
      <c r="S176" s="10" t="s">
        <v>410</v>
      </c>
      <c r="T176" s="10" t="s">
        <v>410</v>
      </c>
    </row>
    <row r="177" spans="1:20" hidden="1" outlineLevel="1" x14ac:dyDescent="0.3">
      <c r="A177" s="583" t="s">
        <v>5168</v>
      </c>
      <c r="B177" s="591">
        <v>3</v>
      </c>
      <c r="C177" s="583" t="s">
        <v>1564</v>
      </c>
      <c r="D177" s="583" t="s">
        <v>3153</v>
      </c>
      <c r="E177" s="592" t="s">
        <v>410</v>
      </c>
      <c r="F177" s="593" t="s">
        <v>5169</v>
      </c>
      <c r="G177" s="237" t="s">
        <v>410</v>
      </c>
      <c r="H177" s="237" t="s">
        <v>410</v>
      </c>
      <c r="I177" s="237" t="s">
        <v>410</v>
      </c>
      <c r="J177" s="237" t="s">
        <v>410</v>
      </c>
      <c r="K177" s="237" t="s">
        <v>410</v>
      </c>
      <c r="L177" s="237" t="s">
        <v>410</v>
      </c>
      <c r="M177" s="237" t="s">
        <v>410</v>
      </c>
      <c r="N177" s="237" t="s">
        <v>410</v>
      </c>
      <c r="O177" s="237" t="s">
        <v>410</v>
      </c>
      <c r="P177" s="237" t="s">
        <v>410</v>
      </c>
      <c r="Q177" s="237" t="s">
        <v>410</v>
      </c>
      <c r="R177" s="237" t="s">
        <v>410</v>
      </c>
      <c r="S177" s="10" t="s">
        <v>410</v>
      </c>
      <c r="T177" s="10" t="s">
        <v>410</v>
      </c>
    </row>
    <row r="178" spans="1:20" hidden="1" outlineLevel="1" x14ac:dyDescent="0.3">
      <c r="A178" s="583" t="s">
        <v>1682</v>
      </c>
      <c r="B178" s="591">
        <v>4</v>
      </c>
      <c r="C178" s="583" t="s">
        <v>1564</v>
      </c>
      <c r="D178" s="583" t="s">
        <v>3153</v>
      </c>
      <c r="E178" s="592" t="s">
        <v>410</v>
      </c>
      <c r="F178" s="593" t="s">
        <v>4329</v>
      </c>
      <c r="G178" s="237" t="s">
        <v>410</v>
      </c>
      <c r="H178" s="237" t="s">
        <v>410</v>
      </c>
      <c r="I178" s="237" t="s">
        <v>410</v>
      </c>
      <c r="J178" s="237" t="s">
        <v>410</v>
      </c>
      <c r="K178" s="237" t="s">
        <v>410</v>
      </c>
      <c r="L178" s="237" t="s">
        <v>410</v>
      </c>
      <c r="M178" s="237" t="s">
        <v>410</v>
      </c>
      <c r="N178" s="237" t="s">
        <v>410</v>
      </c>
      <c r="O178" s="237" t="s">
        <v>410</v>
      </c>
      <c r="P178" s="237" t="s">
        <v>410</v>
      </c>
      <c r="Q178" s="237" t="s">
        <v>410</v>
      </c>
      <c r="R178" s="237" t="s">
        <v>410</v>
      </c>
      <c r="S178" s="10" t="s">
        <v>410</v>
      </c>
      <c r="T178" s="10" t="s">
        <v>410</v>
      </c>
    </row>
    <row r="179" spans="1:20" hidden="1" outlineLevel="1" x14ac:dyDescent="0.3">
      <c r="A179" s="583" t="s">
        <v>1692</v>
      </c>
      <c r="B179" s="591">
        <v>4</v>
      </c>
      <c r="C179" s="583" t="s">
        <v>1564</v>
      </c>
      <c r="D179" s="583" t="s">
        <v>3153</v>
      </c>
      <c r="E179" s="592" t="s">
        <v>410</v>
      </c>
      <c r="F179" s="593" t="s">
        <v>3634</v>
      </c>
      <c r="G179" s="237" t="s">
        <v>410</v>
      </c>
      <c r="H179" s="237" t="s">
        <v>410</v>
      </c>
      <c r="I179" s="237" t="s">
        <v>410</v>
      </c>
      <c r="J179" s="237" t="s">
        <v>410</v>
      </c>
      <c r="K179" s="237" t="s">
        <v>410</v>
      </c>
      <c r="L179" s="237" t="s">
        <v>410</v>
      </c>
      <c r="M179" s="237" t="s">
        <v>410</v>
      </c>
      <c r="N179" s="237" t="s">
        <v>410</v>
      </c>
      <c r="O179" s="237" t="s">
        <v>410</v>
      </c>
      <c r="P179" s="237" t="s">
        <v>410</v>
      </c>
      <c r="Q179" s="237" t="s">
        <v>410</v>
      </c>
      <c r="R179" s="237" t="s">
        <v>410</v>
      </c>
      <c r="S179" s="10" t="s">
        <v>410</v>
      </c>
      <c r="T179" s="10" t="s">
        <v>410</v>
      </c>
    </row>
    <row r="180" spans="1:20" hidden="1" outlineLevel="1" x14ac:dyDescent="0.3">
      <c r="A180" s="583" t="s">
        <v>1693</v>
      </c>
      <c r="B180" s="591">
        <v>5</v>
      </c>
      <c r="C180" s="583" t="s">
        <v>1564</v>
      </c>
      <c r="D180" s="583" t="s">
        <v>3153</v>
      </c>
      <c r="E180" s="592" t="s">
        <v>410</v>
      </c>
      <c r="F180" s="593" t="s">
        <v>4333</v>
      </c>
      <c r="G180" s="237" t="s">
        <v>410</v>
      </c>
      <c r="H180" s="237" t="s">
        <v>410</v>
      </c>
      <c r="I180" s="237" t="s">
        <v>410</v>
      </c>
      <c r="J180" s="237" t="s">
        <v>410</v>
      </c>
      <c r="K180" s="237" t="s">
        <v>410</v>
      </c>
      <c r="L180" s="237" t="s">
        <v>410</v>
      </c>
      <c r="M180" s="237" t="s">
        <v>410</v>
      </c>
      <c r="N180" s="237" t="s">
        <v>410</v>
      </c>
      <c r="O180" s="237" t="s">
        <v>410</v>
      </c>
      <c r="P180" s="237" t="s">
        <v>410</v>
      </c>
      <c r="Q180" s="237" t="s">
        <v>410</v>
      </c>
      <c r="R180" s="237" t="s">
        <v>410</v>
      </c>
      <c r="S180" s="10" t="s">
        <v>410</v>
      </c>
      <c r="T180" s="10" t="s">
        <v>410</v>
      </c>
    </row>
    <row r="181" spans="1:20" hidden="1" outlineLevel="1" x14ac:dyDescent="0.3">
      <c r="A181" s="583" t="s">
        <v>1680</v>
      </c>
      <c r="B181" s="591">
        <v>16</v>
      </c>
      <c r="C181" s="583" t="s">
        <v>1564</v>
      </c>
      <c r="D181" s="583" t="s">
        <v>3153</v>
      </c>
      <c r="E181" s="592" t="s">
        <v>410</v>
      </c>
      <c r="F181" s="593" t="s">
        <v>4328</v>
      </c>
      <c r="G181" s="237" t="s">
        <v>410</v>
      </c>
      <c r="H181" s="237" t="s">
        <v>410</v>
      </c>
      <c r="I181" s="237" t="s">
        <v>410</v>
      </c>
      <c r="J181" s="237" t="s">
        <v>410</v>
      </c>
      <c r="K181" s="237" t="s">
        <v>410</v>
      </c>
      <c r="L181" s="237" t="s">
        <v>410</v>
      </c>
      <c r="M181" s="237" t="s">
        <v>410</v>
      </c>
      <c r="N181" s="237" t="s">
        <v>410</v>
      </c>
      <c r="O181" s="237" t="s">
        <v>410</v>
      </c>
      <c r="P181" s="237" t="s">
        <v>410</v>
      </c>
      <c r="Q181" s="237" t="s">
        <v>410</v>
      </c>
      <c r="R181" s="237" t="s">
        <v>410</v>
      </c>
      <c r="S181" s="10" t="s">
        <v>410</v>
      </c>
      <c r="T181" s="10" t="s">
        <v>410</v>
      </c>
    </row>
    <row r="182" spans="1:20" hidden="1" outlineLevel="1" x14ac:dyDescent="0.3">
      <c r="A182" s="583" t="s">
        <v>1685</v>
      </c>
      <c r="B182" s="591">
        <v>16</v>
      </c>
      <c r="C182" s="583" t="s">
        <v>1564</v>
      </c>
      <c r="D182" s="583" t="s">
        <v>3153</v>
      </c>
      <c r="E182" s="592" t="s">
        <v>410</v>
      </c>
      <c r="F182" s="593" t="s">
        <v>4329</v>
      </c>
      <c r="G182" s="237" t="s">
        <v>410</v>
      </c>
      <c r="H182" s="237" t="s">
        <v>410</v>
      </c>
      <c r="I182" s="237" t="s">
        <v>410</v>
      </c>
      <c r="J182" s="237" t="s">
        <v>410</v>
      </c>
      <c r="K182" s="237" t="s">
        <v>410</v>
      </c>
      <c r="L182" s="237" t="s">
        <v>410</v>
      </c>
      <c r="M182" s="237" t="s">
        <v>410</v>
      </c>
      <c r="N182" s="237" t="s">
        <v>410</v>
      </c>
      <c r="O182" s="237" t="s">
        <v>410</v>
      </c>
      <c r="P182" s="237" t="s">
        <v>410</v>
      </c>
      <c r="Q182" s="237" t="s">
        <v>410</v>
      </c>
      <c r="R182" s="237" t="s">
        <v>410</v>
      </c>
      <c r="S182" s="10" t="s">
        <v>410</v>
      </c>
      <c r="T182" s="10" t="s">
        <v>410</v>
      </c>
    </row>
    <row r="183" spans="1:20" hidden="1" outlineLevel="1" x14ac:dyDescent="0.3">
      <c r="A183" s="583" t="s">
        <v>5165</v>
      </c>
      <c r="B183" s="591">
        <v>16</v>
      </c>
      <c r="C183" s="583" t="s">
        <v>1564</v>
      </c>
      <c r="D183" s="583" t="s">
        <v>3153</v>
      </c>
      <c r="E183" s="592" t="s">
        <v>410</v>
      </c>
      <c r="F183" s="593" t="s">
        <v>5182</v>
      </c>
      <c r="G183" s="237" t="s">
        <v>410</v>
      </c>
      <c r="H183" s="237" t="s">
        <v>410</v>
      </c>
      <c r="I183" s="237" t="s">
        <v>410</v>
      </c>
      <c r="J183" s="237" t="s">
        <v>410</v>
      </c>
      <c r="K183" s="237" t="s">
        <v>410</v>
      </c>
      <c r="L183" s="237" t="s">
        <v>410</v>
      </c>
      <c r="M183" s="237" t="s">
        <v>410</v>
      </c>
      <c r="N183" s="237" t="s">
        <v>410</v>
      </c>
      <c r="O183" s="237" t="s">
        <v>410</v>
      </c>
      <c r="P183" s="237" t="s">
        <v>410</v>
      </c>
      <c r="Q183" s="237" t="s">
        <v>410</v>
      </c>
      <c r="R183" s="237" t="s">
        <v>410</v>
      </c>
      <c r="S183" s="10" t="s">
        <v>410</v>
      </c>
      <c r="T183" s="10" t="s">
        <v>410</v>
      </c>
    </row>
    <row r="184" spans="1:20" hidden="1" outlineLevel="1" x14ac:dyDescent="0.3">
      <c r="A184" s="583" t="s">
        <v>1694</v>
      </c>
      <c r="B184" s="591">
        <v>16</v>
      </c>
      <c r="C184" s="583" t="s">
        <v>1564</v>
      </c>
      <c r="D184" s="583" t="s">
        <v>3153</v>
      </c>
      <c r="E184" s="592" t="s">
        <v>410</v>
      </c>
      <c r="F184" s="593" t="s">
        <v>4330</v>
      </c>
      <c r="G184" s="237" t="s">
        <v>410</v>
      </c>
      <c r="H184" s="237" t="s">
        <v>410</v>
      </c>
      <c r="I184" s="237" t="s">
        <v>410</v>
      </c>
      <c r="J184" s="237" t="s">
        <v>410</v>
      </c>
      <c r="K184" s="237" t="s">
        <v>410</v>
      </c>
      <c r="L184" s="237" t="s">
        <v>410</v>
      </c>
      <c r="M184" s="237" t="s">
        <v>410</v>
      </c>
      <c r="N184" s="237" t="s">
        <v>410</v>
      </c>
      <c r="O184" s="237" t="s">
        <v>410</v>
      </c>
      <c r="P184" s="237" t="s">
        <v>410</v>
      </c>
      <c r="Q184" s="237" t="s">
        <v>410</v>
      </c>
      <c r="R184" s="237" t="s">
        <v>410</v>
      </c>
      <c r="S184" s="10" t="s">
        <v>410</v>
      </c>
      <c r="T184" s="10" t="s">
        <v>410</v>
      </c>
    </row>
    <row r="185" spans="1:20" hidden="1" outlineLevel="1" x14ac:dyDescent="0.3">
      <c r="A185" s="583" t="s">
        <v>5183</v>
      </c>
      <c r="B185" s="591">
        <v>16</v>
      </c>
      <c r="C185" s="583" t="s">
        <v>1564</v>
      </c>
      <c r="D185" s="583" t="s">
        <v>3153</v>
      </c>
      <c r="E185" s="592" t="s">
        <v>410</v>
      </c>
      <c r="F185" s="593" t="s">
        <v>5184</v>
      </c>
      <c r="G185" s="237" t="s">
        <v>410</v>
      </c>
      <c r="H185" s="237" t="s">
        <v>410</v>
      </c>
      <c r="I185" s="237" t="s">
        <v>410</v>
      </c>
      <c r="J185" s="237" t="s">
        <v>410</v>
      </c>
      <c r="K185" s="237" t="s">
        <v>410</v>
      </c>
      <c r="L185" s="237" t="s">
        <v>410</v>
      </c>
      <c r="M185" s="237" t="s">
        <v>410</v>
      </c>
      <c r="N185" s="237" t="s">
        <v>410</v>
      </c>
      <c r="O185" s="237" t="s">
        <v>410</v>
      </c>
      <c r="P185" s="237" t="s">
        <v>410</v>
      </c>
      <c r="Q185" s="237" t="s">
        <v>410</v>
      </c>
      <c r="R185" s="237" t="s">
        <v>410</v>
      </c>
      <c r="S185" s="10" t="s">
        <v>410</v>
      </c>
      <c r="T185" s="10" t="s">
        <v>410</v>
      </c>
    </row>
    <row r="186" spans="1:20" hidden="1" outlineLevel="1" x14ac:dyDescent="0.3">
      <c r="A186" s="583" t="s">
        <v>1696</v>
      </c>
      <c r="B186" s="591">
        <v>16</v>
      </c>
      <c r="C186" s="583" t="s">
        <v>1564</v>
      </c>
      <c r="D186" s="583" t="s">
        <v>3153</v>
      </c>
      <c r="E186" s="592" t="s">
        <v>410</v>
      </c>
      <c r="F186" s="593" t="s">
        <v>4328</v>
      </c>
      <c r="G186" s="237" t="s">
        <v>410</v>
      </c>
      <c r="H186" s="237" t="s">
        <v>410</v>
      </c>
      <c r="I186" s="237" t="s">
        <v>410</v>
      </c>
      <c r="J186" s="237" t="s">
        <v>410</v>
      </c>
      <c r="K186" s="237" t="s">
        <v>410</v>
      </c>
      <c r="L186" s="237" t="s">
        <v>410</v>
      </c>
      <c r="M186" s="237" t="s">
        <v>410</v>
      </c>
      <c r="N186" s="237" t="s">
        <v>410</v>
      </c>
      <c r="O186" s="237" t="s">
        <v>410</v>
      </c>
      <c r="P186" s="237" t="s">
        <v>410</v>
      </c>
      <c r="Q186" s="237" t="s">
        <v>410</v>
      </c>
      <c r="R186" s="237" t="s">
        <v>410</v>
      </c>
      <c r="S186" s="10" t="s">
        <v>410</v>
      </c>
      <c r="T186" s="10" t="s">
        <v>410</v>
      </c>
    </row>
    <row r="187" spans="1:20" hidden="1" outlineLevel="1" x14ac:dyDescent="0.3">
      <c r="A187" s="583" t="s">
        <v>1702</v>
      </c>
      <c r="B187" s="591">
        <v>16</v>
      </c>
      <c r="C187" s="583" t="s">
        <v>1564</v>
      </c>
      <c r="D187" s="583" t="s">
        <v>3153</v>
      </c>
      <c r="E187" s="592" t="s">
        <v>410</v>
      </c>
      <c r="F187" s="593" t="s">
        <v>3630</v>
      </c>
      <c r="G187" s="237" t="s">
        <v>410</v>
      </c>
      <c r="H187" s="237" t="s">
        <v>410</v>
      </c>
      <c r="I187" s="237" t="s">
        <v>410</v>
      </c>
      <c r="J187" s="237" t="s">
        <v>410</v>
      </c>
      <c r="K187" s="237" t="s">
        <v>410</v>
      </c>
      <c r="L187" s="237" t="s">
        <v>410</v>
      </c>
      <c r="M187" s="237" t="s">
        <v>410</v>
      </c>
      <c r="N187" s="237" t="s">
        <v>410</v>
      </c>
      <c r="O187" s="237" t="s">
        <v>410</v>
      </c>
      <c r="P187" s="237" t="s">
        <v>410</v>
      </c>
      <c r="Q187" s="237" t="s">
        <v>410</v>
      </c>
      <c r="R187" s="237" t="s">
        <v>410</v>
      </c>
      <c r="S187" s="10" t="s">
        <v>410</v>
      </c>
      <c r="T187" s="10" t="s">
        <v>410</v>
      </c>
    </row>
    <row r="188" spans="1:20" hidden="1" outlineLevel="1" x14ac:dyDescent="0.3">
      <c r="A188" s="583" t="s">
        <v>1706</v>
      </c>
      <c r="B188" s="591">
        <v>16</v>
      </c>
      <c r="C188" s="583" t="s">
        <v>1564</v>
      </c>
      <c r="D188" s="583" t="s">
        <v>3153</v>
      </c>
      <c r="E188" s="592" t="s">
        <v>410</v>
      </c>
      <c r="F188" s="593" t="s">
        <v>4331</v>
      </c>
      <c r="G188" s="237" t="s">
        <v>410</v>
      </c>
      <c r="H188" s="237" t="s">
        <v>410</v>
      </c>
      <c r="I188" s="237" t="s">
        <v>410</v>
      </c>
      <c r="J188" s="237" t="s">
        <v>410</v>
      </c>
      <c r="K188" s="237" t="s">
        <v>410</v>
      </c>
      <c r="L188" s="237" t="s">
        <v>410</v>
      </c>
      <c r="M188" s="237" t="s">
        <v>410</v>
      </c>
      <c r="N188" s="237" t="s">
        <v>410</v>
      </c>
      <c r="O188" s="237" t="s">
        <v>410</v>
      </c>
      <c r="P188" s="237" t="s">
        <v>410</v>
      </c>
      <c r="Q188" s="237" t="s">
        <v>410</v>
      </c>
      <c r="R188" s="237" t="s">
        <v>410</v>
      </c>
      <c r="S188" s="10" t="s">
        <v>410</v>
      </c>
      <c r="T188" s="10" t="s">
        <v>410</v>
      </c>
    </row>
    <row r="189" spans="1:20" hidden="1" outlineLevel="1" x14ac:dyDescent="0.3">
      <c r="A189" s="583" t="s">
        <v>4325</v>
      </c>
      <c r="B189" s="591">
        <v>16</v>
      </c>
      <c r="C189" s="583" t="s">
        <v>1564</v>
      </c>
      <c r="D189" s="583" t="s">
        <v>3153</v>
      </c>
      <c r="E189" s="592" t="s">
        <v>410</v>
      </c>
      <c r="F189" s="593" t="s">
        <v>5181</v>
      </c>
      <c r="G189" s="237" t="s">
        <v>410</v>
      </c>
      <c r="H189" s="237" t="s">
        <v>410</v>
      </c>
      <c r="I189" s="237" t="s">
        <v>410</v>
      </c>
      <c r="J189" s="237" t="s">
        <v>410</v>
      </c>
      <c r="K189" s="237" t="s">
        <v>410</v>
      </c>
      <c r="L189" s="237" t="s">
        <v>410</v>
      </c>
      <c r="M189" s="237" t="s">
        <v>410</v>
      </c>
      <c r="N189" s="237" t="s">
        <v>410</v>
      </c>
      <c r="O189" s="237" t="s">
        <v>410</v>
      </c>
      <c r="P189" s="237" t="s">
        <v>410</v>
      </c>
      <c r="Q189" s="237" t="s">
        <v>410</v>
      </c>
      <c r="R189" s="237" t="s">
        <v>410</v>
      </c>
      <c r="S189" s="10" t="s">
        <v>410</v>
      </c>
      <c r="T189" s="10" t="s">
        <v>410</v>
      </c>
    </row>
    <row r="190" spans="1:20" hidden="1" outlineLevel="1" x14ac:dyDescent="0.3">
      <c r="A190" s="583" t="s">
        <v>1709</v>
      </c>
      <c r="B190" s="591">
        <v>16</v>
      </c>
      <c r="C190" s="583" t="s">
        <v>1564</v>
      </c>
      <c r="D190" s="583" t="s">
        <v>3153</v>
      </c>
      <c r="E190" s="592" t="s">
        <v>410</v>
      </c>
      <c r="F190" s="593" t="s">
        <v>5170</v>
      </c>
      <c r="G190" s="237" t="s">
        <v>410</v>
      </c>
      <c r="H190" s="237" t="s">
        <v>410</v>
      </c>
      <c r="I190" s="237" t="s">
        <v>410</v>
      </c>
      <c r="J190" s="237" t="s">
        <v>410</v>
      </c>
      <c r="K190" s="237" t="s">
        <v>410</v>
      </c>
      <c r="L190" s="237" t="s">
        <v>410</v>
      </c>
      <c r="M190" s="237" t="s">
        <v>410</v>
      </c>
      <c r="N190" s="237" t="s">
        <v>410</v>
      </c>
      <c r="O190" s="237" t="s">
        <v>410</v>
      </c>
      <c r="P190" s="237" t="s">
        <v>410</v>
      </c>
      <c r="Q190" s="237" t="s">
        <v>410</v>
      </c>
      <c r="R190" s="237" t="s">
        <v>410</v>
      </c>
      <c r="S190" s="10" t="s">
        <v>410</v>
      </c>
      <c r="T190" s="10" t="s">
        <v>410</v>
      </c>
    </row>
    <row r="191" spans="1:20" hidden="1" outlineLevel="1" x14ac:dyDescent="0.3">
      <c r="A191" s="583" t="s">
        <v>5663</v>
      </c>
      <c r="B191" s="591">
        <v>16</v>
      </c>
      <c r="C191" s="583" t="s">
        <v>1564</v>
      </c>
      <c r="D191" s="583" t="s">
        <v>3153</v>
      </c>
      <c r="E191" s="592" t="s">
        <v>410</v>
      </c>
      <c r="F191" s="593" t="s">
        <v>5520</v>
      </c>
      <c r="G191" s="237" t="s">
        <v>410</v>
      </c>
      <c r="H191" s="237" t="s">
        <v>410</v>
      </c>
      <c r="I191" s="237" t="s">
        <v>410</v>
      </c>
      <c r="J191" s="237" t="s">
        <v>410</v>
      </c>
      <c r="K191" s="237" t="s">
        <v>410</v>
      </c>
      <c r="L191" s="237" t="s">
        <v>410</v>
      </c>
      <c r="M191" s="237" t="s">
        <v>410</v>
      </c>
      <c r="N191" s="237" t="s">
        <v>410</v>
      </c>
      <c r="O191" s="237" t="s">
        <v>410</v>
      </c>
      <c r="P191" s="237" t="s">
        <v>410</v>
      </c>
      <c r="Q191" s="237" t="s">
        <v>410</v>
      </c>
      <c r="R191" s="237" t="s">
        <v>410</v>
      </c>
      <c r="S191" s="10" t="s">
        <v>410</v>
      </c>
      <c r="T191" s="10" t="s">
        <v>410</v>
      </c>
    </row>
    <row r="192" spans="1:20" hidden="1" outlineLevel="1" x14ac:dyDescent="0.3">
      <c r="A192" s="583" t="s">
        <v>5171</v>
      </c>
      <c r="B192" s="591">
        <v>16</v>
      </c>
      <c r="C192" s="583" t="s">
        <v>1564</v>
      </c>
      <c r="D192" s="583" t="s">
        <v>3153</v>
      </c>
      <c r="E192" s="592" t="s">
        <v>410</v>
      </c>
      <c r="F192" s="593" t="s">
        <v>3634</v>
      </c>
      <c r="G192" s="237" t="s">
        <v>410</v>
      </c>
      <c r="H192" s="237" t="s">
        <v>410</v>
      </c>
      <c r="I192" s="237" t="s">
        <v>410</v>
      </c>
      <c r="J192" s="237" t="s">
        <v>410</v>
      </c>
      <c r="K192" s="237" t="s">
        <v>410</v>
      </c>
      <c r="L192" s="237" t="s">
        <v>410</v>
      </c>
      <c r="M192" s="237" t="s">
        <v>410</v>
      </c>
      <c r="N192" s="237" t="s">
        <v>410</v>
      </c>
      <c r="O192" s="237" t="s">
        <v>410</v>
      </c>
      <c r="P192" s="237" t="s">
        <v>410</v>
      </c>
      <c r="Q192" s="237" t="s">
        <v>410</v>
      </c>
      <c r="R192" s="237" t="s">
        <v>410</v>
      </c>
      <c r="S192" s="10" t="s">
        <v>410</v>
      </c>
      <c r="T192" s="10" t="s">
        <v>410</v>
      </c>
    </row>
    <row r="193" spans="1:20" hidden="1" outlineLevel="1" x14ac:dyDescent="0.3">
      <c r="A193" s="583" t="s">
        <v>1681</v>
      </c>
      <c r="B193" s="591">
        <v>17</v>
      </c>
      <c r="C193" s="583" t="s">
        <v>1564</v>
      </c>
      <c r="D193" s="583" t="s">
        <v>3153</v>
      </c>
      <c r="E193" s="592" t="s">
        <v>410</v>
      </c>
      <c r="F193" s="593" t="s">
        <v>3623</v>
      </c>
      <c r="G193" s="237" t="s">
        <v>410</v>
      </c>
      <c r="H193" s="237" t="s">
        <v>410</v>
      </c>
      <c r="I193" s="237" t="s">
        <v>410</v>
      </c>
      <c r="J193" s="237" t="s">
        <v>410</v>
      </c>
      <c r="K193" s="237" t="s">
        <v>410</v>
      </c>
      <c r="L193" s="237" t="s">
        <v>410</v>
      </c>
      <c r="M193" s="237" t="s">
        <v>410</v>
      </c>
      <c r="N193" s="237" t="s">
        <v>410</v>
      </c>
      <c r="O193" s="237" t="s">
        <v>410</v>
      </c>
      <c r="P193" s="237" t="s">
        <v>410</v>
      </c>
      <c r="Q193" s="237" t="s">
        <v>410</v>
      </c>
      <c r="R193" s="237" t="s">
        <v>410</v>
      </c>
      <c r="S193" s="10" t="s">
        <v>410</v>
      </c>
      <c r="T193" s="10" t="s">
        <v>410</v>
      </c>
    </row>
    <row r="194" spans="1:20" hidden="1" outlineLevel="1" x14ac:dyDescent="0.3">
      <c r="A194" s="583" t="s">
        <v>1711</v>
      </c>
      <c r="B194" s="591">
        <v>17</v>
      </c>
      <c r="C194" s="583" t="s">
        <v>1564</v>
      </c>
      <c r="D194" s="583" t="s">
        <v>3153</v>
      </c>
      <c r="E194" s="592" t="s">
        <v>410</v>
      </c>
      <c r="F194" s="593" t="s">
        <v>3628</v>
      </c>
      <c r="G194" s="237" t="s">
        <v>410</v>
      </c>
      <c r="H194" s="237" t="s">
        <v>410</v>
      </c>
      <c r="I194" s="237" t="s">
        <v>410</v>
      </c>
      <c r="J194" s="237" t="s">
        <v>410</v>
      </c>
      <c r="K194" s="237" t="s">
        <v>410</v>
      </c>
      <c r="L194" s="237" t="s">
        <v>410</v>
      </c>
      <c r="M194" s="237" t="s">
        <v>410</v>
      </c>
      <c r="N194" s="237" t="s">
        <v>410</v>
      </c>
      <c r="O194" s="237" t="s">
        <v>410</v>
      </c>
      <c r="P194" s="237" t="s">
        <v>410</v>
      </c>
      <c r="Q194" s="237" t="s">
        <v>410</v>
      </c>
      <c r="R194" s="237" t="s">
        <v>410</v>
      </c>
      <c r="S194" s="10" t="s">
        <v>410</v>
      </c>
      <c r="T194" s="10" t="s">
        <v>410</v>
      </c>
    </row>
    <row r="195" spans="1:20" hidden="1" outlineLevel="1" x14ac:dyDescent="0.3">
      <c r="A195" s="583" t="s">
        <v>1712</v>
      </c>
      <c r="B195" s="591">
        <v>18</v>
      </c>
      <c r="C195" s="583" t="s">
        <v>1564</v>
      </c>
      <c r="D195" s="583" t="s">
        <v>3153</v>
      </c>
      <c r="E195" s="592" t="s">
        <v>410</v>
      </c>
      <c r="F195" s="593" t="s">
        <v>3633</v>
      </c>
      <c r="G195" s="237" t="s">
        <v>410</v>
      </c>
      <c r="H195" s="237" t="s">
        <v>410</v>
      </c>
      <c r="I195" s="237" t="s">
        <v>410</v>
      </c>
      <c r="J195" s="237" t="s">
        <v>410</v>
      </c>
      <c r="K195" s="237" t="s">
        <v>410</v>
      </c>
      <c r="L195" s="237" t="s">
        <v>410</v>
      </c>
      <c r="M195" s="237" t="s">
        <v>410</v>
      </c>
      <c r="N195" s="237" t="s">
        <v>410</v>
      </c>
      <c r="O195" s="237" t="s">
        <v>410</v>
      </c>
      <c r="P195" s="237" t="s">
        <v>410</v>
      </c>
      <c r="Q195" s="237" t="s">
        <v>410</v>
      </c>
      <c r="R195" s="237" t="s">
        <v>410</v>
      </c>
      <c r="S195" s="10" t="s">
        <v>410</v>
      </c>
      <c r="T195" s="10" t="s">
        <v>410</v>
      </c>
    </row>
    <row r="196" spans="1:20" collapsed="1" x14ac:dyDescent="0.3">
      <c r="A196" s="583" t="s">
        <v>1478</v>
      </c>
      <c r="B196" s="591">
        <v>1</v>
      </c>
      <c r="C196" s="588" t="s">
        <v>1256</v>
      </c>
      <c r="D196" s="588" t="s">
        <v>1511</v>
      </c>
      <c r="E196" s="589" t="s">
        <v>410</v>
      </c>
      <c r="F196" s="590" t="s">
        <v>2117</v>
      </c>
      <c r="G196" s="590" t="s">
        <v>2118</v>
      </c>
      <c r="H196" s="590" t="s">
        <v>2119</v>
      </c>
      <c r="I196" s="590" t="s">
        <v>2120</v>
      </c>
      <c r="J196" s="590" t="s">
        <v>2121</v>
      </c>
      <c r="K196" s="590" t="s">
        <v>2122</v>
      </c>
      <c r="L196" s="441" t="s">
        <v>410</v>
      </c>
      <c r="M196" s="441" t="s">
        <v>410</v>
      </c>
      <c r="N196" s="441" t="s">
        <v>410</v>
      </c>
      <c r="O196" s="441" t="s">
        <v>410</v>
      </c>
      <c r="P196" s="441" t="s">
        <v>410</v>
      </c>
      <c r="Q196" s="441" t="s">
        <v>410</v>
      </c>
      <c r="R196" s="441" t="s">
        <v>410</v>
      </c>
      <c r="S196" s="441" t="s">
        <v>410</v>
      </c>
      <c r="T196" s="441" t="s">
        <v>410</v>
      </c>
    </row>
    <row r="197" spans="1:20" hidden="1" outlineLevel="1" x14ac:dyDescent="0.3">
      <c r="A197" s="583" t="s">
        <v>1759</v>
      </c>
      <c r="B197" s="591">
        <v>1</v>
      </c>
      <c r="C197" s="583" t="s">
        <v>1256</v>
      </c>
      <c r="D197" s="583" t="s">
        <v>1511</v>
      </c>
      <c r="E197" s="592" t="s">
        <v>410</v>
      </c>
      <c r="F197" s="593" t="s">
        <v>1760</v>
      </c>
      <c r="G197" s="593" t="s">
        <v>1761</v>
      </c>
      <c r="H197" s="593" t="s">
        <v>1762</v>
      </c>
      <c r="I197" s="594" t="str">
        <f>CONCATENATE("NBZ - ",TEXT(IF(CHR&lt;4,4,CHR),0))</f>
        <v>NBZ - 4</v>
      </c>
      <c r="J197" s="237" t="s">
        <v>410</v>
      </c>
      <c r="K197" s="237" t="s">
        <v>410</v>
      </c>
      <c r="L197" s="237" t="s">
        <v>410</v>
      </c>
      <c r="M197" s="237" t="s">
        <v>410</v>
      </c>
      <c r="N197" s="237" t="s">
        <v>410</v>
      </c>
      <c r="O197" s="237" t="s">
        <v>410</v>
      </c>
      <c r="P197" s="237" t="s">
        <v>410</v>
      </c>
      <c r="Q197" s="237" t="s">
        <v>410</v>
      </c>
      <c r="R197" s="237" t="s">
        <v>410</v>
      </c>
      <c r="S197" s="10" t="s">
        <v>410</v>
      </c>
      <c r="T197" s="10" t="s">
        <v>410</v>
      </c>
    </row>
    <row r="198" spans="1:20" hidden="1" outlineLevel="1" x14ac:dyDescent="0.3">
      <c r="A198" s="583" t="s">
        <v>1779</v>
      </c>
      <c r="B198" s="591">
        <v>1</v>
      </c>
      <c r="C198" s="583" t="s">
        <v>1256</v>
      </c>
      <c r="D198" s="583" t="s">
        <v>1511</v>
      </c>
      <c r="E198" s="592" t="s">
        <v>410</v>
      </c>
      <c r="F198" s="593" t="s">
        <v>4335</v>
      </c>
      <c r="G198" s="593" t="s">
        <v>4340</v>
      </c>
      <c r="H198" s="593" t="s">
        <v>4339</v>
      </c>
      <c r="I198" s="593" t="s">
        <v>4338</v>
      </c>
      <c r="J198" s="593" t="s">
        <v>4337</v>
      </c>
      <c r="K198" s="593" t="s">
        <v>4336</v>
      </c>
      <c r="L198" s="237" t="s">
        <v>410</v>
      </c>
      <c r="M198" s="237" t="s">
        <v>410</v>
      </c>
      <c r="N198" s="237" t="s">
        <v>410</v>
      </c>
      <c r="O198" s="237" t="s">
        <v>410</v>
      </c>
      <c r="P198" s="237" t="s">
        <v>410</v>
      </c>
      <c r="Q198" s="237" t="s">
        <v>410</v>
      </c>
      <c r="R198" s="237" t="s">
        <v>410</v>
      </c>
      <c r="S198" s="10" t="s">
        <v>410</v>
      </c>
      <c r="T198" s="10" t="s">
        <v>410</v>
      </c>
    </row>
    <row r="199" spans="1:20" hidden="1" outlineLevel="1" x14ac:dyDescent="0.3">
      <c r="A199" s="583" t="s">
        <v>1781</v>
      </c>
      <c r="B199" s="591">
        <v>1</v>
      </c>
      <c r="C199" s="583" t="s">
        <v>1256</v>
      </c>
      <c r="D199" s="583" t="s">
        <v>1511</v>
      </c>
      <c r="E199" s="592" t="s">
        <v>410</v>
      </c>
      <c r="F199" s="593" t="s">
        <v>4335</v>
      </c>
      <c r="G199" s="593" t="s">
        <v>4340</v>
      </c>
      <c r="H199" s="593" t="s">
        <v>4339</v>
      </c>
      <c r="I199" s="593" t="s">
        <v>4338</v>
      </c>
      <c r="J199" s="593" t="s">
        <v>4337</v>
      </c>
      <c r="K199" s="593" t="s">
        <v>4336</v>
      </c>
      <c r="L199" s="593" t="s">
        <v>4341</v>
      </c>
      <c r="M199" s="10" t="s">
        <v>410</v>
      </c>
      <c r="N199" s="10" t="s">
        <v>410</v>
      </c>
      <c r="O199" s="10" t="s">
        <v>410</v>
      </c>
      <c r="P199" s="10" t="s">
        <v>410</v>
      </c>
      <c r="Q199" s="10" t="s">
        <v>410</v>
      </c>
      <c r="R199" s="10" t="s">
        <v>410</v>
      </c>
      <c r="S199" s="10" t="s">
        <v>410</v>
      </c>
      <c r="T199" s="10" t="s">
        <v>410</v>
      </c>
    </row>
    <row r="200" spans="1:20" hidden="1" outlineLevel="1" x14ac:dyDescent="0.3">
      <c r="A200" s="583" t="s">
        <v>1821</v>
      </c>
      <c r="B200" s="591">
        <v>1</v>
      </c>
      <c r="C200" s="583" t="s">
        <v>1256</v>
      </c>
      <c r="D200" s="583" t="s">
        <v>1511</v>
      </c>
      <c r="E200" s="592" t="s">
        <v>65</v>
      </c>
      <c r="F200" s="593" t="s">
        <v>66</v>
      </c>
      <c r="G200" s="593" t="s">
        <v>67</v>
      </c>
      <c r="H200" s="593" t="s">
        <v>68</v>
      </c>
      <c r="I200" s="593" t="s">
        <v>70</v>
      </c>
      <c r="J200" s="237" t="s">
        <v>410</v>
      </c>
      <c r="K200" s="237" t="s">
        <v>410</v>
      </c>
      <c r="L200" s="237" t="s">
        <v>410</v>
      </c>
      <c r="M200" s="237" t="s">
        <v>410</v>
      </c>
      <c r="N200" s="237" t="s">
        <v>410</v>
      </c>
      <c r="O200" s="237" t="s">
        <v>410</v>
      </c>
      <c r="P200" s="237" t="s">
        <v>410</v>
      </c>
      <c r="Q200" s="237" t="s">
        <v>410</v>
      </c>
      <c r="R200" s="237" t="s">
        <v>410</v>
      </c>
      <c r="S200" s="10" t="s">
        <v>410</v>
      </c>
      <c r="T200" s="10" t="s">
        <v>410</v>
      </c>
    </row>
    <row r="201" spans="1:20" hidden="1" outlineLevel="1" x14ac:dyDescent="0.3">
      <c r="A201" s="583" t="s">
        <v>2014</v>
      </c>
      <c r="B201" s="591">
        <v>1</v>
      </c>
      <c r="C201" s="583" t="s">
        <v>1256</v>
      </c>
      <c r="D201" s="583" t="s">
        <v>1511</v>
      </c>
      <c r="E201" s="593" t="s">
        <v>410</v>
      </c>
      <c r="F201" s="593" t="s">
        <v>4050</v>
      </c>
      <c r="G201" s="593" t="s">
        <v>4800</v>
      </c>
      <c r="H201" s="593" t="s">
        <v>4801</v>
      </c>
      <c r="I201" s="593" t="s">
        <v>4802</v>
      </c>
      <c r="J201" s="237" t="s">
        <v>410</v>
      </c>
      <c r="K201" s="237" t="s">
        <v>410</v>
      </c>
      <c r="L201" s="237" t="s">
        <v>410</v>
      </c>
      <c r="M201" s="237" t="s">
        <v>410</v>
      </c>
      <c r="N201" s="237" t="s">
        <v>410</v>
      </c>
      <c r="O201" s="237" t="s">
        <v>410</v>
      </c>
      <c r="P201" s="237" t="s">
        <v>410</v>
      </c>
      <c r="Q201" s="237" t="s">
        <v>410</v>
      </c>
      <c r="R201" s="237" t="s">
        <v>410</v>
      </c>
      <c r="S201" s="237" t="s">
        <v>410</v>
      </c>
      <c r="T201" s="237" t="s">
        <v>410</v>
      </c>
    </row>
    <row r="202" spans="1:20" hidden="1" outlineLevel="1" x14ac:dyDescent="0.3">
      <c r="A202" s="583" t="s">
        <v>2007</v>
      </c>
      <c r="B202" s="591">
        <v>1</v>
      </c>
      <c r="C202" s="583" t="s">
        <v>1256</v>
      </c>
      <c r="D202" s="583" t="s">
        <v>1511</v>
      </c>
      <c r="E202" s="237" t="s">
        <v>410</v>
      </c>
      <c r="F202" s="593" t="s">
        <v>4804</v>
      </c>
      <c r="G202" t="s">
        <v>410</v>
      </c>
      <c r="H202" t="s">
        <v>410</v>
      </c>
      <c r="I202" t="s">
        <v>410</v>
      </c>
      <c r="J202" t="s">
        <v>410</v>
      </c>
      <c r="K202" t="s">
        <v>410</v>
      </c>
      <c r="L202" t="s">
        <v>410</v>
      </c>
      <c r="M202" t="s">
        <v>410</v>
      </c>
      <c r="N202" t="s">
        <v>410</v>
      </c>
      <c r="O202" t="s">
        <v>410</v>
      </c>
      <c r="P202" t="s">
        <v>410</v>
      </c>
      <c r="Q202" t="s">
        <v>410</v>
      </c>
      <c r="R202" t="s">
        <v>410</v>
      </c>
      <c r="S202" t="s">
        <v>410</v>
      </c>
      <c r="T202" t="s">
        <v>410</v>
      </c>
    </row>
    <row r="203" spans="1:20" hidden="1" outlineLevel="1" x14ac:dyDescent="0.3">
      <c r="A203" s="583" t="s">
        <v>3215</v>
      </c>
      <c r="B203" s="591">
        <v>1</v>
      </c>
      <c r="C203" s="583" t="s">
        <v>1256</v>
      </c>
      <c r="D203" s="583" t="s">
        <v>1511</v>
      </c>
      <c r="E203" s="593" t="s">
        <v>410</v>
      </c>
      <c r="F203" s="594" t="str">
        <f>CONCATENATE("[UP I,",TEXT(bÚr,0),"x/den]  +3")</f>
        <v>[UP I,1x/den]  +3</v>
      </c>
      <c r="G203" s="237" t="s">
        <v>410</v>
      </c>
      <c r="H203" s="237" t="s">
        <v>410</v>
      </c>
      <c r="I203" s="237" t="s">
        <v>410</v>
      </c>
      <c r="J203" s="237" t="s">
        <v>410</v>
      </c>
      <c r="K203" s="237" t="s">
        <v>410</v>
      </c>
      <c r="L203" s="237" t="s">
        <v>410</v>
      </c>
      <c r="M203" s="237" t="s">
        <v>410</v>
      </c>
      <c r="N203" s="237" t="s">
        <v>410</v>
      </c>
      <c r="O203" s="237" t="s">
        <v>410</v>
      </c>
      <c r="P203" s="237" t="s">
        <v>410</v>
      </c>
      <c r="Q203" s="237" t="s">
        <v>410</v>
      </c>
      <c r="R203" s="237" t="s">
        <v>410</v>
      </c>
      <c r="S203" s="237" t="s">
        <v>410</v>
      </c>
      <c r="T203" s="237" t="s">
        <v>410</v>
      </c>
    </row>
    <row r="204" spans="1:20" hidden="1" outlineLevel="1" x14ac:dyDescent="0.3">
      <c r="A204" s="583" t="s">
        <v>4836</v>
      </c>
      <c r="B204" s="591">
        <v>1</v>
      </c>
      <c r="C204" s="583" t="s">
        <v>1256</v>
      </c>
      <c r="D204" s="583" t="s">
        <v>1511</v>
      </c>
      <c r="E204" s="593" t="s">
        <v>410</v>
      </c>
      <c r="F204" s="593" t="s">
        <v>4837</v>
      </c>
      <c r="G204" s="593" t="s">
        <v>4838</v>
      </c>
      <c r="H204" s="593" t="s">
        <v>4839</v>
      </c>
      <c r="I204" s="237" t="s">
        <v>410</v>
      </c>
      <c r="J204" s="237" t="s">
        <v>410</v>
      </c>
      <c r="K204" s="237" t="s">
        <v>410</v>
      </c>
      <c r="L204" s="237" t="s">
        <v>410</v>
      </c>
      <c r="M204" s="237" t="s">
        <v>410</v>
      </c>
      <c r="N204" s="237" t="s">
        <v>410</v>
      </c>
      <c r="O204" s="237" t="s">
        <v>410</v>
      </c>
      <c r="P204" s="237" t="s">
        <v>410</v>
      </c>
      <c r="Q204" s="237" t="s">
        <v>410</v>
      </c>
      <c r="R204" s="237" t="s">
        <v>410</v>
      </c>
      <c r="S204" s="237" t="s">
        <v>410</v>
      </c>
      <c r="T204" s="237" t="s">
        <v>410</v>
      </c>
    </row>
    <row r="205" spans="1:20" hidden="1" outlineLevel="1" x14ac:dyDescent="0.3">
      <c r="A205" s="583" t="s">
        <v>2009</v>
      </c>
      <c r="B205" s="591">
        <v>1</v>
      </c>
      <c r="C205" s="583" t="s">
        <v>1256</v>
      </c>
      <c r="D205" s="583" t="s">
        <v>1511</v>
      </c>
      <c r="E205" s="593" t="s">
        <v>410</v>
      </c>
      <c r="F205" s="593" t="s">
        <v>4844</v>
      </c>
      <c r="G205" s="237" t="s">
        <v>410</v>
      </c>
      <c r="H205" s="237" t="s">
        <v>410</v>
      </c>
      <c r="I205" s="237" t="s">
        <v>410</v>
      </c>
      <c r="J205" s="237" t="s">
        <v>410</v>
      </c>
      <c r="K205" s="237" t="s">
        <v>410</v>
      </c>
      <c r="L205" s="237" t="s">
        <v>410</v>
      </c>
      <c r="M205" s="237" t="s">
        <v>410</v>
      </c>
      <c r="N205" s="237" t="s">
        <v>410</v>
      </c>
      <c r="O205" s="237" t="s">
        <v>410</v>
      </c>
      <c r="P205" s="237" t="s">
        <v>410</v>
      </c>
      <c r="Q205" s="237" t="s">
        <v>410</v>
      </c>
      <c r="R205" s="237" t="s">
        <v>410</v>
      </c>
      <c r="S205" s="237" t="s">
        <v>410</v>
      </c>
      <c r="T205" s="237" t="s">
        <v>410</v>
      </c>
    </row>
    <row r="206" spans="1:20" hidden="1" outlineLevel="1" x14ac:dyDescent="0.3">
      <c r="A206" s="583" t="s">
        <v>2010</v>
      </c>
      <c r="B206" s="591">
        <v>1</v>
      </c>
      <c r="C206" s="583" t="s">
        <v>1256</v>
      </c>
      <c r="D206" s="583" t="s">
        <v>1511</v>
      </c>
      <c r="E206" s="593" t="s">
        <v>410</v>
      </c>
      <c r="F206" s="593" t="s">
        <v>4847</v>
      </c>
      <c r="G206" s="237" t="s">
        <v>410</v>
      </c>
      <c r="H206" s="237" t="s">
        <v>410</v>
      </c>
      <c r="I206" s="237" t="s">
        <v>410</v>
      </c>
      <c r="J206" s="237" t="s">
        <v>410</v>
      </c>
      <c r="K206" s="237" t="s">
        <v>410</v>
      </c>
      <c r="L206" s="237" t="s">
        <v>410</v>
      </c>
      <c r="M206" s="237" t="s">
        <v>410</v>
      </c>
      <c r="N206" s="237" t="s">
        <v>410</v>
      </c>
      <c r="O206" s="237" t="s">
        <v>410</v>
      </c>
      <c r="P206" s="237" t="s">
        <v>410</v>
      </c>
      <c r="Q206" s="237" t="s">
        <v>410</v>
      </c>
      <c r="R206" s="237" t="s">
        <v>410</v>
      </c>
      <c r="S206" s="237" t="s">
        <v>410</v>
      </c>
      <c r="T206" s="237" t="s">
        <v>410</v>
      </c>
    </row>
    <row r="207" spans="1:20" hidden="1" outlineLevel="1" x14ac:dyDescent="0.3">
      <c r="A207" s="583" t="s">
        <v>2018</v>
      </c>
      <c r="B207" s="591">
        <v>1</v>
      </c>
      <c r="C207" s="583" t="s">
        <v>1256</v>
      </c>
      <c r="D207" s="583" t="s">
        <v>1511</v>
      </c>
      <c r="E207" s="593" t="s">
        <v>410</v>
      </c>
      <c r="F207" s="593" t="s">
        <v>4848</v>
      </c>
      <c r="G207" s="237" t="s">
        <v>410</v>
      </c>
      <c r="H207" s="237" t="s">
        <v>410</v>
      </c>
      <c r="I207" s="237" t="s">
        <v>410</v>
      </c>
      <c r="J207" s="237" t="s">
        <v>410</v>
      </c>
      <c r="K207" s="237" t="s">
        <v>410</v>
      </c>
      <c r="L207" s="237" t="s">
        <v>410</v>
      </c>
      <c r="M207" s="237" t="s">
        <v>410</v>
      </c>
      <c r="N207" s="237" t="s">
        <v>410</v>
      </c>
      <c r="O207" s="237" t="s">
        <v>410</v>
      </c>
      <c r="P207" s="237" t="s">
        <v>410</v>
      </c>
      <c r="Q207" s="237" t="s">
        <v>410</v>
      </c>
      <c r="R207" s="237" t="s">
        <v>410</v>
      </c>
      <c r="S207" s="237" t="s">
        <v>410</v>
      </c>
      <c r="T207" s="237" t="s">
        <v>410</v>
      </c>
    </row>
    <row r="208" spans="1:20" hidden="1" outlineLevel="1" x14ac:dyDescent="0.3">
      <c r="A208" s="583" t="s">
        <v>2013</v>
      </c>
      <c r="B208" s="591">
        <v>1</v>
      </c>
      <c r="C208" s="583" t="s">
        <v>1256</v>
      </c>
      <c r="D208" s="583" t="s">
        <v>1511</v>
      </c>
      <c r="E208" s="593" t="s">
        <v>410</v>
      </c>
      <c r="F208" s="593" t="s">
        <v>4051</v>
      </c>
      <c r="G208" s="593" t="s">
        <v>4853</v>
      </c>
      <c r="H208" s="593" t="s">
        <v>4854</v>
      </c>
      <c r="I208" s="593" t="s">
        <v>4855</v>
      </c>
      <c r="J208" t="s">
        <v>410</v>
      </c>
      <c r="K208" s="237" t="s">
        <v>410</v>
      </c>
      <c r="L208" s="237" t="s">
        <v>410</v>
      </c>
      <c r="M208" s="237" t="s">
        <v>410</v>
      </c>
      <c r="N208" s="237" t="s">
        <v>410</v>
      </c>
      <c r="O208" s="237" t="s">
        <v>410</v>
      </c>
      <c r="P208" s="237" t="s">
        <v>410</v>
      </c>
      <c r="Q208" s="237" t="s">
        <v>410</v>
      </c>
      <c r="R208" s="237" t="s">
        <v>410</v>
      </c>
      <c r="S208" s="237" t="s">
        <v>410</v>
      </c>
      <c r="T208" s="237" t="s">
        <v>410</v>
      </c>
    </row>
    <row r="209" spans="1:20" hidden="1" outlineLevel="1" x14ac:dyDescent="0.3">
      <c r="A209" s="583" t="s">
        <v>1867</v>
      </c>
      <c r="B209" s="591">
        <v>1</v>
      </c>
      <c r="C209" s="583" t="s">
        <v>1256</v>
      </c>
      <c r="D209" s="583" t="s">
        <v>1511</v>
      </c>
      <c r="E209" s="592" t="s">
        <v>410</v>
      </c>
      <c r="F209" s="593" t="s">
        <v>2243</v>
      </c>
      <c r="G209" s="593" t="s">
        <v>2244</v>
      </c>
      <c r="H209" s="593" t="s">
        <v>2245</v>
      </c>
      <c r="I209" s="593" t="s">
        <v>2246</v>
      </c>
      <c r="J209" s="237" t="s">
        <v>410</v>
      </c>
      <c r="K209" s="237" t="s">
        <v>410</v>
      </c>
      <c r="L209" s="237" t="s">
        <v>410</v>
      </c>
      <c r="M209" s="237" t="s">
        <v>410</v>
      </c>
      <c r="N209" s="237" t="s">
        <v>410</v>
      </c>
      <c r="O209" s="237" t="s">
        <v>410</v>
      </c>
      <c r="P209" s="237" t="s">
        <v>410</v>
      </c>
      <c r="Q209" s="237" t="s">
        <v>410</v>
      </c>
      <c r="R209" s="237" t="s">
        <v>410</v>
      </c>
      <c r="S209" s="10" t="s">
        <v>410</v>
      </c>
      <c r="T209" s="10" t="s">
        <v>410</v>
      </c>
    </row>
    <row r="210" spans="1:20" hidden="1" outlineLevel="1" x14ac:dyDescent="0.3">
      <c r="A210" s="583" t="s">
        <v>1892</v>
      </c>
      <c r="B210" s="591">
        <v>1</v>
      </c>
      <c r="C210" s="583" t="s">
        <v>1256</v>
      </c>
      <c r="D210" s="583" t="s">
        <v>1511</v>
      </c>
      <c r="E210" s="592" t="s">
        <v>410</v>
      </c>
      <c r="F210" s="593" t="s">
        <v>67</v>
      </c>
      <c r="G210" s="593" t="s">
        <v>68</v>
      </c>
      <c r="H210" s="593" t="s">
        <v>70</v>
      </c>
      <c r="I210" s="594">
        <f>IF(CHR&lt;4,4,CHR)</f>
        <v>4</v>
      </c>
      <c r="J210" s="237" t="s">
        <v>410</v>
      </c>
      <c r="K210" s="237" t="s">
        <v>410</v>
      </c>
      <c r="L210" s="237" t="s">
        <v>410</v>
      </c>
      <c r="M210" s="237" t="s">
        <v>410</v>
      </c>
      <c r="N210" s="237" t="s">
        <v>410</v>
      </c>
      <c r="O210" s="237" t="s">
        <v>410</v>
      </c>
      <c r="P210" s="237" t="s">
        <v>410</v>
      </c>
      <c r="Q210" s="237" t="s">
        <v>410</v>
      </c>
      <c r="R210" s="237" t="s">
        <v>410</v>
      </c>
      <c r="S210" s="10" t="s">
        <v>410</v>
      </c>
      <c r="T210" s="10" t="s">
        <v>410</v>
      </c>
    </row>
    <row r="211" spans="1:20" hidden="1" outlineLevel="1" x14ac:dyDescent="0.3">
      <c r="A211" s="583" t="s">
        <v>1936</v>
      </c>
      <c r="B211" s="591">
        <v>1</v>
      </c>
      <c r="C211" s="583" t="s">
        <v>1256</v>
      </c>
      <c r="D211" s="583" t="s">
        <v>1511</v>
      </c>
      <c r="E211" t="s">
        <v>410</v>
      </c>
      <c r="F211" s="593" t="s">
        <v>3207</v>
      </c>
      <c r="G211" s="593" t="s">
        <v>3208</v>
      </c>
      <c r="H211" s="593" t="s">
        <v>3209</v>
      </c>
      <c r="I211" s="593" t="s">
        <v>3210</v>
      </c>
      <c r="J211" s="593" t="s">
        <v>3211</v>
      </c>
      <c r="K211" s="593" t="s">
        <v>3212</v>
      </c>
      <c r="L211" s="593" t="s">
        <v>4796</v>
      </c>
      <c r="M211" s="593" t="s">
        <v>4797</v>
      </c>
      <c r="N211" s="237" t="s">
        <v>410</v>
      </c>
      <c r="O211" s="237" t="s">
        <v>410</v>
      </c>
      <c r="P211" s="237" t="s">
        <v>410</v>
      </c>
      <c r="Q211" s="237" t="s">
        <v>410</v>
      </c>
      <c r="R211" s="237" t="s">
        <v>410</v>
      </c>
      <c r="S211" s="10" t="s">
        <v>410</v>
      </c>
      <c r="T211" s="10" t="s">
        <v>410</v>
      </c>
    </row>
    <row r="212" spans="1:20" hidden="1" outlineLevel="1" x14ac:dyDescent="0.3">
      <c r="A212" s="583" t="s">
        <v>1477</v>
      </c>
      <c r="B212" s="591">
        <v>2</v>
      </c>
      <c r="C212" s="588" t="s">
        <v>1256</v>
      </c>
      <c r="D212" s="588" t="s">
        <v>1511</v>
      </c>
      <c r="E212" s="589" t="s">
        <v>410</v>
      </c>
      <c r="F212" s="590" t="s">
        <v>1525</v>
      </c>
      <c r="G212" s="590" t="s">
        <v>3316</v>
      </c>
      <c r="H212" s="590" t="s">
        <v>4233</v>
      </c>
      <c r="I212" s="590" t="s">
        <v>4234</v>
      </c>
      <c r="J212" s="441" t="s">
        <v>410</v>
      </c>
      <c r="K212" s="441" t="s">
        <v>410</v>
      </c>
      <c r="L212" s="441" t="s">
        <v>410</v>
      </c>
      <c r="M212" s="441" t="s">
        <v>410</v>
      </c>
      <c r="N212" s="441" t="s">
        <v>410</v>
      </c>
      <c r="O212" s="441" t="s">
        <v>410</v>
      </c>
      <c r="P212" s="441" t="s">
        <v>410</v>
      </c>
      <c r="Q212" s="441" t="s">
        <v>410</v>
      </c>
      <c r="R212" s="441" t="s">
        <v>410</v>
      </c>
      <c r="S212" s="441" t="s">
        <v>410</v>
      </c>
      <c r="T212" s="441" t="s">
        <v>410</v>
      </c>
    </row>
    <row r="213" spans="1:20" hidden="1" outlineLevel="1" x14ac:dyDescent="0.3">
      <c r="A213" s="583" t="s">
        <v>1790</v>
      </c>
      <c r="B213" s="591">
        <v>4</v>
      </c>
      <c r="C213" s="583" t="s">
        <v>1256</v>
      </c>
      <c r="D213" s="583" t="s">
        <v>1511</v>
      </c>
      <c r="E213" s="592" t="s">
        <v>410</v>
      </c>
      <c r="F213" s="593" t="s">
        <v>3195</v>
      </c>
      <c r="G213" s="593" t="s">
        <v>3196</v>
      </c>
      <c r="H213" s="593" t="s">
        <v>3197</v>
      </c>
      <c r="I213" s="237" t="s">
        <v>410</v>
      </c>
      <c r="J213" s="237" t="s">
        <v>410</v>
      </c>
      <c r="K213" s="237" t="s">
        <v>410</v>
      </c>
      <c r="L213" s="237" t="s">
        <v>410</v>
      </c>
      <c r="M213" s="237" t="s">
        <v>410</v>
      </c>
      <c r="N213" s="237" t="s">
        <v>410</v>
      </c>
      <c r="O213" s="237" t="s">
        <v>410</v>
      </c>
      <c r="P213" s="237" t="s">
        <v>410</v>
      </c>
      <c r="Q213" s="237" t="s">
        <v>410</v>
      </c>
      <c r="R213" s="237" t="s">
        <v>410</v>
      </c>
      <c r="S213" s="10" t="s">
        <v>410</v>
      </c>
      <c r="T213" s="10" t="s">
        <v>410</v>
      </c>
    </row>
    <row r="214" spans="1:20" hidden="1" outlineLevel="1" x14ac:dyDescent="0.3">
      <c r="A214" s="583" t="s">
        <v>4798</v>
      </c>
      <c r="B214" s="591">
        <v>4</v>
      </c>
      <c r="C214" s="583" t="s">
        <v>1256</v>
      </c>
      <c r="D214" s="583" t="s">
        <v>1511</v>
      </c>
      <c r="E214" s="592" t="s">
        <v>181</v>
      </c>
      <c r="F214" s="593" t="s">
        <v>4799</v>
      </c>
      <c r="G214" s="237" t="s">
        <v>410</v>
      </c>
      <c r="H214" s="237" t="s">
        <v>410</v>
      </c>
      <c r="I214" s="237" t="s">
        <v>410</v>
      </c>
      <c r="J214" s="237" t="s">
        <v>410</v>
      </c>
      <c r="K214" s="237" t="s">
        <v>410</v>
      </c>
      <c r="L214" s="237" t="s">
        <v>410</v>
      </c>
      <c r="M214" s="237" t="s">
        <v>410</v>
      </c>
      <c r="N214" s="237" t="s">
        <v>410</v>
      </c>
      <c r="O214" s="237" t="s">
        <v>410</v>
      </c>
      <c r="P214" s="237" t="s">
        <v>410</v>
      </c>
      <c r="Q214" s="237" t="s">
        <v>410</v>
      </c>
      <c r="R214" s="237" t="s">
        <v>410</v>
      </c>
      <c r="S214" s="237" t="s">
        <v>410</v>
      </c>
      <c r="T214" s="237" t="s">
        <v>410</v>
      </c>
    </row>
    <row r="215" spans="1:20" hidden="1" outlineLevel="1" x14ac:dyDescent="0.3">
      <c r="A215" s="583" t="s">
        <v>2015</v>
      </c>
      <c r="B215" s="591">
        <v>4</v>
      </c>
      <c r="C215" s="583" t="s">
        <v>1256</v>
      </c>
      <c r="D215" s="583" t="s">
        <v>1511</v>
      </c>
      <c r="E215" s="593" t="s">
        <v>410</v>
      </c>
      <c r="F215" s="594" t="str">
        <f>CONCATENATE("[UP II,4x/den] VOL~",TEXT(CHR+11,0),"~0")</f>
        <v>[UP II,4x/den] VOL~6~0</v>
      </c>
      <c r="G215" t="s">
        <v>410</v>
      </c>
      <c r="H215" t="s">
        <v>410</v>
      </c>
      <c r="I215" t="s">
        <v>410</v>
      </c>
      <c r="J215" t="s">
        <v>410</v>
      </c>
      <c r="K215" s="237" t="s">
        <v>410</v>
      </c>
      <c r="L215" s="237" t="s">
        <v>410</v>
      </c>
      <c r="M215" s="237" t="s">
        <v>410</v>
      </c>
      <c r="N215" s="237" t="s">
        <v>410</v>
      </c>
      <c r="O215" s="237" t="s">
        <v>410</v>
      </c>
      <c r="P215" s="237" t="s">
        <v>410</v>
      </c>
      <c r="Q215" s="237" t="s">
        <v>410</v>
      </c>
      <c r="R215" s="237" t="s">
        <v>410</v>
      </c>
      <c r="S215" s="237" t="s">
        <v>410</v>
      </c>
      <c r="T215" s="237" t="s">
        <v>410</v>
      </c>
    </row>
    <row r="216" spans="1:20" hidden="1" outlineLevel="1" x14ac:dyDescent="0.3">
      <c r="A216" s="583" t="s">
        <v>4805</v>
      </c>
      <c r="B216" s="591">
        <v>4</v>
      </c>
      <c r="C216" s="583" t="s">
        <v>1256</v>
      </c>
      <c r="D216" s="583" t="s">
        <v>1511</v>
      </c>
      <c r="E216" s="593" t="s">
        <v>410</v>
      </c>
      <c r="F216" s="594" t="s">
        <v>4806</v>
      </c>
      <c r="G216" t="s">
        <v>410</v>
      </c>
      <c r="H216" t="s">
        <v>410</v>
      </c>
      <c r="I216" t="s">
        <v>410</v>
      </c>
      <c r="J216" t="s">
        <v>410</v>
      </c>
      <c r="K216" s="237" t="s">
        <v>410</v>
      </c>
      <c r="L216" s="237" t="s">
        <v>410</v>
      </c>
      <c r="M216" s="237" t="s">
        <v>410</v>
      </c>
      <c r="N216" s="237" t="s">
        <v>410</v>
      </c>
      <c r="O216" s="237" t="s">
        <v>410</v>
      </c>
      <c r="P216" s="237" t="s">
        <v>410</v>
      </c>
      <c r="Q216" s="237" t="s">
        <v>410</v>
      </c>
      <c r="R216" s="237" t="s">
        <v>410</v>
      </c>
      <c r="S216" s="237" t="s">
        <v>410</v>
      </c>
      <c r="T216" s="237" t="s">
        <v>410</v>
      </c>
    </row>
    <row r="217" spans="1:20" hidden="1" outlineLevel="1" x14ac:dyDescent="0.3">
      <c r="A217" s="583" t="s">
        <v>4807</v>
      </c>
      <c r="B217" s="591">
        <v>4</v>
      </c>
      <c r="C217" s="583" t="s">
        <v>1256</v>
      </c>
      <c r="D217" s="583" t="s">
        <v>1511</v>
      </c>
      <c r="E217" s="593" t="s">
        <v>410</v>
      </c>
      <c r="F217" s="594" t="s">
        <v>4808</v>
      </c>
      <c r="G217" t="s">
        <v>410</v>
      </c>
      <c r="H217" t="s">
        <v>410</v>
      </c>
      <c r="I217" t="s">
        <v>410</v>
      </c>
      <c r="J217" t="s">
        <v>410</v>
      </c>
      <c r="K217" s="237" t="s">
        <v>410</v>
      </c>
      <c r="L217" s="237" t="s">
        <v>410</v>
      </c>
      <c r="M217" s="237" t="s">
        <v>410</v>
      </c>
      <c r="N217" s="237" t="s">
        <v>410</v>
      </c>
      <c r="O217" s="237" t="s">
        <v>410</v>
      </c>
      <c r="P217" s="237" t="s">
        <v>410</v>
      </c>
      <c r="Q217" s="237" t="s">
        <v>410</v>
      </c>
      <c r="R217" s="237" t="s">
        <v>410</v>
      </c>
      <c r="S217" s="237" t="s">
        <v>410</v>
      </c>
      <c r="T217" s="237" t="s">
        <v>410</v>
      </c>
    </row>
    <row r="218" spans="1:20" hidden="1" outlineLevel="1" x14ac:dyDescent="0.3">
      <c r="A218" s="583" t="s">
        <v>2025</v>
      </c>
      <c r="B218" s="591">
        <v>4</v>
      </c>
      <c r="C218" s="583" t="s">
        <v>1256</v>
      </c>
      <c r="D218" s="583" t="s">
        <v>1511</v>
      </c>
      <c r="E218" s="593" t="s">
        <v>410</v>
      </c>
      <c r="F218" s="593" t="s">
        <v>4058</v>
      </c>
      <c r="G218" s="593" t="s">
        <v>4059</v>
      </c>
      <c r="H218" s="593" t="s">
        <v>4060</v>
      </c>
      <c r="I218" s="593" t="s">
        <v>4061</v>
      </c>
      <c r="J218" s="593" t="s">
        <v>4062</v>
      </c>
      <c r="K218" s="237" t="s">
        <v>410</v>
      </c>
      <c r="L218" s="237" t="s">
        <v>410</v>
      </c>
      <c r="M218" s="237" t="s">
        <v>410</v>
      </c>
      <c r="N218" s="237" t="s">
        <v>410</v>
      </c>
      <c r="O218" s="237" t="s">
        <v>410</v>
      </c>
      <c r="P218" s="237" t="s">
        <v>410</v>
      </c>
      <c r="Q218" s="237" t="s">
        <v>410</v>
      </c>
      <c r="R218" s="237" t="s">
        <v>410</v>
      </c>
      <c r="S218" s="237" t="s">
        <v>410</v>
      </c>
      <c r="T218" s="237" t="s">
        <v>410</v>
      </c>
    </row>
    <row r="219" spans="1:20" hidden="1" outlineLevel="1" x14ac:dyDescent="0.3">
      <c r="A219" s="583" t="s">
        <v>4826</v>
      </c>
      <c r="B219" s="591">
        <v>4</v>
      </c>
      <c r="C219" s="583" t="s">
        <v>1256</v>
      </c>
      <c r="D219" s="583" t="s">
        <v>1511</v>
      </c>
      <c r="E219" s="593" t="s">
        <v>410</v>
      </c>
      <c r="F219" s="593" t="s">
        <v>4827</v>
      </c>
      <c r="G219" s="237" t="s">
        <v>410</v>
      </c>
      <c r="H219" s="237" t="s">
        <v>410</v>
      </c>
      <c r="I219" s="237" t="s">
        <v>410</v>
      </c>
      <c r="J219" s="237" t="s">
        <v>410</v>
      </c>
      <c r="K219" s="237" t="s">
        <v>410</v>
      </c>
      <c r="L219" s="237" t="s">
        <v>410</v>
      </c>
      <c r="M219" s="237" t="s">
        <v>410</v>
      </c>
      <c r="N219" s="237" t="s">
        <v>410</v>
      </c>
      <c r="O219" s="237" t="s">
        <v>410</v>
      </c>
      <c r="P219" s="237" t="s">
        <v>410</v>
      </c>
      <c r="Q219" s="237" t="s">
        <v>410</v>
      </c>
      <c r="R219" s="237" t="s">
        <v>410</v>
      </c>
      <c r="S219" s="237" t="s">
        <v>410</v>
      </c>
      <c r="T219" s="237" t="s">
        <v>410</v>
      </c>
    </row>
    <row r="220" spans="1:20" hidden="1" outlineLevel="1" x14ac:dyDescent="0.3">
      <c r="A220" s="583" t="s">
        <v>2008</v>
      </c>
      <c r="B220" s="591">
        <v>4</v>
      </c>
      <c r="C220" s="583" t="s">
        <v>1256</v>
      </c>
      <c r="D220" s="583" t="s">
        <v>1511</v>
      </c>
      <c r="E220" s="593" t="s">
        <v>410</v>
      </c>
      <c r="F220" s="593" t="s">
        <v>3213</v>
      </c>
      <c r="G220" s="593" t="s">
        <v>4828</v>
      </c>
      <c r="H220" s="593" t="s">
        <v>3214</v>
      </c>
      <c r="I220" s="237" t="s">
        <v>410</v>
      </c>
      <c r="J220" s="237" t="s">
        <v>410</v>
      </c>
      <c r="K220" s="237" t="s">
        <v>410</v>
      </c>
      <c r="L220" s="237" t="s">
        <v>410</v>
      </c>
      <c r="M220" s="237" t="s">
        <v>410</v>
      </c>
      <c r="N220" s="237" t="s">
        <v>410</v>
      </c>
      <c r="O220" s="237" t="s">
        <v>410</v>
      </c>
      <c r="P220" s="237" t="s">
        <v>410</v>
      </c>
      <c r="Q220" s="237" t="s">
        <v>410</v>
      </c>
      <c r="R220" s="237" t="s">
        <v>410</v>
      </c>
      <c r="S220" s="237" t="s">
        <v>410</v>
      </c>
      <c r="T220" s="237" t="s">
        <v>410</v>
      </c>
    </row>
    <row r="221" spans="1:20" hidden="1" outlineLevel="1" x14ac:dyDescent="0.3">
      <c r="A221" s="583" t="s">
        <v>2031</v>
      </c>
      <c r="B221" s="591">
        <v>4</v>
      </c>
      <c r="C221" s="583" t="s">
        <v>1256</v>
      </c>
      <c r="D221" s="583" t="s">
        <v>1511</v>
      </c>
      <c r="E221" s="593" t="s">
        <v>410</v>
      </c>
      <c r="F221" s="593" t="s">
        <v>4829</v>
      </c>
      <c r="G221" s="237" t="s">
        <v>410</v>
      </c>
      <c r="H221" s="237" t="s">
        <v>410</v>
      </c>
      <c r="I221" s="237" t="s">
        <v>410</v>
      </c>
      <c r="J221" s="237" t="s">
        <v>410</v>
      </c>
      <c r="K221" s="237" t="s">
        <v>410</v>
      </c>
      <c r="L221" s="237" t="s">
        <v>410</v>
      </c>
      <c r="M221" s="237" t="s">
        <v>410</v>
      </c>
      <c r="N221" s="237" t="s">
        <v>410</v>
      </c>
      <c r="O221" s="237" t="s">
        <v>410</v>
      </c>
      <c r="P221" s="237" t="s">
        <v>410</v>
      </c>
      <c r="Q221" s="237" t="s">
        <v>410</v>
      </c>
      <c r="R221" s="237" t="s">
        <v>410</v>
      </c>
      <c r="S221" s="237" t="s">
        <v>410</v>
      </c>
      <c r="T221" s="237" t="s">
        <v>410</v>
      </c>
    </row>
    <row r="222" spans="1:20" hidden="1" outlineLevel="1" x14ac:dyDescent="0.3">
      <c r="A222" s="583" t="s">
        <v>4832</v>
      </c>
      <c r="B222" s="591">
        <v>4</v>
      </c>
      <c r="C222" s="583" t="s">
        <v>1256</v>
      </c>
      <c r="D222" s="583" t="s">
        <v>1511</v>
      </c>
      <c r="E222" s="593" t="s">
        <v>181</v>
      </c>
      <c r="F222" s="593" t="s">
        <v>4833</v>
      </c>
      <c r="G222" s="237" t="s">
        <v>410</v>
      </c>
      <c r="H222" s="237" t="s">
        <v>410</v>
      </c>
      <c r="I222" s="237" t="s">
        <v>410</v>
      </c>
      <c r="J222" s="237" t="s">
        <v>410</v>
      </c>
      <c r="K222" s="237" t="s">
        <v>410</v>
      </c>
      <c r="L222" s="237" t="s">
        <v>410</v>
      </c>
      <c r="M222" s="237" t="s">
        <v>410</v>
      </c>
      <c r="N222" s="237" t="s">
        <v>410</v>
      </c>
      <c r="O222" s="237" t="s">
        <v>410</v>
      </c>
      <c r="P222" s="237" t="s">
        <v>410</v>
      </c>
      <c r="Q222" s="237" t="s">
        <v>410</v>
      </c>
      <c r="R222" s="237" t="s">
        <v>410</v>
      </c>
      <c r="S222" s="237" t="s">
        <v>410</v>
      </c>
      <c r="T222" s="237" t="s">
        <v>410</v>
      </c>
    </row>
    <row r="223" spans="1:20" hidden="1" outlineLevel="1" x14ac:dyDescent="0.3">
      <c r="A223" s="583" t="s">
        <v>2012</v>
      </c>
      <c r="B223" s="591">
        <v>4</v>
      </c>
      <c r="C223" s="583" t="s">
        <v>1256</v>
      </c>
      <c r="D223" s="583" t="s">
        <v>1511</v>
      </c>
      <c r="E223" s="593" t="s">
        <v>410</v>
      </c>
      <c r="F223" s="594" t="str">
        <f>CONCATENATE("[UP II,1x/4 hod.] bÚr + VOL ~ ",TEXT(10+CHR,0),"~ 0")</f>
        <v>[UP II,1x/4 hod.] bÚr + VOL ~ 5~ 0</v>
      </c>
      <c r="G223" s="594" t="str">
        <f>CONCATENATE("[UP III,1x/4 hod.] bÚr + VOL ~ ",TEXT(12+CHR,0),"~ 0")</f>
        <v>[UP III,1x/4 hod.] bÚr + VOL ~ 7~ 0</v>
      </c>
      <c r="H223" s="594" t="str">
        <f>CONCATENATE("[UP IV,1x/4 hod.] bÚr + VOL ~ ",TEXT(14+CHR,0),"~ 0")</f>
        <v>[UP IV,1x/4 hod.] bÚr + VOL ~ 9~ 0</v>
      </c>
      <c r="I223" s="237" t="s">
        <v>410</v>
      </c>
      <c r="J223" s="237" t="s">
        <v>410</v>
      </c>
      <c r="K223" s="237" t="s">
        <v>410</v>
      </c>
      <c r="L223" s="237" t="s">
        <v>410</v>
      </c>
      <c r="M223" s="237" t="s">
        <v>410</v>
      </c>
      <c r="N223" s="237" t="s">
        <v>410</v>
      </c>
      <c r="O223" s="237" t="s">
        <v>410</v>
      </c>
      <c r="P223" s="237" t="s">
        <v>410</v>
      </c>
      <c r="Q223" s="237" t="s">
        <v>410</v>
      </c>
      <c r="R223" s="237" t="s">
        <v>410</v>
      </c>
      <c r="S223" s="237" t="s">
        <v>410</v>
      </c>
      <c r="T223" s="237" t="s">
        <v>410</v>
      </c>
    </row>
    <row r="224" spans="1:20" hidden="1" outlineLevel="1" x14ac:dyDescent="0.3">
      <c r="A224" s="583" t="s">
        <v>2020</v>
      </c>
      <c r="B224" s="591">
        <v>4</v>
      </c>
      <c r="C224" s="583" t="s">
        <v>1256</v>
      </c>
      <c r="D224" s="583" t="s">
        <v>1511</v>
      </c>
      <c r="E224" s="593" t="s">
        <v>410</v>
      </c>
      <c r="F224" s="593" t="s">
        <v>4052</v>
      </c>
      <c r="G224" s="593" t="s">
        <v>4053</v>
      </c>
      <c r="H224" s="593" t="s">
        <v>4054</v>
      </c>
      <c r="I224" s="237" t="s">
        <v>410</v>
      </c>
      <c r="J224" s="237" t="s">
        <v>410</v>
      </c>
      <c r="K224" s="237" t="s">
        <v>410</v>
      </c>
      <c r="L224" s="237" t="s">
        <v>410</v>
      </c>
      <c r="M224" s="237" t="s">
        <v>410</v>
      </c>
      <c r="N224" s="237" t="s">
        <v>410</v>
      </c>
      <c r="O224" s="237" t="s">
        <v>410</v>
      </c>
      <c r="P224" s="237" t="s">
        <v>410</v>
      </c>
      <c r="Q224" s="237" t="s">
        <v>410</v>
      </c>
      <c r="R224" s="237" t="s">
        <v>410</v>
      </c>
      <c r="S224" s="237" t="s">
        <v>410</v>
      </c>
      <c r="T224" s="237" t="s">
        <v>410</v>
      </c>
    </row>
    <row r="225" spans="1:20" hidden="1" outlineLevel="1" x14ac:dyDescent="0.3">
      <c r="A225" s="583" t="s">
        <v>2021</v>
      </c>
      <c r="B225" s="591">
        <v>4</v>
      </c>
      <c r="C225" s="583" t="s">
        <v>1256</v>
      </c>
      <c r="D225" s="583" t="s">
        <v>1511</v>
      </c>
      <c r="E225" s="593" t="s">
        <v>410</v>
      </c>
      <c r="F225" s="593" t="s">
        <v>4833</v>
      </c>
      <c r="G225" s="237" t="s">
        <v>410</v>
      </c>
      <c r="H225" s="237" t="s">
        <v>410</v>
      </c>
      <c r="I225" s="237" t="s">
        <v>410</v>
      </c>
      <c r="J225" s="237" t="s">
        <v>410</v>
      </c>
      <c r="K225" s="237" t="s">
        <v>410</v>
      </c>
      <c r="L225" s="237" t="s">
        <v>410</v>
      </c>
      <c r="M225" s="237" t="s">
        <v>410</v>
      </c>
      <c r="N225" s="237" t="s">
        <v>410</v>
      </c>
      <c r="O225" s="237" t="s">
        <v>410</v>
      </c>
      <c r="P225" s="237" t="s">
        <v>410</v>
      </c>
      <c r="Q225" s="237" t="s">
        <v>410</v>
      </c>
      <c r="R225" s="237" t="s">
        <v>410</v>
      </c>
      <c r="S225" s="237" t="s">
        <v>410</v>
      </c>
      <c r="T225" s="237" t="s">
        <v>410</v>
      </c>
    </row>
    <row r="226" spans="1:20" hidden="1" outlineLevel="1" x14ac:dyDescent="0.3">
      <c r="A226" s="583" t="s">
        <v>2022</v>
      </c>
      <c r="B226" s="591">
        <v>4</v>
      </c>
      <c r="C226" s="583" t="s">
        <v>1256</v>
      </c>
      <c r="D226" s="583" t="s">
        <v>1511</v>
      </c>
      <c r="E226" s="583" t="s">
        <v>410</v>
      </c>
      <c r="F226" s="593" t="s">
        <v>4833</v>
      </c>
      <c r="G226" s="237" t="s">
        <v>410</v>
      </c>
      <c r="H226" s="237" t="s">
        <v>410</v>
      </c>
      <c r="I226" t="s">
        <v>410</v>
      </c>
      <c r="J226" t="s">
        <v>410</v>
      </c>
      <c r="K226" t="s">
        <v>410</v>
      </c>
      <c r="L226" t="s">
        <v>410</v>
      </c>
      <c r="M226" t="s">
        <v>410</v>
      </c>
      <c r="N226" t="s">
        <v>410</v>
      </c>
      <c r="O226" t="s">
        <v>410</v>
      </c>
      <c r="P226" t="s">
        <v>410</v>
      </c>
      <c r="Q226" t="s">
        <v>410</v>
      </c>
      <c r="R226" t="s">
        <v>410</v>
      </c>
      <c r="S226" t="s">
        <v>410</v>
      </c>
      <c r="T226" t="s">
        <v>410</v>
      </c>
    </row>
    <row r="227" spans="1:20" hidden="1" outlineLevel="1" x14ac:dyDescent="0.3">
      <c r="A227" s="583" t="s">
        <v>4869</v>
      </c>
      <c r="B227" s="591">
        <v>4</v>
      </c>
      <c r="C227" s="583" t="s">
        <v>1256</v>
      </c>
      <c r="D227" s="583" t="s">
        <v>1511</v>
      </c>
      <c r="E227" s="593" t="s">
        <v>410</v>
      </c>
      <c r="F227" s="593" t="s">
        <v>4833</v>
      </c>
      <c r="G227" s="593" t="s">
        <v>4835</v>
      </c>
      <c r="H227" s="593" t="s">
        <v>4852</v>
      </c>
      <c r="I227" s="237" t="s">
        <v>410</v>
      </c>
      <c r="J227" s="237" t="s">
        <v>410</v>
      </c>
      <c r="K227" s="237" t="s">
        <v>410</v>
      </c>
      <c r="L227" s="237" t="s">
        <v>410</v>
      </c>
      <c r="M227" s="237" t="s">
        <v>410</v>
      </c>
      <c r="N227" s="237" t="s">
        <v>410</v>
      </c>
      <c r="O227" s="237" t="s">
        <v>410</v>
      </c>
      <c r="P227" s="237" t="s">
        <v>410</v>
      </c>
      <c r="Q227" s="237" t="s">
        <v>410</v>
      </c>
      <c r="R227" s="237" t="s">
        <v>410</v>
      </c>
      <c r="S227" s="237" t="s">
        <v>410</v>
      </c>
      <c r="T227" s="237" t="s">
        <v>410</v>
      </c>
    </row>
    <row r="228" spans="1:20" hidden="1" outlineLevel="1" x14ac:dyDescent="0.3">
      <c r="A228" s="583" t="s">
        <v>2024</v>
      </c>
      <c r="B228" s="591">
        <v>4</v>
      </c>
      <c r="C228" s="583" t="s">
        <v>1256</v>
      </c>
      <c r="D228" s="583" t="s">
        <v>1511</v>
      </c>
      <c r="E228" s="593" t="s">
        <v>410</v>
      </c>
      <c r="F228" s="593" t="s">
        <v>4827</v>
      </c>
      <c r="G228" s="237" t="s">
        <v>410</v>
      </c>
      <c r="H228" s="237" t="s">
        <v>410</v>
      </c>
      <c r="I228" s="237" t="s">
        <v>410</v>
      </c>
      <c r="J228" s="237" t="s">
        <v>410</v>
      </c>
      <c r="K228" s="237" t="s">
        <v>410</v>
      </c>
      <c r="L228" s="237" t="s">
        <v>410</v>
      </c>
      <c r="M228" s="237" t="s">
        <v>410</v>
      </c>
      <c r="N228" s="237" t="s">
        <v>410</v>
      </c>
      <c r="O228" s="237" t="s">
        <v>410</v>
      </c>
      <c r="P228" s="237" t="s">
        <v>410</v>
      </c>
      <c r="Q228" s="237" t="s">
        <v>410</v>
      </c>
      <c r="R228" s="237" t="s">
        <v>410</v>
      </c>
      <c r="S228" s="237" t="s">
        <v>410</v>
      </c>
      <c r="T228" s="237" t="s">
        <v>410</v>
      </c>
    </row>
    <row r="229" spans="1:20" hidden="1" outlineLevel="1" x14ac:dyDescent="0.3">
      <c r="A229" s="583" t="s">
        <v>1630</v>
      </c>
      <c r="B229" s="591">
        <v>6</v>
      </c>
      <c r="C229" s="583" t="s">
        <v>1256</v>
      </c>
      <c r="D229" s="583" t="s">
        <v>1511</v>
      </c>
      <c r="E229" s="592" t="s">
        <v>410</v>
      </c>
      <c r="F229" s="593" t="s">
        <v>3200</v>
      </c>
      <c r="G229" s="593" t="s">
        <v>3201</v>
      </c>
      <c r="H229" s="594" t="str">
        <f>CONCATENATE("CHR~",TEXT(13-bÚr,0),"~0")</f>
        <v>CHR~12~0</v>
      </c>
      <c r="I229" s="237" t="s">
        <v>410</v>
      </c>
      <c r="J229" s="237" t="s">
        <v>410</v>
      </c>
      <c r="K229" s="237" t="s">
        <v>410</v>
      </c>
      <c r="L229" s="237" t="s">
        <v>410</v>
      </c>
      <c r="M229" s="237" t="s">
        <v>410</v>
      </c>
      <c r="N229" s="237" t="s">
        <v>410</v>
      </c>
      <c r="O229" s="237" t="s">
        <v>410</v>
      </c>
      <c r="P229" s="237" t="s">
        <v>410</v>
      </c>
      <c r="Q229" s="237" t="s">
        <v>410</v>
      </c>
      <c r="R229" s="237" t="s">
        <v>410</v>
      </c>
      <c r="S229" s="10" t="s">
        <v>410</v>
      </c>
      <c r="T229" s="10" t="s">
        <v>410</v>
      </c>
    </row>
    <row r="230" spans="1:20" hidden="1" outlineLevel="1" x14ac:dyDescent="0.3">
      <c r="A230" s="583" t="s">
        <v>1655</v>
      </c>
      <c r="B230" s="591">
        <v>6</v>
      </c>
      <c r="C230" s="583" t="s">
        <v>1256</v>
      </c>
      <c r="D230" s="583" t="s">
        <v>1511</v>
      </c>
      <c r="E230" s="10" t="s">
        <v>410</v>
      </c>
      <c r="F230" s="594">
        <v>0</v>
      </c>
      <c r="G230" s="594">
        <v>1</v>
      </c>
      <c r="H230" s="594">
        <v>2</v>
      </c>
      <c r="I230" s="594">
        <v>3</v>
      </c>
      <c r="J230" s="594">
        <v>4</v>
      </c>
      <c r="K230" s="594">
        <v>5</v>
      </c>
      <c r="L230" s="237" t="s">
        <v>410</v>
      </c>
      <c r="M230" s="237" t="s">
        <v>410</v>
      </c>
      <c r="N230" s="237" t="s">
        <v>410</v>
      </c>
      <c r="O230" s="237" t="s">
        <v>410</v>
      </c>
      <c r="P230" s="237" t="s">
        <v>410</v>
      </c>
      <c r="Q230" s="237" t="s">
        <v>410</v>
      </c>
      <c r="R230" s="237" t="s">
        <v>410</v>
      </c>
      <c r="S230" s="10" t="s">
        <v>410</v>
      </c>
      <c r="T230" s="10" t="s">
        <v>410</v>
      </c>
    </row>
    <row r="231" spans="1:20" hidden="1" outlineLevel="1" x14ac:dyDescent="0.3">
      <c r="A231" s="583" t="s">
        <v>5505</v>
      </c>
      <c r="B231" s="591">
        <v>6</v>
      </c>
      <c r="C231" s="583" t="s">
        <v>1256</v>
      </c>
      <c r="D231" s="583" t="s">
        <v>1511</v>
      </c>
      <c r="E231" s="592" t="s">
        <v>410</v>
      </c>
      <c r="F231" s="593" t="s">
        <v>3126</v>
      </c>
      <c r="G231" s="593" t="s">
        <v>3127</v>
      </c>
      <c r="H231" s="593" t="s">
        <v>3128</v>
      </c>
      <c r="I231" s="593" t="s">
        <v>3129</v>
      </c>
      <c r="J231" s="593" t="s">
        <v>3130</v>
      </c>
      <c r="K231" s="237" t="s">
        <v>410</v>
      </c>
      <c r="L231" s="237" t="s">
        <v>410</v>
      </c>
      <c r="M231" s="237" t="s">
        <v>410</v>
      </c>
      <c r="N231" s="237" t="s">
        <v>410</v>
      </c>
      <c r="O231" s="237" t="s">
        <v>410</v>
      </c>
      <c r="P231" s="237" t="s">
        <v>410</v>
      </c>
      <c r="Q231" s="237" t="s">
        <v>410</v>
      </c>
      <c r="R231" s="237" t="s">
        <v>410</v>
      </c>
      <c r="S231" s="10" t="s">
        <v>410</v>
      </c>
      <c r="T231" s="10" t="s">
        <v>410</v>
      </c>
    </row>
    <row r="232" spans="1:20" hidden="1" outlineLevel="1" x14ac:dyDescent="0.3">
      <c r="A232" s="583" t="s">
        <v>1846</v>
      </c>
      <c r="B232" s="591">
        <v>6</v>
      </c>
      <c r="C232" s="583" t="s">
        <v>1256</v>
      </c>
      <c r="D232" s="583" t="s">
        <v>1511</v>
      </c>
      <c r="E232" s="592" t="s">
        <v>410</v>
      </c>
      <c r="F232" s="593" t="s">
        <v>1591</v>
      </c>
      <c r="G232" s="593" t="s">
        <v>1847</v>
      </c>
      <c r="H232" s="593" t="s">
        <v>3198</v>
      </c>
      <c r="I232" s="593" t="s">
        <v>1841</v>
      </c>
      <c r="J232" s="593" t="s">
        <v>1842</v>
      </c>
      <c r="K232" s="237" t="s">
        <v>410</v>
      </c>
      <c r="L232" s="237" t="s">
        <v>410</v>
      </c>
      <c r="M232" s="237" t="s">
        <v>410</v>
      </c>
      <c r="N232" s="237" t="s">
        <v>410</v>
      </c>
      <c r="O232" s="237" t="s">
        <v>410</v>
      </c>
      <c r="P232" s="237" t="s">
        <v>410</v>
      </c>
      <c r="Q232" s="237" t="s">
        <v>410</v>
      </c>
      <c r="R232" s="237" t="s">
        <v>410</v>
      </c>
      <c r="S232" s="10" t="s">
        <v>410</v>
      </c>
      <c r="T232" s="10" t="s">
        <v>410</v>
      </c>
    </row>
    <row r="233" spans="1:20" hidden="1" outlineLevel="1" x14ac:dyDescent="0.3">
      <c r="A233" s="583" t="s">
        <v>3268</v>
      </c>
      <c r="B233" s="591">
        <v>6</v>
      </c>
      <c r="C233" s="583" t="s">
        <v>1256</v>
      </c>
      <c r="D233" s="583" t="s">
        <v>1511</v>
      </c>
      <c r="E233" s="592" t="s">
        <v>410</v>
      </c>
      <c r="F233" s="593" t="s">
        <v>3126</v>
      </c>
      <c r="G233" s="593" t="s">
        <v>3127</v>
      </c>
      <c r="H233" s="593" t="s">
        <v>3128</v>
      </c>
      <c r="I233" s="593" t="s">
        <v>3129</v>
      </c>
      <c r="J233" s="593" t="s">
        <v>3130</v>
      </c>
      <c r="K233" s="237" t="s">
        <v>410</v>
      </c>
      <c r="L233" s="237" t="s">
        <v>410</v>
      </c>
      <c r="M233" s="237" t="s">
        <v>410</v>
      </c>
      <c r="N233" s="237" t="s">
        <v>410</v>
      </c>
      <c r="O233" s="237" t="s">
        <v>410</v>
      </c>
      <c r="P233" s="237" t="s">
        <v>410</v>
      </c>
      <c r="Q233" s="237" t="s">
        <v>410</v>
      </c>
      <c r="R233" s="237" t="s">
        <v>410</v>
      </c>
      <c r="S233" s="10" t="s">
        <v>410</v>
      </c>
      <c r="T233" s="10" t="s">
        <v>410</v>
      </c>
    </row>
    <row r="234" spans="1:20" hidden="1" outlineLevel="1" x14ac:dyDescent="0.3">
      <c r="A234" s="583" t="s">
        <v>1920</v>
      </c>
      <c r="B234" s="591">
        <v>6</v>
      </c>
      <c r="C234" s="583" t="s">
        <v>1256</v>
      </c>
      <c r="D234" s="583" t="s">
        <v>1511</v>
      </c>
      <c r="E234" s="10" t="s">
        <v>410</v>
      </c>
      <c r="F234" s="593" t="s">
        <v>67</v>
      </c>
      <c r="G234" s="593" t="s">
        <v>68</v>
      </c>
      <c r="H234" s="593" t="s">
        <v>70</v>
      </c>
      <c r="I234" s="593" t="s">
        <v>72</v>
      </c>
      <c r="J234" s="237" t="s">
        <v>410</v>
      </c>
      <c r="K234" s="237" t="s">
        <v>410</v>
      </c>
      <c r="L234" s="237" t="s">
        <v>410</v>
      </c>
      <c r="M234" s="237" t="s">
        <v>410</v>
      </c>
      <c r="N234" s="237" t="s">
        <v>410</v>
      </c>
      <c r="O234" s="237" t="s">
        <v>410</v>
      </c>
      <c r="P234" s="237" t="s">
        <v>410</v>
      </c>
      <c r="Q234" s="237" t="s">
        <v>410</v>
      </c>
      <c r="R234" s="237" t="s">
        <v>410</v>
      </c>
      <c r="S234" s="10" t="s">
        <v>410</v>
      </c>
      <c r="T234" s="10" t="s">
        <v>410</v>
      </c>
    </row>
    <row r="235" spans="1:20" hidden="1" outlineLevel="1" x14ac:dyDescent="0.3">
      <c r="A235" s="583" t="s">
        <v>1922</v>
      </c>
      <c r="B235" s="591">
        <v>6</v>
      </c>
      <c r="C235" s="583" t="s">
        <v>1256</v>
      </c>
      <c r="D235" s="583" t="s">
        <v>1511</v>
      </c>
      <c r="E235" s="592" t="s">
        <v>410</v>
      </c>
      <c r="F235" s="593" t="s">
        <v>107</v>
      </c>
      <c r="G235" s="593" t="s">
        <v>1924</v>
      </c>
      <c r="H235" s="593" t="s">
        <v>1925</v>
      </c>
      <c r="I235" s="593" t="s">
        <v>3154</v>
      </c>
      <c r="J235" s="593" t="s">
        <v>3155</v>
      </c>
      <c r="K235" s="237" t="s">
        <v>410</v>
      </c>
      <c r="L235" s="237" t="s">
        <v>410</v>
      </c>
      <c r="M235" s="237" t="s">
        <v>410</v>
      </c>
      <c r="N235" s="237" t="s">
        <v>410</v>
      </c>
      <c r="O235" s="237" t="s">
        <v>410</v>
      </c>
      <c r="P235" s="237" t="s">
        <v>410</v>
      </c>
      <c r="Q235" s="237" t="s">
        <v>410</v>
      </c>
      <c r="R235" s="237" t="s">
        <v>410</v>
      </c>
      <c r="S235" s="10" t="s">
        <v>410</v>
      </c>
      <c r="T235" s="10" t="s">
        <v>410</v>
      </c>
    </row>
    <row r="236" spans="1:20" hidden="1" outlineLevel="1" x14ac:dyDescent="0.3">
      <c r="A236" s="583" t="s">
        <v>1926</v>
      </c>
      <c r="B236" s="591">
        <v>6</v>
      </c>
      <c r="C236" s="583" t="s">
        <v>1256</v>
      </c>
      <c r="D236" s="583" t="s">
        <v>1511</v>
      </c>
      <c r="E236" s="592" t="s">
        <v>410</v>
      </c>
      <c r="F236" s="593" t="s">
        <v>1829</v>
      </c>
      <c r="G236" s="593" t="s">
        <v>3156</v>
      </c>
      <c r="H236" s="593" t="s">
        <v>1927</v>
      </c>
      <c r="I236" s="593" t="s">
        <v>3157</v>
      </c>
      <c r="J236" s="593" t="s">
        <v>3158</v>
      </c>
      <c r="K236" s="237" t="s">
        <v>410</v>
      </c>
      <c r="L236" s="237" t="s">
        <v>410</v>
      </c>
      <c r="M236" s="237" t="s">
        <v>410</v>
      </c>
      <c r="N236" s="237" t="s">
        <v>410</v>
      </c>
      <c r="O236" s="237" t="s">
        <v>410</v>
      </c>
      <c r="P236" s="237" t="s">
        <v>410</v>
      </c>
      <c r="Q236" s="237" t="s">
        <v>410</v>
      </c>
      <c r="R236" s="237" t="s">
        <v>410</v>
      </c>
      <c r="S236" s="10" t="s">
        <v>410</v>
      </c>
      <c r="T236" s="10" t="s">
        <v>410</v>
      </c>
    </row>
    <row r="237" spans="1:20" hidden="1" outlineLevel="1" x14ac:dyDescent="0.3">
      <c r="A237" s="583" t="s">
        <v>4189</v>
      </c>
      <c r="B237" s="591">
        <v>6</v>
      </c>
      <c r="C237" s="583" t="s">
        <v>1256</v>
      </c>
      <c r="D237" s="583" t="s">
        <v>1511</v>
      </c>
      <c r="E237" s="592" t="s">
        <v>410</v>
      </c>
      <c r="F237" s="593" t="s">
        <v>4304</v>
      </c>
      <c r="G237" s="593" t="s">
        <v>4305</v>
      </c>
      <c r="H237" s="593" t="s">
        <v>4306</v>
      </c>
      <c r="I237" s="593" t="s">
        <v>4307</v>
      </c>
      <c r="J237" s="593" t="s">
        <v>4308</v>
      </c>
      <c r="K237" s="593" t="s">
        <v>4309</v>
      </c>
      <c r="L237" s="593" t="s">
        <v>4310</v>
      </c>
      <c r="M237" s="593" t="s">
        <v>4311</v>
      </c>
      <c r="N237" s="237" t="s">
        <v>410</v>
      </c>
      <c r="O237" s="237" t="s">
        <v>410</v>
      </c>
      <c r="P237" s="237" t="s">
        <v>410</v>
      </c>
      <c r="Q237" s="237" t="s">
        <v>410</v>
      </c>
      <c r="R237" s="237" t="s">
        <v>410</v>
      </c>
      <c r="S237" s="10" t="s">
        <v>410</v>
      </c>
      <c r="T237" s="10" t="s">
        <v>410</v>
      </c>
    </row>
    <row r="238" spans="1:20" hidden="1" outlineLevel="1" x14ac:dyDescent="0.3">
      <c r="A238" s="583" t="s">
        <v>4834</v>
      </c>
      <c r="B238" s="591">
        <v>7</v>
      </c>
      <c r="C238" s="583" t="s">
        <v>1256</v>
      </c>
      <c r="D238" s="583" t="s">
        <v>1511</v>
      </c>
      <c r="E238" s="593" t="s">
        <v>181</v>
      </c>
      <c r="F238" s="593" t="s">
        <v>4835</v>
      </c>
      <c r="G238" s="237" t="s">
        <v>410</v>
      </c>
      <c r="H238" s="237" t="s">
        <v>410</v>
      </c>
      <c r="I238" s="237" t="s">
        <v>410</v>
      </c>
      <c r="J238" s="237" t="s">
        <v>410</v>
      </c>
      <c r="K238" s="237" t="s">
        <v>410</v>
      </c>
      <c r="L238" s="237" t="s">
        <v>410</v>
      </c>
      <c r="M238" s="237" t="s">
        <v>410</v>
      </c>
      <c r="N238" s="237" t="s">
        <v>410</v>
      </c>
      <c r="O238" s="237" t="s">
        <v>410</v>
      </c>
      <c r="P238" s="237" t="s">
        <v>410</v>
      </c>
      <c r="Q238" s="237" t="s">
        <v>410</v>
      </c>
      <c r="R238" s="237" t="s">
        <v>410</v>
      </c>
      <c r="S238" s="237" t="s">
        <v>410</v>
      </c>
      <c r="T238" s="237" t="s">
        <v>410</v>
      </c>
    </row>
    <row r="239" spans="1:20" hidden="1" outlineLevel="1" x14ac:dyDescent="0.3">
      <c r="A239" s="583" t="s">
        <v>2017</v>
      </c>
      <c r="B239" s="591">
        <v>7</v>
      </c>
      <c r="C239" s="583" t="s">
        <v>1256</v>
      </c>
      <c r="D239" s="583" t="s">
        <v>1511</v>
      </c>
      <c r="E239" s="593" t="s">
        <v>410</v>
      </c>
      <c r="F239" s="593" t="s">
        <v>4835</v>
      </c>
      <c r="G239" s="237" t="s">
        <v>410</v>
      </c>
      <c r="H239" s="237" t="s">
        <v>410</v>
      </c>
      <c r="I239" s="237" t="s">
        <v>410</v>
      </c>
      <c r="J239" s="237" t="s">
        <v>410</v>
      </c>
      <c r="K239" s="237" t="s">
        <v>410</v>
      </c>
      <c r="L239" s="237" t="s">
        <v>410</v>
      </c>
      <c r="M239" s="237" t="s">
        <v>410</v>
      </c>
      <c r="N239" s="237" t="s">
        <v>410</v>
      </c>
      <c r="O239" s="237" t="s">
        <v>410</v>
      </c>
      <c r="P239" s="237" t="s">
        <v>410</v>
      </c>
      <c r="Q239" s="237" t="s">
        <v>410</v>
      </c>
      <c r="R239" s="237" t="s">
        <v>410</v>
      </c>
      <c r="S239" s="237" t="s">
        <v>410</v>
      </c>
      <c r="T239" s="237" t="s">
        <v>410</v>
      </c>
    </row>
    <row r="240" spans="1:20" hidden="1" outlineLevel="1" x14ac:dyDescent="0.3">
      <c r="A240" s="583" t="s">
        <v>4849</v>
      </c>
      <c r="B240" s="591">
        <v>7</v>
      </c>
      <c r="C240" s="583" t="s">
        <v>1256</v>
      </c>
      <c r="D240" s="583" t="s">
        <v>1511</v>
      </c>
      <c r="E240" s="593" t="s">
        <v>410</v>
      </c>
      <c r="F240" s="593" t="s">
        <v>4850</v>
      </c>
      <c r="G240" s="237" t="s">
        <v>410</v>
      </c>
      <c r="H240" s="237" t="s">
        <v>410</v>
      </c>
      <c r="I240" s="237" t="s">
        <v>410</v>
      </c>
      <c r="J240" s="237" t="s">
        <v>410</v>
      </c>
      <c r="K240" s="237" t="s">
        <v>410</v>
      </c>
      <c r="L240" s="237" t="s">
        <v>410</v>
      </c>
      <c r="M240" s="237" t="s">
        <v>410</v>
      </c>
      <c r="N240" s="237" t="s">
        <v>410</v>
      </c>
      <c r="O240" s="237" t="s">
        <v>410</v>
      </c>
      <c r="P240" s="237" t="s">
        <v>410</v>
      </c>
      <c r="Q240" s="237" t="s">
        <v>410</v>
      </c>
      <c r="R240" s="237" t="s">
        <v>410</v>
      </c>
      <c r="S240" s="237" t="s">
        <v>410</v>
      </c>
      <c r="T240" s="237" t="s">
        <v>410</v>
      </c>
    </row>
    <row r="241" spans="1:20" ht="18" hidden="1" customHeight="1" outlineLevel="1" x14ac:dyDescent="0.3">
      <c r="A241" s="583" t="s">
        <v>2019</v>
      </c>
      <c r="B241" s="591">
        <v>7</v>
      </c>
      <c r="C241" s="583" t="s">
        <v>1256</v>
      </c>
      <c r="D241" s="583" t="s">
        <v>1511</v>
      </c>
      <c r="E241" s="593" t="s">
        <v>410</v>
      </c>
      <c r="F241" s="594" t="str">
        <f>CONCATENATE("[UP III,1x/boj] bÚr + VOL ~ ",TEXT(10+CHR,0),"~ 0")</f>
        <v>[UP III,1x/boj] bÚr + VOL ~ 5~ 0</v>
      </c>
      <c r="G241" s="594" t="str">
        <f>CONCATENATE("[UP IV,1x/boj] bÚr + VOL ~ ",TEXT(12+CHR,0),"~ 0")</f>
        <v>[UP IV,1x/boj] bÚr + VOL ~ 7~ 0</v>
      </c>
      <c r="H241" s="594" t="str">
        <f>CONCATENATE("[UP V,1x/boj] bÚr + VOL ~ ",TEXT(14+CHR,0),"~ 0")</f>
        <v>[UP V,1x/boj] bÚr + VOL ~ 9~ 0</v>
      </c>
      <c r="I241" s="594" t="str">
        <f>CONCATENATE("[UP VI,1x/boj] bÚr + VOL ~ ",TEXT(16+CHR,0),"~ 0")</f>
        <v>[UP VI,1x/boj] bÚr + VOL ~ 11~ 0</v>
      </c>
      <c r="J241" s="237" t="s">
        <v>410</v>
      </c>
      <c r="K241" s="237" t="s">
        <v>410</v>
      </c>
      <c r="L241" s="237" t="s">
        <v>410</v>
      </c>
      <c r="M241" s="237" t="s">
        <v>410</v>
      </c>
      <c r="N241" s="237" t="s">
        <v>410</v>
      </c>
      <c r="O241" s="237" t="s">
        <v>410</v>
      </c>
      <c r="P241" s="237" t="s">
        <v>410</v>
      </c>
      <c r="Q241" s="237" t="s">
        <v>410</v>
      </c>
      <c r="R241" s="237" t="s">
        <v>410</v>
      </c>
      <c r="S241" s="237" t="s">
        <v>410</v>
      </c>
      <c r="T241" s="237" t="s">
        <v>410</v>
      </c>
    </row>
    <row r="242" spans="1:20" hidden="1" outlineLevel="1" x14ac:dyDescent="0.3">
      <c r="A242" s="583" t="s">
        <v>4843</v>
      </c>
      <c r="B242" s="591">
        <v>7</v>
      </c>
      <c r="C242" s="583" t="s">
        <v>1256</v>
      </c>
      <c r="D242" s="583" t="s">
        <v>1511</v>
      </c>
      <c r="E242" s="593" t="s">
        <v>410</v>
      </c>
      <c r="F242" s="593" t="s">
        <v>4860</v>
      </c>
      <c r="G242" s="593" t="s">
        <v>4861</v>
      </c>
      <c r="H242" s="593" t="s">
        <v>4862</v>
      </c>
      <c r="I242" s="593" t="s">
        <v>4863</v>
      </c>
      <c r="J242" s="593" t="s">
        <v>4864</v>
      </c>
      <c r="K242" s="593" t="s">
        <v>4865</v>
      </c>
      <c r="L242" s="237" t="s">
        <v>410</v>
      </c>
      <c r="M242" s="237" t="s">
        <v>410</v>
      </c>
      <c r="N242" s="237" t="s">
        <v>410</v>
      </c>
      <c r="O242" s="237" t="s">
        <v>410</v>
      </c>
      <c r="P242" s="237" t="s">
        <v>410</v>
      </c>
      <c r="Q242" s="237" t="s">
        <v>410</v>
      </c>
      <c r="R242" s="237" t="s">
        <v>410</v>
      </c>
      <c r="S242" s="237" t="s">
        <v>410</v>
      </c>
      <c r="T242" s="237" t="s">
        <v>410</v>
      </c>
    </row>
    <row r="243" spans="1:20" hidden="1" outlineLevel="1" x14ac:dyDescent="0.3">
      <c r="A243" s="583" t="s">
        <v>2016</v>
      </c>
      <c r="B243" s="591">
        <v>7</v>
      </c>
      <c r="C243" s="583" t="s">
        <v>1256</v>
      </c>
      <c r="D243" s="583" t="s">
        <v>1511</v>
      </c>
      <c r="E243" s="593" t="s">
        <v>410</v>
      </c>
      <c r="F243" s="593" t="s">
        <v>4835</v>
      </c>
      <c r="G243" s="593" t="s">
        <v>410</v>
      </c>
      <c r="H243" s="237" t="s">
        <v>410</v>
      </c>
      <c r="I243" s="237" t="s">
        <v>410</v>
      </c>
      <c r="J243" s="237" t="s">
        <v>410</v>
      </c>
      <c r="K243" s="237" t="s">
        <v>410</v>
      </c>
      <c r="L243" s="237" t="s">
        <v>410</v>
      </c>
      <c r="M243" s="237" t="s">
        <v>410</v>
      </c>
      <c r="N243" s="237" t="s">
        <v>410</v>
      </c>
      <c r="O243" s="237" t="s">
        <v>410</v>
      </c>
      <c r="P243" s="237" t="s">
        <v>410</v>
      </c>
      <c r="Q243" s="237" t="s">
        <v>410</v>
      </c>
      <c r="R243" s="237" t="s">
        <v>410</v>
      </c>
      <c r="S243" s="237" t="s">
        <v>410</v>
      </c>
      <c r="T243" s="237" t="s">
        <v>410</v>
      </c>
    </row>
    <row r="244" spans="1:20" hidden="1" outlineLevel="1" x14ac:dyDescent="0.3">
      <c r="A244" s="583" t="s">
        <v>2023</v>
      </c>
      <c r="B244" s="591">
        <v>7</v>
      </c>
      <c r="C244" s="583" t="s">
        <v>1256</v>
      </c>
      <c r="D244" s="583" t="s">
        <v>1511</v>
      </c>
      <c r="E244" s="593" t="s">
        <v>410</v>
      </c>
      <c r="F244" s="593" t="s">
        <v>4055</v>
      </c>
      <c r="G244" s="593" t="s">
        <v>4056</v>
      </c>
      <c r="H244" s="593" t="s">
        <v>4057</v>
      </c>
      <c r="I244" s="237" t="s">
        <v>410</v>
      </c>
      <c r="J244" s="237" t="s">
        <v>410</v>
      </c>
      <c r="K244" s="237" t="s">
        <v>410</v>
      </c>
      <c r="L244" s="237" t="s">
        <v>410</v>
      </c>
      <c r="M244" s="237" t="s">
        <v>410</v>
      </c>
      <c r="N244" s="237" t="s">
        <v>410</v>
      </c>
      <c r="O244" s="237" t="s">
        <v>410</v>
      </c>
      <c r="P244" s="237" t="s">
        <v>410</v>
      </c>
      <c r="Q244" s="237" t="s">
        <v>410</v>
      </c>
      <c r="R244" s="237" t="s">
        <v>410</v>
      </c>
      <c r="S244" s="237" t="s">
        <v>410</v>
      </c>
      <c r="T244" s="237" t="s">
        <v>410</v>
      </c>
    </row>
    <row r="245" spans="1:20" hidden="1" outlineLevel="1" x14ac:dyDescent="0.3">
      <c r="A245" s="583" t="s">
        <v>2028</v>
      </c>
      <c r="B245" s="591">
        <v>10</v>
      </c>
      <c r="C245" s="583" t="s">
        <v>1256</v>
      </c>
      <c r="D245" s="583" t="s">
        <v>1511</v>
      </c>
      <c r="E245" s="593" t="s">
        <v>410</v>
      </c>
      <c r="F245" s="593" t="s">
        <v>4815</v>
      </c>
      <c r="G245" s="237" t="s">
        <v>410</v>
      </c>
      <c r="H245" s="237" t="s">
        <v>410</v>
      </c>
      <c r="I245" s="237" t="s">
        <v>410</v>
      </c>
      <c r="J245" s="237" t="s">
        <v>410</v>
      </c>
      <c r="K245" s="237" t="s">
        <v>410</v>
      </c>
      <c r="L245" s="237" t="s">
        <v>410</v>
      </c>
      <c r="M245" s="237" t="s">
        <v>410</v>
      </c>
      <c r="N245" s="237" t="s">
        <v>410</v>
      </c>
      <c r="O245" s="237" t="s">
        <v>410</v>
      </c>
      <c r="P245" s="237" t="s">
        <v>410</v>
      </c>
      <c r="Q245" s="237" t="s">
        <v>410</v>
      </c>
      <c r="R245" s="237" t="s">
        <v>410</v>
      </c>
      <c r="S245" s="237" t="s">
        <v>410</v>
      </c>
      <c r="T245" s="237" t="s">
        <v>410</v>
      </c>
    </row>
    <row r="246" spans="1:20" hidden="1" outlineLevel="1" x14ac:dyDescent="0.3">
      <c r="A246" s="583" t="s">
        <v>4821</v>
      </c>
      <c r="B246" s="591">
        <v>10</v>
      </c>
      <c r="C246" s="583" t="s">
        <v>1256</v>
      </c>
      <c r="D246" s="583" t="s">
        <v>1511</v>
      </c>
      <c r="E246" s="593" t="s">
        <v>410</v>
      </c>
      <c r="F246" s="593" t="s">
        <v>4822</v>
      </c>
      <c r="G246" s="593" t="s">
        <v>4823</v>
      </c>
      <c r="H246" s="593" t="s">
        <v>4824</v>
      </c>
      <c r="I246" s="593" t="s">
        <v>4825</v>
      </c>
      <c r="J246" s="237" t="s">
        <v>410</v>
      </c>
      <c r="K246" s="237" t="s">
        <v>410</v>
      </c>
      <c r="L246" s="237" t="s">
        <v>410</v>
      </c>
      <c r="M246" s="237" t="s">
        <v>410</v>
      </c>
      <c r="N246" s="237" t="s">
        <v>410</v>
      </c>
      <c r="O246" s="237" t="s">
        <v>410</v>
      </c>
      <c r="P246" s="237" t="s">
        <v>410</v>
      </c>
      <c r="Q246" s="237" t="s">
        <v>410</v>
      </c>
      <c r="R246" s="237" t="s">
        <v>410</v>
      </c>
      <c r="S246" s="237" t="s">
        <v>410</v>
      </c>
      <c r="T246" s="237" t="s">
        <v>410</v>
      </c>
    </row>
    <row r="247" spans="1:20" hidden="1" outlineLevel="1" x14ac:dyDescent="0.3">
      <c r="A247" s="583" t="s">
        <v>2032</v>
      </c>
      <c r="B247" s="591">
        <v>10</v>
      </c>
      <c r="C247" s="583" t="s">
        <v>1256</v>
      </c>
      <c r="D247" s="583" t="s">
        <v>1511</v>
      </c>
      <c r="E247" s="593" t="s">
        <v>410</v>
      </c>
      <c r="F247" s="593" t="s">
        <v>4063</v>
      </c>
      <c r="G247" s="237" t="s">
        <v>410</v>
      </c>
      <c r="H247" s="237" t="s">
        <v>410</v>
      </c>
      <c r="I247" s="237" t="s">
        <v>410</v>
      </c>
      <c r="J247" s="237" t="s">
        <v>410</v>
      </c>
      <c r="K247" s="237" t="s">
        <v>410</v>
      </c>
      <c r="L247" s="237" t="s">
        <v>410</v>
      </c>
      <c r="M247" s="237" t="s">
        <v>410</v>
      </c>
      <c r="N247" s="237" t="s">
        <v>410</v>
      </c>
      <c r="O247" s="237" t="s">
        <v>410</v>
      </c>
      <c r="P247" s="237" t="s">
        <v>410</v>
      </c>
      <c r="Q247" s="237" t="s">
        <v>410</v>
      </c>
      <c r="R247" s="237" t="s">
        <v>410</v>
      </c>
      <c r="S247" s="237" t="s">
        <v>410</v>
      </c>
      <c r="T247" s="237" t="s">
        <v>410</v>
      </c>
    </row>
    <row r="248" spans="1:20" hidden="1" outlineLevel="1" x14ac:dyDescent="0.3">
      <c r="A248" s="583" t="s">
        <v>2033</v>
      </c>
      <c r="B248" s="591">
        <v>10</v>
      </c>
      <c r="C248" s="583" t="s">
        <v>1256</v>
      </c>
      <c r="D248" s="583" t="s">
        <v>1511</v>
      </c>
      <c r="E248" s="593" t="s">
        <v>410</v>
      </c>
      <c r="F248" s="593" t="s">
        <v>4852</v>
      </c>
      <c r="G248" s="237" t="s">
        <v>410</v>
      </c>
      <c r="H248" s="237" t="s">
        <v>410</v>
      </c>
      <c r="I248" s="237" t="s">
        <v>410</v>
      </c>
      <c r="J248" s="237" t="s">
        <v>410</v>
      </c>
      <c r="K248" s="237" t="s">
        <v>410</v>
      </c>
      <c r="L248" s="237" t="s">
        <v>410</v>
      </c>
      <c r="M248" s="237" t="s">
        <v>410</v>
      </c>
      <c r="N248" s="237" t="s">
        <v>410</v>
      </c>
      <c r="O248" s="237" t="s">
        <v>410</v>
      </c>
      <c r="P248" s="237" t="s">
        <v>410</v>
      </c>
      <c r="Q248" s="237" t="s">
        <v>410</v>
      </c>
      <c r="R248" s="237" t="s">
        <v>410</v>
      </c>
      <c r="S248" s="237" t="s">
        <v>410</v>
      </c>
      <c r="T248" s="237" t="s">
        <v>410</v>
      </c>
    </row>
    <row r="249" spans="1:20" hidden="1" outlineLevel="1" x14ac:dyDescent="0.3">
      <c r="A249" s="583" t="s">
        <v>4858</v>
      </c>
      <c r="B249" s="591">
        <v>10</v>
      </c>
      <c r="C249" s="583" t="s">
        <v>1256</v>
      </c>
      <c r="D249" s="583" t="s">
        <v>1511</v>
      </c>
      <c r="E249" s="593" t="s">
        <v>410</v>
      </c>
      <c r="F249" s="593" t="s">
        <v>4859</v>
      </c>
      <c r="G249" t="s">
        <v>410</v>
      </c>
      <c r="H249" t="s">
        <v>410</v>
      </c>
      <c r="I249" t="s">
        <v>410</v>
      </c>
      <c r="J249" t="s">
        <v>410</v>
      </c>
      <c r="K249" s="237" t="s">
        <v>410</v>
      </c>
      <c r="L249" s="237" t="s">
        <v>410</v>
      </c>
      <c r="M249" s="237" t="s">
        <v>410</v>
      </c>
      <c r="N249" s="237" t="s">
        <v>410</v>
      </c>
      <c r="O249" s="237" t="s">
        <v>410</v>
      </c>
      <c r="P249" s="237" t="s">
        <v>410</v>
      </c>
      <c r="Q249" s="237" t="s">
        <v>410</v>
      </c>
      <c r="R249" s="237" t="s">
        <v>410</v>
      </c>
      <c r="S249" s="237" t="s">
        <v>410</v>
      </c>
      <c r="T249" s="237" t="s">
        <v>410</v>
      </c>
    </row>
    <row r="250" spans="1:20" hidden="1" outlineLevel="1" x14ac:dyDescent="0.3">
      <c r="A250" s="583" t="s">
        <v>4870</v>
      </c>
      <c r="B250" s="591">
        <v>10</v>
      </c>
      <c r="C250" s="583" t="s">
        <v>4871</v>
      </c>
      <c r="D250" s="583" t="s">
        <v>1511</v>
      </c>
      <c r="E250" s="593" t="s">
        <v>410</v>
      </c>
      <c r="F250" s="593" t="s">
        <v>4859</v>
      </c>
      <c r="G250" s="237" t="s">
        <v>410</v>
      </c>
      <c r="H250" s="237" t="s">
        <v>410</v>
      </c>
      <c r="I250" s="237" t="s">
        <v>410</v>
      </c>
      <c r="J250" s="237" t="s">
        <v>410</v>
      </c>
      <c r="K250" s="237" t="s">
        <v>410</v>
      </c>
      <c r="L250" s="237" t="s">
        <v>410</v>
      </c>
      <c r="M250" s="237" t="s">
        <v>410</v>
      </c>
      <c r="N250" s="237" t="s">
        <v>410</v>
      </c>
      <c r="O250" s="237" t="s">
        <v>410</v>
      </c>
      <c r="P250" s="237" t="s">
        <v>410</v>
      </c>
      <c r="Q250" s="237" t="s">
        <v>410</v>
      </c>
      <c r="R250" s="237" t="s">
        <v>410</v>
      </c>
      <c r="S250" s="237" t="s">
        <v>410</v>
      </c>
      <c r="T250" s="237" t="s">
        <v>410</v>
      </c>
    </row>
    <row r="251" spans="1:20" hidden="1" outlineLevel="1" x14ac:dyDescent="0.3">
      <c r="A251" s="583" t="s">
        <v>4878</v>
      </c>
      <c r="B251" s="591">
        <v>10</v>
      </c>
      <c r="C251" s="583" t="s">
        <v>1256</v>
      </c>
      <c r="D251" s="583" t="s">
        <v>1511</v>
      </c>
      <c r="E251" s="593" t="s">
        <v>410</v>
      </c>
      <c r="F251" s="593" t="s">
        <v>4859</v>
      </c>
      <c r="G251" s="237" t="s">
        <v>410</v>
      </c>
      <c r="H251" s="237" t="s">
        <v>410</v>
      </c>
      <c r="I251" s="237" t="s">
        <v>410</v>
      </c>
      <c r="J251" s="237" t="s">
        <v>410</v>
      </c>
      <c r="K251" s="237" t="s">
        <v>410</v>
      </c>
      <c r="L251" s="237" t="s">
        <v>410</v>
      </c>
      <c r="M251" s="237" t="s">
        <v>410</v>
      </c>
      <c r="N251" s="237" t="s">
        <v>410</v>
      </c>
      <c r="O251" s="237" t="s">
        <v>410</v>
      </c>
      <c r="P251" s="237" t="s">
        <v>410</v>
      </c>
      <c r="Q251" s="237" t="s">
        <v>410</v>
      </c>
      <c r="R251" s="237" t="s">
        <v>410</v>
      </c>
      <c r="S251" s="237" t="s">
        <v>410</v>
      </c>
      <c r="T251" s="237" t="s">
        <v>410</v>
      </c>
    </row>
    <row r="252" spans="1:20" hidden="1" outlineLevel="1" x14ac:dyDescent="0.3">
      <c r="A252" s="583" t="s">
        <v>1782</v>
      </c>
      <c r="B252" s="591">
        <v>11</v>
      </c>
      <c r="C252" s="583" t="s">
        <v>1256</v>
      </c>
      <c r="D252" s="583" t="s">
        <v>1511</v>
      </c>
      <c r="E252" s="592" t="s">
        <v>410</v>
      </c>
      <c r="F252" s="593" t="s">
        <v>66</v>
      </c>
      <c r="G252" s="593" t="s">
        <v>67</v>
      </c>
      <c r="H252" s="593" t="s">
        <v>68</v>
      </c>
      <c r="I252" s="593" t="s">
        <v>70</v>
      </c>
      <c r="J252" s="237" t="s">
        <v>410</v>
      </c>
      <c r="K252" s="237" t="s">
        <v>410</v>
      </c>
      <c r="L252" s="237" t="s">
        <v>410</v>
      </c>
      <c r="M252" s="237" t="s">
        <v>410</v>
      </c>
      <c r="N252" s="237" t="s">
        <v>410</v>
      </c>
      <c r="O252" s="237" t="s">
        <v>410</v>
      </c>
      <c r="P252" s="237" t="s">
        <v>410</v>
      </c>
      <c r="Q252" s="237" t="s">
        <v>410</v>
      </c>
      <c r="R252" s="237" t="s">
        <v>410</v>
      </c>
      <c r="S252" s="10" t="s">
        <v>410</v>
      </c>
      <c r="T252" s="10" t="s">
        <v>410</v>
      </c>
    </row>
    <row r="253" spans="1:20" hidden="1" outlineLevel="1" x14ac:dyDescent="0.3">
      <c r="A253" s="583" t="s">
        <v>1901</v>
      </c>
      <c r="B253" s="591">
        <v>11</v>
      </c>
      <c r="C253" s="583" t="s">
        <v>1256</v>
      </c>
      <c r="D253" s="583" t="s">
        <v>1511</v>
      </c>
      <c r="E253" s="592" t="s">
        <v>410</v>
      </c>
      <c r="F253" s="593" t="s">
        <v>3199</v>
      </c>
      <c r="G253" s="593" t="s">
        <v>1902</v>
      </c>
      <c r="H253" s="593" t="s">
        <v>1903</v>
      </c>
      <c r="I253" s="593" t="s">
        <v>1904</v>
      </c>
      <c r="J253" s="593" t="s">
        <v>1905</v>
      </c>
      <c r="K253" s="593" t="s">
        <v>1906</v>
      </c>
      <c r="L253" s="237" t="s">
        <v>410</v>
      </c>
      <c r="M253" s="237" t="s">
        <v>410</v>
      </c>
      <c r="N253" s="237" t="s">
        <v>410</v>
      </c>
      <c r="O253" s="237" t="s">
        <v>410</v>
      </c>
      <c r="P253" s="237" t="s">
        <v>410</v>
      </c>
      <c r="Q253" s="237" t="s">
        <v>410</v>
      </c>
      <c r="R253" s="237" t="s">
        <v>410</v>
      </c>
      <c r="S253" s="10" t="s">
        <v>410</v>
      </c>
      <c r="T253" s="10" t="s">
        <v>410</v>
      </c>
    </row>
    <row r="254" spans="1:20" hidden="1" outlineLevel="1" x14ac:dyDescent="0.3">
      <c r="A254" s="583" t="s">
        <v>1915</v>
      </c>
      <c r="B254" s="591">
        <v>11</v>
      </c>
      <c r="C254" s="583" t="s">
        <v>1256</v>
      </c>
      <c r="D254" s="583" t="s">
        <v>1511</v>
      </c>
      <c r="E254" s="592" t="s">
        <v>410</v>
      </c>
      <c r="F254" s="593" t="s">
        <v>1916</v>
      </c>
      <c r="G254" s="593" t="s">
        <v>1917</v>
      </c>
      <c r="H254" s="593" t="s">
        <v>3202</v>
      </c>
      <c r="I254" s="237" t="s">
        <v>410</v>
      </c>
      <c r="J254" s="237" t="s">
        <v>410</v>
      </c>
      <c r="K254" s="237" t="s">
        <v>410</v>
      </c>
      <c r="L254" s="237" t="s">
        <v>410</v>
      </c>
      <c r="M254" s="237" t="s">
        <v>410</v>
      </c>
      <c r="N254" s="237" t="s">
        <v>410</v>
      </c>
      <c r="O254" s="237" t="s">
        <v>410</v>
      </c>
      <c r="P254" s="237" t="s">
        <v>410</v>
      </c>
      <c r="Q254" s="237" t="s">
        <v>410</v>
      </c>
      <c r="R254" s="237" t="s">
        <v>410</v>
      </c>
      <c r="S254" s="10" t="s">
        <v>410</v>
      </c>
      <c r="T254" s="10" t="s">
        <v>410</v>
      </c>
    </row>
    <row r="255" spans="1:20" hidden="1" outlineLevel="1" x14ac:dyDescent="0.3">
      <c r="A255" s="583" t="s">
        <v>2003</v>
      </c>
      <c r="B255" s="591">
        <v>11</v>
      </c>
      <c r="C255" s="583" t="s">
        <v>1256</v>
      </c>
      <c r="D255" s="583" t="s">
        <v>1511</v>
      </c>
      <c r="E255" s="593" t="s">
        <v>410</v>
      </c>
      <c r="F255" s="593" t="s">
        <v>5559</v>
      </c>
      <c r="G255" s="593" t="s">
        <v>4342</v>
      </c>
      <c r="H255" s="593" t="s">
        <v>5558</v>
      </c>
      <c r="I255" s="237" t="s">
        <v>410</v>
      </c>
      <c r="J255" s="237" t="s">
        <v>410</v>
      </c>
      <c r="K255" s="237" t="s">
        <v>410</v>
      </c>
      <c r="L255" s="237" t="s">
        <v>410</v>
      </c>
      <c r="M255" s="237" t="s">
        <v>410</v>
      </c>
      <c r="N255" s="237" t="s">
        <v>410</v>
      </c>
      <c r="O255" s="237" t="s">
        <v>410</v>
      </c>
      <c r="P255" s="237" t="s">
        <v>410</v>
      </c>
      <c r="Q255" s="237" t="s">
        <v>410</v>
      </c>
      <c r="R255" s="237" t="s">
        <v>410</v>
      </c>
      <c r="S255" s="237" t="s">
        <v>410</v>
      </c>
      <c r="T255" s="237" t="s">
        <v>410</v>
      </c>
    </row>
    <row r="256" spans="1:20" hidden="1" outlineLevel="1" x14ac:dyDescent="0.3">
      <c r="A256" s="583" t="s">
        <v>4830</v>
      </c>
      <c r="B256" s="591">
        <v>13</v>
      </c>
      <c r="C256" s="583" t="s">
        <v>1256</v>
      </c>
      <c r="D256" s="583" t="s">
        <v>1511</v>
      </c>
      <c r="E256" s="593" t="s">
        <v>181</v>
      </c>
      <c r="F256" s="593" t="s">
        <v>4831</v>
      </c>
      <c r="G256" s="237" t="s">
        <v>410</v>
      </c>
      <c r="H256" s="237" t="s">
        <v>410</v>
      </c>
      <c r="I256" s="237" t="s">
        <v>410</v>
      </c>
      <c r="J256" s="237" t="s">
        <v>410</v>
      </c>
      <c r="K256" s="237" t="s">
        <v>410</v>
      </c>
      <c r="L256" s="237" t="s">
        <v>410</v>
      </c>
      <c r="M256" s="237" t="s">
        <v>410</v>
      </c>
      <c r="N256" s="237" t="s">
        <v>410</v>
      </c>
      <c r="O256" s="237" t="s">
        <v>410</v>
      </c>
      <c r="P256" s="237" t="s">
        <v>410</v>
      </c>
      <c r="Q256" s="237" t="s">
        <v>410</v>
      </c>
      <c r="R256" s="237" t="s">
        <v>410</v>
      </c>
      <c r="S256" s="237" t="s">
        <v>410</v>
      </c>
      <c r="T256" s="237" t="s">
        <v>410</v>
      </c>
    </row>
    <row r="257" spans="1:20" hidden="1" outlineLevel="1" x14ac:dyDescent="0.3">
      <c r="A257" s="583" t="s">
        <v>4845</v>
      </c>
      <c r="B257" s="591">
        <v>13</v>
      </c>
      <c r="C257" s="583" t="s">
        <v>1256</v>
      </c>
      <c r="D257" s="583" t="s">
        <v>1511</v>
      </c>
      <c r="E257" s="593" t="s">
        <v>410</v>
      </c>
      <c r="F257" s="593" t="s">
        <v>4846</v>
      </c>
      <c r="G257" s="237" t="s">
        <v>410</v>
      </c>
      <c r="H257" s="237" t="s">
        <v>410</v>
      </c>
      <c r="I257" s="237" t="s">
        <v>410</v>
      </c>
      <c r="J257" s="237" t="s">
        <v>410</v>
      </c>
      <c r="K257" s="237" t="s">
        <v>410</v>
      </c>
      <c r="L257" s="237" t="s">
        <v>410</v>
      </c>
      <c r="M257" s="237" t="s">
        <v>410</v>
      </c>
      <c r="N257" s="237" t="s">
        <v>410</v>
      </c>
      <c r="O257" s="237" t="s">
        <v>410</v>
      </c>
      <c r="P257" s="237" t="s">
        <v>410</v>
      </c>
      <c r="Q257" s="237" t="s">
        <v>410</v>
      </c>
      <c r="R257" s="237" t="s">
        <v>410</v>
      </c>
      <c r="S257" s="237" t="s">
        <v>410</v>
      </c>
      <c r="T257" s="237" t="s">
        <v>410</v>
      </c>
    </row>
    <row r="258" spans="1:20" hidden="1" outlineLevel="1" x14ac:dyDescent="0.3">
      <c r="A258" s="583" t="s">
        <v>4851</v>
      </c>
      <c r="B258" s="591">
        <v>13</v>
      </c>
      <c r="C258" s="583" t="s">
        <v>1256</v>
      </c>
      <c r="D258" s="583" t="s">
        <v>1511</v>
      </c>
      <c r="E258" s="593" t="s">
        <v>410</v>
      </c>
      <c r="F258" s="593" t="s">
        <v>4846</v>
      </c>
      <c r="G258" s="237" t="s">
        <v>410</v>
      </c>
      <c r="H258" s="237" t="s">
        <v>410</v>
      </c>
      <c r="I258" s="237" t="s">
        <v>410</v>
      </c>
      <c r="J258" s="237" t="s">
        <v>410</v>
      </c>
      <c r="K258" s="237" t="s">
        <v>410</v>
      </c>
      <c r="L258" s="237" t="s">
        <v>410</v>
      </c>
      <c r="M258" s="237" t="s">
        <v>410</v>
      </c>
      <c r="N258" s="237" t="s">
        <v>410</v>
      </c>
      <c r="O258" s="237" t="s">
        <v>410</v>
      </c>
      <c r="P258" s="237" t="s">
        <v>410</v>
      </c>
      <c r="Q258" s="237" t="s">
        <v>410</v>
      </c>
      <c r="R258" s="237" t="s">
        <v>410</v>
      </c>
      <c r="S258" s="237" t="s">
        <v>410</v>
      </c>
      <c r="T258" s="237" t="s">
        <v>410</v>
      </c>
    </row>
    <row r="259" spans="1:20" hidden="1" outlineLevel="1" x14ac:dyDescent="0.3">
      <c r="A259" s="583" t="s">
        <v>2027</v>
      </c>
      <c r="B259" s="591">
        <v>13</v>
      </c>
      <c r="C259" s="583" t="s">
        <v>1256</v>
      </c>
      <c r="D259" s="583" t="s">
        <v>1511</v>
      </c>
      <c r="E259" s="593" t="s">
        <v>410</v>
      </c>
      <c r="F259" s="593" t="s">
        <v>4872</v>
      </c>
      <c r="G259" s="593" t="s">
        <v>4873</v>
      </c>
      <c r="H259" s="593" t="s">
        <v>4874</v>
      </c>
      <c r="I259" s="593" t="s">
        <v>4875</v>
      </c>
      <c r="J259" s="237" t="s">
        <v>410</v>
      </c>
      <c r="K259" s="237" t="s">
        <v>410</v>
      </c>
      <c r="L259" s="237" t="s">
        <v>410</v>
      </c>
      <c r="M259" s="237" t="s">
        <v>410</v>
      </c>
      <c r="N259" s="237" t="s">
        <v>410</v>
      </c>
      <c r="O259" s="237" t="s">
        <v>410</v>
      </c>
      <c r="P259" s="237" t="s">
        <v>410</v>
      </c>
      <c r="Q259" s="237" t="s">
        <v>410</v>
      </c>
      <c r="R259" s="237" t="s">
        <v>410</v>
      </c>
      <c r="S259" s="237" t="s">
        <v>410</v>
      </c>
      <c r="T259" s="237" t="s">
        <v>410</v>
      </c>
    </row>
    <row r="260" spans="1:20" hidden="1" outlineLevel="1" x14ac:dyDescent="0.3">
      <c r="A260" s="583" t="s">
        <v>2029</v>
      </c>
      <c r="B260" s="591">
        <v>16</v>
      </c>
      <c r="C260" s="583" t="s">
        <v>1256</v>
      </c>
      <c r="D260" s="583" t="s">
        <v>1511</v>
      </c>
      <c r="E260" s="593" t="s">
        <v>410</v>
      </c>
      <c r="F260" s="593" t="s">
        <v>4803</v>
      </c>
      <c r="G260" s="237" t="s">
        <v>410</v>
      </c>
      <c r="H260" s="237" t="s">
        <v>410</v>
      </c>
      <c r="I260" s="237" t="s">
        <v>410</v>
      </c>
      <c r="J260" s="237" t="s">
        <v>410</v>
      </c>
      <c r="K260" s="237" t="s">
        <v>410</v>
      </c>
      <c r="L260" s="237" t="s">
        <v>410</v>
      </c>
      <c r="M260" s="237" t="s">
        <v>410</v>
      </c>
      <c r="N260" s="237" t="s">
        <v>410</v>
      </c>
      <c r="O260" s="237" t="s">
        <v>410</v>
      </c>
      <c r="P260" s="237" t="s">
        <v>410</v>
      </c>
      <c r="Q260" s="237" t="s">
        <v>410</v>
      </c>
      <c r="R260" s="237" t="s">
        <v>410</v>
      </c>
      <c r="S260" s="237" t="s">
        <v>410</v>
      </c>
      <c r="T260" s="237" t="s">
        <v>410</v>
      </c>
    </row>
    <row r="261" spans="1:20" hidden="1" outlineLevel="1" x14ac:dyDescent="0.3">
      <c r="A261" s="583" t="s">
        <v>4809</v>
      </c>
      <c r="B261" s="591">
        <v>16</v>
      </c>
      <c r="C261" s="583" t="s">
        <v>1256</v>
      </c>
      <c r="D261" s="583" t="s">
        <v>1511</v>
      </c>
      <c r="E261" s="593" t="s">
        <v>410</v>
      </c>
      <c r="F261" s="593" t="s">
        <v>4810</v>
      </c>
      <c r="G261" s="593" t="s">
        <v>4811</v>
      </c>
      <c r="H261" s="593" t="s">
        <v>410</v>
      </c>
      <c r="I261" s="237" t="s">
        <v>410</v>
      </c>
      <c r="J261" s="237" t="s">
        <v>410</v>
      </c>
      <c r="K261" s="237" t="s">
        <v>410</v>
      </c>
      <c r="L261" s="237" t="s">
        <v>410</v>
      </c>
      <c r="M261" s="237" t="s">
        <v>410</v>
      </c>
      <c r="N261" s="237" t="s">
        <v>410</v>
      </c>
      <c r="O261" s="237" t="s">
        <v>410</v>
      </c>
      <c r="P261" s="237" t="s">
        <v>410</v>
      </c>
      <c r="Q261" s="237" t="s">
        <v>410</v>
      </c>
      <c r="R261" s="237" t="s">
        <v>410</v>
      </c>
      <c r="S261" s="237" t="s">
        <v>410</v>
      </c>
      <c r="T261" s="237" t="s">
        <v>410</v>
      </c>
    </row>
    <row r="262" spans="1:20" hidden="1" outlineLevel="1" x14ac:dyDescent="0.3">
      <c r="A262" s="583" t="s">
        <v>4812</v>
      </c>
      <c r="B262" s="591">
        <v>16</v>
      </c>
      <c r="C262" s="583" t="s">
        <v>1256</v>
      </c>
      <c r="D262" s="583" t="s">
        <v>1511</v>
      </c>
      <c r="E262" s="593" t="s">
        <v>410</v>
      </c>
      <c r="F262" s="594" t="s">
        <v>4813</v>
      </c>
      <c r="G262" s="594" t="s">
        <v>4814</v>
      </c>
      <c r="H262" t="s">
        <v>410</v>
      </c>
      <c r="I262" t="s">
        <v>410</v>
      </c>
      <c r="J262" t="s">
        <v>410</v>
      </c>
      <c r="K262" s="237" t="s">
        <v>410</v>
      </c>
      <c r="L262" s="237" t="s">
        <v>410</v>
      </c>
      <c r="M262" s="237" t="s">
        <v>410</v>
      </c>
      <c r="N262" s="237" t="s">
        <v>410</v>
      </c>
      <c r="O262" s="237" t="s">
        <v>410</v>
      </c>
      <c r="P262" s="237" t="s">
        <v>410</v>
      </c>
      <c r="Q262" s="237" t="s">
        <v>410</v>
      </c>
      <c r="R262" s="237" t="s">
        <v>410</v>
      </c>
      <c r="S262" s="237" t="s">
        <v>410</v>
      </c>
      <c r="T262" s="237" t="s">
        <v>410</v>
      </c>
    </row>
    <row r="263" spans="1:20" hidden="1" outlineLevel="1" x14ac:dyDescent="0.3">
      <c r="A263" s="583" t="s">
        <v>4816</v>
      </c>
      <c r="B263" s="591">
        <v>16</v>
      </c>
      <c r="C263" s="583" t="s">
        <v>1256</v>
      </c>
      <c r="D263" s="583" t="s">
        <v>1511</v>
      </c>
      <c r="E263" s="593" t="s">
        <v>410</v>
      </c>
      <c r="F263" s="593" t="s">
        <v>4817</v>
      </c>
      <c r="G263" s="237" t="s">
        <v>410</v>
      </c>
      <c r="H263" s="237" t="s">
        <v>410</v>
      </c>
      <c r="I263" s="237" t="s">
        <v>410</v>
      </c>
      <c r="J263" s="237" t="s">
        <v>410</v>
      </c>
      <c r="K263" s="237" t="s">
        <v>410</v>
      </c>
      <c r="L263" s="237" t="s">
        <v>410</v>
      </c>
      <c r="M263" s="237" t="s">
        <v>410</v>
      </c>
      <c r="N263" s="237" t="s">
        <v>410</v>
      </c>
      <c r="O263" s="237" t="s">
        <v>410</v>
      </c>
      <c r="P263" s="237" t="s">
        <v>410</v>
      </c>
      <c r="Q263" s="237" t="s">
        <v>410</v>
      </c>
      <c r="R263" s="237" t="s">
        <v>410</v>
      </c>
      <c r="S263" s="237" t="s">
        <v>410</v>
      </c>
      <c r="T263" s="237" t="s">
        <v>410</v>
      </c>
    </row>
    <row r="264" spans="1:20" hidden="1" outlineLevel="1" x14ac:dyDescent="0.3">
      <c r="A264" s="583" t="s">
        <v>2030</v>
      </c>
      <c r="B264" s="591">
        <v>16</v>
      </c>
      <c r="C264" s="583" t="s">
        <v>1256</v>
      </c>
      <c r="D264" s="583" t="s">
        <v>1511</v>
      </c>
      <c r="E264" s="593" t="s">
        <v>410</v>
      </c>
      <c r="F264" s="593" t="s">
        <v>4818</v>
      </c>
      <c r="G264" s="237" t="s">
        <v>410</v>
      </c>
      <c r="H264" s="237" t="s">
        <v>410</v>
      </c>
      <c r="I264" s="237" t="s">
        <v>410</v>
      </c>
      <c r="J264" s="237" t="s">
        <v>410</v>
      </c>
      <c r="K264" s="237" t="s">
        <v>410</v>
      </c>
      <c r="L264" s="237" t="s">
        <v>410</v>
      </c>
      <c r="M264" s="237" t="s">
        <v>410</v>
      </c>
      <c r="N264" s="237" t="s">
        <v>410</v>
      </c>
      <c r="O264" s="237" t="s">
        <v>410</v>
      </c>
      <c r="P264" s="237" t="s">
        <v>410</v>
      </c>
      <c r="Q264" s="237" t="s">
        <v>410</v>
      </c>
      <c r="R264" s="237" t="s">
        <v>410</v>
      </c>
      <c r="S264" s="237" t="s">
        <v>410</v>
      </c>
      <c r="T264" s="237" t="s">
        <v>410</v>
      </c>
    </row>
    <row r="265" spans="1:20" hidden="1" outlineLevel="1" x14ac:dyDescent="0.3">
      <c r="A265" s="583" t="s">
        <v>4856</v>
      </c>
      <c r="B265" s="591">
        <v>16</v>
      </c>
      <c r="C265" s="583" t="s">
        <v>1256</v>
      </c>
      <c r="D265" s="583" t="s">
        <v>1511</v>
      </c>
      <c r="E265" s="593" t="s">
        <v>410</v>
      </c>
      <c r="F265" s="593" t="s">
        <v>4857</v>
      </c>
      <c r="G265" t="s">
        <v>410</v>
      </c>
      <c r="H265" t="s">
        <v>410</v>
      </c>
      <c r="I265" t="s">
        <v>410</v>
      </c>
      <c r="J265" t="s">
        <v>410</v>
      </c>
      <c r="K265" s="237" t="s">
        <v>410</v>
      </c>
      <c r="L265" s="237" t="s">
        <v>410</v>
      </c>
      <c r="M265" s="237" t="s">
        <v>410</v>
      </c>
      <c r="N265" s="237" t="s">
        <v>410</v>
      </c>
      <c r="O265" s="237" t="s">
        <v>410</v>
      </c>
      <c r="P265" s="237" t="s">
        <v>410</v>
      </c>
      <c r="Q265" s="237" t="s">
        <v>410</v>
      </c>
      <c r="R265" s="237" t="s">
        <v>410</v>
      </c>
      <c r="S265" s="237" t="s">
        <v>410</v>
      </c>
      <c r="T265" s="237" t="s">
        <v>410</v>
      </c>
    </row>
    <row r="266" spans="1:20" hidden="1" outlineLevel="1" x14ac:dyDescent="0.3">
      <c r="A266" s="583" t="s">
        <v>2026</v>
      </c>
      <c r="B266" s="591">
        <v>16</v>
      </c>
      <c r="C266" s="583" t="s">
        <v>1256</v>
      </c>
      <c r="D266" s="583" t="s">
        <v>1511</v>
      </c>
      <c r="E266" s="593" t="s">
        <v>410</v>
      </c>
      <c r="F266" s="593" t="s">
        <v>4064</v>
      </c>
      <c r="G266" s="237" t="s">
        <v>410</v>
      </c>
      <c r="H266" s="237" t="s">
        <v>410</v>
      </c>
      <c r="I266" s="237" t="s">
        <v>410</v>
      </c>
      <c r="J266" s="237" t="s">
        <v>410</v>
      </c>
      <c r="K266" s="237" t="s">
        <v>410</v>
      </c>
      <c r="L266" s="237" t="s">
        <v>410</v>
      </c>
      <c r="M266" s="237" t="s">
        <v>410</v>
      </c>
      <c r="N266" s="237" t="s">
        <v>410</v>
      </c>
      <c r="O266" s="237" t="s">
        <v>410</v>
      </c>
      <c r="P266" s="237" t="s">
        <v>410</v>
      </c>
      <c r="Q266" s="237" t="s">
        <v>410</v>
      </c>
      <c r="R266" s="237" t="s">
        <v>410</v>
      </c>
      <c r="S266" s="237" t="s">
        <v>410</v>
      </c>
      <c r="T266" s="237" t="s">
        <v>410</v>
      </c>
    </row>
    <row r="267" spans="1:20" hidden="1" outlineLevel="1" x14ac:dyDescent="0.3">
      <c r="A267" s="583" t="s">
        <v>2036</v>
      </c>
      <c r="B267" s="591">
        <v>16</v>
      </c>
      <c r="C267" s="583" t="s">
        <v>1256</v>
      </c>
      <c r="D267" s="583" t="s">
        <v>1511</v>
      </c>
      <c r="E267" s="593" t="s">
        <v>410</v>
      </c>
      <c r="F267" s="593" t="s">
        <v>4866</v>
      </c>
      <c r="G267" s="237" t="s">
        <v>410</v>
      </c>
      <c r="H267" s="237" t="s">
        <v>410</v>
      </c>
      <c r="I267" s="237" t="s">
        <v>410</v>
      </c>
      <c r="J267" s="237" t="s">
        <v>410</v>
      </c>
      <c r="K267" s="237" t="s">
        <v>410</v>
      </c>
      <c r="L267" s="237" t="s">
        <v>410</v>
      </c>
      <c r="M267" s="237" t="s">
        <v>410</v>
      </c>
      <c r="N267" s="237" t="s">
        <v>410</v>
      </c>
      <c r="O267" s="237" t="s">
        <v>410</v>
      </c>
      <c r="P267" s="237" t="s">
        <v>410</v>
      </c>
      <c r="Q267" s="237" t="s">
        <v>410</v>
      </c>
      <c r="R267" s="237" t="s">
        <v>410</v>
      </c>
      <c r="S267" s="237" t="s">
        <v>410</v>
      </c>
      <c r="T267" s="237" t="s">
        <v>410</v>
      </c>
    </row>
    <row r="268" spans="1:20" hidden="1" outlineLevel="1" x14ac:dyDescent="0.3">
      <c r="A268" s="583" t="s">
        <v>2037</v>
      </c>
      <c r="B268" s="591">
        <v>16</v>
      </c>
      <c r="C268" s="583" t="s">
        <v>1256</v>
      </c>
      <c r="D268" s="583" t="s">
        <v>1511</v>
      </c>
      <c r="E268" s="593" t="s">
        <v>410</v>
      </c>
      <c r="F268" s="593" t="s">
        <v>4857</v>
      </c>
      <c r="G268" s="237" t="s">
        <v>410</v>
      </c>
      <c r="H268" s="237" t="s">
        <v>410</v>
      </c>
      <c r="I268" s="237" t="s">
        <v>410</v>
      </c>
      <c r="J268" s="237" t="s">
        <v>410</v>
      </c>
      <c r="K268" s="237" t="s">
        <v>410</v>
      </c>
      <c r="L268" s="237" t="s">
        <v>410</v>
      </c>
      <c r="M268" s="237" t="s">
        <v>410</v>
      </c>
      <c r="N268" s="237" t="s">
        <v>410</v>
      </c>
      <c r="O268" s="237" t="s">
        <v>410</v>
      </c>
      <c r="P268" s="237" t="s">
        <v>410</v>
      </c>
      <c r="Q268" s="237" t="s">
        <v>410</v>
      </c>
      <c r="R268" s="237" t="s">
        <v>410</v>
      </c>
      <c r="S268" s="237" t="s">
        <v>410</v>
      </c>
      <c r="T268" s="237" t="s">
        <v>410</v>
      </c>
    </row>
    <row r="269" spans="1:20" hidden="1" outlineLevel="1" x14ac:dyDescent="0.3">
      <c r="A269" s="583" t="s">
        <v>2039</v>
      </c>
      <c r="B269" s="591">
        <v>16</v>
      </c>
      <c r="C269" s="583" t="s">
        <v>1256</v>
      </c>
      <c r="D269" s="583" t="s">
        <v>1511</v>
      </c>
      <c r="E269" s="593" t="s">
        <v>410</v>
      </c>
      <c r="F269" s="593" t="s">
        <v>4857</v>
      </c>
      <c r="G269" s="593" t="s">
        <v>4876</v>
      </c>
      <c r="H269" s="593" t="s">
        <v>4820</v>
      </c>
      <c r="I269" s="237" t="s">
        <v>410</v>
      </c>
      <c r="J269" s="237" t="s">
        <v>410</v>
      </c>
      <c r="K269" s="237" t="s">
        <v>410</v>
      </c>
      <c r="L269" s="237" t="s">
        <v>410</v>
      </c>
      <c r="M269" s="237" t="s">
        <v>410</v>
      </c>
      <c r="N269" s="237" t="s">
        <v>410</v>
      </c>
      <c r="O269" s="237" t="s">
        <v>410</v>
      </c>
      <c r="P269" s="237" t="s">
        <v>410</v>
      </c>
      <c r="Q269" s="237" t="s">
        <v>410</v>
      </c>
      <c r="R269" s="237" t="s">
        <v>410</v>
      </c>
      <c r="S269" s="237" t="s">
        <v>410</v>
      </c>
      <c r="T269" s="237" t="s">
        <v>410</v>
      </c>
    </row>
    <row r="270" spans="1:20" hidden="1" outlineLevel="1" x14ac:dyDescent="0.3">
      <c r="A270" s="583" t="s">
        <v>2124</v>
      </c>
      <c r="B270" s="591">
        <v>16</v>
      </c>
      <c r="C270" s="583" t="s">
        <v>1256</v>
      </c>
      <c r="D270" s="583" t="s">
        <v>1511</v>
      </c>
      <c r="E270" s="593" t="s">
        <v>410</v>
      </c>
      <c r="F270" s="593" t="s">
        <v>4877</v>
      </c>
      <c r="G270" s="237" t="s">
        <v>410</v>
      </c>
      <c r="H270" s="237" t="s">
        <v>410</v>
      </c>
      <c r="I270" s="237" t="s">
        <v>410</v>
      </c>
      <c r="J270" s="237" t="s">
        <v>410</v>
      </c>
      <c r="K270" s="237" t="s">
        <v>410</v>
      </c>
      <c r="L270" s="237" t="s">
        <v>410</v>
      </c>
      <c r="M270" s="237" t="s">
        <v>410</v>
      </c>
      <c r="N270" s="237" t="s">
        <v>410</v>
      </c>
      <c r="O270" s="237" t="s">
        <v>410</v>
      </c>
      <c r="P270" s="237" t="s">
        <v>410</v>
      </c>
      <c r="Q270" s="237" t="s">
        <v>410</v>
      </c>
      <c r="R270" s="237" t="s">
        <v>410</v>
      </c>
      <c r="S270" s="237" t="s">
        <v>410</v>
      </c>
      <c r="T270" s="237" t="s">
        <v>410</v>
      </c>
    </row>
    <row r="271" spans="1:20" hidden="1" outlineLevel="1" x14ac:dyDescent="0.3">
      <c r="A271" s="583" t="s">
        <v>1866</v>
      </c>
      <c r="B271" s="591">
        <v>16</v>
      </c>
      <c r="C271" s="583" t="s">
        <v>1256</v>
      </c>
      <c r="D271" s="583" t="s">
        <v>1511</v>
      </c>
      <c r="E271" s="592" t="s">
        <v>410</v>
      </c>
      <c r="F271" s="593" t="s">
        <v>67</v>
      </c>
      <c r="G271" s="593" t="s">
        <v>68</v>
      </c>
      <c r="H271" s="593" t="s">
        <v>70</v>
      </c>
      <c r="I271" s="593" t="s">
        <v>72</v>
      </c>
      <c r="J271" s="593" t="s">
        <v>74</v>
      </c>
      <c r="K271" s="237" t="s">
        <v>410</v>
      </c>
      <c r="L271" s="237" t="s">
        <v>410</v>
      </c>
      <c r="M271" s="237" t="s">
        <v>410</v>
      </c>
      <c r="N271" s="237" t="s">
        <v>410</v>
      </c>
      <c r="O271" s="237" t="s">
        <v>410</v>
      </c>
      <c r="P271" s="237" t="s">
        <v>410</v>
      </c>
      <c r="Q271" s="237" t="s">
        <v>410</v>
      </c>
      <c r="R271" s="237" t="s">
        <v>410</v>
      </c>
      <c r="S271" s="10" t="s">
        <v>410</v>
      </c>
      <c r="T271" s="10" t="s">
        <v>410</v>
      </c>
    </row>
    <row r="272" spans="1:20" hidden="1" outlineLevel="1" x14ac:dyDescent="0.3">
      <c r="A272" s="583" t="s">
        <v>1991</v>
      </c>
      <c r="B272" s="591">
        <v>16</v>
      </c>
      <c r="C272" s="583" t="s">
        <v>1256</v>
      </c>
      <c r="D272" s="583" t="s">
        <v>1511</v>
      </c>
      <c r="E272" s="593" t="s">
        <v>410</v>
      </c>
      <c r="F272" s="593" t="s">
        <v>2123</v>
      </c>
      <c r="G272" s="593" t="s">
        <v>3203</v>
      </c>
      <c r="H272" s="593" t="s">
        <v>3204</v>
      </c>
      <c r="I272" s="593" t="s">
        <v>3205</v>
      </c>
      <c r="J272" s="593" t="s">
        <v>3206</v>
      </c>
      <c r="K272" s="237" t="s">
        <v>410</v>
      </c>
      <c r="L272" s="237" t="s">
        <v>410</v>
      </c>
      <c r="M272" s="237" t="s">
        <v>410</v>
      </c>
      <c r="N272" s="237" t="s">
        <v>410</v>
      </c>
      <c r="O272" s="237" t="s">
        <v>410</v>
      </c>
      <c r="P272" s="237" t="s">
        <v>410</v>
      </c>
      <c r="Q272" s="237" t="s">
        <v>410</v>
      </c>
      <c r="R272" s="237" t="s">
        <v>410</v>
      </c>
      <c r="S272" s="237" t="s">
        <v>410</v>
      </c>
      <c r="T272" s="237" t="s">
        <v>410</v>
      </c>
    </row>
    <row r="273" spans="1:20" hidden="1" outlineLevel="1" x14ac:dyDescent="0.3">
      <c r="A273" s="583" t="s">
        <v>4840</v>
      </c>
      <c r="B273" s="591">
        <v>19</v>
      </c>
      <c r="C273" s="583" t="s">
        <v>1256</v>
      </c>
      <c r="D273" s="583" t="s">
        <v>1511</v>
      </c>
      <c r="E273" s="593" t="s">
        <v>410</v>
      </c>
      <c r="F273" s="593" t="s">
        <v>4841</v>
      </c>
      <c r="G273" s="237" t="s">
        <v>410</v>
      </c>
      <c r="H273" s="237" t="s">
        <v>410</v>
      </c>
      <c r="I273" s="237" t="s">
        <v>410</v>
      </c>
      <c r="J273" s="237" t="s">
        <v>410</v>
      </c>
      <c r="K273" s="237" t="s">
        <v>410</v>
      </c>
      <c r="L273" s="237" t="s">
        <v>410</v>
      </c>
      <c r="M273" s="237" t="s">
        <v>410</v>
      </c>
      <c r="N273" s="237" t="s">
        <v>410</v>
      </c>
      <c r="O273" s="237" t="s">
        <v>410</v>
      </c>
      <c r="P273" s="237" t="s">
        <v>410</v>
      </c>
      <c r="Q273" s="237" t="s">
        <v>410</v>
      </c>
      <c r="R273" s="237" t="s">
        <v>410</v>
      </c>
      <c r="S273" s="237" t="s">
        <v>410</v>
      </c>
      <c r="T273" s="237" t="s">
        <v>410</v>
      </c>
    </row>
    <row r="274" spans="1:20" hidden="1" outlineLevel="1" x14ac:dyDescent="0.3">
      <c r="A274" s="583" t="s">
        <v>4842</v>
      </c>
      <c r="B274" s="591">
        <v>19</v>
      </c>
      <c r="C274" s="583" t="s">
        <v>1256</v>
      </c>
      <c r="D274" s="583" t="s">
        <v>1511</v>
      </c>
      <c r="E274" s="593" t="s">
        <v>410</v>
      </c>
      <c r="F274" s="593" t="s">
        <v>4841</v>
      </c>
      <c r="G274" s="237" t="s">
        <v>410</v>
      </c>
      <c r="H274" s="237" t="s">
        <v>410</v>
      </c>
      <c r="I274" s="237" t="s">
        <v>410</v>
      </c>
      <c r="J274" s="237" t="s">
        <v>410</v>
      </c>
      <c r="K274" s="237" t="s">
        <v>410</v>
      </c>
      <c r="L274" s="237" t="s">
        <v>410</v>
      </c>
      <c r="M274" s="237" t="s">
        <v>410</v>
      </c>
      <c r="N274" s="237" t="s">
        <v>410</v>
      </c>
      <c r="O274" s="237" t="s">
        <v>410</v>
      </c>
      <c r="P274" s="237" t="s">
        <v>410</v>
      </c>
      <c r="Q274" s="237" t="s">
        <v>410</v>
      </c>
      <c r="R274" s="237" t="s">
        <v>410</v>
      </c>
      <c r="S274" s="237" t="s">
        <v>410</v>
      </c>
      <c r="T274" s="237" t="s">
        <v>410</v>
      </c>
    </row>
    <row r="275" spans="1:20" hidden="1" outlineLevel="1" x14ac:dyDescent="0.3">
      <c r="A275" s="583" t="s">
        <v>2040</v>
      </c>
      <c r="B275" s="591">
        <v>19</v>
      </c>
      <c r="C275" s="583" t="s">
        <v>1256</v>
      </c>
      <c r="D275" s="583" t="s">
        <v>1511</v>
      </c>
      <c r="E275" s="593" t="s">
        <v>410</v>
      </c>
      <c r="F275" s="593" t="s">
        <v>4867</v>
      </c>
      <c r="G275" s="593" t="s">
        <v>4868</v>
      </c>
      <c r="H275" s="237" t="s">
        <v>410</v>
      </c>
      <c r="I275" s="237" t="s">
        <v>410</v>
      </c>
      <c r="J275" s="237" t="s">
        <v>410</v>
      </c>
      <c r="K275" s="237" t="s">
        <v>410</v>
      </c>
      <c r="L275" s="237" t="s">
        <v>410</v>
      </c>
      <c r="M275" s="237" t="s">
        <v>410</v>
      </c>
      <c r="N275" s="237" t="s">
        <v>410</v>
      </c>
      <c r="O275" s="237" t="s">
        <v>410</v>
      </c>
      <c r="P275" s="237" t="s">
        <v>410</v>
      </c>
      <c r="Q275" s="237" t="s">
        <v>410</v>
      </c>
      <c r="R275" s="237" t="s">
        <v>410</v>
      </c>
      <c r="S275" s="237" t="s">
        <v>410</v>
      </c>
      <c r="T275" s="237" t="s">
        <v>410</v>
      </c>
    </row>
    <row r="276" spans="1:20" hidden="1" outlineLevel="1" x14ac:dyDescent="0.3">
      <c r="A276" s="583" t="s">
        <v>2038</v>
      </c>
      <c r="B276" s="591">
        <v>19</v>
      </c>
      <c r="C276" s="583" t="s">
        <v>1256</v>
      </c>
      <c r="D276" s="583" t="s">
        <v>1511</v>
      </c>
      <c r="E276" s="593" t="s">
        <v>410</v>
      </c>
      <c r="F276" s="593" t="s">
        <v>4841</v>
      </c>
      <c r="G276" s="237" t="s">
        <v>410</v>
      </c>
      <c r="H276" s="237" t="s">
        <v>410</v>
      </c>
      <c r="I276" s="237" t="s">
        <v>410</v>
      </c>
      <c r="J276" s="237" t="s">
        <v>410</v>
      </c>
      <c r="K276" s="237" t="s">
        <v>410</v>
      </c>
      <c r="L276" s="237" t="s">
        <v>410</v>
      </c>
      <c r="M276" s="237" t="s">
        <v>410</v>
      </c>
      <c r="N276" s="237" t="s">
        <v>410</v>
      </c>
      <c r="O276" s="237" t="s">
        <v>410</v>
      </c>
      <c r="P276" s="237" t="s">
        <v>410</v>
      </c>
      <c r="Q276" s="237" t="s">
        <v>410</v>
      </c>
      <c r="R276" s="237" t="s">
        <v>410</v>
      </c>
      <c r="S276" s="237" t="s">
        <v>410</v>
      </c>
      <c r="T276" s="237" t="s">
        <v>410</v>
      </c>
    </row>
    <row r="277" spans="1:20" hidden="1" outlineLevel="1" x14ac:dyDescent="0.3">
      <c r="A277" s="583" t="s">
        <v>4819</v>
      </c>
      <c r="B277" s="591">
        <v>22</v>
      </c>
      <c r="C277" s="583" t="s">
        <v>1256</v>
      </c>
      <c r="D277" s="583" t="s">
        <v>1511</v>
      </c>
      <c r="E277" s="593" t="s">
        <v>410</v>
      </c>
      <c r="F277" s="593" t="s">
        <v>4820</v>
      </c>
      <c r="G277" s="237" t="s">
        <v>410</v>
      </c>
      <c r="H277" s="237" t="s">
        <v>410</v>
      </c>
      <c r="I277" s="237" t="s">
        <v>410</v>
      </c>
      <c r="J277" s="237" t="s">
        <v>410</v>
      </c>
      <c r="K277" s="237" t="s">
        <v>410</v>
      </c>
      <c r="L277" s="237" t="s">
        <v>410</v>
      </c>
      <c r="M277" s="237" t="s">
        <v>410</v>
      </c>
      <c r="N277" s="237" t="s">
        <v>410</v>
      </c>
      <c r="O277" s="237" t="s">
        <v>410</v>
      </c>
      <c r="P277" s="237" t="s">
        <v>410</v>
      </c>
      <c r="Q277" s="237" t="s">
        <v>410</v>
      </c>
      <c r="R277" s="237" t="s">
        <v>410</v>
      </c>
      <c r="S277" s="237" t="s">
        <v>410</v>
      </c>
      <c r="T277" s="237" t="s">
        <v>410</v>
      </c>
    </row>
    <row r="278" spans="1:20" ht="13.5" hidden="1" customHeight="1" outlineLevel="1" x14ac:dyDescent="0.3">
      <c r="A278" s="583" t="s">
        <v>2067</v>
      </c>
      <c r="B278" s="591">
        <v>0</v>
      </c>
      <c r="C278" s="588" t="s">
        <v>1564</v>
      </c>
      <c r="D278" s="588" t="s">
        <v>1511</v>
      </c>
      <c r="E278" s="595"/>
      <c r="F278" s="9" t="s">
        <v>410</v>
      </c>
      <c r="G278" s="9" t="s">
        <v>410</v>
      </c>
      <c r="H278" s="9" t="s">
        <v>410</v>
      </c>
      <c r="I278" s="9" t="s">
        <v>410</v>
      </c>
      <c r="J278" s="9" t="s">
        <v>410</v>
      </c>
      <c r="K278" s="9" t="s">
        <v>410</v>
      </c>
      <c r="L278" s="9" t="s">
        <v>410</v>
      </c>
      <c r="M278" s="9" t="s">
        <v>410</v>
      </c>
      <c r="N278" s="9" t="s">
        <v>410</v>
      </c>
      <c r="O278" s="9" t="s">
        <v>410</v>
      </c>
      <c r="P278" s="9" t="s">
        <v>410</v>
      </c>
      <c r="Q278" s="9" t="s">
        <v>410</v>
      </c>
      <c r="R278" s="9" t="s">
        <v>410</v>
      </c>
      <c r="S278" s="9" t="s">
        <v>410</v>
      </c>
      <c r="T278" s="9" t="s">
        <v>410</v>
      </c>
    </row>
    <row r="279" spans="1:20" hidden="1" outlineLevel="1" x14ac:dyDescent="0.3">
      <c r="A279" s="583" t="s">
        <v>1625</v>
      </c>
      <c r="B279" s="591">
        <v>0</v>
      </c>
      <c r="C279" s="588" t="s">
        <v>1564</v>
      </c>
      <c r="D279" s="588" t="s">
        <v>1511</v>
      </c>
      <c r="E279" s="460"/>
      <c r="F279" s="441" t="s">
        <v>410</v>
      </c>
      <c r="G279" s="441" t="s">
        <v>410</v>
      </c>
      <c r="H279" s="441" t="s">
        <v>410</v>
      </c>
      <c r="I279" s="441" t="s">
        <v>410</v>
      </c>
      <c r="J279" s="441" t="s">
        <v>410</v>
      </c>
      <c r="K279" s="441" t="s">
        <v>410</v>
      </c>
      <c r="L279" s="441" t="s">
        <v>410</v>
      </c>
      <c r="M279" s="441" t="s">
        <v>410</v>
      </c>
      <c r="N279" s="441" t="s">
        <v>410</v>
      </c>
      <c r="O279" s="441" t="s">
        <v>410</v>
      </c>
      <c r="P279" s="441" t="s">
        <v>410</v>
      </c>
      <c r="Q279" s="441" t="s">
        <v>410</v>
      </c>
      <c r="R279" s="441" t="s">
        <v>410</v>
      </c>
      <c r="S279" s="441" t="s">
        <v>410</v>
      </c>
      <c r="T279" s="441" t="s">
        <v>410</v>
      </c>
    </row>
    <row r="280" spans="1:20" hidden="1" outlineLevel="1" x14ac:dyDescent="0.3">
      <c r="A280" s="583" t="s">
        <v>2066</v>
      </c>
      <c r="B280" s="591">
        <v>0</v>
      </c>
      <c r="C280" s="583" t="s">
        <v>1564</v>
      </c>
      <c r="D280" s="583" t="s">
        <v>1511</v>
      </c>
      <c r="F280" t="s">
        <v>410</v>
      </c>
      <c r="G280" t="s">
        <v>410</v>
      </c>
      <c r="H280" t="s">
        <v>410</v>
      </c>
      <c r="I280" t="s">
        <v>410</v>
      </c>
      <c r="J280" t="s">
        <v>410</v>
      </c>
      <c r="K280" t="s">
        <v>410</v>
      </c>
      <c r="L280" t="s">
        <v>410</v>
      </c>
      <c r="M280" t="s">
        <v>410</v>
      </c>
      <c r="N280" t="s">
        <v>410</v>
      </c>
      <c r="O280" t="s">
        <v>410</v>
      </c>
      <c r="P280" t="s">
        <v>410</v>
      </c>
      <c r="Q280" t="s">
        <v>410</v>
      </c>
      <c r="R280" t="s">
        <v>410</v>
      </c>
      <c r="S280" t="s">
        <v>410</v>
      </c>
      <c r="T280" t="s">
        <v>410</v>
      </c>
    </row>
    <row r="281" spans="1:20" collapsed="1" x14ac:dyDescent="0.3">
      <c r="A281" s="583" t="s">
        <v>1478</v>
      </c>
      <c r="B281" s="591">
        <v>1</v>
      </c>
      <c r="C281" s="588" t="s">
        <v>1256</v>
      </c>
      <c r="D281" s="588" t="s">
        <v>1480</v>
      </c>
      <c r="E281" s="589" t="s">
        <v>410</v>
      </c>
      <c r="F281" s="590" t="s">
        <v>2117</v>
      </c>
      <c r="G281" s="590" t="s">
        <v>2118</v>
      </c>
      <c r="H281" s="590" t="s">
        <v>2119</v>
      </c>
      <c r="I281" s="590" t="s">
        <v>2120</v>
      </c>
      <c r="J281" s="590" t="s">
        <v>2121</v>
      </c>
      <c r="K281" s="590" t="s">
        <v>2122</v>
      </c>
      <c r="L281" s="441" t="s">
        <v>410</v>
      </c>
      <c r="M281" s="441" t="s">
        <v>410</v>
      </c>
      <c r="N281" s="441" t="s">
        <v>410</v>
      </c>
      <c r="O281" s="441" t="s">
        <v>410</v>
      </c>
      <c r="P281" s="441" t="s">
        <v>410</v>
      </c>
      <c r="Q281" s="441" t="s">
        <v>410</v>
      </c>
      <c r="R281" s="441" t="s">
        <v>410</v>
      </c>
      <c r="S281" s="441" t="s">
        <v>410</v>
      </c>
      <c r="T281" s="441" t="s">
        <v>410</v>
      </c>
    </row>
    <row r="282" spans="1:20" hidden="1" outlineLevel="1" x14ac:dyDescent="0.3">
      <c r="A282" s="583" t="s">
        <v>5054</v>
      </c>
      <c r="B282" s="591">
        <v>1</v>
      </c>
      <c r="C282" s="588" t="s">
        <v>1256</v>
      </c>
      <c r="D282" s="588" t="s">
        <v>1480</v>
      </c>
      <c r="E282" s="589" t="s">
        <v>410</v>
      </c>
      <c r="F282" s="590" t="s">
        <v>67</v>
      </c>
      <c r="G282" s="590" t="s">
        <v>68</v>
      </c>
      <c r="H282" s="590" t="s">
        <v>70</v>
      </c>
      <c r="I282" s="590" t="s">
        <v>72</v>
      </c>
      <c r="J282" s="441" t="s">
        <v>410</v>
      </c>
      <c r="K282" s="441" t="s">
        <v>410</v>
      </c>
      <c r="L282" s="441" t="s">
        <v>410</v>
      </c>
      <c r="M282" s="441" t="s">
        <v>410</v>
      </c>
      <c r="N282" s="441" t="s">
        <v>410</v>
      </c>
      <c r="O282" s="441" t="s">
        <v>410</v>
      </c>
      <c r="P282" s="441" t="s">
        <v>410</v>
      </c>
      <c r="Q282" s="441" t="s">
        <v>410</v>
      </c>
      <c r="R282" s="441" t="s">
        <v>410</v>
      </c>
      <c r="S282" s="441" t="s">
        <v>410</v>
      </c>
      <c r="T282" s="441" t="s">
        <v>410</v>
      </c>
    </row>
    <row r="283" spans="1:20" hidden="1" outlineLevel="1" x14ac:dyDescent="0.3">
      <c r="A283" s="583" t="s">
        <v>5055</v>
      </c>
      <c r="B283" s="591">
        <v>1</v>
      </c>
      <c r="C283" s="588" t="s">
        <v>1256</v>
      </c>
      <c r="D283" s="588" t="s">
        <v>1480</v>
      </c>
      <c r="E283" s="589" t="s">
        <v>410</v>
      </c>
      <c r="F283" s="590" t="s">
        <v>67</v>
      </c>
      <c r="G283" s="590" t="s">
        <v>68</v>
      </c>
      <c r="H283" s="590" t="s">
        <v>70</v>
      </c>
      <c r="I283" s="590" t="s">
        <v>72</v>
      </c>
      <c r="J283" s="590" t="s">
        <v>74</v>
      </c>
      <c r="K283" s="441" t="s">
        <v>410</v>
      </c>
      <c r="L283" s="441" t="s">
        <v>410</v>
      </c>
      <c r="M283" s="441" t="s">
        <v>410</v>
      </c>
      <c r="N283" s="441" t="s">
        <v>410</v>
      </c>
      <c r="O283" s="441" t="s">
        <v>410</v>
      </c>
      <c r="P283" s="441" t="s">
        <v>410</v>
      </c>
      <c r="Q283" s="441" t="s">
        <v>410</v>
      </c>
      <c r="R283" s="441" t="s">
        <v>410</v>
      </c>
      <c r="S283" s="441" t="s">
        <v>410</v>
      </c>
      <c r="T283" s="441" t="s">
        <v>410</v>
      </c>
    </row>
    <row r="284" spans="1:20" hidden="1" outlineLevel="1" x14ac:dyDescent="0.3">
      <c r="A284" s="583" t="s">
        <v>1662</v>
      </c>
      <c r="B284" s="591">
        <v>1</v>
      </c>
      <c r="C284" s="583" t="s">
        <v>1256</v>
      </c>
      <c r="D284" s="583" t="s">
        <v>1480</v>
      </c>
      <c r="E284" s="592" t="s">
        <v>410</v>
      </c>
      <c r="F284" s="593" t="s">
        <v>5577</v>
      </c>
      <c r="G284" s="593" t="s">
        <v>5578</v>
      </c>
      <c r="H284" s="593" t="s">
        <v>5579</v>
      </c>
      <c r="I284" s="593" t="s">
        <v>5684</v>
      </c>
      <c r="J284" s="593" t="s">
        <v>5580</v>
      </c>
      <c r="K284" s="593" t="s">
        <v>5685</v>
      </c>
      <c r="L284" s="237" t="s">
        <v>410</v>
      </c>
      <c r="M284" s="237" t="s">
        <v>410</v>
      </c>
      <c r="N284" s="237" t="s">
        <v>410</v>
      </c>
      <c r="O284" s="237" t="s">
        <v>410</v>
      </c>
      <c r="P284" s="237" t="s">
        <v>410</v>
      </c>
      <c r="Q284" s="237" t="s">
        <v>410</v>
      </c>
      <c r="R284" s="237" t="s">
        <v>410</v>
      </c>
      <c r="S284" s="10" t="s">
        <v>410</v>
      </c>
      <c r="T284" s="10" t="s">
        <v>410</v>
      </c>
    </row>
    <row r="285" spans="1:20" hidden="1" outlineLevel="1" x14ac:dyDescent="0.3">
      <c r="A285" s="583" t="s">
        <v>5056</v>
      </c>
      <c r="B285" s="591">
        <v>1</v>
      </c>
      <c r="C285" s="583" t="s">
        <v>1256</v>
      </c>
      <c r="D285" s="583" t="s">
        <v>1480</v>
      </c>
      <c r="E285" s="592" t="s">
        <v>410</v>
      </c>
      <c r="F285" s="593" t="s">
        <v>67</v>
      </c>
      <c r="G285" s="593" t="s">
        <v>68</v>
      </c>
      <c r="H285" s="593" t="s">
        <v>70</v>
      </c>
      <c r="I285" s="593" t="s">
        <v>72</v>
      </c>
      <c r="J285" s="237" t="s">
        <v>410</v>
      </c>
      <c r="K285" s="237" t="s">
        <v>410</v>
      </c>
      <c r="L285" s="237" t="s">
        <v>410</v>
      </c>
      <c r="M285" s="237" t="s">
        <v>410</v>
      </c>
      <c r="N285" s="237" t="s">
        <v>410</v>
      </c>
      <c r="O285" s="237" t="s">
        <v>410</v>
      </c>
      <c r="P285" s="237" t="s">
        <v>410</v>
      </c>
      <c r="Q285" s="237" t="s">
        <v>410</v>
      </c>
      <c r="R285" s="237" t="s">
        <v>410</v>
      </c>
      <c r="S285" s="10" t="s">
        <v>410</v>
      </c>
      <c r="T285" s="10" t="s">
        <v>410</v>
      </c>
    </row>
    <row r="286" spans="1:20" hidden="1" outlineLevel="1" x14ac:dyDescent="0.3">
      <c r="A286" s="583" t="s">
        <v>1767</v>
      </c>
      <c r="B286" s="591">
        <v>1</v>
      </c>
      <c r="C286" s="583" t="s">
        <v>1256</v>
      </c>
      <c r="D286" s="583" t="s">
        <v>1480</v>
      </c>
      <c r="E286" s="593" t="s">
        <v>3250</v>
      </c>
      <c r="F286" s="593" t="s">
        <v>3251</v>
      </c>
      <c r="G286" s="593" t="s">
        <v>3252</v>
      </c>
      <c r="H286" s="593" t="s">
        <v>3253</v>
      </c>
      <c r="I286" s="593" t="s">
        <v>3254</v>
      </c>
      <c r="J286" s="593" t="s">
        <v>410</v>
      </c>
      <c r="K286" s="237" t="s">
        <v>410</v>
      </c>
      <c r="L286" s="237" t="s">
        <v>410</v>
      </c>
      <c r="M286" s="237" t="s">
        <v>410</v>
      </c>
      <c r="N286" s="237" t="s">
        <v>410</v>
      </c>
      <c r="O286" s="237" t="s">
        <v>410</v>
      </c>
      <c r="P286" s="237" t="s">
        <v>410</v>
      </c>
      <c r="Q286" s="237" t="s">
        <v>410</v>
      </c>
      <c r="R286" s="237" t="s">
        <v>410</v>
      </c>
      <c r="S286" s="10" t="s">
        <v>410</v>
      </c>
      <c r="T286" s="10" t="s">
        <v>410</v>
      </c>
    </row>
    <row r="287" spans="1:20" hidden="1" outlineLevel="1" x14ac:dyDescent="0.3">
      <c r="A287" s="583" t="s">
        <v>1769</v>
      </c>
      <c r="B287" s="591">
        <v>1</v>
      </c>
      <c r="C287" s="583" t="s">
        <v>1256</v>
      </c>
      <c r="D287" s="583" t="s">
        <v>1480</v>
      </c>
      <c r="E287" s="592" t="s">
        <v>410</v>
      </c>
      <c r="F287" s="592" t="s">
        <v>5026</v>
      </c>
      <c r="G287" s="237" t="s">
        <v>410</v>
      </c>
      <c r="H287" s="237" t="s">
        <v>410</v>
      </c>
      <c r="I287" s="237" t="s">
        <v>410</v>
      </c>
      <c r="J287" s="237" t="s">
        <v>410</v>
      </c>
      <c r="K287" s="237" t="s">
        <v>410</v>
      </c>
      <c r="L287" s="237" t="s">
        <v>410</v>
      </c>
      <c r="M287" s="237" t="s">
        <v>410</v>
      </c>
      <c r="N287" s="237" t="s">
        <v>410</v>
      </c>
      <c r="O287" s="237" t="s">
        <v>410</v>
      </c>
      <c r="P287" s="237" t="s">
        <v>410</v>
      </c>
      <c r="Q287" s="237" t="s">
        <v>410</v>
      </c>
      <c r="R287" s="237" t="s">
        <v>410</v>
      </c>
      <c r="S287" s="10" t="s">
        <v>410</v>
      </c>
      <c r="T287" s="10" t="s">
        <v>410</v>
      </c>
    </row>
    <row r="288" spans="1:20" hidden="1" outlineLevel="1" x14ac:dyDescent="0.3">
      <c r="A288" s="583" t="s">
        <v>1898</v>
      </c>
      <c r="B288" s="591">
        <v>1</v>
      </c>
      <c r="C288" s="583" t="s">
        <v>1256</v>
      </c>
      <c r="D288" s="583" t="s">
        <v>1480</v>
      </c>
      <c r="E288" s="592" t="s">
        <v>410</v>
      </c>
      <c r="F288" s="593" t="s">
        <v>1839</v>
      </c>
      <c r="G288" s="593" t="s">
        <v>1847</v>
      </c>
      <c r="H288" s="593" t="s">
        <v>2960</v>
      </c>
      <c r="I288" s="593" t="s">
        <v>1899</v>
      </c>
      <c r="J288" s="237" t="s">
        <v>410</v>
      </c>
      <c r="K288" s="237" t="s">
        <v>410</v>
      </c>
      <c r="L288" s="237" t="s">
        <v>410</v>
      </c>
      <c r="M288" s="237" t="s">
        <v>410</v>
      </c>
      <c r="N288" s="237" t="s">
        <v>410</v>
      </c>
      <c r="O288" s="237" t="s">
        <v>410</v>
      </c>
      <c r="P288" s="237" t="s">
        <v>410</v>
      </c>
      <c r="Q288" s="237" t="s">
        <v>410</v>
      </c>
      <c r="R288" s="237" t="s">
        <v>410</v>
      </c>
      <c r="S288" s="10" t="s">
        <v>410</v>
      </c>
      <c r="T288" s="10" t="s">
        <v>410</v>
      </c>
    </row>
    <row r="289" spans="1:20" hidden="1" outlineLevel="1" x14ac:dyDescent="0.3">
      <c r="A289" s="583" t="s">
        <v>5057</v>
      </c>
      <c r="B289" s="591">
        <v>1</v>
      </c>
      <c r="C289" s="583" t="s">
        <v>1256</v>
      </c>
      <c r="D289" s="583" t="s">
        <v>1480</v>
      </c>
      <c r="E289" s="592" t="s">
        <v>410</v>
      </c>
      <c r="F289" s="593" t="s">
        <v>5027</v>
      </c>
      <c r="G289" s="237" t="s">
        <v>410</v>
      </c>
      <c r="H289" s="237" t="s">
        <v>410</v>
      </c>
      <c r="I289" s="237" t="s">
        <v>410</v>
      </c>
      <c r="J289" s="237" t="s">
        <v>410</v>
      </c>
      <c r="K289" s="237" t="s">
        <v>410</v>
      </c>
      <c r="L289" s="237" t="s">
        <v>410</v>
      </c>
      <c r="M289" s="237" t="s">
        <v>410</v>
      </c>
      <c r="N289" s="237" t="s">
        <v>410</v>
      </c>
      <c r="O289" s="237" t="s">
        <v>410</v>
      </c>
      <c r="P289" s="237" t="s">
        <v>410</v>
      </c>
      <c r="Q289" s="237" t="s">
        <v>410</v>
      </c>
      <c r="R289" s="237" t="s">
        <v>410</v>
      </c>
      <c r="S289" s="10" t="s">
        <v>410</v>
      </c>
      <c r="T289" s="10" t="s">
        <v>410</v>
      </c>
    </row>
    <row r="290" spans="1:20" hidden="1" outlineLevel="1" x14ac:dyDescent="0.3">
      <c r="A290" s="583" t="s">
        <v>5058</v>
      </c>
      <c r="B290" s="591">
        <v>1</v>
      </c>
      <c r="C290" s="583" t="s">
        <v>1256</v>
      </c>
      <c r="D290" s="583" t="s">
        <v>1480</v>
      </c>
      <c r="E290" s="592" t="s">
        <v>410</v>
      </c>
      <c r="F290" s="593" t="s">
        <v>67</v>
      </c>
      <c r="G290" s="590" t="s">
        <v>68</v>
      </c>
      <c r="H290" s="590" t="s">
        <v>70</v>
      </c>
      <c r="I290" s="590" t="s">
        <v>72</v>
      </c>
      <c r="J290" s="590" t="s">
        <v>74</v>
      </c>
      <c r="K290" s="237" t="s">
        <v>410</v>
      </c>
      <c r="L290" s="237" t="s">
        <v>410</v>
      </c>
      <c r="M290" s="237" t="s">
        <v>410</v>
      </c>
      <c r="N290" s="237" t="s">
        <v>410</v>
      </c>
      <c r="O290" s="237" t="s">
        <v>410</v>
      </c>
      <c r="P290" s="237" t="s">
        <v>410</v>
      </c>
      <c r="Q290" s="237" t="s">
        <v>410</v>
      </c>
      <c r="R290" s="237" t="s">
        <v>410</v>
      </c>
      <c r="S290" s="10" t="s">
        <v>410</v>
      </c>
      <c r="T290" s="10" t="s">
        <v>410</v>
      </c>
    </row>
    <row r="291" spans="1:20" hidden="1" outlineLevel="1" x14ac:dyDescent="0.3">
      <c r="A291" s="583" t="s">
        <v>1982</v>
      </c>
      <c r="B291" s="591">
        <v>1</v>
      </c>
      <c r="C291" s="583" t="s">
        <v>1256</v>
      </c>
      <c r="D291" s="583" t="s">
        <v>1480</v>
      </c>
      <c r="E291" s="593" t="s">
        <v>410</v>
      </c>
      <c r="F291" s="593" t="s">
        <v>4343</v>
      </c>
      <c r="G291" s="593" t="s">
        <v>4344</v>
      </c>
      <c r="H291" s="593" t="s">
        <v>4345</v>
      </c>
      <c r="I291" s="593" t="s">
        <v>4346</v>
      </c>
      <c r="J291" s="593" t="s">
        <v>4347</v>
      </c>
      <c r="K291" s="593" t="s">
        <v>4348</v>
      </c>
      <c r="L291" s="237" t="s">
        <v>410</v>
      </c>
      <c r="M291" s="237" t="s">
        <v>410</v>
      </c>
      <c r="N291" s="237" t="s">
        <v>410</v>
      </c>
      <c r="O291" s="237" t="s">
        <v>410</v>
      </c>
      <c r="P291" s="237" t="s">
        <v>410</v>
      </c>
      <c r="Q291" s="237" t="s">
        <v>410</v>
      </c>
      <c r="R291" s="237" t="s">
        <v>410</v>
      </c>
      <c r="S291" s="237" t="s">
        <v>410</v>
      </c>
      <c r="T291" s="237" t="s">
        <v>410</v>
      </c>
    </row>
    <row r="292" spans="1:20" hidden="1" outlineLevel="1" x14ac:dyDescent="0.3">
      <c r="A292" s="583" t="s">
        <v>1996</v>
      </c>
      <c r="B292" s="591">
        <v>1</v>
      </c>
      <c r="C292" s="583" t="s">
        <v>1256</v>
      </c>
      <c r="D292" s="583" t="s">
        <v>1480</v>
      </c>
      <c r="E292" s="593" t="s">
        <v>410</v>
      </c>
      <c r="F292" s="593" t="s">
        <v>2322</v>
      </c>
      <c r="G292" s="593" t="s">
        <v>2326</v>
      </c>
      <c r="H292" s="593" t="s">
        <v>2327</v>
      </c>
      <c r="I292" s="593" t="s">
        <v>2330</v>
      </c>
      <c r="J292" s="593" t="s">
        <v>2333</v>
      </c>
      <c r="K292" s="593" t="s">
        <v>2335</v>
      </c>
      <c r="L292" s="593" t="s">
        <v>2339</v>
      </c>
      <c r="M292" s="593" t="s">
        <v>2340</v>
      </c>
      <c r="N292" s="237" t="s">
        <v>410</v>
      </c>
      <c r="O292" s="237" t="s">
        <v>410</v>
      </c>
      <c r="P292" s="237" t="s">
        <v>410</v>
      </c>
      <c r="Q292" s="237" t="s">
        <v>410</v>
      </c>
      <c r="R292" s="237" t="s">
        <v>410</v>
      </c>
      <c r="S292" s="237" t="s">
        <v>410</v>
      </c>
      <c r="T292" s="237" t="s">
        <v>410</v>
      </c>
    </row>
    <row r="293" spans="1:20" hidden="1" outlineLevel="1" x14ac:dyDescent="0.3">
      <c r="A293" s="583" t="s">
        <v>5059</v>
      </c>
      <c r="B293" s="591">
        <v>1</v>
      </c>
      <c r="C293" s="583" t="s">
        <v>1256</v>
      </c>
      <c r="D293" s="583" t="s">
        <v>1480</v>
      </c>
      <c r="E293" s="593" t="s">
        <v>410</v>
      </c>
      <c r="F293" s="593" t="s">
        <v>5028</v>
      </c>
      <c r="G293" s="593" t="s">
        <v>5029</v>
      </c>
      <c r="H293" s="593" t="s">
        <v>5030</v>
      </c>
      <c r="I293" s="593" t="s">
        <v>5031</v>
      </c>
      <c r="J293" s="593" t="s">
        <v>5032</v>
      </c>
      <c r="K293" s="237" t="s">
        <v>410</v>
      </c>
      <c r="L293" s="237" t="s">
        <v>410</v>
      </c>
      <c r="M293" s="237" t="s">
        <v>410</v>
      </c>
      <c r="N293" s="237" t="s">
        <v>410</v>
      </c>
      <c r="O293" s="237" t="s">
        <v>410</v>
      </c>
      <c r="P293" s="237" t="s">
        <v>410</v>
      </c>
      <c r="Q293" s="237" t="s">
        <v>410</v>
      </c>
      <c r="R293" s="237" t="s">
        <v>410</v>
      </c>
      <c r="S293" s="237" t="s">
        <v>410</v>
      </c>
      <c r="T293" s="237" t="s">
        <v>410</v>
      </c>
    </row>
    <row r="294" spans="1:20" hidden="1" outlineLevel="1" x14ac:dyDescent="0.3">
      <c r="A294" s="583" t="s">
        <v>5486</v>
      </c>
      <c r="B294" s="591">
        <v>2</v>
      </c>
      <c r="C294" s="583" t="s">
        <v>1256</v>
      </c>
      <c r="D294" s="583" t="s">
        <v>1480</v>
      </c>
      <c r="E294" s="592" t="s">
        <v>410</v>
      </c>
      <c r="F294" s="593" t="s">
        <v>5487</v>
      </c>
      <c r="G294" s="593" t="s">
        <v>5488</v>
      </c>
      <c r="H294" s="593" t="s">
        <v>5489</v>
      </c>
      <c r="I294" s="593" t="s">
        <v>5490</v>
      </c>
      <c r="J294" s="593" t="s">
        <v>5491</v>
      </c>
      <c r="K294" s="237" t="s">
        <v>410</v>
      </c>
      <c r="L294" s="237" t="s">
        <v>410</v>
      </c>
      <c r="M294" s="237" t="s">
        <v>410</v>
      </c>
      <c r="N294" s="237" t="s">
        <v>410</v>
      </c>
      <c r="O294" s="237" t="s">
        <v>410</v>
      </c>
      <c r="P294" s="237" t="s">
        <v>410</v>
      </c>
      <c r="Q294" s="237" t="s">
        <v>410</v>
      </c>
      <c r="R294" s="237" t="s">
        <v>410</v>
      </c>
      <c r="S294" s="10" t="s">
        <v>410</v>
      </c>
      <c r="T294" s="10" t="s">
        <v>410</v>
      </c>
    </row>
    <row r="295" spans="1:20" hidden="1" outlineLevel="1" x14ac:dyDescent="0.3">
      <c r="A295" s="583" t="s">
        <v>1945</v>
      </c>
      <c r="B295" s="591">
        <v>2</v>
      </c>
      <c r="C295" s="583" t="s">
        <v>1256</v>
      </c>
      <c r="D295" s="583" t="s">
        <v>1480</v>
      </c>
      <c r="E295" s="593" t="s">
        <v>410</v>
      </c>
      <c r="F295" s="593" t="s">
        <v>3243</v>
      </c>
      <c r="G295" s="593" t="s">
        <v>4027</v>
      </c>
      <c r="H295" s="593" t="s">
        <v>4028</v>
      </c>
      <c r="I295" s="593" t="s">
        <v>4029</v>
      </c>
      <c r="J295" s="593" t="s">
        <v>4030</v>
      </c>
      <c r="K295" s="593" t="s">
        <v>4031</v>
      </c>
      <c r="L295" s="593" t="s">
        <v>410</v>
      </c>
      <c r="M295" s="593" t="s">
        <v>410</v>
      </c>
      <c r="N295" s="237" t="s">
        <v>410</v>
      </c>
      <c r="O295" s="237" t="s">
        <v>410</v>
      </c>
      <c r="P295" s="237" t="s">
        <v>410</v>
      </c>
      <c r="Q295" s="237" t="s">
        <v>410</v>
      </c>
      <c r="R295" s="237" t="s">
        <v>410</v>
      </c>
      <c r="S295" s="237" t="s">
        <v>410</v>
      </c>
      <c r="T295" s="237" t="s">
        <v>410</v>
      </c>
    </row>
    <row r="296" spans="1:20" hidden="1" outlineLevel="1" x14ac:dyDescent="0.3">
      <c r="A296" s="583" t="s">
        <v>1852</v>
      </c>
      <c r="B296" s="591">
        <v>5</v>
      </c>
      <c r="C296" s="583" t="s">
        <v>1256</v>
      </c>
      <c r="D296" s="583" t="s">
        <v>1480</v>
      </c>
      <c r="E296" s="592" t="s">
        <v>410</v>
      </c>
      <c r="F296" s="593" t="s">
        <v>3230</v>
      </c>
      <c r="G296" s="593" t="s">
        <v>3231</v>
      </c>
      <c r="H296" s="593" t="s">
        <v>3232</v>
      </c>
      <c r="I296" s="593" t="s">
        <v>3233</v>
      </c>
      <c r="J296" s="593" t="s">
        <v>3234</v>
      </c>
      <c r="K296" s="237" t="s">
        <v>410</v>
      </c>
      <c r="L296" s="237" t="s">
        <v>410</v>
      </c>
      <c r="M296" s="237" t="s">
        <v>410</v>
      </c>
      <c r="N296" s="237" t="s">
        <v>410</v>
      </c>
      <c r="O296" s="237" t="s">
        <v>410</v>
      </c>
      <c r="P296" s="237" t="s">
        <v>410</v>
      </c>
      <c r="Q296" s="237" t="s">
        <v>410</v>
      </c>
      <c r="R296" s="237" t="s">
        <v>410</v>
      </c>
      <c r="S296" s="10" t="s">
        <v>410</v>
      </c>
      <c r="T296" s="10" t="s">
        <v>410</v>
      </c>
    </row>
    <row r="297" spans="1:20" hidden="1" outlineLevel="1" x14ac:dyDescent="0.3">
      <c r="A297" s="583" t="s">
        <v>1479</v>
      </c>
      <c r="B297" s="591">
        <v>6</v>
      </c>
      <c r="C297" s="588" t="s">
        <v>1256</v>
      </c>
      <c r="D297" s="588" t="s">
        <v>1480</v>
      </c>
      <c r="E297" s="589" t="s">
        <v>410</v>
      </c>
      <c r="F297" s="590" t="s">
        <v>1481</v>
      </c>
      <c r="G297" s="590" t="s">
        <v>1482</v>
      </c>
      <c r="H297" s="590" t="s">
        <v>3432</v>
      </c>
      <c r="I297" s="590" t="s">
        <v>3433</v>
      </c>
      <c r="J297" s="590" t="s">
        <v>3434</v>
      </c>
      <c r="K297" s="590" t="s">
        <v>3435</v>
      </c>
      <c r="L297" s="441" t="s">
        <v>410</v>
      </c>
      <c r="M297" s="441" t="s">
        <v>410</v>
      </c>
      <c r="N297" s="441" t="s">
        <v>410</v>
      </c>
      <c r="O297" s="441" t="s">
        <v>410</v>
      </c>
      <c r="P297" s="441" t="s">
        <v>410</v>
      </c>
      <c r="Q297" s="441" t="s">
        <v>410</v>
      </c>
      <c r="R297" s="441" t="s">
        <v>410</v>
      </c>
      <c r="S297" s="441" t="s">
        <v>410</v>
      </c>
      <c r="T297" s="441" t="s">
        <v>410</v>
      </c>
    </row>
    <row r="298" spans="1:20" hidden="1" outlineLevel="1" x14ac:dyDescent="0.3">
      <c r="A298" s="583" t="s">
        <v>5688</v>
      </c>
      <c r="B298" s="591">
        <v>6</v>
      </c>
      <c r="C298" s="588" t="s">
        <v>1256</v>
      </c>
      <c r="D298" s="588" t="s">
        <v>1480</v>
      </c>
      <c r="E298" s="589" t="s">
        <v>410</v>
      </c>
      <c r="F298" s="590" t="s">
        <v>5691</v>
      </c>
      <c r="G298" s="590" t="s">
        <v>5689</v>
      </c>
      <c r="H298" s="590" t="s">
        <v>5690</v>
      </c>
      <c r="I298" s="589" t="s">
        <v>410</v>
      </c>
      <c r="J298" s="441" t="s">
        <v>410</v>
      </c>
      <c r="K298" s="441" t="s">
        <v>410</v>
      </c>
      <c r="L298" s="441" t="s">
        <v>410</v>
      </c>
      <c r="M298" s="441" t="s">
        <v>410</v>
      </c>
      <c r="N298" s="441" t="s">
        <v>410</v>
      </c>
      <c r="O298" s="441" t="s">
        <v>410</v>
      </c>
      <c r="P298" s="441" t="s">
        <v>410</v>
      </c>
      <c r="Q298" s="441" t="s">
        <v>410</v>
      </c>
      <c r="R298" s="441" t="s">
        <v>410</v>
      </c>
      <c r="S298" s="441" t="s">
        <v>410</v>
      </c>
      <c r="T298" s="441" t="s">
        <v>410</v>
      </c>
    </row>
    <row r="299" spans="1:20" ht="14.25" hidden="1" customHeight="1" outlineLevel="1" x14ac:dyDescent="0.3">
      <c r="A299" s="583" t="s">
        <v>1608</v>
      </c>
      <c r="B299" s="591">
        <v>6</v>
      </c>
      <c r="C299" s="588" t="s">
        <v>1256</v>
      </c>
      <c r="D299" s="588" t="s">
        <v>1480</v>
      </c>
      <c r="E299" s="589" t="s">
        <v>410</v>
      </c>
      <c r="F299" s="593" t="s">
        <v>2142</v>
      </c>
      <c r="G299" s="593" t="s">
        <v>2145</v>
      </c>
      <c r="H299" s="593" t="s">
        <v>2146</v>
      </c>
      <c r="I299" s="593" t="s">
        <v>2147</v>
      </c>
      <c r="J299" s="593" t="s">
        <v>2148</v>
      </c>
      <c r="K299" s="593" t="s">
        <v>2149</v>
      </c>
      <c r="L299" s="441" t="s">
        <v>410</v>
      </c>
      <c r="M299" s="441" t="s">
        <v>410</v>
      </c>
      <c r="N299" s="441" t="s">
        <v>410</v>
      </c>
      <c r="O299" s="441" t="s">
        <v>410</v>
      </c>
      <c r="P299" s="441" t="s">
        <v>410</v>
      </c>
      <c r="Q299" s="441" t="s">
        <v>410</v>
      </c>
      <c r="R299" s="441" t="s">
        <v>410</v>
      </c>
      <c r="S299" s="441" t="s">
        <v>410</v>
      </c>
      <c r="T299" s="441" t="s">
        <v>410</v>
      </c>
    </row>
    <row r="300" spans="1:20" ht="14.25" hidden="1" customHeight="1" outlineLevel="1" x14ac:dyDescent="0.3">
      <c r="A300" s="583" t="s">
        <v>919</v>
      </c>
      <c r="B300" s="591">
        <v>6</v>
      </c>
      <c r="C300" s="583" t="s">
        <v>1256</v>
      </c>
      <c r="D300" s="583" t="s">
        <v>1480</v>
      </c>
      <c r="E300" s="592" t="s">
        <v>2011</v>
      </c>
      <c r="F300" s="593" t="s">
        <v>3462</v>
      </c>
      <c r="G300" s="593" t="s">
        <v>1783</v>
      </c>
      <c r="H300" s="593" t="s">
        <v>1753</v>
      </c>
      <c r="I300" s="593" t="s">
        <v>1784</v>
      </c>
      <c r="J300" s="593" t="s">
        <v>1754</v>
      </c>
      <c r="K300" s="237" t="s">
        <v>410</v>
      </c>
      <c r="L300" s="237" t="s">
        <v>410</v>
      </c>
      <c r="M300" s="237" t="s">
        <v>410</v>
      </c>
      <c r="N300" s="237" t="s">
        <v>410</v>
      </c>
      <c r="O300" s="237" t="s">
        <v>410</v>
      </c>
      <c r="P300" s="237" t="s">
        <v>410</v>
      </c>
      <c r="Q300" s="237" t="s">
        <v>410</v>
      </c>
      <c r="R300" s="237" t="s">
        <v>410</v>
      </c>
      <c r="S300" s="10" t="s">
        <v>410</v>
      </c>
      <c r="T300" s="10" t="s">
        <v>410</v>
      </c>
    </row>
    <row r="301" spans="1:20" ht="14.25" hidden="1" customHeight="1" outlineLevel="1" x14ac:dyDescent="0.3">
      <c r="A301" s="583" t="s">
        <v>5501</v>
      </c>
      <c r="B301" s="591">
        <v>6</v>
      </c>
      <c r="C301" s="583" t="s">
        <v>1256</v>
      </c>
      <c r="D301" s="583" t="s">
        <v>1480</v>
      </c>
      <c r="E301" s="592" t="s">
        <v>410</v>
      </c>
      <c r="F301" s="593" t="s">
        <v>5496</v>
      </c>
      <c r="G301" s="593" t="s">
        <v>5497</v>
      </c>
      <c r="H301" s="593" t="s">
        <v>5498</v>
      </c>
      <c r="I301" s="593" t="s">
        <v>5499</v>
      </c>
      <c r="J301" s="593" t="s">
        <v>5500</v>
      </c>
      <c r="K301" s="910" t="s">
        <v>410</v>
      </c>
      <c r="L301" s="237" t="s">
        <v>410</v>
      </c>
      <c r="M301" s="237" t="s">
        <v>410</v>
      </c>
      <c r="N301" s="237" t="s">
        <v>410</v>
      </c>
      <c r="O301" s="237" t="s">
        <v>410</v>
      </c>
      <c r="P301" s="237" t="s">
        <v>410</v>
      </c>
      <c r="Q301" s="237" t="s">
        <v>410</v>
      </c>
      <c r="R301" s="237" t="s">
        <v>410</v>
      </c>
      <c r="S301" s="10" t="s">
        <v>410</v>
      </c>
      <c r="T301" s="10" t="s">
        <v>410</v>
      </c>
    </row>
    <row r="302" spans="1:20" ht="12.75" hidden="1" customHeight="1" outlineLevel="1" x14ac:dyDescent="0.3">
      <c r="A302" s="583" t="s">
        <v>5502</v>
      </c>
      <c r="B302" s="591">
        <v>6</v>
      </c>
      <c r="C302" s="583" t="s">
        <v>1256</v>
      </c>
      <c r="D302" s="583" t="s">
        <v>1480</v>
      </c>
      <c r="E302" s="592" t="s">
        <v>410</v>
      </c>
      <c r="F302" s="593" t="s">
        <v>5496</v>
      </c>
      <c r="G302" s="593" t="s">
        <v>5497</v>
      </c>
      <c r="H302" s="593" t="s">
        <v>5498</v>
      </c>
      <c r="I302" s="593" t="s">
        <v>5499</v>
      </c>
      <c r="J302" s="593" t="s">
        <v>5500</v>
      </c>
      <c r="K302" s="910" t="s">
        <v>410</v>
      </c>
      <c r="L302" s="237" t="s">
        <v>410</v>
      </c>
      <c r="M302" s="237" t="s">
        <v>410</v>
      </c>
      <c r="N302" s="237" t="s">
        <v>410</v>
      </c>
      <c r="O302" s="237" t="s">
        <v>410</v>
      </c>
      <c r="P302" s="237" t="s">
        <v>410</v>
      </c>
      <c r="Q302" s="237" t="s">
        <v>410</v>
      </c>
      <c r="R302" s="237" t="s">
        <v>410</v>
      </c>
      <c r="S302" s="10" t="s">
        <v>410</v>
      </c>
      <c r="T302" s="10" t="s">
        <v>410</v>
      </c>
    </row>
    <row r="303" spans="1:20" hidden="1" outlineLevel="1" x14ac:dyDescent="0.3">
      <c r="A303" s="583" t="s">
        <v>5060</v>
      </c>
      <c r="B303" s="591">
        <v>8</v>
      </c>
      <c r="C303" s="588" t="s">
        <v>1256</v>
      </c>
      <c r="D303" s="588" t="s">
        <v>1480</v>
      </c>
      <c r="E303" s="589" t="s">
        <v>410</v>
      </c>
      <c r="F303" s="593" t="s">
        <v>5033</v>
      </c>
      <c r="G303" s="441" t="s">
        <v>410</v>
      </c>
      <c r="H303" s="441" t="s">
        <v>410</v>
      </c>
      <c r="I303" s="441" t="s">
        <v>410</v>
      </c>
      <c r="J303" s="441" t="s">
        <v>410</v>
      </c>
      <c r="K303" s="441" t="s">
        <v>410</v>
      </c>
      <c r="L303" s="441" t="s">
        <v>410</v>
      </c>
      <c r="M303" s="441" t="s">
        <v>410</v>
      </c>
      <c r="N303" s="441" t="s">
        <v>410</v>
      </c>
      <c r="O303" s="441" t="s">
        <v>410</v>
      </c>
      <c r="P303" s="441" t="s">
        <v>410</v>
      </c>
      <c r="Q303" s="441" t="s">
        <v>410</v>
      </c>
      <c r="R303" s="441" t="s">
        <v>410</v>
      </c>
      <c r="S303" s="441" t="s">
        <v>410</v>
      </c>
      <c r="T303" s="441" t="s">
        <v>410</v>
      </c>
    </row>
    <row r="304" spans="1:20" hidden="1" outlineLevel="1" x14ac:dyDescent="0.3">
      <c r="A304" s="583" t="s">
        <v>5061</v>
      </c>
      <c r="B304" s="591">
        <v>8</v>
      </c>
      <c r="C304" s="588" t="s">
        <v>1256</v>
      </c>
      <c r="D304" s="588" t="s">
        <v>1480</v>
      </c>
      <c r="E304" s="589" t="s">
        <v>410</v>
      </c>
      <c r="F304" s="593" t="s">
        <v>5033</v>
      </c>
      <c r="G304" s="441" t="s">
        <v>410</v>
      </c>
      <c r="H304" s="441" t="s">
        <v>410</v>
      </c>
      <c r="I304" s="441" t="s">
        <v>410</v>
      </c>
      <c r="J304" s="441" t="s">
        <v>410</v>
      </c>
      <c r="K304" s="441" t="s">
        <v>410</v>
      </c>
      <c r="L304" s="441" t="s">
        <v>410</v>
      </c>
      <c r="M304" s="441" t="s">
        <v>410</v>
      </c>
      <c r="N304" s="441" t="s">
        <v>410</v>
      </c>
      <c r="O304" s="441" t="s">
        <v>410</v>
      </c>
      <c r="P304" s="441" t="s">
        <v>410</v>
      </c>
      <c r="Q304" s="441" t="s">
        <v>410</v>
      </c>
      <c r="R304" s="441" t="s">
        <v>410</v>
      </c>
      <c r="S304" s="441" t="s">
        <v>410</v>
      </c>
      <c r="T304" s="441" t="s">
        <v>410</v>
      </c>
    </row>
    <row r="305" spans="1:20" hidden="1" outlineLevel="1" x14ac:dyDescent="0.3">
      <c r="A305" s="583" t="s">
        <v>5062</v>
      </c>
      <c r="B305" s="591">
        <v>8</v>
      </c>
      <c r="C305" s="588" t="s">
        <v>1256</v>
      </c>
      <c r="D305" s="588" t="s">
        <v>1480</v>
      </c>
      <c r="E305" s="589" t="s">
        <v>410</v>
      </c>
      <c r="F305" s="593" t="s">
        <v>5035</v>
      </c>
      <c r="G305" s="441" t="s">
        <v>410</v>
      </c>
      <c r="H305" s="441" t="s">
        <v>410</v>
      </c>
      <c r="I305" s="441" t="s">
        <v>410</v>
      </c>
      <c r="J305" s="441" t="s">
        <v>410</v>
      </c>
      <c r="K305" s="441" t="s">
        <v>410</v>
      </c>
      <c r="L305" s="441" t="s">
        <v>410</v>
      </c>
      <c r="M305" s="441" t="s">
        <v>410</v>
      </c>
      <c r="N305" s="441" t="s">
        <v>410</v>
      </c>
      <c r="O305" s="441" t="s">
        <v>410</v>
      </c>
      <c r="P305" s="441" t="s">
        <v>410</v>
      </c>
      <c r="Q305" s="441" t="s">
        <v>410</v>
      </c>
      <c r="R305" s="441" t="s">
        <v>410</v>
      </c>
      <c r="S305" s="441" t="s">
        <v>410</v>
      </c>
      <c r="T305" s="441" t="s">
        <v>410</v>
      </c>
    </row>
    <row r="306" spans="1:20" hidden="1" outlineLevel="1" x14ac:dyDescent="0.3">
      <c r="A306" s="583" t="s">
        <v>5063</v>
      </c>
      <c r="B306" s="591">
        <v>8</v>
      </c>
      <c r="C306" s="588" t="s">
        <v>1256</v>
      </c>
      <c r="D306" s="588" t="s">
        <v>1480</v>
      </c>
      <c r="E306" s="589" t="s">
        <v>410</v>
      </c>
      <c r="F306" s="593" t="s">
        <v>68</v>
      </c>
      <c r="G306" s="593" t="s">
        <v>72</v>
      </c>
      <c r="H306" s="593" t="s">
        <v>5036</v>
      </c>
      <c r="I306" s="593" t="s">
        <v>5037</v>
      </c>
      <c r="J306" s="441" t="s">
        <v>410</v>
      </c>
      <c r="K306" s="441" t="s">
        <v>410</v>
      </c>
      <c r="L306" s="441" t="s">
        <v>410</v>
      </c>
      <c r="M306" s="441" t="s">
        <v>410</v>
      </c>
      <c r="N306" s="441" t="s">
        <v>410</v>
      </c>
      <c r="O306" s="441" t="s">
        <v>410</v>
      </c>
      <c r="P306" s="441" t="s">
        <v>410</v>
      </c>
      <c r="Q306" s="441" t="s">
        <v>410</v>
      </c>
      <c r="R306" s="441" t="s">
        <v>410</v>
      </c>
      <c r="S306" s="441" t="s">
        <v>410</v>
      </c>
      <c r="T306" s="441" t="s">
        <v>410</v>
      </c>
    </row>
    <row r="307" spans="1:20" hidden="1" outlineLevel="1" x14ac:dyDescent="0.3">
      <c r="A307" s="583" t="s">
        <v>5064</v>
      </c>
      <c r="B307" s="591">
        <v>8</v>
      </c>
      <c r="C307" s="588" t="s">
        <v>1256</v>
      </c>
      <c r="D307" s="588" t="s">
        <v>1480</v>
      </c>
      <c r="E307" s="589" t="s">
        <v>410</v>
      </c>
      <c r="F307" s="593" t="s">
        <v>5038</v>
      </c>
      <c r="G307" s="441" t="s">
        <v>410</v>
      </c>
      <c r="H307" s="441" t="s">
        <v>410</v>
      </c>
      <c r="I307" s="441" t="s">
        <v>410</v>
      </c>
      <c r="J307" s="441" t="s">
        <v>410</v>
      </c>
      <c r="K307" s="441" t="s">
        <v>410</v>
      </c>
      <c r="L307" s="441" t="s">
        <v>410</v>
      </c>
      <c r="M307" s="441" t="s">
        <v>410</v>
      </c>
      <c r="N307" s="441" t="s">
        <v>410</v>
      </c>
      <c r="O307" s="441" t="s">
        <v>410</v>
      </c>
      <c r="P307" s="441" t="s">
        <v>410</v>
      </c>
      <c r="Q307" s="441" t="s">
        <v>410</v>
      </c>
      <c r="R307" s="441" t="s">
        <v>410</v>
      </c>
      <c r="S307" s="441" t="s">
        <v>410</v>
      </c>
      <c r="T307" s="441" t="s">
        <v>410</v>
      </c>
    </row>
    <row r="308" spans="1:20" hidden="1" outlineLevel="1" x14ac:dyDescent="0.3">
      <c r="A308" s="583" t="s">
        <v>5066</v>
      </c>
      <c r="B308" s="591">
        <v>8</v>
      </c>
      <c r="C308" s="583" t="s">
        <v>1256</v>
      </c>
      <c r="D308" s="583" t="s">
        <v>1480</v>
      </c>
      <c r="E308" s="592" t="s">
        <v>410</v>
      </c>
      <c r="F308" s="593" t="s">
        <v>5040</v>
      </c>
      <c r="G308" s="237" t="s">
        <v>410</v>
      </c>
      <c r="H308" s="237" t="s">
        <v>410</v>
      </c>
      <c r="I308" s="237" t="s">
        <v>410</v>
      </c>
      <c r="J308" s="237" t="s">
        <v>410</v>
      </c>
      <c r="K308" s="237" t="s">
        <v>410</v>
      </c>
      <c r="L308" s="237" t="s">
        <v>410</v>
      </c>
      <c r="M308" s="237" t="s">
        <v>410</v>
      </c>
      <c r="N308" s="237" t="s">
        <v>410</v>
      </c>
      <c r="O308" s="237" t="s">
        <v>410</v>
      </c>
      <c r="P308" s="237" t="s">
        <v>410</v>
      </c>
      <c r="Q308" s="237" t="s">
        <v>410</v>
      </c>
      <c r="R308" s="237" t="s">
        <v>410</v>
      </c>
      <c r="S308" s="10" t="s">
        <v>410</v>
      </c>
      <c r="T308" s="10" t="s">
        <v>410</v>
      </c>
    </row>
    <row r="309" spans="1:20" hidden="1" outlineLevel="1" x14ac:dyDescent="0.3">
      <c r="A309" s="583" t="s">
        <v>5065</v>
      </c>
      <c r="B309" s="591">
        <v>8</v>
      </c>
      <c r="C309" s="588" t="s">
        <v>1256</v>
      </c>
      <c r="D309" s="588" t="s">
        <v>1480</v>
      </c>
      <c r="E309" s="592" t="s">
        <v>410</v>
      </c>
      <c r="F309" s="593" t="s">
        <v>5039</v>
      </c>
      <c r="G309" s="237" t="s">
        <v>410</v>
      </c>
      <c r="H309" s="237" t="s">
        <v>410</v>
      </c>
      <c r="I309" s="237" t="s">
        <v>410</v>
      </c>
      <c r="J309" s="237" t="s">
        <v>410</v>
      </c>
      <c r="K309" s="237" t="s">
        <v>410</v>
      </c>
      <c r="L309" s="237" t="s">
        <v>410</v>
      </c>
      <c r="M309" s="237" t="s">
        <v>410</v>
      </c>
      <c r="N309" s="237" t="s">
        <v>410</v>
      </c>
      <c r="O309" s="237" t="s">
        <v>410</v>
      </c>
      <c r="P309" s="237" t="s">
        <v>410</v>
      </c>
      <c r="Q309" s="237" t="s">
        <v>410</v>
      </c>
      <c r="R309" s="237" t="s">
        <v>410</v>
      </c>
      <c r="S309" s="10" t="s">
        <v>410</v>
      </c>
      <c r="T309" s="10" t="s">
        <v>410</v>
      </c>
    </row>
    <row r="310" spans="1:20" hidden="1" outlineLevel="1" x14ac:dyDescent="0.3">
      <c r="A310" s="583" t="s">
        <v>5067</v>
      </c>
      <c r="B310" s="591">
        <v>8</v>
      </c>
      <c r="C310" s="588" t="s">
        <v>1256</v>
      </c>
      <c r="D310" s="588" t="s">
        <v>1480</v>
      </c>
      <c r="E310" s="592" t="s">
        <v>410</v>
      </c>
      <c r="F310" s="593" t="s">
        <v>5041</v>
      </c>
      <c r="G310" s="237" t="s">
        <v>410</v>
      </c>
      <c r="H310" s="237" t="s">
        <v>410</v>
      </c>
      <c r="I310" s="237" t="s">
        <v>410</v>
      </c>
      <c r="J310" s="237" t="s">
        <v>410</v>
      </c>
      <c r="K310" s="237" t="s">
        <v>410</v>
      </c>
      <c r="L310" s="237" t="s">
        <v>410</v>
      </c>
      <c r="M310" s="237" t="s">
        <v>410</v>
      </c>
      <c r="N310" s="237" t="s">
        <v>410</v>
      </c>
      <c r="O310" s="237" t="s">
        <v>410</v>
      </c>
      <c r="P310" s="237" t="s">
        <v>410</v>
      </c>
      <c r="Q310" s="237" t="s">
        <v>410</v>
      </c>
      <c r="R310" s="237" t="s">
        <v>410</v>
      </c>
      <c r="S310" s="10" t="s">
        <v>410</v>
      </c>
      <c r="T310" s="10" t="s">
        <v>410</v>
      </c>
    </row>
    <row r="311" spans="1:20" hidden="1" outlineLevel="1" x14ac:dyDescent="0.3">
      <c r="A311" s="583" t="s">
        <v>5068</v>
      </c>
      <c r="B311" s="591">
        <v>8</v>
      </c>
      <c r="C311" s="583" t="s">
        <v>1256</v>
      </c>
      <c r="D311" s="583" t="s">
        <v>1480</v>
      </c>
      <c r="E311" s="592" t="s">
        <v>410</v>
      </c>
      <c r="F311" s="593" t="s">
        <v>5042</v>
      </c>
      <c r="G311" s="237" t="s">
        <v>410</v>
      </c>
      <c r="H311" s="237" t="s">
        <v>410</v>
      </c>
      <c r="I311" s="237" t="s">
        <v>410</v>
      </c>
      <c r="J311" s="237" t="s">
        <v>410</v>
      </c>
      <c r="K311" s="237" t="s">
        <v>410</v>
      </c>
      <c r="L311" s="237" t="s">
        <v>410</v>
      </c>
      <c r="M311" s="237" t="s">
        <v>410</v>
      </c>
      <c r="N311" s="237" t="s">
        <v>410</v>
      </c>
      <c r="O311" s="237" t="s">
        <v>410</v>
      </c>
      <c r="P311" s="237" t="s">
        <v>410</v>
      </c>
      <c r="Q311" s="237" t="s">
        <v>410</v>
      </c>
      <c r="R311" s="237" t="s">
        <v>410</v>
      </c>
      <c r="S311" s="10" t="s">
        <v>410</v>
      </c>
      <c r="T311" s="10" t="s">
        <v>410</v>
      </c>
    </row>
    <row r="312" spans="1:20" hidden="1" outlineLevel="1" x14ac:dyDescent="0.3">
      <c r="A312" s="583" t="s">
        <v>5069</v>
      </c>
      <c r="B312" s="591">
        <v>8</v>
      </c>
      <c r="C312" s="583" t="s">
        <v>1256</v>
      </c>
      <c r="D312" s="583" t="s">
        <v>1480</v>
      </c>
      <c r="E312" s="592" t="s">
        <v>410</v>
      </c>
      <c r="F312" s="593" t="s">
        <v>5043</v>
      </c>
      <c r="G312" s="593" t="s">
        <v>5043</v>
      </c>
      <c r="H312" s="910" t="s">
        <v>410</v>
      </c>
      <c r="I312" s="910" t="s">
        <v>410</v>
      </c>
      <c r="J312" s="910" t="s">
        <v>410</v>
      </c>
      <c r="K312" s="910" t="s">
        <v>410</v>
      </c>
      <c r="L312" s="237" t="s">
        <v>410</v>
      </c>
      <c r="M312" s="237" t="s">
        <v>410</v>
      </c>
      <c r="N312" s="237" t="s">
        <v>410</v>
      </c>
      <c r="O312" s="237" t="s">
        <v>410</v>
      </c>
      <c r="P312" s="237" t="s">
        <v>410</v>
      </c>
      <c r="Q312" s="237" t="s">
        <v>410</v>
      </c>
      <c r="R312" s="237" t="s">
        <v>410</v>
      </c>
      <c r="S312" s="10" t="s">
        <v>410</v>
      </c>
      <c r="T312" s="10" t="s">
        <v>410</v>
      </c>
    </row>
    <row r="313" spans="1:20" hidden="1" outlineLevel="1" x14ac:dyDescent="0.3">
      <c r="A313" s="583" t="s">
        <v>5070</v>
      </c>
      <c r="B313" s="591">
        <v>8</v>
      </c>
      <c r="C313" s="583" t="s">
        <v>1256</v>
      </c>
      <c r="D313" s="583" t="s">
        <v>1480</v>
      </c>
      <c r="E313" s="592" t="s">
        <v>410</v>
      </c>
      <c r="F313" s="593" t="s">
        <v>5044</v>
      </c>
      <c r="G313" s="910" t="s">
        <v>410</v>
      </c>
      <c r="H313" s="910" t="s">
        <v>410</v>
      </c>
      <c r="I313" s="910" t="s">
        <v>410</v>
      </c>
      <c r="J313" s="910" t="s">
        <v>410</v>
      </c>
      <c r="K313" s="910" t="s">
        <v>410</v>
      </c>
      <c r="L313" s="237" t="s">
        <v>410</v>
      </c>
      <c r="M313" s="237" t="s">
        <v>410</v>
      </c>
      <c r="N313" s="237" t="s">
        <v>410</v>
      </c>
      <c r="O313" s="237" t="s">
        <v>410</v>
      </c>
      <c r="P313" s="237" t="s">
        <v>410</v>
      </c>
      <c r="Q313" s="237" t="s">
        <v>410</v>
      </c>
      <c r="R313" s="237" t="s">
        <v>410</v>
      </c>
      <c r="S313" s="10" t="s">
        <v>410</v>
      </c>
      <c r="T313" s="10" t="s">
        <v>410</v>
      </c>
    </row>
    <row r="314" spans="1:20" hidden="1" outlineLevel="1" x14ac:dyDescent="0.3">
      <c r="A314" s="583" t="s">
        <v>5071</v>
      </c>
      <c r="B314" s="591">
        <v>8</v>
      </c>
      <c r="C314" s="583" t="s">
        <v>1256</v>
      </c>
      <c r="D314" s="583" t="s">
        <v>1480</v>
      </c>
      <c r="E314" s="592" t="s">
        <v>410</v>
      </c>
      <c r="F314" s="593" t="s">
        <v>5045</v>
      </c>
      <c r="G314" s="237" t="s">
        <v>410</v>
      </c>
      <c r="H314" s="237" t="s">
        <v>410</v>
      </c>
      <c r="I314" s="237" t="s">
        <v>410</v>
      </c>
      <c r="J314" s="237" t="s">
        <v>410</v>
      </c>
      <c r="K314" s="237" t="s">
        <v>410</v>
      </c>
      <c r="L314" s="237" t="s">
        <v>410</v>
      </c>
      <c r="M314" s="237" t="s">
        <v>410</v>
      </c>
      <c r="N314" s="237" t="s">
        <v>410</v>
      </c>
      <c r="O314" s="237" t="s">
        <v>410</v>
      </c>
      <c r="P314" s="237" t="s">
        <v>410</v>
      </c>
      <c r="Q314" s="237" t="s">
        <v>410</v>
      </c>
      <c r="R314" s="237" t="s">
        <v>410</v>
      </c>
      <c r="S314" s="10" t="s">
        <v>410</v>
      </c>
      <c r="T314" s="10" t="s">
        <v>410</v>
      </c>
    </row>
    <row r="315" spans="1:20" hidden="1" outlineLevel="1" x14ac:dyDescent="0.3">
      <c r="A315" s="583" t="s">
        <v>5072</v>
      </c>
      <c r="B315" s="591">
        <v>8</v>
      </c>
      <c r="C315" s="583" t="s">
        <v>1256</v>
      </c>
      <c r="D315" s="583" t="s">
        <v>1480</v>
      </c>
      <c r="E315" s="592" t="s">
        <v>410</v>
      </c>
      <c r="F315" s="593" t="s">
        <v>5047</v>
      </c>
      <c r="G315" s="910" t="s">
        <v>410</v>
      </c>
      <c r="H315" s="910" t="s">
        <v>410</v>
      </c>
      <c r="I315" s="910" t="s">
        <v>410</v>
      </c>
      <c r="J315" s="910" t="s">
        <v>410</v>
      </c>
      <c r="K315" s="910" t="s">
        <v>410</v>
      </c>
      <c r="L315" s="237" t="s">
        <v>410</v>
      </c>
      <c r="M315" s="237" t="s">
        <v>410</v>
      </c>
      <c r="N315" s="237" t="s">
        <v>410</v>
      </c>
      <c r="O315" s="237" t="s">
        <v>410</v>
      </c>
      <c r="P315" s="237" t="s">
        <v>410</v>
      </c>
      <c r="Q315" s="237" t="s">
        <v>410</v>
      </c>
      <c r="R315" s="237" t="s">
        <v>410</v>
      </c>
      <c r="S315" s="10" t="s">
        <v>410</v>
      </c>
      <c r="T315" s="10" t="s">
        <v>410</v>
      </c>
    </row>
    <row r="316" spans="1:20" hidden="1" outlineLevel="1" x14ac:dyDescent="0.3">
      <c r="A316" s="583" t="s">
        <v>5073</v>
      </c>
      <c r="B316" s="591">
        <v>8</v>
      </c>
      <c r="C316" s="583" t="s">
        <v>1256</v>
      </c>
      <c r="D316" s="583" t="s">
        <v>1480</v>
      </c>
      <c r="E316" s="592" t="s">
        <v>410</v>
      </c>
      <c r="F316" s="593" t="s">
        <v>5046</v>
      </c>
      <c r="G316" s="237" t="s">
        <v>410</v>
      </c>
      <c r="H316" s="237" t="s">
        <v>410</v>
      </c>
      <c r="I316" s="237" t="s">
        <v>410</v>
      </c>
      <c r="J316" s="237" t="s">
        <v>410</v>
      </c>
      <c r="K316" s="237" t="s">
        <v>410</v>
      </c>
      <c r="L316" s="237" t="s">
        <v>410</v>
      </c>
      <c r="M316" s="237" t="s">
        <v>410</v>
      </c>
      <c r="N316" s="237" t="s">
        <v>410</v>
      </c>
      <c r="O316" s="237" t="s">
        <v>410</v>
      </c>
      <c r="P316" s="237" t="s">
        <v>410</v>
      </c>
      <c r="Q316" s="237" t="s">
        <v>410</v>
      </c>
      <c r="R316" s="237" t="s">
        <v>410</v>
      </c>
      <c r="S316" s="10" t="s">
        <v>410</v>
      </c>
      <c r="T316" s="10" t="s">
        <v>410</v>
      </c>
    </row>
    <row r="317" spans="1:20" hidden="1" outlineLevel="1" x14ac:dyDescent="0.3">
      <c r="A317" s="583" t="s">
        <v>5074</v>
      </c>
      <c r="B317" s="591">
        <v>8</v>
      </c>
      <c r="C317" s="583" t="s">
        <v>1256</v>
      </c>
      <c r="D317" s="583" t="s">
        <v>1480</v>
      </c>
      <c r="E317" s="592" t="s">
        <v>410</v>
      </c>
      <c r="F317" s="593" t="s">
        <v>5048</v>
      </c>
      <c r="G317" s="910" t="s">
        <v>410</v>
      </c>
      <c r="H317" s="910" t="s">
        <v>410</v>
      </c>
      <c r="I317" s="910" t="s">
        <v>410</v>
      </c>
      <c r="J317" s="910" t="s">
        <v>410</v>
      </c>
      <c r="K317" s="910" t="s">
        <v>410</v>
      </c>
      <c r="L317" s="237" t="s">
        <v>410</v>
      </c>
      <c r="M317" s="237" t="s">
        <v>410</v>
      </c>
      <c r="N317" s="237" t="s">
        <v>410</v>
      </c>
      <c r="O317" s="237" t="s">
        <v>410</v>
      </c>
      <c r="P317" s="237" t="s">
        <v>410</v>
      </c>
      <c r="Q317" s="237" t="s">
        <v>410</v>
      </c>
      <c r="R317" s="237" t="s">
        <v>410</v>
      </c>
      <c r="S317" s="10" t="s">
        <v>410</v>
      </c>
      <c r="T317" s="10" t="s">
        <v>410</v>
      </c>
    </row>
    <row r="318" spans="1:20" hidden="1" outlineLevel="1" x14ac:dyDescent="0.3">
      <c r="A318" s="583" t="s">
        <v>1618</v>
      </c>
      <c r="B318" s="591">
        <v>11</v>
      </c>
      <c r="C318" s="588" t="s">
        <v>1256</v>
      </c>
      <c r="D318" s="588" t="s">
        <v>1480</v>
      </c>
      <c r="E318" s="589" t="s">
        <v>410</v>
      </c>
      <c r="F318" s="854" t="str">
        <f>CONCATENATE(TEXT(12+SIL,0)," %")</f>
        <v>10 %</v>
      </c>
      <c r="G318" s="854" t="str">
        <f>CONCATENATE(TEXT(24+SIL*2,0)," %")</f>
        <v>20 %</v>
      </c>
      <c r="H318" s="854" t="str">
        <f>CONCATENATE(TEXT(36+SIL*3,0)," %")</f>
        <v>30 %</v>
      </c>
      <c r="I318" s="237" t="s">
        <v>410</v>
      </c>
      <c r="J318" s="237" t="s">
        <v>410</v>
      </c>
      <c r="K318" s="237" t="s">
        <v>410</v>
      </c>
      <c r="L318" s="237" t="s">
        <v>410</v>
      </c>
      <c r="M318" s="237" t="s">
        <v>410</v>
      </c>
      <c r="N318" s="237" t="s">
        <v>410</v>
      </c>
      <c r="O318" s="237" t="s">
        <v>410</v>
      </c>
      <c r="P318" s="237" t="s">
        <v>410</v>
      </c>
      <c r="Q318" s="237" t="s">
        <v>410</v>
      </c>
      <c r="R318" s="237" t="s">
        <v>410</v>
      </c>
      <c r="S318" s="237" t="s">
        <v>410</v>
      </c>
      <c r="T318" s="237" t="s">
        <v>410</v>
      </c>
    </row>
    <row r="319" spans="1:20" hidden="1" outlineLevel="1" x14ac:dyDescent="0.3">
      <c r="A319" s="583" t="s">
        <v>1763</v>
      </c>
      <c r="B319" s="591">
        <v>11</v>
      </c>
      <c r="C319" s="583" t="s">
        <v>1256</v>
      </c>
      <c r="D319" s="583" t="s">
        <v>1480</v>
      </c>
      <c r="E319" s="592" t="s">
        <v>410</v>
      </c>
      <c r="F319" s="593" t="s">
        <v>4356</v>
      </c>
      <c r="G319" s="593" t="s">
        <v>4357</v>
      </c>
      <c r="H319" s="593" t="s">
        <v>4358</v>
      </c>
      <c r="I319" s="593" t="s">
        <v>4359</v>
      </c>
      <c r="J319" s="593" t="s">
        <v>4360</v>
      </c>
      <c r="K319" s="237" t="s">
        <v>410</v>
      </c>
      <c r="L319" s="237" t="s">
        <v>410</v>
      </c>
      <c r="M319" s="237" t="s">
        <v>410</v>
      </c>
      <c r="N319" s="237" t="s">
        <v>410</v>
      </c>
      <c r="O319" s="237" t="s">
        <v>410</v>
      </c>
      <c r="P319" s="237" t="s">
        <v>410</v>
      </c>
      <c r="Q319" s="237" t="s">
        <v>410</v>
      </c>
      <c r="R319" s="237" t="s">
        <v>410</v>
      </c>
      <c r="S319" s="10" t="s">
        <v>410</v>
      </c>
      <c r="T319" s="10" t="s">
        <v>410</v>
      </c>
    </row>
    <row r="320" spans="1:20" hidden="1" outlineLevel="1" x14ac:dyDescent="0.3">
      <c r="A320" s="583" t="s">
        <v>4041</v>
      </c>
      <c r="B320" s="591">
        <v>11</v>
      </c>
      <c r="C320" s="583" t="s">
        <v>1256</v>
      </c>
      <c r="D320" s="583" t="s">
        <v>1480</v>
      </c>
      <c r="E320" s="593" t="s">
        <v>410</v>
      </c>
      <c r="F320" s="856" t="s">
        <v>67</v>
      </c>
      <c r="G320" s="856" t="s">
        <v>68</v>
      </c>
      <c r="H320" s="856" t="s">
        <v>70</v>
      </c>
      <c r="I320" s="854">
        <f>bÚr</f>
        <v>1</v>
      </c>
      <c r="J320" s="237" t="s">
        <v>410</v>
      </c>
      <c r="K320" s="237" t="s">
        <v>410</v>
      </c>
      <c r="L320" s="237" t="s">
        <v>410</v>
      </c>
      <c r="M320" s="237" t="s">
        <v>410</v>
      </c>
      <c r="N320" s="237" t="s">
        <v>410</v>
      </c>
      <c r="O320" s="237" t="s">
        <v>410</v>
      </c>
      <c r="P320" s="237" t="s">
        <v>410</v>
      </c>
      <c r="Q320" s="237" t="s">
        <v>410</v>
      </c>
      <c r="R320" s="237" t="s">
        <v>410</v>
      </c>
      <c r="S320" s="237" t="s">
        <v>410</v>
      </c>
      <c r="T320" s="237" t="s">
        <v>410</v>
      </c>
    </row>
    <row r="321" spans="1:20" hidden="1" outlineLevel="1" x14ac:dyDescent="0.3">
      <c r="A321" s="583" t="s">
        <v>1534</v>
      </c>
      <c r="B321" s="591">
        <v>16</v>
      </c>
      <c r="C321" s="588" t="s">
        <v>1256</v>
      </c>
      <c r="D321" s="588" t="s">
        <v>1480</v>
      </c>
      <c r="E321" s="589" t="s">
        <v>410</v>
      </c>
      <c r="F321" s="590" t="s">
        <v>1535</v>
      </c>
      <c r="G321" s="590" t="s">
        <v>1537</v>
      </c>
      <c r="H321" s="590" t="s">
        <v>1536</v>
      </c>
      <c r="I321" s="590" t="s">
        <v>3441</v>
      </c>
      <c r="J321" s="590" t="s">
        <v>3442</v>
      </c>
      <c r="K321" s="441" t="s">
        <v>410</v>
      </c>
      <c r="L321" s="441" t="s">
        <v>410</v>
      </c>
      <c r="M321" s="441" t="s">
        <v>410</v>
      </c>
      <c r="N321" s="441" t="s">
        <v>410</v>
      </c>
      <c r="O321" s="441" t="s">
        <v>410</v>
      </c>
      <c r="P321" s="441" t="s">
        <v>410</v>
      </c>
      <c r="Q321" s="441" t="s">
        <v>410</v>
      </c>
      <c r="R321" s="441" t="s">
        <v>410</v>
      </c>
      <c r="S321" s="441" t="s">
        <v>410</v>
      </c>
      <c r="T321" s="441" t="s">
        <v>410</v>
      </c>
    </row>
    <row r="322" spans="1:20" hidden="1" outlineLevel="1" x14ac:dyDescent="0.3">
      <c r="A322" s="583" t="s">
        <v>1620</v>
      </c>
      <c r="B322" s="591">
        <v>16</v>
      </c>
      <c r="C322" s="588" t="s">
        <v>1256</v>
      </c>
      <c r="D322" s="588" t="s">
        <v>1480</v>
      </c>
      <c r="E322" s="589" t="s">
        <v>410</v>
      </c>
      <c r="F322" s="593" t="s">
        <v>2172</v>
      </c>
      <c r="G322" s="593" t="s">
        <v>2173</v>
      </c>
      <c r="H322" s="593" t="s">
        <v>2174</v>
      </c>
      <c r="I322" s="593" t="s">
        <v>2175</v>
      </c>
      <c r="J322" s="441" t="s">
        <v>410</v>
      </c>
      <c r="K322" s="441" t="s">
        <v>410</v>
      </c>
      <c r="L322" s="441" t="s">
        <v>410</v>
      </c>
      <c r="M322" s="441" t="s">
        <v>410</v>
      </c>
      <c r="N322" s="441" t="s">
        <v>410</v>
      </c>
      <c r="O322" s="441" t="s">
        <v>410</v>
      </c>
      <c r="P322" s="441" t="s">
        <v>410</v>
      </c>
      <c r="Q322" s="441" t="s">
        <v>410</v>
      </c>
      <c r="R322" s="441" t="s">
        <v>410</v>
      </c>
      <c r="S322" s="441" t="s">
        <v>410</v>
      </c>
      <c r="T322" s="441" t="s">
        <v>410</v>
      </c>
    </row>
    <row r="323" spans="1:20" hidden="1" outlineLevel="1" x14ac:dyDescent="0.3">
      <c r="A323" s="583" t="s">
        <v>1660</v>
      </c>
      <c r="B323" s="591">
        <v>16</v>
      </c>
      <c r="C323" s="583" t="s">
        <v>1256</v>
      </c>
      <c r="D323" s="583" t="s">
        <v>1480</v>
      </c>
      <c r="E323" s="592" t="s">
        <v>410</v>
      </c>
      <c r="F323" s="593" t="s">
        <v>3245</v>
      </c>
      <c r="G323" s="593" t="s">
        <v>3246</v>
      </c>
      <c r="H323" s="593" t="s">
        <v>3247</v>
      </c>
      <c r="I323" s="593" t="s">
        <v>1661</v>
      </c>
      <c r="J323" s="593" t="s">
        <v>3248</v>
      </c>
      <c r="K323" s="593" t="s">
        <v>3249</v>
      </c>
      <c r="L323" s="237" t="s">
        <v>410</v>
      </c>
      <c r="M323" s="237" t="s">
        <v>410</v>
      </c>
      <c r="N323" s="237" t="s">
        <v>410</v>
      </c>
      <c r="O323" s="237" t="s">
        <v>410</v>
      </c>
      <c r="P323" s="237" t="s">
        <v>410</v>
      </c>
      <c r="Q323" s="237" t="s">
        <v>410</v>
      </c>
      <c r="R323" s="237" t="s">
        <v>410</v>
      </c>
      <c r="S323" s="10" t="s">
        <v>410</v>
      </c>
      <c r="T323" s="10" t="s">
        <v>410</v>
      </c>
    </row>
    <row r="324" spans="1:20" hidden="1" outlineLevel="1" x14ac:dyDescent="0.3">
      <c r="A324" s="583" t="s">
        <v>1740</v>
      </c>
      <c r="B324" s="591">
        <v>16</v>
      </c>
      <c r="C324" s="583" t="s">
        <v>1256</v>
      </c>
      <c r="D324" s="583" t="s">
        <v>1480</v>
      </c>
      <c r="E324" s="592" t="s">
        <v>410</v>
      </c>
      <c r="F324" s="593" t="s">
        <v>3436</v>
      </c>
      <c r="G324" s="593" t="s">
        <v>3437</v>
      </c>
      <c r="H324" s="593" t="s">
        <v>3438</v>
      </c>
      <c r="I324" s="593" t="s">
        <v>3439</v>
      </c>
      <c r="J324" s="593" t="s">
        <v>3440</v>
      </c>
      <c r="K324" s="237" t="s">
        <v>410</v>
      </c>
      <c r="L324" s="237" t="s">
        <v>410</v>
      </c>
      <c r="M324" s="237" t="s">
        <v>410</v>
      </c>
      <c r="N324" s="237" t="s">
        <v>410</v>
      </c>
      <c r="O324" s="237" t="s">
        <v>410</v>
      </c>
      <c r="P324" s="237" t="s">
        <v>410</v>
      </c>
      <c r="Q324" s="237" t="s">
        <v>410</v>
      </c>
      <c r="R324" s="237" t="s">
        <v>410</v>
      </c>
      <c r="S324" s="10" t="s">
        <v>410</v>
      </c>
      <c r="T324" s="10" t="s">
        <v>410</v>
      </c>
    </row>
    <row r="325" spans="1:20" hidden="1" outlineLevel="1" x14ac:dyDescent="0.3">
      <c r="A325" s="583" t="s">
        <v>1743</v>
      </c>
      <c r="B325" s="591">
        <v>16</v>
      </c>
      <c r="C325" s="583" t="s">
        <v>1256</v>
      </c>
      <c r="D325" s="583" t="s">
        <v>1480</v>
      </c>
      <c r="E325" s="592" t="s">
        <v>410</v>
      </c>
      <c r="F325" s="593" t="s">
        <v>5495</v>
      </c>
      <c r="G325" s="593" t="s">
        <v>3125</v>
      </c>
      <c r="H325" s="593" t="s">
        <v>2209</v>
      </c>
      <c r="I325" s="593" t="s">
        <v>2210</v>
      </c>
      <c r="J325" s="593" t="s">
        <v>2211</v>
      </c>
      <c r="K325" s="910" t="s">
        <v>410</v>
      </c>
      <c r="L325" s="237" t="s">
        <v>410</v>
      </c>
      <c r="M325" s="237" t="s">
        <v>410</v>
      </c>
      <c r="N325" s="237" t="s">
        <v>410</v>
      </c>
      <c r="O325" s="237" t="s">
        <v>410</v>
      </c>
      <c r="P325" s="237" t="s">
        <v>410</v>
      </c>
      <c r="Q325" s="237" t="s">
        <v>410</v>
      </c>
      <c r="R325" s="237" t="s">
        <v>410</v>
      </c>
      <c r="S325" s="10" t="s">
        <v>410</v>
      </c>
      <c r="T325" s="10" t="s">
        <v>410</v>
      </c>
    </row>
    <row r="326" spans="1:20" hidden="1" outlineLevel="1" x14ac:dyDescent="0.3">
      <c r="A326" s="583" t="s">
        <v>5075</v>
      </c>
      <c r="B326" s="591">
        <v>16</v>
      </c>
      <c r="C326" s="583" t="s">
        <v>1256</v>
      </c>
      <c r="D326" s="583" t="s">
        <v>1480</v>
      </c>
      <c r="E326" s="592" t="s">
        <v>410</v>
      </c>
      <c r="F326" s="593" t="s">
        <v>5049</v>
      </c>
      <c r="G326" s="910" t="s">
        <v>410</v>
      </c>
      <c r="H326" s="237" t="s">
        <v>410</v>
      </c>
      <c r="I326" s="910" t="s">
        <v>410</v>
      </c>
      <c r="J326" s="237" t="s">
        <v>410</v>
      </c>
      <c r="K326" s="910" t="s">
        <v>410</v>
      </c>
      <c r="L326" s="237" t="s">
        <v>410</v>
      </c>
      <c r="M326" s="237" t="s">
        <v>410</v>
      </c>
      <c r="N326" s="237" t="s">
        <v>410</v>
      </c>
      <c r="O326" s="237" t="s">
        <v>410</v>
      </c>
      <c r="P326" s="237" t="s">
        <v>410</v>
      </c>
      <c r="Q326" s="237" t="s">
        <v>410</v>
      </c>
      <c r="R326" s="237" t="s">
        <v>410</v>
      </c>
      <c r="S326" s="10" t="s">
        <v>410</v>
      </c>
      <c r="T326" s="10" t="s">
        <v>410</v>
      </c>
    </row>
    <row r="327" spans="1:20" hidden="1" outlineLevel="1" x14ac:dyDescent="0.3">
      <c r="A327" s="583" t="s">
        <v>5076</v>
      </c>
      <c r="B327" s="591">
        <v>16</v>
      </c>
      <c r="C327" s="583" t="s">
        <v>1256</v>
      </c>
      <c r="D327" s="583" t="s">
        <v>1480</v>
      </c>
      <c r="E327" s="592" t="s">
        <v>410</v>
      </c>
      <c r="F327" s="593" t="s">
        <v>5050</v>
      </c>
      <c r="G327" s="237" t="s">
        <v>410</v>
      </c>
      <c r="H327" s="237" t="s">
        <v>410</v>
      </c>
      <c r="I327" s="237" t="s">
        <v>410</v>
      </c>
      <c r="J327" s="237" t="s">
        <v>410</v>
      </c>
      <c r="K327" s="237" t="s">
        <v>410</v>
      </c>
      <c r="L327" s="237" t="s">
        <v>410</v>
      </c>
      <c r="M327" s="237" t="s">
        <v>410</v>
      </c>
      <c r="N327" s="237" t="s">
        <v>410</v>
      </c>
      <c r="O327" s="237" t="s">
        <v>410</v>
      </c>
      <c r="P327" s="237" t="s">
        <v>410</v>
      </c>
      <c r="Q327" s="237" t="s">
        <v>410</v>
      </c>
      <c r="R327" s="237" t="s">
        <v>410</v>
      </c>
      <c r="S327" s="10" t="s">
        <v>410</v>
      </c>
      <c r="T327" s="10" t="s">
        <v>410</v>
      </c>
    </row>
    <row r="328" spans="1:20" hidden="1" outlineLevel="1" x14ac:dyDescent="0.3">
      <c r="A328" s="583" t="s">
        <v>5077</v>
      </c>
      <c r="B328" s="591">
        <v>16</v>
      </c>
      <c r="C328" s="583" t="s">
        <v>1256</v>
      </c>
      <c r="D328" s="583" t="s">
        <v>1480</v>
      </c>
      <c r="E328" s="592" t="s">
        <v>410</v>
      </c>
      <c r="F328" s="593" t="s">
        <v>5038</v>
      </c>
      <c r="G328" s="910" t="s">
        <v>410</v>
      </c>
      <c r="H328" s="237" t="s">
        <v>410</v>
      </c>
      <c r="I328" s="910" t="s">
        <v>410</v>
      </c>
      <c r="J328" s="237" t="s">
        <v>410</v>
      </c>
      <c r="K328" s="910" t="s">
        <v>410</v>
      </c>
      <c r="L328" s="237" t="s">
        <v>410</v>
      </c>
      <c r="M328" s="237" t="s">
        <v>410</v>
      </c>
      <c r="N328" s="237" t="s">
        <v>410</v>
      </c>
      <c r="O328" s="237" t="s">
        <v>410</v>
      </c>
      <c r="P328" s="237" t="s">
        <v>410</v>
      </c>
      <c r="Q328" s="237" t="s">
        <v>410</v>
      </c>
      <c r="R328" s="237" t="s">
        <v>410</v>
      </c>
      <c r="S328" s="10" t="s">
        <v>410</v>
      </c>
      <c r="T328" s="10" t="s">
        <v>410</v>
      </c>
    </row>
    <row r="329" spans="1:20" hidden="1" outlineLevel="1" x14ac:dyDescent="0.3">
      <c r="A329" s="583" t="s">
        <v>1868</v>
      </c>
      <c r="B329" s="591">
        <v>16</v>
      </c>
      <c r="C329" s="583" t="s">
        <v>1256</v>
      </c>
      <c r="D329" s="583" t="s">
        <v>1480</v>
      </c>
      <c r="E329" s="592" t="s">
        <v>410</v>
      </c>
      <c r="F329" s="856" t="s">
        <v>67</v>
      </c>
      <c r="G329" s="856" t="s">
        <v>68</v>
      </c>
      <c r="H329" s="856" t="s">
        <v>70</v>
      </c>
      <c r="I329" s="854">
        <f>bÚr</f>
        <v>1</v>
      </c>
      <c r="J329" s="237" t="s">
        <v>410</v>
      </c>
      <c r="K329" s="237" t="s">
        <v>410</v>
      </c>
      <c r="L329" s="237" t="s">
        <v>410</v>
      </c>
      <c r="M329" s="237" t="s">
        <v>410</v>
      </c>
      <c r="N329" s="237" t="s">
        <v>410</v>
      </c>
      <c r="O329" s="237" t="s">
        <v>410</v>
      </c>
      <c r="P329" s="237" t="s">
        <v>410</v>
      </c>
      <c r="Q329" s="237" t="s">
        <v>410</v>
      </c>
      <c r="R329" s="237" t="s">
        <v>410</v>
      </c>
      <c r="S329" s="10" t="s">
        <v>410</v>
      </c>
      <c r="T329" s="10" t="s">
        <v>410</v>
      </c>
    </row>
    <row r="330" spans="1:20" hidden="1" outlineLevel="1" x14ac:dyDescent="0.3">
      <c r="A330" s="583" t="s">
        <v>5078</v>
      </c>
      <c r="B330" s="591">
        <v>16</v>
      </c>
      <c r="C330" s="583" t="s">
        <v>1256</v>
      </c>
      <c r="D330" s="583" t="s">
        <v>1480</v>
      </c>
      <c r="E330" s="592" t="s">
        <v>410</v>
      </c>
      <c r="F330" s="856" t="s">
        <v>5051</v>
      </c>
      <c r="G330" s="237" t="s">
        <v>410</v>
      </c>
      <c r="H330" s="237" t="s">
        <v>410</v>
      </c>
      <c r="I330" s="237" t="s">
        <v>410</v>
      </c>
      <c r="J330" s="237" t="s">
        <v>410</v>
      </c>
      <c r="K330" s="910" t="s">
        <v>410</v>
      </c>
      <c r="L330" s="237" t="s">
        <v>410</v>
      </c>
      <c r="M330" s="237" t="s">
        <v>410</v>
      </c>
      <c r="N330" s="237" t="s">
        <v>410</v>
      </c>
      <c r="O330" s="237" t="s">
        <v>410</v>
      </c>
      <c r="P330" s="237" t="s">
        <v>410</v>
      </c>
      <c r="Q330" s="237" t="s">
        <v>410</v>
      </c>
      <c r="R330" s="237" t="s">
        <v>410</v>
      </c>
      <c r="S330" s="10" t="s">
        <v>410</v>
      </c>
      <c r="T330" s="10" t="s">
        <v>410</v>
      </c>
    </row>
    <row r="331" spans="1:20" hidden="1" outlineLevel="1" x14ac:dyDescent="0.3">
      <c r="A331" s="583" t="s">
        <v>5079</v>
      </c>
      <c r="B331" s="591">
        <v>16</v>
      </c>
      <c r="C331" s="583" t="s">
        <v>1256</v>
      </c>
      <c r="D331" s="583" t="s">
        <v>1480</v>
      </c>
      <c r="E331" s="592" t="s">
        <v>410</v>
      </c>
      <c r="F331" s="856" t="s">
        <v>5052</v>
      </c>
      <c r="G331" s="237" t="s">
        <v>410</v>
      </c>
      <c r="H331" s="237" t="s">
        <v>410</v>
      </c>
      <c r="I331" s="237" t="s">
        <v>410</v>
      </c>
      <c r="J331" s="237" t="s">
        <v>410</v>
      </c>
      <c r="K331" s="237" t="s">
        <v>410</v>
      </c>
      <c r="L331" s="237" t="s">
        <v>410</v>
      </c>
      <c r="M331" s="237" t="s">
        <v>410</v>
      </c>
      <c r="N331" s="237" t="s">
        <v>410</v>
      </c>
      <c r="O331" s="237" t="s">
        <v>410</v>
      </c>
      <c r="P331" s="237" t="s">
        <v>410</v>
      </c>
      <c r="Q331" s="237" t="s">
        <v>410</v>
      </c>
      <c r="R331" s="237" t="s">
        <v>410</v>
      </c>
      <c r="S331" s="10" t="s">
        <v>410</v>
      </c>
      <c r="T331" s="10" t="s">
        <v>410</v>
      </c>
    </row>
    <row r="332" spans="1:20" hidden="1" outlineLevel="1" x14ac:dyDescent="0.3">
      <c r="A332" s="583" t="s">
        <v>1983</v>
      </c>
      <c r="B332" s="591">
        <v>16</v>
      </c>
      <c r="C332" s="583" t="s">
        <v>1256</v>
      </c>
      <c r="D332" s="583" t="s">
        <v>1480</v>
      </c>
      <c r="E332" s="592" t="s">
        <v>410</v>
      </c>
      <c r="F332" s="593" t="s">
        <v>4349</v>
      </c>
      <c r="G332" s="593" t="s">
        <v>4350</v>
      </c>
      <c r="H332" s="593" t="s">
        <v>4351</v>
      </c>
      <c r="I332" s="593" t="s">
        <v>4352</v>
      </c>
      <c r="J332" s="593" t="s">
        <v>4353</v>
      </c>
      <c r="K332" s="593" t="s">
        <v>4354</v>
      </c>
      <c r="L332" s="237" t="s">
        <v>410</v>
      </c>
      <c r="M332" s="237" t="s">
        <v>410</v>
      </c>
      <c r="N332" s="237" t="s">
        <v>410</v>
      </c>
      <c r="O332" s="237" t="s">
        <v>410</v>
      </c>
      <c r="P332" s="237" t="s">
        <v>410</v>
      </c>
      <c r="Q332" s="237" t="s">
        <v>410</v>
      </c>
      <c r="R332" s="237" t="s">
        <v>410</v>
      </c>
      <c r="S332" s="237" t="s">
        <v>410</v>
      </c>
      <c r="T332" s="237" t="s">
        <v>410</v>
      </c>
    </row>
    <row r="333" spans="1:20" hidden="1" outlineLevel="1" x14ac:dyDescent="0.3">
      <c r="A333" s="583" t="s">
        <v>5080</v>
      </c>
      <c r="B333" s="591">
        <v>16</v>
      </c>
      <c r="C333" s="583" t="s">
        <v>1256</v>
      </c>
      <c r="D333" s="583" t="s">
        <v>1480</v>
      </c>
      <c r="E333" s="592" t="s">
        <v>410</v>
      </c>
      <c r="F333" s="593" t="s">
        <v>5053</v>
      </c>
      <c r="G333" s="237" t="s">
        <v>410</v>
      </c>
      <c r="H333" s="237" t="s">
        <v>410</v>
      </c>
      <c r="I333" s="237" t="s">
        <v>410</v>
      </c>
      <c r="J333" s="237" t="s">
        <v>410</v>
      </c>
      <c r="K333" s="237" t="s">
        <v>410</v>
      </c>
      <c r="L333" s="237" t="s">
        <v>410</v>
      </c>
      <c r="M333" s="237" t="s">
        <v>410</v>
      </c>
      <c r="N333" s="237" t="s">
        <v>410</v>
      </c>
      <c r="O333" s="237" t="s">
        <v>410</v>
      </c>
      <c r="P333" s="237" t="s">
        <v>410</v>
      </c>
      <c r="Q333" s="237" t="s">
        <v>410</v>
      </c>
      <c r="R333" s="237" t="s">
        <v>410</v>
      </c>
      <c r="S333" s="10" t="s">
        <v>410</v>
      </c>
      <c r="T333" s="10" t="s">
        <v>410</v>
      </c>
    </row>
    <row r="334" spans="1:20" hidden="1" outlineLevel="1" x14ac:dyDescent="0.3">
      <c r="A334" s="583" t="s">
        <v>1946</v>
      </c>
      <c r="B334" s="591">
        <v>21</v>
      </c>
      <c r="C334" s="583" t="s">
        <v>1256</v>
      </c>
      <c r="D334" s="583" t="s">
        <v>1480</v>
      </c>
      <c r="E334" s="593" t="s">
        <v>410</v>
      </c>
      <c r="F334" s="593" t="s">
        <v>3244</v>
      </c>
      <c r="G334" s="593" t="s">
        <v>4025</v>
      </c>
      <c r="H334" s="593" t="s">
        <v>4026</v>
      </c>
      <c r="I334" s="237" t="s">
        <v>410</v>
      </c>
      <c r="J334" s="237" t="s">
        <v>410</v>
      </c>
      <c r="K334" s="237" t="s">
        <v>410</v>
      </c>
      <c r="L334" s="237" t="s">
        <v>410</v>
      </c>
      <c r="M334" s="237" t="s">
        <v>410</v>
      </c>
      <c r="N334" s="237" t="s">
        <v>410</v>
      </c>
      <c r="O334" s="237" t="s">
        <v>410</v>
      </c>
      <c r="P334" s="237" t="s">
        <v>410</v>
      </c>
      <c r="Q334" s="237" t="s">
        <v>410</v>
      </c>
      <c r="R334" s="237" t="s">
        <v>410</v>
      </c>
      <c r="S334" s="237" t="s">
        <v>410</v>
      </c>
      <c r="T334" s="237" t="s">
        <v>410</v>
      </c>
    </row>
    <row r="335" spans="1:20" hidden="1" outlineLevel="1" x14ac:dyDescent="0.3">
      <c r="A335" s="583" t="s">
        <v>2238</v>
      </c>
      <c r="B335" s="591">
        <v>0</v>
      </c>
      <c r="C335" s="583" t="s">
        <v>1564</v>
      </c>
      <c r="D335" s="583" t="s">
        <v>1480</v>
      </c>
      <c r="E335" s="594" t="s">
        <v>5573</v>
      </c>
      <c r="F335" t="s">
        <v>410</v>
      </c>
      <c r="G335" t="s">
        <v>410</v>
      </c>
      <c r="H335" t="s">
        <v>410</v>
      </c>
      <c r="I335" t="s">
        <v>410</v>
      </c>
      <c r="J335" t="s">
        <v>410</v>
      </c>
      <c r="K335" t="s">
        <v>410</v>
      </c>
      <c r="L335" t="s">
        <v>410</v>
      </c>
      <c r="M335" t="s">
        <v>410</v>
      </c>
      <c r="N335" t="s">
        <v>410</v>
      </c>
      <c r="O335" t="s">
        <v>410</v>
      </c>
      <c r="P335" t="s">
        <v>410</v>
      </c>
      <c r="Q335" t="s">
        <v>410</v>
      </c>
      <c r="R335" t="s">
        <v>410</v>
      </c>
      <c r="S335" t="s">
        <v>410</v>
      </c>
      <c r="T335" t="s">
        <v>410</v>
      </c>
    </row>
    <row r="336" spans="1:20" hidden="1" outlineLevel="1" x14ac:dyDescent="0.3">
      <c r="A336" s="583" t="s">
        <v>2323</v>
      </c>
      <c r="B336" s="591">
        <v>1</v>
      </c>
      <c r="C336" s="583" t="s">
        <v>1564</v>
      </c>
      <c r="D336" s="583" t="s">
        <v>1480</v>
      </c>
      <c r="E336" s="593" t="s">
        <v>410</v>
      </c>
      <c r="F336" s="593" t="s">
        <v>2324</v>
      </c>
      <c r="G336" s="593" t="s">
        <v>2324</v>
      </c>
      <c r="H336" s="593" t="s">
        <v>2324</v>
      </c>
      <c r="I336" s="593" t="s">
        <v>2324</v>
      </c>
      <c r="J336" s="593" t="s">
        <v>2412</v>
      </c>
      <c r="K336" s="593" t="s">
        <v>2412</v>
      </c>
      <c r="L336" s="593" t="s">
        <v>2412</v>
      </c>
      <c r="M336" s="593" t="s">
        <v>2413</v>
      </c>
      <c r="N336" t="s">
        <v>410</v>
      </c>
      <c r="O336" t="s">
        <v>410</v>
      </c>
      <c r="P336" t="s">
        <v>410</v>
      </c>
      <c r="Q336" t="s">
        <v>410</v>
      </c>
      <c r="R336" t="s">
        <v>410</v>
      </c>
      <c r="S336" t="s">
        <v>410</v>
      </c>
      <c r="T336" t="s">
        <v>410</v>
      </c>
    </row>
    <row r="337" spans="1:20" hidden="1" outlineLevel="1" x14ac:dyDescent="0.3">
      <c r="A337" s="583" t="s">
        <v>2325</v>
      </c>
      <c r="B337" s="591">
        <v>2</v>
      </c>
      <c r="C337" s="583" t="s">
        <v>1564</v>
      </c>
      <c r="D337" s="583" t="s">
        <v>1480</v>
      </c>
      <c r="E337" s="593" t="s">
        <v>410</v>
      </c>
      <c r="F337" s="593" t="s">
        <v>410</v>
      </c>
      <c r="G337" s="594" t="str">
        <f>CONCATENATE("1A: ZZ+",TEXT(IF('1-Vlastnosti'!$D$4&lt;1,1,'1-Vlastnosti'!$D$4),0))</f>
        <v>1A: ZZ+1</v>
      </c>
      <c r="H337" s="594" t="str">
        <f>CONCATENATE("1A: ZZ+",TEXT(IF('1-Vlastnosti'!$D$4&lt;1,1,'1-Vlastnosti'!$D$4),0))</f>
        <v>1A: ZZ+1</v>
      </c>
      <c r="I337" s="594" t="str">
        <f>CONCATENATE("1A: ZZ+",TEXT(IF('1-Vlastnosti'!$D$4&lt;1,1,'1-Vlastnosti'!$D$4),0))</f>
        <v>1A: ZZ+1</v>
      </c>
      <c r="J337" s="594" t="str">
        <f>CONCATENATE("1A: ZZ+",TEXT(IF('1-Vlastnosti'!$D$4&lt;1,1,'1-Vlastnosti'!$D$4),0))</f>
        <v>1A: ZZ+1</v>
      </c>
      <c r="K337" s="594" t="str">
        <f>CONCATENATE("1A: ZZ+",TEXT(IF('1-Vlastnosti'!$D$4&lt;1,1,'1-Vlastnosti'!$D$4),0))</f>
        <v>1A: ZZ+1</v>
      </c>
      <c r="L337" s="594" t="str">
        <f>CONCATENATE("1A: ZZ+",TEXT(IF('1-Vlastnosti'!$D$4&lt;1,1,'1-Vlastnosti'!$D$4),0))</f>
        <v>1A: ZZ+1</v>
      </c>
      <c r="M337" s="594" t="str">
        <f>CONCATENATE("1A: ZZ+",TEXT(IF('1-Vlastnosti'!$D$4&lt;1,1,'1-Vlastnosti'!$D$4),0))</f>
        <v>1A: ZZ+1</v>
      </c>
      <c r="N337" t="s">
        <v>410</v>
      </c>
      <c r="O337" t="s">
        <v>410</v>
      </c>
      <c r="P337" t="s">
        <v>410</v>
      </c>
      <c r="Q337" t="s">
        <v>410</v>
      </c>
      <c r="R337" t="s">
        <v>410</v>
      </c>
      <c r="S337" t="s">
        <v>410</v>
      </c>
      <c r="T337" t="s">
        <v>410</v>
      </c>
    </row>
    <row r="338" spans="1:20" hidden="1" outlineLevel="1" x14ac:dyDescent="0.3">
      <c r="A338" s="583" t="s">
        <v>2328</v>
      </c>
      <c r="B338" s="591">
        <v>3</v>
      </c>
      <c r="C338" s="583" t="s">
        <v>1564</v>
      </c>
      <c r="D338" s="583" t="s">
        <v>1480</v>
      </c>
      <c r="E338" s="593" t="s">
        <v>410</v>
      </c>
      <c r="F338" s="583" t="s">
        <v>410</v>
      </c>
      <c r="G338" s="583" t="s">
        <v>410</v>
      </c>
      <c r="H338" s="593" t="s">
        <v>2329</v>
      </c>
      <c r="I338" s="593" t="s">
        <v>2329</v>
      </c>
      <c r="J338" s="593" t="s">
        <v>2329</v>
      </c>
      <c r="K338" s="593" t="s">
        <v>2414</v>
      </c>
      <c r="L338" s="593" t="s">
        <v>2414</v>
      </c>
      <c r="M338" s="593" t="s">
        <v>2414</v>
      </c>
      <c r="N338" t="s">
        <v>410</v>
      </c>
      <c r="O338" t="s">
        <v>410</v>
      </c>
      <c r="P338" t="s">
        <v>410</v>
      </c>
      <c r="Q338" t="s">
        <v>410</v>
      </c>
      <c r="R338" t="s">
        <v>410</v>
      </c>
      <c r="S338" t="s">
        <v>410</v>
      </c>
      <c r="T338" t="s">
        <v>410</v>
      </c>
    </row>
    <row r="339" spans="1:20" hidden="1" outlineLevel="1" x14ac:dyDescent="0.3">
      <c r="A339" s="583" t="s">
        <v>2331</v>
      </c>
      <c r="B339" s="591">
        <v>4</v>
      </c>
      <c r="C339" s="583" t="s">
        <v>1564</v>
      </c>
      <c r="D339" s="583" t="s">
        <v>1480</v>
      </c>
      <c r="E339" s="593" t="s">
        <v>410</v>
      </c>
      <c r="F339" s="583" t="s">
        <v>410</v>
      </c>
      <c r="G339" s="583" t="s">
        <v>410</v>
      </c>
      <c r="H339" s="583" t="s">
        <v>410</v>
      </c>
      <c r="I339" s="593" t="s">
        <v>2415</v>
      </c>
      <c r="J339" s="593" t="s">
        <v>2415</v>
      </c>
      <c r="K339" s="593" t="s">
        <v>2416</v>
      </c>
      <c r="L339" s="593" t="s">
        <v>2416</v>
      </c>
      <c r="M339" s="593" t="s">
        <v>2417</v>
      </c>
      <c r="N339" t="s">
        <v>410</v>
      </c>
      <c r="O339" t="s">
        <v>410</v>
      </c>
      <c r="P339" t="s">
        <v>410</v>
      </c>
      <c r="Q339" t="s">
        <v>410</v>
      </c>
      <c r="R339" t="s">
        <v>410</v>
      </c>
      <c r="S339" t="s">
        <v>410</v>
      </c>
      <c r="T339" t="s">
        <v>410</v>
      </c>
    </row>
    <row r="340" spans="1:20" hidden="1" outlineLevel="1" x14ac:dyDescent="0.3">
      <c r="A340" s="583" t="s">
        <v>2332</v>
      </c>
      <c r="B340" s="591">
        <v>5</v>
      </c>
      <c r="C340" s="583" t="s">
        <v>1564</v>
      </c>
      <c r="D340" s="583" t="s">
        <v>1480</v>
      </c>
      <c r="E340" s="593" t="s">
        <v>410</v>
      </c>
      <c r="F340" s="583" t="s">
        <v>410</v>
      </c>
      <c r="G340" s="583" t="s">
        <v>410</v>
      </c>
      <c r="H340" s="583" t="s">
        <v>410</v>
      </c>
      <c r="I340" s="583" t="s">
        <v>410</v>
      </c>
      <c r="J340" s="593" t="s">
        <v>1869</v>
      </c>
      <c r="K340" s="593" t="s">
        <v>1869</v>
      </c>
      <c r="L340" s="593" t="s">
        <v>1869</v>
      </c>
      <c r="M340" s="593" t="s">
        <v>1869</v>
      </c>
      <c r="N340" t="s">
        <v>410</v>
      </c>
      <c r="O340" t="s">
        <v>410</v>
      </c>
      <c r="P340" t="s">
        <v>410</v>
      </c>
      <c r="Q340" t="s">
        <v>410</v>
      </c>
      <c r="R340" t="s">
        <v>410</v>
      </c>
      <c r="S340" t="s">
        <v>410</v>
      </c>
      <c r="T340" t="s">
        <v>410</v>
      </c>
    </row>
    <row r="341" spans="1:20" hidden="1" outlineLevel="1" x14ac:dyDescent="0.3">
      <c r="A341" s="583" t="s">
        <v>2143</v>
      </c>
      <c r="B341" s="591">
        <v>6</v>
      </c>
      <c r="C341" s="588" t="s">
        <v>1564</v>
      </c>
      <c r="D341" s="588" t="s">
        <v>1480</v>
      </c>
      <c r="E341" s="589" t="s">
        <v>2154</v>
      </c>
      <c r="F341" s="441" t="s">
        <v>410</v>
      </c>
      <c r="G341" s="441" t="s">
        <v>410</v>
      </c>
      <c r="H341" s="441" t="s">
        <v>410</v>
      </c>
      <c r="I341" s="441" t="s">
        <v>410</v>
      </c>
      <c r="J341" s="441" t="s">
        <v>410</v>
      </c>
      <c r="K341" s="441" t="s">
        <v>410</v>
      </c>
      <c r="L341" s="441" t="s">
        <v>410</v>
      </c>
      <c r="M341" s="441" t="s">
        <v>410</v>
      </c>
      <c r="N341" s="441" t="s">
        <v>410</v>
      </c>
      <c r="O341" s="441" t="s">
        <v>410</v>
      </c>
      <c r="P341" s="441" t="s">
        <v>410</v>
      </c>
      <c r="Q341" s="441" t="s">
        <v>410</v>
      </c>
      <c r="R341" s="441" t="s">
        <v>410</v>
      </c>
      <c r="S341" s="441" t="s">
        <v>410</v>
      </c>
      <c r="T341" s="441" t="s">
        <v>410</v>
      </c>
    </row>
    <row r="342" spans="1:20" hidden="1" outlineLevel="1" x14ac:dyDescent="0.3">
      <c r="A342" s="583" t="s">
        <v>2334</v>
      </c>
      <c r="B342" s="591">
        <v>6</v>
      </c>
      <c r="C342" s="583" t="s">
        <v>1564</v>
      </c>
      <c r="D342" s="583" t="s">
        <v>1480</v>
      </c>
      <c r="E342" s="593" t="s">
        <v>410</v>
      </c>
      <c r="F342" s="583" t="s">
        <v>410</v>
      </c>
      <c r="G342" s="583" t="s">
        <v>410</v>
      </c>
      <c r="H342" s="583" t="s">
        <v>410</v>
      </c>
      <c r="I342" s="583" t="s">
        <v>410</v>
      </c>
      <c r="J342" s="583" t="s">
        <v>410</v>
      </c>
      <c r="K342" s="593" t="s">
        <v>2336</v>
      </c>
      <c r="L342" s="593" t="s">
        <v>2336</v>
      </c>
      <c r="M342" s="593" t="s">
        <v>2336</v>
      </c>
      <c r="N342" t="s">
        <v>410</v>
      </c>
      <c r="O342" t="s">
        <v>410</v>
      </c>
      <c r="P342" t="s">
        <v>410</v>
      </c>
      <c r="Q342" t="s">
        <v>410</v>
      </c>
      <c r="R342" t="s">
        <v>410</v>
      </c>
      <c r="S342" t="s">
        <v>410</v>
      </c>
      <c r="T342" t="s">
        <v>410</v>
      </c>
    </row>
    <row r="343" spans="1:20" hidden="1" outlineLevel="1" x14ac:dyDescent="0.3">
      <c r="A343" s="583" t="s">
        <v>2144</v>
      </c>
      <c r="B343" s="591">
        <v>7</v>
      </c>
      <c r="C343" s="588" t="s">
        <v>1564</v>
      </c>
      <c r="D343" s="588" t="s">
        <v>1480</v>
      </c>
      <c r="E343" s="589" t="s">
        <v>1910</v>
      </c>
      <c r="F343" s="441" t="s">
        <v>410</v>
      </c>
      <c r="G343" s="441" t="s">
        <v>410</v>
      </c>
      <c r="H343" s="441" t="s">
        <v>410</v>
      </c>
      <c r="I343" s="441" t="s">
        <v>410</v>
      </c>
      <c r="J343" s="441" t="s">
        <v>410</v>
      </c>
      <c r="K343" s="441" t="s">
        <v>410</v>
      </c>
      <c r="L343" s="441" t="s">
        <v>410</v>
      </c>
      <c r="M343" s="441" t="s">
        <v>410</v>
      </c>
      <c r="N343" s="441" t="s">
        <v>410</v>
      </c>
      <c r="O343" s="441" t="s">
        <v>410</v>
      </c>
      <c r="P343" s="441" t="s">
        <v>410</v>
      </c>
      <c r="Q343" s="441" t="s">
        <v>410</v>
      </c>
      <c r="R343" s="441" t="s">
        <v>410</v>
      </c>
      <c r="S343" s="441" t="s">
        <v>410</v>
      </c>
      <c r="T343" s="441" t="s">
        <v>410</v>
      </c>
    </row>
    <row r="344" spans="1:20" hidden="1" outlineLevel="1" x14ac:dyDescent="0.3">
      <c r="A344" s="583" t="s">
        <v>2337</v>
      </c>
      <c r="B344" s="591">
        <v>7</v>
      </c>
      <c r="C344" s="583" t="s">
        <v>1564</v>
      </c>
      <c r="D344" s="583" t="s">
        <v>1480</v>
      </c>
      <c r="E344" s="593" t="s">
        <v>410</v>
      </c>
      <c r="F344" s="583" t="s">
        <v>410</v>
      </c>
      <c r="G344" s="583" t="s">
        <v>410</v>
      </c>
      <c r="H344" s="583" t="s">
        <v>410</v>
      </c>
      <c r="I344" s="583" t="s">
        <v>410</v>
      </c>
      <c r="J344" s="583" t="s">
        <v>410</v>
      </c>
      <c r="K344" s="583" t="s">
        <v>410</v>
      </c>
      <c r="L344" s="593" t="s">
        <v>2418</v>
      </c>
      <c r="M344" s="593" t="s">
        <v>2418</v>
      </c>
      <c r="N344" t="s">
        <v>410</v>
      </c>
      <c r="O344" t="s">
        <v>410</v>
      </c>
      <c r="P344" t="s">
        <v>410</v>
      </c>
      <c r="Q344" t="s">
        <v>410</v>
      </c>
      <c r="R344" t="s">
        <v>410</v>
      </c>
      <c r="S344" t="s">
        <v>410</v>
      </c>
      <c r="T344" t="s">
        <v>410</v>
      </c>
    </row>
    <row r="345" spans="1:20" hidden="1" outlineLevel="1" x14ac:dyDescent="0.3">
      <c r="A345" s="583" t="s">
        <v>2150</v>
      </c>
      <c r="B345" s="591">
        <v>8</v>
      </c>
      <c r="C345" s="588" t="s">
        <v>1564</v>
      </c>
      <c r="D345" s="588" t="s">
        <v>1480</v>
      </c>
      <c r="E345" s="589" t="s">
        <v>2155</v>
      </c>
      <c r="F345" s="441" t="s">
        <v>410</v>
      </c>
      <c r="G345" s="441" t="s">
        <v>410</v>
      </c>
      <c r="H345" s="441" t="s">
        <v>410</v>
      </c>
      <c r="I345" s="441" t="s">
        <v>410</v>
      </c>
      <c r="J345" s="441" t="s">
        <v>410</v>
      </c>
      <c r="K345" s="441" t="s">
        <v>410</v>
      </c>
      <c r="L345" s="441" t="s">
        <v>410</v>
      </c>
      <c r="M345" s="441" t="s">
        <v>410</v>
      </c>
      <c r="N345" s="441" t="s">
        <v>410</v>
      </c>
      <c r="O345" s="441" t="s">
        <v>410</v>
      </c>
      <c r="P345" s="441" t="s">
        <v>410</v>
      </c>
      <c r="Q345" s="441" t="s">
        <v>410</v>
      </c>
      <c r="R345" s="441" t="s">
        <v>410</v>
      </c>
      <c r="S345" s="441" t="s">
        <v>410</v>
      </c>
      <c r="T345" s="441" t="s">
        <v>410</v>
      </c>
    </row>
    <row r="346" spans="1:20" hidden="1" outlineLevel="1" x14ac:dyDescent="0.3">
      <c r="A346" s="583" t="s">
        <v>2338</v>
      </c>
      <c r="B346" s="591">
        <v>8</v>
      </c>
      <c r="C346" s="583" t="s">
        <v>1564</v>
      </c>
      <c r="D346" s="583" t="s">
        <v>1480</v>
      </c>
      <c r="E346" s="593" t="s">
        <v>410</v>
      </c>
      <c r="F346" s="583" t="s">
        <v>410</v>
      </c>
      <c r="G346" s="583" t="s">
        <v>410</v>
      </c>
      <c r="H346" s="583" t="s">
        <v>410</v>
      </c>
      <c r="I346" s="583" t="s">
        <v>410</v>
      </c>
      <c r="J346" s="583" t="s">
        <v>410</v>
      </c>
      <c r="K346" s="583" t="s">
        <v>410</v>
      </c>
      <c r="L346" s="583" t="s">
        <v>410</v>
      </c>
      <c r="M346" s="593" t="s">
        <v>2419</v>
      </c>
      <c r="N346" t="s">
        <v>410</v>
      </c>
      <c r="O346" t="s">
        <v>410</v>
      </c>
      <c r="P346" t="s">
        <v>410</v>
      </c>
      <c r="Q346" t="s">
        <v>410</v>
      </c>
      <c r="R346" t="s">
        <v>410</v>
      </c>
      <c r="S346" t="s">
        <v>410</v>
      </c>
      <c r="T346" t="s">
        <v>410</v>
      </c>
    </row>
    <row r="347" spans="1:20" hidden="1" outlineLevel="1" x14ac:dyDescent="0.3">
      <c r="A347" s="583" t="s">
        <v>2151</v>
      </c>
      <c r="B347" s="591">
        <v>9</v>
      </c>
      <c r="C347" s="588" t="s">
        <v>1564</v>
      </c>
      <c r="D347" s="588" t="s">
        <v>1480</v>
      </c>
      <c r="E347" s="589" t="s">
        <v>2156</v>
      </c>
      <c r="F347" s="441" t="s">
        <v>410</v>
      </c>
      <c r="G347" s="441" t="s">
        <v>410</v>
      </c>
      <c r="H347" s="441" t="s">
        <v>410</v>
      </c>
      <c r="I347" s="441" t="s">
        <v>410</v>
      </c>
      <c r="J347" s="441" t="s">
        <v>410</v>
      </c>
      <c r="K347" s="441" t="s">
        <v>410</v>
      </c>
      <c r="L347" s="441" t="s">
        <v>410</v>
      </c>
      <c r="M347" s="441" t="s">
        <v>410</v>
      </c>
      <c r="N347" s="441" t="s">
        <v>410</v>
      </c>
      <c r="O347" s="441" t="s">
        <v>410</v>
      </c>
      <c r="P347" s="441" t="s">
        <v>410</v>
      </c>
      <c r="Q347" s="441" t="s">
        <v>410</v>
      </c>
      <c r="R347" s="441" t="s">
        <v>410</v>
      </c>
      <c r="S347" s="441" t="s">
        <v>410</v>
      </c>
      <c r="T347" s="441" t="s">
        <v>410</v>
      </c>
    </row>
    <row r="348" spans="1:20" hidden="1" outlineLevel="1" x14ac:dyDescent="0.3">
      <c r="A348" s="583" t="s">
        <v>2152</v>
      </c>
      <c r="B348" s="591">
        <v>10</v>
      </c>
      <c r="C348" s="588" t="s">
        <v>1564</v>
      </c>
      <c r="D348" s="588" t="s">
        <v>1480</v>
      </c>
      <c r="E348" s="589" t="s">
        <v>4355</v>
      </c>
      <c r="F348" s="441" t="s">
        <v>410</v>
      </c>
      <c r="G348" s="441" t="s">
        <v>410</v>
      </c>
      <c r="H348" s="441" t="s">
        <v>410</v>
      </c>
      <c r="I348" s="441" t="s">
        <v>410</v>
      </c>
      <c r="J348" s="441" t="s">
        <v>410</v>
      </c>
      <c r="K348" s="441" t="s">
        <v>410</v>
      </c>
      <c r="L348" s="441" t="s">
        <v>410</v>
      </c>
      <c r="M348" s="441" t="s">
        <v>410</v>
      </c>
      <c r="N348" s="441" t="s">
        <v>410</v>
      </c>
      <c r="O348" s="441" t="s">
        <v>410</v>
      </c>
      <c r="P348" s="441" t="s">
        <v>410</v>
      </c>
      <c r="Q348" s="441" t="s">
        <v>410</v>
      </c>
      <c r="R348" s="441" t="s">
        <v>410</v>
      </c>
      <c r="S348" s="441" t="s">
        <v>410</v>
      </c>
      <c r="T348" s="441" t="s">
        <v>410</v>
      </c>
    </row>
    <row r="349" spans="1:20" hidden="1" outlineLevel="1" x14ac:dyDescent="0.3">
      <c r="A349" s="583" t="s">
        <v>2153</v>
      </c>
      <c r="B349" s="591">
        <v>11</v>
      </c>
      <c r="C349" s="588" t="s">
        <v>1564</v>
      </c>
      <c r="D349" s="588" t="s">
        <v>1480</v>
      </c>
      <c r="E349" s="589" t="s">
        <v>2157</v>
      </c>
      <c r="F349" s="441" t="s">
        <v>410</v>
      </c>
      <c r="G349" s="441" t="s">
        <v>410</v>
      </c>
      <c r="H349" s="441" t="s">
        <v>410</v>
      </c>
      <c r="I349" s="441" t="s">
        <v>410</v>
      </c>
      <c r="J349" s="441" t="s">
        <v>410</v>
      </c>
      <c r="K349" s="441" t="s">
        <v>410</v>
      </c>
      <c r="L349" s="441" t="s">
        <v>410</v>
      </c>
      <c r="M349" s="441" t="s">
        <v>410</v>
      </c>
      <c r="N349" s="441" t="s">
        <v>410</v>
      </c>
      <c r="O349" s="441" t="s">
        <v>410</v>
      </c>
      <c r="P349" s="441" t="s">
        <v>410</v>
      </c>
      <c r="Q349" s="441" t="s">
        <v>410</v>
      </c>
      <c r="R349" s="441" t="s">
        <v>410</v>
      </c>
      <c r="S349" s="441" t="s">
        <v>410</v>
      </c>
      <c r="T349" s="441" t="s">
        <v>410</v>
      </c>
    </row>
    <row r="350" spans="1:20" collapsed="1" x14ac:dyDescent="0.3">
      <c r="A350" s="583" t="s">
        <v>3333</v>
      </c>
      <c r="B350" s="591">
        <v>1</v>
      </c>
      <c r="C350" s="588" t="s">
        <v>1256</v>
      </c>
      <c r="D350" s="588" t="s">
        <v>1560</v>
      </c>
      <c r="E350" s="589" t="s">
        <v>66</v>
      </c>
      <c r="F350" s="590" t="s">
        <v>5503</v>
      </c>
      <c r="G350" s="590" t="s">
        <v>3159</v>
      </c>
      <c r="H350" s="590" t="s">
        <v>3160</v>
      </c>
      <c r="I350" s="590" t="s">
        <v>3274</v>
      </c>
      <c r="J350" s="441" t="s">
        <v>410</v>
      </c>
      <c r="K350" s="441" t="s">
        <v>410</v>
      </c>
      <c r="L350" s="441" t="s">
        <v>410</v>
      </c>
      <c r="M350" s="441" t="s">
        <v>410</v>
      </c>
      <c r="N350" s="441" t="s">
        <v>410</v>
      </c>
      <c r="O350" s="441" t="s">
        <v>410</v>
      </c>
      <c r="P350" s="441" t="s">
        <v>410</v>
      </c>
      <c r="Q350" s="441" t="s">
        <v>410</v>
      </c>
      <c r="R350" s="441" t="s">
        <v>410</v>
      </c>
      <c r="S350" s="441" t="s">
        <v>410</v>
      </c>
      <c r="T350" s="441" t="s">
        <v>410</v>
      </c>
    </row>
    <row r="351" spans="1:20" ht="13.5" customHeight="1" outlineLevel="1" x14ac:dyDescent="0.3">
      <c r="A351" s="583" t="s">
        <v>1559</v>
      </c>
      <c r="B351" s="591">
        <v>1</v>
      </c>
      <c r="C351" s="588" t="s">
        <v>1256</v>
      </c>
      <c r="D351" s="588" t="s">
        <v>1560</v>
      </c>
      <c r="E351" s="589" t="s">
        <v>410</v>
      </c>
      <c r="F351" s="590" t="s">
        <v>1561</v>
      </c>
      <c r="G351" s="590" t="s">
        <v>4375</v>
      </c>
      <c r="H351" s="590" t="s">
        <v>4376</v>
      </c>
      <c r="I351" s="441" t="s">
        <v>410</v>
      </c>
      <c r="J351" s="441" t="s">
        <v>410</v>
      </c>
      <c r="K351" s="441" t="s">
        <v>410</v>
      </c>
      <c r="L351" s="441" t="s">
        <v>410</v>
      </c>
      <c r="M351" s="441" t="s">
        <v>410</v>
      </c>
      <c r="N351" s="441" t="s">
        <v>410</v>
      </c>
      <c r="O351" s="441" t="s">
        <v>410</v>
      </c>
      <c r="P351" s="441" t="s">
        <v>410</v>
      </c>
      <c r="Q351" s="441" t="s">
        <v>410</v>
      </c>
      <c r="R351" s="441" t="s">
        <v>410</v>
      </c>
      <c r="S351" s="441" t="s">
        <v>410</v>
      </c>
      <c r="T351" s="441" t="s">
        <v>410</v>
      </c>
    </row>
    <row r="352" spans="1:20" outlineLevel="1" x14ac:dyDescent="0.3">
      <c r="A352" s="583" t="s">
        <v>3610</v>
      </c>
      <c r="B352" s="591">
        <v>1</v>
      </c>
      <c r="C352" s="588" t="s">
        <v>1256</v>
      </c>
      <c r="D352" s="588" t="s">
        <v>1560</v>
      </c>
      <c r="E352" s="589" t="s">
        <v>410</v>
      </c>
      <c r="F352" s="594" t="str">
        <f>CONCATENATE(TEXT(4+IF(ZRČ&lt;0,0,ZRČ)*1,"0")," mg")</f>
        <v>4 mg</v>
      </c>
      <c r="G352" s="594" t="str">
        <f>CONCATENATE(TEXT(5+IF(ZRČ&lt;0,0,ZRČ)*2,"0")," mg")</f>
        <v>5 mg</v>
      </c>
      <c r="H352" s="594" t="str">
        <f>CONCATENATE(TEXT(7+IF(ZRČ&lt;0,0,ZRČ)*2,"0")," mg")</f>
        <v>7 mg</v>
      </c>
      <c r="I352" s="594" t="str">
        <f>CONCATENATE(TEXT(9+IF(ZRČ&lt;0,0,ZRČ)*2,"0")," mg")</f>
        <v>9 mg</v>
      </c>
      <c r="J352" s="594" t="str">
        <f>CONCATENATE(TEXT(9+IF(ZRČ&lt;0,0,ZRČ)*3,"0")," mg")</f>
        <v>9 mg</v>
      </c>
      <c r="K352" s="594" t="str">
        <f>CONCATENATE(TEXT(10+IF(ZRČ&lt;0,0,ZRČ)*4,"0")," mg")</f>
        <v>10 mg</v>
      </c>
      <c r="L352" s="594" t="str">
        <f>CONCATENATE(TEXT(13+IF(ZRČ&lt;0,0,ZRČ)*4,"0")," mg")</f>
        <v>13 mg</v>
      </c>
      <c r="M352" s="594" t="str">
        <f>CONCATENATE(TEXT(16+IF(ZRČ&lt;0,0,ZRČ)*4,"0")," mg")</f>
        <v>16 mg</v>
      </c>
      <c r="N352" s="594" t="str">
        <f>CONCATENATE(TEXT(19+IF(ZRČ&lt;0,0,ZRČ)*4,"0")," mg")</f>
        <v>19 mg</v>
      </c>
      <c r="O352" s="594" t="str">
        <f>CONCATENATE(TEXT(21+IF(ZRČ&lt;0,0,ZRČ)*5,"0")," mg")</f>
        <v>21 mg</v>
      </c>
      <c r="P352" s="441" t="s">
        <v>410</v>
      </c>
      <c r="Q352" s="441" t="s">
        <v>410</v>
      </c>
      <c r="R352" s="441" t="s">
        <v>410</v>
      </c>
      <c r="S352" s="441" t="s">
        <v>410</v>
      </c>
      <c r="T352" s="441" t="s">
        <v>410</v>
      </c>
    </row>
    <row r="353" spans="1:20" outlineLevel="1" x14ac:dyDescent="0.3">
      <c r="A353" s="583" t="s">
        <v>3611</v>
      </c>
      <c r="B353" s="591">
        <v>1</v>
      </c>
      <c r="C353" s="588" t="s">
        <v>1256</v>
      </c>
      <c r="D353" s="588" t="s">
        <v>1560</v>
      </c>
      <c r="E353" s="589" t="s">
        <v>410</v>
      </c>
      <c r="F353" s="594" t="str">
        <f>CONCATENATE(TEXT(4+IF(VOL&lt;0,0,VOL)*1,"0")," mg")</f>
        <v>4 mg</v>
      </c>
      <c r="G353" s="594" t="str">
        <f>CONCATENATE(TEXT(5+IF(VOL&lt;0,0,VOL)*2,"0")," mg")</f>
        <v>5 mg</v>
      </c>
      <c r="H353" s="594" t="str">
        <f>CONCATENATE(TEXT(7+IF(VOL&lt;0,0,VOL)*2,"0")," mg")</f>
        <v>7 mg</v>
      </c>
      <c r="I353" s="594" t="str">
        <f>CONCATENATE(TEXT(9+IF(VOL&lt;0,0,VOL)*2,"0")," mg")</f>
        <v>9 mg</v>
      </c>
      <c r="J353" s="594" t="str">
        <f>CONCATENATE(TEXT(9+IF(VOL&lt;0,0,VOL)*3,"0")," mg")</f>
        <v>9 mg</v>
      </c>
      <c r="K353" s="594" t="str">
        <f>CONCATENATE(TEXT(10+IF(VOL&lt;0,0,VOL)*4,"0")," mg")</f>
        <v>10 mg</v>
      </c>
      <c r="L353" s="594" t="str">
        <f>CONCATENATE(TEXT(13+IF(VOL&lt;0,0,VOL)*4,"0")," mg")</f>
        <v>13 mg</v>
      </c>
      <c r="M353" s="594" t="str">
        <f>CONCATENATE(TEXT(16+IF(VOL&lt;0,0,VOL)*4,"0")," mg")</f>
        <v>16 mg</v>
      </c>
      <c r="N353" s="594" t="str">
        <f>CONCATENATE(TEXT(19+IF(VOL&lt;0,0,VOL)*4,"0")," mg")</f>
        <v>19 mg</v>
      </c>
      <c r="O353" s="594" t="str">
        <f>CONCATENATE(TEXT(21+IF(VOL&lt;0,0,VOL)*5,"0")," mg")</f>
        <v>21 mg</v>
      </c>
      <c r="P353" s="441" t="s">
        <v>410</v>
      </c>
      <c r="Q353" s="441" t="s">
        <v>410</v>
      </c>
      <c r="R353" s="441" t="s">
        <v>410</v>
      </c>
      <c r="S353" s="441" t="s">
        <v>410</v>
      </c>
      <c r="T353" s="441" t="s">
        <v>410</v>
      </c>
    </row>
    <row r="354" spans="1:20" outlineLevel="1" x14ac:dyDescent="0.3">
      <c r="A354" s="583" t="s">
        <v>3616</v>
      </c>
      <c r="B354" s="591">
        <v>1</v>
      </c>
      <c r="C354" s="588" t="s">
        <v>1256</v>
      </c>
      <c r="D354" s="588" t="s">
        <v>1560</v>
      </c>
      <c r="E354" s="589" t="s">
        <v>410</v>
      </c>
      <c r="F354" s="594" t="str">
        <f>CONCATENATE(TEXT(4+IF(CHR&lt;0,0,CHR)*1,"0")," mg")</f>
        <v>4 mg</v>
      </c>
      <c r="G354" s="594" t="str">
        <f>CONCATENATE(TEXT(5+IF(CHR&lt;0,0,CHR)*2,"0")," mg")</f>
        <v>5 mg</v>
      </c>
      <c r="H354" s="594" t="str">
        <f>CONCATENATE(TEXT(7+IF(CHR&lt;0,0,CHR)*2,"0")," mg")</f>
        <v>7 mg</v>
      </c>
      <c r="I354" s="594" t="str">
        <f>CONCATENATE(TEXT(9+IF(CHR&lt;0,0,CHR)*2,"0")," mg")</f>
        <v>9 mg</v>
      </c>
      <c r="J354" s="594" t="str">
        <f>CONCATENATE(TEXT(9+IF(CHR&lt;0,0,CHR)*3,"0")," mg")</f>
        <v>9 mg</v>
      </c>
      <c r="K354" s="594" t="str">
        <f>CONCATENATE(TEXT(10+IF(CHR&lt;0,0,CHR)*4,"0")," mg")</f>
        <v>10 mg</v>
      </c>
      <c r="L354" s="594" t="str">
        <f>CONCATENATE(TEXT(13+IF(CHR&lt;0,0,CHR)*4,"0")," mg")</f>
        <v>13 mg</v>
      </c>
      <c r="M354" s="594" t="str">
        <f>CONCATENATE(TEXT(16+IF(CHR&lt;0,0,CHR)*4,"0")," mg")</f>
        <v>16 mg</v>
      </c>
      <c r="N354" s="594" t="str">
        <f>CONCATENATE(TEXT(19+IF(CHR&lt;0,0,CHR)*4,"0")," mg")</f>
        <v>19 mg</v>
      </c>
      <c r="O354" s="594" t="str">
        <f>CONCATENATE(TEXT(21+IF(CHR&lt;0,0,CHR)*5,"0")," mg")</f>
        <v>21 mg</v>
      </c>
      <c r="P354" s="441" t="s">
        <v>410</v>
      </c>
      <c r="Q354" s="441" t="s">
        <v>410</v>
      </c>
      <c r="R354" s="441" t="s">
        <v>410</v>
      </c>
      <c r="S354" s="441" t="s">
        <v>410</v>
      </c>
      <c r="T354" s="441" t="s">
        <v>410</v>
      </c>
    </row>
    <row r="355" spans="1:20" outlineLevel="1" x14ac:dyDescent="0.3">
      <c r="A355" s="583" t="s">
        <v>3612</v>
      </c>
      <c r="B355" s="591">
        <v>1</v>
      </c>
      <c r="C355" s="588" t="s">
        <v>1256</v>
      </c>
      <c r="D355" s="588" t="s">
        <v>1560</v>
      </c>
      <c r="E355" s="589" t="s">
        <v>410</v>
      </c>
      <c r="F355" s="594" t="str">
        <f>CONCATENATE(TEXT(4+IF(SIL&lt;0,0,SIL)*1,"0")," mg")</f>
        <v>4 mg</v>
      </c>
      <c r="G355" s="594" t="str">
        <f>CONCATENATE(TEXT(5+IF(SIL&lt;0,0,SIL)*2,"0")," mg")</f>
        <v>5 mg</v>
      </c>
      <c r="H355" s="594" t="str">
        <f>CONCATENATE(TEXT(7+IF(SIL&lt;0,0,SIL)*2,"0")," mg")</f>
        <v>7 mg</v>
      </c>
      <c r="I355" s="594" t="str">
        <f>CONCATENATE(TEXT(9+IF(SIL&lt;0,0,SIL)*2,"0")," mg")</f>
        <v>9 mg</v>
      </c>
      <c r="J355" s="594" t="str">
        <f>CONCATENATE(TEXT(9+IF(SIL&lt;0,0,SIL)*3,"0")," mg")</f>
        <v>9 mg</v>
      </c>
      <c r="K355" s="594" t="str">
        <f>CONCATENATE(TEXT(10+IF(SIL&lt;0,0,SIL)*4,"0")," mg")</f>
        <v>10 mg</v>
      </c>
      <c r="L355" s="594" t="str">
        <f>CONCATENATE(TEXT(13+IF(SIL&lt;0,0,SIL)*4,"0")," mg")</f>
        <v>13 mg</v>
      </c>
      <c r="M355" s="594" t="str">
        <f>CONCATENATE(TEXT(16+IF(SIL&lt;0,0,SIL)*4,"0")," mg")</f>
        <v>16 mg</v>
      </c>
      <c r="N355" s="594" t="str">
        <f>CONCATENATE(TEXT(19+IF(SIL&lt;0,0,SIL)*4,"0")," mg")</f>
        <v>19 mg</v>
      </c>
      <c r="O355" s="594" t="str">
        <f>CONCATENATE(TEXT(21+IF(SIL&lt;0,0,SIL)*5,"0")," mg")</f>
        <v>21 mg</v>
      </c>
      <c r="P355" s="441" t="s">
        <v>410</v>
      </c>
      <c r="Q355" s="441" t="s">
        <v>410</v>
      </c>
      <c r="R355" s="441" t="s">
        <v>410</v>
      </c>
      <c r="S355" s="441" t="s">
        <v>410</v>
      </c>
      <c r="T355" s="441" t="s">
        <v>410</v>
      </c>
    </row>
    <row r="356" spans="1:20" outlineLevel="1" x14ac:dyDescent="0.3">
      <c r="A356" s="583" t="s">
        <v>3613</v>
      </c>
      <c r="B356" s="591">
        <v>1</v>
      </c>
      <c r="C356" s="588" t="s">
        <v>1256</v>
      </c>
      <c r="D356" s="588" t="s">
        <v>1560</v>
      </c>
      <c r="E356" s="589" t="s">
        <v>410</v>
      </c>
      <c r="F356" s="594" t="str">
        <f>CONCATENATE(TEXT(4+IF(INT&lt;0,0,INT)*1,"0")," mg")</f>
        <v>4 mg</v>
      </c>
      <c r="G356" s="594" t="str">
        <f>CONCATENATE(TEXT(5+IF(INT&lt;0,0,INT)*2,"0")," mg")</f>
        <v>5 mg</v>
      </c>
      <c r="H356" s="594" t="str">
        <f>CONCATENATE(TEXT(7+IF(INT&lt;0,0,INT)*2,"0")," mg")</f>
        <v>7 mg</v>
      </c>
      <c r="I356" s="594" t="str">
        <f>CONCATENATE(TEXT(9+IF(INT&lt;0,0,INT)*2,"0")," mg")</f>
        <v>9 mg</v>
      </c>
      <c r="J356" s="594" t="str">
        <f>CONCATENATE(TEXT(9+IF(INT&lt;0,0,INT)*3,"0")," mg")</f>
        <v>9 mg</v>
      </c>
      <c r="K356" s="594" t="str">
        <f>CONCATENATE(TEXT(10+IF(INT&lt;0,0,INT)*4,"0")," mg")</f>
        <v>10 mg</v>
      </c>
      <c r="L356" s="594" t="str">
        <f>CONCATENATE(TEXT(13+IF(INT&lt;0,0,INT)*4,"0")," mg")</f>
        <v>13 mg</v>
      </c>
      <c r="M356" s="594" t="str">
        <f>CONCATENATE(TEXT(16+IF(INT&lt;0,0,INT)*4,"0")," mg")</f>
        <v>16 mg</v>
      </c>
      <c r="N356" s="594" t="str">
        <f>CONCATENATE(TEXT(19+IF(INT&lt;0,0,INT)*4,"0")," mg")</f>
        <v>19 mg</v>
      </c>
      <c r="O356" s="594" t="str">
        <f>CONCATENATE(TEXT(21+IF(INT&lt;0,0,INT)*5,"0")," mg")</f>
        <v>21 mg</v>
      </c>
      <c r="P356" s="441" t="s">
        <v>410</v>
      </c>
      <c r="Q356" s="441" t="s">
        <v>410</v>
      </c>
      <c r="R356" s="441" t="s">
        <v>410</v>
      </c>
      <c r="S356" s="441" t="s">
        <v>410</v>
      </c>
      <c r="T356" s="441" t="s">
        <v>410</v>
      </c>
    </row>
    <row r="357" spans="1:20" outlineLevel="1" x14ac:dyDescent="0.3">
      <c r="A357" s="583" t="s">
        <v>2190</v>
      </c>
      <c r="B357" s="591">
        <v>1</v>
      </c>
      <c r="C357" s="583" t="s">
        <v>1256</v>
      </c>
      <c r="D357" s="583" t="s">
        <v>1560</v>
      </c>
      <c r="E357" s="593" t="s">
        <v>4363</v>
      </c>
      <c r="F357" s="593" t="s">
        <v>4364</v>
      </c>
      <c r="G357" s="593" t="s">
        <v>4365</v>
      </c>
      <c r="H357" s="593" t="s">
        <v>4362</v>
      </c>
      <c r="I357" s="593" t="s">
        <v>4366</v>
      </c>
      <c r="J357" s="593" t="s">
        <v>4367</v>
      </c>
      <c r="K357" s="593" t="s">
        <v>4368</v>
      </c>
      <c r="L357" s="237" t="s">
        <v>410</v>
      </c>
      <c r="M357" s="237" t="s">
        <v>410</v>
      </c>
      <c r="N357" s="237" t="s">
        <v>410</v>
      </c>
      <c r="O357" s="237" t="s">
        <v>410</v>
      </c>
      <c r="P357" s="237" t="s">
        <v>410</v>
      </c>
      <c r="Q357" s="237" t="s">
        <v>410</v>
      </c>
      <c r="R357" s="237" t="s">
        <v>410</v>
      </c>
      <c r="S357" s="237" t="s">
        <v>410</v>
      </c>
      <c r="T357" s="237" t="s">
        <v>410</v>
      </c>
    </row>
    <row r="358" spans="1:20" outlineLevel="1" x14ac:dyDescent="0.3">
      <c r="A358" s="583" t="s">
        <v>1637</v>
      </c>
      <c r="B358" s="591">
        <v>1</v>
      </c>
      <c r="C358" s="583" t="s">
        <v>1256</v>
      </c>
      <c r="D358" s="583" t="s">
        <v>1560</v>
      </c>
      <c r="E358" s="592" t="s">
        <v>410</v>
      </c>
      <c r="F358" s="593" t="s">
        <v>3320</v>
      </c>
      <c r="G358" s="593" t="s">
        <v>1543</v>
      </c>
      <c r="H358" s="593" t="s">
        <v>3321</v>
      </c>
      <c r="I358" s="593" t="s">
        <v>3322</v>
      </c>
      <c r="J358" s="593" t="s">
        <v>3323</v>
      </c>
      <c r="K358" s="593" t="s">
        <v>3324</v>
      </c>
      <c r="L358" s="593" t="s">
        <v>3325</v>
      </c>
      <c r="M358" s="593" t="s">
        <v>3326</v>
      </c>
      <c r="N358" s="237" t="s">
        <v>410</v>
      </c>
      <c r="O358" s="237" t="s">
        <v>410</v>
      </c>
      <c r="P358" s="237" t="s">
        <v>410</v>
      </c>
      <c r="Q358" s="237" t="s">
        <v>410</v>
      </c>
      <c r="R358" s="237" t="s">
        <v>410</v>
      </c>
      <c r="S358" s="10" t="s">
        <v>410</v>
      </c>
      <c r="T358" s="10" t="s">
        <v>410</v>
      </c>
    </row>
    <row r="359" spans="1:20" outlineLevel="1" x14ac:dyDescent="0.3">
      <c r="A359" s="583" t="s">
        <v>1720</v>
      </c>
      <c r="B359" s="591">
        <v>1</v>
      </c>
      <c r="C359" s="583" t="s">
        <v>1256</v>
      </c>
      <c r="D359" s="583" t="s">
        <v>1560</v>
      </c>
      <c r="E359" s="592" t="s">
        <v>410</v>
      </c>
      <c r="F359" s="593"/>
      <c r="G359" s="593"/>
      <c r="H359" s="593"/>
      <c r="I359" s="593"/>
      <c r="J359" s="593"/>
      <c r="K359" s="593"/>
      <c r="L359" s="237" t="s">
        <v>410</v>
      </c>
      <c r="M359" s="237" t="s">
        <v>410</v>
      </c>
      <c r="N359" s="237" t="s">
        <v>410</v>
      </c>
      <c r="O359" s="237" t="s">
        <v>410</v>
      </c>
      <c r="P359" s="237" t="s">
        <v>410</v>
      </c>
      <c r="Q359" s="237" t="s">
        <v>410</v>
      </c>
      <c r="R359" s="237" t="s">
        <v>410</v>
      </c>
      <c r="S359" s="10" t="s">
        <v>410</v>
      </c>
      <c r="T359" s="10" t="s">
        <v>410</v>
      </c>
    </row>
    <row r="360" spans="1:20" outlineLevel="1" x14ac:dyDescent="0.3">
      <c r="A360" s="583" t="s">
        <v>1785</v>
      </c>
      <c r="B360" s="591">
        <v>1</v>
      </c>
      <c r="C360" s="583" t="s">
        <v>1256</v>
      </c>
      <c r="D360" s="583" t="s">
        <v>1560</v>
      </c>
      <c r="E360" s="592">
        <v>0</v>
      </c>
      <c r="F360" s="592" t="s">
        <v>4324</v>
      </c>
      <c r="G360" s="592" t="s">
        <v>68</v>
      </c>
      <c r="H360" s="592" t="s">
        <v>70</v>
      </c>
      <c r="I360" s="592" t="s">
        <v>72</v>
      </c>
      <c r="J360" s="237" t="s">
        <v>410</v>
      </c>
      <c r="K360" s="237" t="s">
        <v>410</v>
      </c>
      <c r="L360" s="237" t="s">
        <v>410</v>
      </c>
      <c r="M360" s="237" t="s">
        <v>410</v>
      </c>
      <c r="N360" s="237" t="s">
        <v>410</v>
      </c>
      <c r="O360" s="237" t="s">
        <v>410</v>
      </c>
      <c r="P360" s="237" t="s">
        <v>410</v>
      </c>
      <c r="Q360" s="237" t="s">
        <v>410</v>
      </c>
      <c r="R360" s="237" t="s">
        <v>410</v>
      </c>
      <c r="S360" s="10" t="s">
        <v>410</v>
      </c>
      <c r="T360" s="10" t="s">
        <v>410</v>
      </c>
    </row>
    <row r="361" spans="1:20" outlineLevel="1" x14ac:dyDescent="0.3">
      <c r="A361" s="583" t="s">
        <v>1780</v>
      </c>
      <c r="B361" s="591">
        <v>1</v>
      </c>
      <c r="C361" s="583" t="s">
        <v>1256</v>
      </c>
      <c r="D361" s="583" t="s">
        <v>1560</v>
      </c>
      <c r="E361" s="592" t="s">
        <v>410</v>
      </c>
      <c r="F361" s="593" t="s">
        <v>4335</v>
      </c>
      <c r="G361" s="593" t="s">
        <v>4340</v>
      </c>
      <c r="H361" s="593" t="s">
        <v>4339</v>
      </c>
      <c r="I361" s="593" t="s">
        <v>4338</v>
      </c>
      <c r="J361" s="593" t="s">
        <v>4337</v>
      </c>
      <c r="K361" s="593" t="s">
        <v>4336</v>
      </c>
      <c r="L361" s="10" t="s">
        <v>410</v>
      </c>
      <c r="M361" s="10" t="s">
        <v>410</v>
      </c>
      <c r="N361" s="10" t="s">
        <v>410</v>
      </c>
      <c r="O361" s="10" t="s">
        <v>410</v>
      </c>
      <c r="P361" s="10" t="s">
        <v>410</v>
      </c>
      <c r="Q361" s="10" t="s">
        <v>410</v>
      </c>
      <c r="R361" s="10" t="s">
        <v>410</v>
      </c>
      <c r="S361" s="10" t="s">
        <v>410</v>
      </c>
      <c r="T361" s="10" t="s">
        <v>410</v>
      </c>
    </row>
    <row r="362" spans="1:20" outlineLevel="1" x14ac:dyDescent="0.3">
      <c r="A362" s="583" t="s">
        <v>4621</v>
      </c>
      <c r="B362" s="591">
        <v>1</v>
      </c>
      <c r="C362" s="583" t="s">
        <v>1256</v>
      </c>
      <c r="D362" s="583" t="s">
        <v>1560</v>
      </c>
      <c r="E362" s="594" t="str">
        <f>CONCATENATE("['Mag.spol. I] ",TEXT(Úr,0)," m")</f>
        <v>['Mag.spol. I] 4 m</v>
      </c>
      <c r="F362" s="594" t="str">
        <f>CONCATENATE(TEXT(Úr*10,0)," m")</f>
        <v>40 m</v>
      </c>
      <c r="G362" s="594" t="str">
        <f>CONCATENATE(TEXT(Úr*50,0)," m")</f>
        <v>200 m</v>
      </c>
      <c r="H362" s="594" t="str">
        <f>CONCATENATE(TEXT(Úr*200,0)," m")</f>
        <v>800 m</v>
      </c>
      <c r="I362" t="s">
        <v>410</v>
      </c>
      <c r="J362" t="s">
        <v>410</v>
      </c>
      <c r="K362" t="s">
        <v>410</v>
      </c>
      <c r="L362" t="s">
        <v>410</v>
      </c>
      <c r="M362" t="s">
        <v>410</v>
      </c>
      <c r="N362" t="s">
        <v>410</v>
      </c>
      <c r="O362" t="s">
        <v>410</v>
      </c>
      <c r="P362" t="s">
        <v>410</v>
      </c>
      <c r="Q362" t="s">
        <v>410</v>
      </c>
      <c r="R362" t="s">
        <v>410</v>
      </c>
      <c r="S362" t="s">
        <v>410</v>
      </c>
      <c r="T362" t="s">
        <v>410</v>
      </c>
    </row>
    <row r="363" spans="1:20" outlineLevel="1" x14ac:dyDescent="0.3">
      <c r="A363" s="583" t="s">
        <v>1935</v>
      </c>
      <c r="B363" s="591">
        <v>1</v>
      </c>
      <c r="C363" s="583" t="s">
        <v>1256</v>
      </c>
      <c r="D363" s="583" t="s">
        <v>1560</v>
      </c>
      <c r="E363" s="592" t="s">
        <v>90</v>
      </c>
      <c r="F363" s="593" t="s">
        <v>3340</v>
      </c>
      <c r="G363" s="593" t="s">
        <v>3341</v>
      </c>
      <c r="H363" s="593" t="s">
        <v>3342</v>
      </c>
      <c r="I363" s="593" t="s">
        <v>3343</v>
      </c>
      <c r="J363" s="237" t="s">
        <v>410</v>
      </c>
      <c r="K363" s="237" t="s">
        <v>410</v>
      </c>
      <c r="L363" s="237" t="s">
        <v>410</v>
      </c>
      <c r="M363" s="237" t="s">
        <v>410</v>
      </c>
      <c r="N363" s="237" t="s">
        <v>410</v>
      </c>
      <c r="O363" s="237" t="s">
        <v>410</v>
      </c>
      <c r="P363" s="237" t="s">
        <v>410</v>
      </c>
      <c r="Q363" s="237" t="s">
        <v>410</v>
      </c>
      <c r="R363" s="237" t="s">
        <v>410</v>
      </c>
      <c r="S363" s="10" t="s">
        <v>410</v>
      </c>
      <c r="T363" s="10" t="s">
        <v>410</v>
      </c>
    </row>
    <row r="364" spans="1:20" outlineLevel="1" x14ac:dyDescent="0.3">
      <c r="A364" s="583" t="s">
        <v>1950</v>
      </c>
      <c r="B364" s="591">
        <v>1</v>
      </c>
      <c r="C364" s="583" t="s">
        <v>1256</v>
      </c>
      <c r="D364" s="583" t="s">
        <v>1560</v>
      </c>
      <c r="E364" s="593" t="s">
        <v>66</v>
      </c>
      <c r="F364" s="593" t="s">
        <v>4361</v>
      </c>
      <c r="G364" s="593" t="s">
        <v>68</v>
      </c>
      <c r="H364" s="593" t="s">
        <v>70</v>
      </c>
      <c r="I364" s="593" t="s">
        <v>72</v>
      </c>
      <c r="J364" s="237" t="s">
        <v>410</v>
      </c>
      <c r="K364" s="237" t="s">
        <v>410</v>
      </c>
      <c r="L364" s="237" t="s">
        <v>410</v>
      </c>
      <c r="M364" s="237" t="s">
        <v>410</v>
      </c>
      <c r="N364" s="237" t="s">
        <v>410</v>
      </c>
      <c r="O364" s="237" t="s">
        <v>410</v>
      </c>
      <c r="P364" s="237" t="s">
        <v>410</v>
      </c>
      <c r="Q364" s="237" t="s">
        <v>410</v>
      </c>
      <c r="R364" s="237" t="s">
        <v>410</v>
      </c>
      <c r="S364" s="237" t="s">
        <v>410</v>
      </c>
      <c r="T364" s="237" t="s">
        <v>410</v>
      </c>
    </row>
    <row r="365" spans="1:20" outlineLevel="1" x14ac:dyDescent="0.3">
      <c r="A365" s="583" t="s">
        <v>1752</v>
      </c>
      <c r="B365" s="591">
        <v>2</v>
      </c>
      <c r="C365" s="583" t="s">
        <v>1256</v>
      </c>
      <c r="D365" s="583" t="s">
        <v>1560</v>
      </c>
      <c r="E365" s="592" t="s">
        <v>3073</v>
      </c>
      <c r="F365" s="593" t="s">
        <v>4377</v>
      </c>
      <c r="G365" s="593" t="s">
        <v>3335</v>
      </c>
      <c r="H365" s="593" t="s">
        <v>3336</v>
      </c>
      <c r="I365" s="593" t="s">
        <v>3337</v>
      </c>
      <c r="J365" s="593" t="s">
        <v>3338</v>
      </c>
      <c r="K365" s="237" t="s">
        <v>410</v>
      </c>
      <c r="L365" s="237" t="s">
        <v>410</v>
      </c>
      <c r="M365" s="237" t="s">
        <v>410</v>
      </c>
      <c r="N365" s="237" t="s">
        <v>410</v>
      </c>
      <c r="O365" s="237" t="s">
        <v>410</v>
      </c>
      <c r="P365" s="237" t="s">
        <v>410</v>
      </c>
      <c r="Q365" s="237" t="s">
        <v>410</v>
      </c>
      <c r="R365" s="237" t="s">
        <v>410</v>
      </c>
      <c r="S365" s="10" t="s">
        <v>410</v>
      </c>
      <c r="T365" s="10" t="s">
        <v>410</v>
      </c>
    </row>
    <row r="366" spans="1:20" outlineLevel="1" x14ac:dyDescent="0.3">
      <c r="A366" s="583" t="s">
        <v>1815</v>
      </c>
      <c r="B366" s="591">
        <v>2</v>
      </c>
      <c r="C366" s="583" t="s">
        <v>1256</v>
      </c>
      <c r="D366" s="583" t="s">
        <v>1560</v>
      </c>
      <c r="E366" s="592" t="s">
        <v>410</v>
      </c>
      <c r="F366" s="593" t="s">
        <v>1633</v>
      </c>
      <c r="G366" s="593" t="s">
        <v>1634</v>
      </c>
      <c r="H366" s="593" t="s">
        <v>1635</v>
      </c>
      <c r="I366" s="593" t="s">
        <v>1636</v>
      </c>
      <c r="J366" s="593" t="s">
        <v>4369</v>
      </c>
      <c r="K366" s="10" t="s">
        <v>410</v>
      </c>
      <c r="L366" s="10" t="s">
        <v>410</v>
      </c>
      <c r="M366" s="10" t="s">
        <v>410</v>
      </c>
      <c r="N366" s="10" t="s">
        <v>410</v>
      </c>
      <c r="O366" s="10" t="s">
        <v>410</v>
      </c>
      <c r="P366" s="10" t="s">
        <v>410</v>
      </c>
      <c r="Q366" s="10" t="s">
        <v>410</v>
      </c>
      <c r="R366" s="10" t="s">
        <v>410</v>
      </c>
      <c r="S366" s="10" t="s">
        <v>410</v>
      </c>
      <c r="T366" s="10" t="s">
        <v>410</v>
      </c>
    </row>
    <row r="367" spans="1:20" outlineLevel="1" x14ac:dyDescent="0.3">
      <c r="A367" s="583" t="s">
        <v>3033</v>
      </c>
      <c r="B367" s="591">
        <v>2</v>
      </c>
      <c r="C367" s="583" t="s">
        <v>1256</v>
      </c>
      <c r="D367" s="583" t="s">
        <v>1560</v>
      </c>
      <c r="E367" s="593" t="s">
        <v>3034</v>
      </c>
      <c r="F367" s="593" t="s">
        <v>3035</v>
      </c>
      <c r="G367" s="593" t="s">
        <v>3036</v>
      </c>
      <c r="H367" s="593" t="s">
        <v>3038</v>
      </c>
      <c r="I367" s="593" t="s">
        <v>3037</v>
      </c>
      <c r="J367" s="237" t="s">
        <v>410</v>
      </c>
      <c r="K367" s="237" t="s">
        <v>410</v>
      </c>
      <c r="L367" s="237" t="s">
        <v>410</v>
      </c>
      <c r="M367" s="237" t="s">
        <v>410</v>
      </c>
      <c r="N367" s="237" t="s">
        <v>410</v>
      </c>
      <c r="O367" s="237" t="s">
        <v>410</v>
      </c>
      <c r="P367" s="237" t="s">
        <v>410</v>
      </c>
      <c r="Q367" s="237" t="s">
        <v>410</v>
      </c>
      <c r="R367" s="237" t="s">
        <v>410</v>
      </c>
      <c r="S367" s="10" t="s">
        <v>410</v>
      </c>
      <c r="T367" s="10" t="s">
        <v>410</v>
      </c>
    </row>
    <row r="368" spans="1:20" outlineLevel="1" x14ac:dyDescent="0.3">
      <c r="A368" s="583" t="s">
        <v>1995</v>
      </c>
      <c r="B368" s="591">
        <v>3</v>
      </c>
      <c r="C368" s="583" t="s">
        <v>1256</v>
      </c>
      <c r="D368" s="583" t="s">
        <v>1560</v>
      </c>
      <c r="E368" s="237" t="s">
        <v>410</v>
      </c>
      <c r="F368" s="593" t="s">
        <v>1525</v>
      </c>
      <c r="G368" s="593" t="s">
        <v>3316</v>
      </c>
      <c r="H368" s="593" t="s">
        <v>3317</v>
      </c>
      <c r="I368" s="593" t="s">
        <v>3318</v>
      </c>
      <c r="J368" s="593" t="s">
        <v>3319</v>
      </c>
      <c r="K368" s="237" t="s">
        <v>410</v>
      </c>
      <c r="L368" s="237" t="s">
        <v>410</v>
      </c>
      <c r="M368" s="237" t="s">
        <v>410</v>
      </c>
      <c r="N368" s="237" t="s">
        <v>410</v>
      </c>
      <c r="O368" s="237" t="s">
        <v>410</v>
      </c>
      <c r="P368" s="237" t="s">
        <v>410</v>
      </c>
      <c r="Q368" s="237" t="s">
        <v>410</v>
      </c>
      <c r="R368" s="237" t="s">
        <v>410</v>
      </c>
      <c r="S368" s="237" t="s">
        <v>410</v>
      </c>
      <c r="T368" s="237" t="s">
        <v>410</v>
      </c>
    </row>
    <row r="369" spans="1:20" outlineLevel="1" x14ac:dyDescent="0.3">
      <c r="A369" s="583" t="s">
        <v>1845</v>
      </c>
      <c r="B369" s="591">
        <v>5</v>
      </c>
      <c r="C369" s="583" t="s">
        <v>1256</v>
      </c>
      <c r="D369" s="583" t="s">
        <v>1560</v>
      </c>
      <c r="E369" s="10" t="s">
        <v>410</v>
      </c>
      <c r="F369" s="593" t="s">
        <v>3311</v>
      </c>
      <c r="G369" s="593" t="s">
        <v>3312</v>
      </c>
      <c r="H369" s="593" t="s">
        <v>3313</v>
      </c>
      <c r="I369" s="593" t="s">
        <v>3314</v>
      </c>
      <c r="J369" s="593" t="s">
        <v>3315</v>
      </c>
      <c r="K369" s="237" t="s">
        <v>410</v>
      </c>
      <c r="L369" s="237" t="s">
        <v>410</v>
      </c>
      <c r="M369" s="237" t="s">
        <v>410</v>
      </c>
      <c r="N369" s="237" t="s">
        <v>410</v>
      </c>
      <c r="O369" s="237" t="s">
        <v>410</v>
      </c>
      <c r="P369" s="237" t="s">
        <v>410</v>
      </c>
      <c r="Q369" s="237" t="s">
        <v>410</v>
      </c>
      <c r="R369" s="237" t="s">
        <v>410</v>
      </c>
      <c r="S369" s="10" t="s">
        <v>410</v>
      </c>
      <c r="T369" s="10" t="s">
        <v>410</v>
      </c>
    </row>
    <row r="370" spans="1:20" outlineLevel="1" x14ac:dyDescent="0.3">
      <c r="A370" s="583" t="s">
        <v>5694</v>
      </c>
      <c r="B370" s="591">
        <v>6</v>
      </c>
      <c r="C370" s="588" t="s">
        <v>1256</v>
      </c>
      <c r="D370" s="588" t="s">
        <v>1560</v>
      </c>
      <c r="E370" s="589" t="s">
        <v>410</v>
      </c>
      <c r="F370" s="594" t="str">
        <f>CONCATENATE(TEXT(4+IF(ZRČ&lt;0,0,ZRČ)*1,"0")," mg")</f>
        <v>4 mg</v>
      </c>
      <c r="G370" s="594" t="str">
        <f>CONCATENATE(TEXT(5+IF(ZRČ&lt;0,0,ZRČ)*2,"0")," mg")</f>
        <v>5 mg</v>
      </c>
      <c r="H370" s="594" t="str">
        <f>CONCATENATE(TEXT(7+IF(ZRČ&lt;0,0,ZRČ)*2,"0")," mg")</f>
        <v>7 mg</v>
      </c>
      <c r="I370" s="594" t="str">
        <f>CONCATENATE(TEXT(9+IF(ZRČ&lt;0,0,ZRČ)*2,"0")," mg")</f>
        <v>9 mg</v>
      </c>
      <c r="J370" s="594" t="str">
        <f>CONCATENATE(TEXT(9+IF(ZRČ&lt;0,0,ZRČ)*3,"0")," mg")</f>
        <v>9 mg</v>
      </c>
      <c r="K370" s="594" t="str">
        <f>CONCATENATE(TEXT(10+IF(ZRČ&lt;0,0,ZRČ)*4,"0")," mg")</f>
        <v>10 mg</v>
      </c>
      <c r="L370" s="594" t="str">
        <f>CONCATENATE(TEXT(13+IF(ZRČ&lt;0,0,ZRČ)*4,"0")," mg")</f>
        <v>13 mg</v>
      </c>
      <c r="M370" s="594" t="str">
        <f>CONCATENATE(TEXT(16+IF(ZRČ&lt;0,0,ZRČ)*4,"0")," mg")</f>
        <v>16 mg</v>
      </c>
      <c r="N370" s="594" t="str">
        <f>CONCATENATE(TEXT(19+IF(ZRČ&lt;0,0,ZRČ)*4,"0")," mg")</f>
        <v>19 mg</v>
      </c>
      <c r="O370" s="594" t="str">
        <f>CONCATENATE(TEXT(21+IF(ZRČ&lt;0,0,ZRČ)*5,"0")," mg")</f>
        <v>21 mg</v>
      </c>
      <c r="P370" s="441" t="s">
        <v>410</v>
      </c>
      <c r="Q370" s="441" t="s">
        <v>410</v>
      </c>
      <c r="R370" s="441" t="s">
        <v>410</v>
      </c>
      <c r="S370" s="441" t="s">
        <v>410</v>
      </c>
      <c r="T370" s="441" t="s">
        <v>410</v>
      </c>
    </row>
    <row r="371" spans="1:20" outlineLevel="1" x14ac:dyDescent="0.3">
      <c r="A371" s="583" t="s">
        <v>1755</v>
      </c>
      <c r="B371" s="591">
        <v>6</v>
      </c>
      <c r="C371" s="583" t="s">
        <v>1256</v>
      </c>
      <c r="D371" s="583" t="s">
        <v>1560</v>
      </c>
      <c r="E371" s="592" t="s">
        <v>410</v>
      </c>
      <c r="F371" s="593" t="s">
        <v>4198</v>
      </c>
      <c r="G371" s="593" t="s">
        <v>4199</v>
      </c>
      <c r="H371" s="593" t="s">
        <v>4200</v>
      </c>
      <c r="I371" s="593" t="s">
        <v>4201</v>
      </c>
      <c r="J371" s="593" t="s">
        <v>4202</v>
      </c>
      <c r="K371" s="237" t="s">
        <v>410</v>
      </c>
      <c r="L371" s="237" t="s">
        <v>410</v>
      </c>
      <c r="M371" s="237" t="s">
        <v>410</v>
      </c>
      <c r="N371" s="237" t="s">
        <v>410</v>
      </c>
      <c r="O371" s="237" t="s">
        <v>410</v>
      </c>
      <c r="P371" s="237" t="s">
        <v>410</v>
      </c>
      <c r="Q371" s="237" t="s">
        <v>410</v>
      </c>
      <c r="R371" s="237" t="s">
        <v>410</v>
      </c>
      <c r="S371" s="10" t="s">
        <v>410</v>
      </c>
      <c r="T371" s="10" t="s">
        <v>410</v>
      </c>
    </row>
    <row r="372" spans="1:20" outlineLevel="1" x14ac:dyDescent="0.3">
      <c r="A372" s="583" t="s">
        <v>4379</v>
      </c>
      <c r="B372" s="591">
        <v>6</v>
      </c>
      <c r="C372" s="583" t="s">
        <v>1256</v>
      </c>
      <c r="D372" s="583" t="s">
        <v>1560</v>
      </c>
      <c r="E372" s="592" t="s">
        <v>410</v>
      </c>
      <c r="F372" s="593" t="s">
        <v>67</v>
      </c>
      <c r="G372" s="593" t="s">
        <v>4382</v>
      </c>
      <c r="H372" s="593" t="s">
        <v>4383</v>
      </c>
      <c r="I372" s="593" t="s">
        <v>4384</v>
      </c>
      <c r="J372" s="237" t="s">
        <v>410</v>
      </c>
      <c r="K372" s="237" t="s">
        <v>410</v>
      </c>
      <c r="L372" s="237" t="s">
        <v>410</v>
      </c>
      <c r="M372" s="237" t="s">
        <v>410</v>
      </c>
      <c r="N372" s="237" t="s">
        <v>410</v>
      </c>
      <c r="O372" s="237" t="s">
        <v>410</v>
      </c>
      <c r="P372" s="237" t="s">
        <v>410</v>
      </c>
      <c r="Q372" s="237" t="s">
        <v>410</v>
      </c>
      <c r="R372" s="237" t="s">
        <v>410</v>
      </c>
      <c r="S372" s="10" t="s">
        <v>410</v>
      </c>
      <c r="T372" s="10" t="s">
        <v>410</v>
      </c>
    </row>
    <row r="373" spans="1:20" outlineLevel="1" x14ac:dyDescent="0.3">
      <c r="A373" s="583" t="s">
        <v>1938</v>
      </c>
      <c r="B373" s="591">
        <v>6</v>
      </c>
      <c r="C373" s="583" t="s">
        <v>1256</v>
      </c>
      <c r="D373" s="583" t="s">
        <v>1560</v>
      </c>
      <c r="E373" s="583" t="s">
        <v>410</v>
      </c>
      <c r="F373" s="592" t="s">
        <v>1561</v>
      </c>
      <c r="G373" s="592" t="s">
        <v>3463</v>
      </c>
      <c r="H373" s="592" t="s">
        <v>3464</v>
      </c>
      <c r="I373" s="237" t="s">
        <v>410</v>
      </c>
      <c r="J373" s="237" t="s">
        <v>410</v>
      </c>
      <c r="K373" s="237" t="s">
        <v>410</v>
      </c>
      <c r="L373" s="237" t="s">
        <v>410</v>
      </c>
      <c r="M373" s="237" t="s">
        <v>410</v>
      </c>
      <c r="N373" s="237" t="s">
        <v>410</v>
      </c>
      <c r="O373" s="237" t="s">
        <v>410</v>
      </c>
      <c r="P373" s="237" t="s">
        <v>410</v>
      </c>
      <c r="Q373" s="237" t="s">
        <v>410</v>
      </c>
      <c r="R373" s="237" t="s">
        <v>410</v>
      </c>
      <c r="S373" s="10" t="s">
        <v>410</v>
      </c>
      <c r="T373" s="10" t="s">
        <v>410</v>
      </c>
    </row>
    <row r="374" spans="1:20" outlineLevel="1" x14ac:dyDescent="0.3">
      <c r="A374" s="583" t="s">
        <v>1988</v>
      </c>
      <c r="B374" s="591">
        <v>6</v>
      </c>
      <c r="C374" s="583" t="s">
        <v>1256</v>
      </c>
      <c r="D374" s="583" t="s">
        <v>1560</v>
      </c>
      <c r="E374" s="593" t="s">
        <v>4370</v>
      </c>
      <c r="F374" s="593" t="s">
        <v>4371</v>
      </c>
      <c r="G374" s="593" t="s">
        <v>4372</v>
      </c>
      <c r="H374" s="593" t="s">
        <v>4373</v>
      </c>
      <c r="I374" s="593" t="s">
        <v>4374</v>
      </c>
      <c r="J374" s="237" t="s">
        <v>410</v>
      </c>
      <c r="K374" s="237" t="s">
        <v>410</v>
      </c>
      <c r="L374" s="237" t="s">
        <v>410</v>
      </c>
      <c r="M374" s="237" t="s">
        <v>410</v>
      </c>
      <c r="N374" s="237" t="s">
        <v>410</v>
      </c>
      <c r="O374" s="237" t="s">
        <v>410</v>
      </c>
      <c r="P374" s="237" t="s">
        <v>410</v>
      </c>
      <c r="Q374" s="237" t="s">
        <v>410</v>
      </c>
      <c r="R374" s="237" t="s">
        <v>410</v>
      </c>
      <c r="S374" s="237" t="s">
        <v>410</v>
      </c>
      <c r="T374" s="237" t="s">
        <v>410</v>
      </c>
    </row>
    <row r="375" spans="1:20" outlineLevel="1" x14ac:dyDescent="0.3">
      <c r="A375" s="583" t="s">
        <v>1889</v>
      </c>
      <c r="B375" s="591">
        <v>11</v>
      </c>
      <c r="C375" s="583" t="s">
        <v>1256</v>
      </c>
      <c r="D375" s="583" t="s">
        <v>1560</v>
      </c>
      <c r="E375" s="592" t="s">
        <v>410</v>
      </c>
      <c r="F375" s="593" t="s">
        <v>3461</v>
      </c>
      <c r="G375" s="593" t="s">
        <v>3462</v>
      </c>
      <c r="H375" s="593" t="s">
        <v>1753</v>
      </c>
      <c r="I375" s="237" t="s">
        <v>410</v>
      </c>
      <c r="J375" s="237" t="s">
        <v>410</v>
      </c>
      <c r="K375" s="237" t="s">
        <v>410</v>
      </c>
      <c r="L375" s="237" t="s">
        <v>410</v>
      </c>
      <c r="M375" s="237" t="s">
        <v>410</v>
      </c>
      <c r="N375" s="237" t="s">
        <v>410</v>
      </c>
      <c r="O375" s="237" t="s">
        <v>410</v>
      </c>
      <c r="P375" s="237" t="s">
        <v>410</v>
      </c>
      <c r="Q375" s="237" t="s">
        <v>410</v>
      </c>
      <c r="R375" s="237" t="s">
        <v>410</v>
      </c>
      <c r="S375" s="10" t="s">
        <v>410</v>
      </c>
      <c r="T375" s="10" t="s">
        <v>410</v>
      </c>
    </row>
    <row r="376" spans="1:20" outlineLevel="1" x14ac:dyDescent="0.3">
      <c r="A376" s="583" t="s">
        <v>2003</v>
      </c>
      <c r="B376" s="591">
        <v>11</v>
      </c>
      <c r="C376" s="583" t="s">
        <v>1256</v>
      </c>
      <c r="D376" s="583" t="s">
        <v>1560</v>
      </c>
      <c r="E376" s="593" t="s">
        <v>410</v>
      </c>
      <c r="F376" s="593" t="s">
        <v>5559</v>
      </c>
      <c r="G376" s="593" t="s">
        <v>4342</v>
      </c>
      <c r="H376" s="593" t="s">
        <v>5558</v>
      </c>
      <c r="I376" s="237" t="s">
        <v>410</v>
      </c>
      <c r="J376" s="237" t="s">
        <v>410</v>
      </c>
      <c r="K376" s="237" t="s">
        <v>410</v>
      </c>
      <c r="L376" s="237" t="s">
        <v>410</v>
      </c>
      <c r="M376" s="237" t="s">
        <v>410</v>
      </c>
      <c r="N376" s="237" t="s">
        <v>410</v>
      </c>
      <c r="O376" s="237" t="s">
        <v>410</v>
      </c>
      <c r="P376" s="237" t="s">
        <v>410</v>
      </c>
      <c r="Q376" s="237" t="s">
        <v>410</v>
      </c>
      <c r="R376" s="237" t="s">
        <v>410</v>
      </c>
      <c r="S376" s="237" t="s">
        <v>410</v>
      </c>
      <c r="T376" s="237" t="s">
        <v>410</v>
      </c>
    </row>
    <row r="377" spans="1:20" outlineLevel="1" x14ac:dyDescent="0.3">
      <c r="A377" s="583" t="s">
        <v>4380</v>
      </c>
      <c r="B377" s="591">
        <v>13</v>
      </c>
      <c r="C377" s="583" t="s">
        <v>1256</v>
      </c>
      <c r="D377" s="583" t="s">
        <v>1560</v>
      </c>
      <c r="E377" s="592" t="s">
        <v>410</v>
      </c>
      <c r="F377" s="593" t="s">
        <v>67</v>
      </c>
      <c r="G377" s="593" t="s">
        <v>4385</v>
      </c>
      <c r="H377" s="593" t="s">
        <v>4386</v>
      </c>
      <c r="I377" s="237" t="s">
        <v>410</v>
      </c>
      <c r="J377" s="237" t="s">
        <v>410</v>
      </c>
      <c r="K377" s="237" t="s">
        <v>410</v>
      </c>
      <c r="L377" s="237" t="s">
        <v>410</v>
      </c>
      <c r="M377" s="237" t="s">
        <v>410</v>
      </c>
      <c r="N377" s="237" t="s">
        <v>410</v>
      </c>
      <c r="O377" s="237" t="s">
        <v>410</v>
      </c>
      <c r="P377" s="237" t="s">
        <v>410</v>
      </c>
      <c r="Q377" s="237" t="s">
        <v>410</v>
      </c>
      <c r="R377" s="237" t="s">
        <v>410</v>
      </c>
      <c r="S377" s="10" t="s">
        <v>410</v>
      </c>
      <c r="T377" s="10" t="s">
        <v>410</v>
      </c>
    </row>
    <row r="378" spans="1:20" outlineLevel="1" x14ac:dyDescent="0.3">
      <c r="A378" s="583" t="s">
        <v>1562</v>
      </c>
      <c r="B378" s="591">
        <v>16</v>
      </c>
      <c r="C378" s="588" t="s">
        <v>1256</v>
      </c>
      <c r="D378" s="588" t="s">
        <v>1560</v>
      </c>
      <c r="E378" s="589" t="s">
        <v>410</v>
      </c>
      <c r="F378" s="593" t="s">
        <v>2280</v>
      </c>
      <c r="G378" s="593" t="s">
        <v>2281</v>
      </c>
      <c r="H378" s="593" t="s">
        <v>2282</v>
      </c>
      <c r="I378" s="593" t="s">
        <v>2283</v>
      </c>
      <c r="J378" s="593" t="s">
        <v>2284</v>
      </c>
      <c r="K378" s="593" t="s">
        <v>2285</v>
      </c>
      <c r="L378" s="593" t="s">
        <v>2286</v>
      </c>
      <c r="M378" s="593" t="s">
        <v>2287</v>
      </c>
      <c r="N378" s="441" t="s">
        <v>410</v>
      </c>
      <c r="O378" s="441" t="s">
        <v>410</v>
      </c>
      <c r="P378" s="441" t="s">
        <v>410</v>
      </c>
      <c r="Q378" s="441" t="s">
        <v>410</v>
      </c>
      <c r="R378" s="441" t="s">
        <v>410</v>
      </c>
      <c r="S378" s="441" t="s">
        <v>410</v>
      </c>
      <c r="T378" s="441" t="s">
        <v>410</v>
      </c>
    </row>
    <row r="379" spans="1:20" outlineLevel="1" x14ac:dyDescent="0.3">
      <c r="A379" s="583" t="s">
        <v>1721</v>
      </c>
      <c r="B379" s="591">
        <v>16</v>
      </c>
      <c r="C379" s="583" t="s">
        <v>1256</v>
      </c>
      <c r="D379" s="583" t="s">
        <v>1560</v>
      </c>
      <c r="E379" s="592" t="s">
        <v>410</v>
      </c>
      <c r="F379" s="593"/>
      <c r="G379" s="593"/>
      <c r="H379" s="593"/>
      <c r="I379" s="593"/>
      <c r="J379" s="593"/>
      <c r="K379" s="593"/>
      <c r="L379" s="237" t="s">
        <v>410</v>
      </c>
      <c r="M379" s="237" t="s">
        <v>410</v>
      </c>
      <c r="N379" s="237" t="s">
        <v>410</v>
      </c>
      <c r="O379" s="237" t="s">
        <v>410</v>
      </c>
      <c r="P379" s="237" t="s">
        <v>410</v>
      </c>
      <c r="Q379" s="237" t="s">
        <v>410</v>
      </c>
      <c r="R379" s="237" t="s">
        <v>410</v>
      </c>
      <c r="S379" s="10" t="s">
        <v>410</v>
      </c>
      <c r="T379" s="10" t="s">
        <v>410</v>
      </c>
    </row>
    <row r="380" spans="1:20" outlineLevel="1" x14ac:dyDescent="0.3">
      <c r="A380" s="583" t="s">
        <v>1734</v>
      </c>
      <c r="B380" s="591">
        <v>16</v>
      </c>
      <c r="C380" s="583" t="s">
        <v>1256</v>
      </c>
      <c r="D380" s="583" t="s">
        <v>1560</v>
      </c>
      <c r="E380" s="592" t="s">
        <v>410</v>
      </c>
      <c r="F380" s="593" t="s">
        <v>3309</v>
      </c>
      <c r="G380" s="593" t="s">
        <v>2232</v>
      </c>
      <c r="H380" s="593" t="s">
        <v>2206</v>
      </c>
      <c r="I380" s="593" t="s">
        <v>2207</v>
      </c>
      <c r="J380" s="593" t="s">
        <v>3310</v>
      </c>
      <c r="K380" s="237" t="s">
        <v>410</v>
      </c>
      <c r="L380" s="237" t="s">
        <v>410</v>
      </c>
      <c r="M380" s="237" t="s">
        <v>410</v>
      </c>
      <c r="N380" s="237" t="s">
        <v>410</v>
      </c>
      <c r="O380" s="237" t="s">
        <v>410</v>
      </c>
      <c r="P380" s="237" t="s">
        <v>410</v>
      </c>
      <c r="Q380" s="237" t="s">
        <v>410</v>
      </c>
      <c r="R380" s="237" t="s">
        <v>410</v>
      </c>
      <c r="S380" s="10" t="s">
        <v>410</v>
      </c>
      <c r="T380" s="10" t="s">
        <v>410</v>
      </c>
    </row>
    <row r="381" spans="1:20" outlineLevel="1" x14ac:dyDescent="0.3">
      <c r="A381" s="583" t="s">
        <v>1881</v>
      </c>
      <c r="B381" s="591">
        <v>16</v>
      </c>
      <c r="C381" s="583" t="s">
        <v>1256</v>
      </c>
      <c r="D381" s="583" t="s">
        <v>1560</v>
      </c>
      <c r="E381" s="592" t="s">
        <v>410</v>
      </c>
      <c r="F381" s="593" t="s">
        <v>2185</v>
      </c>
      <c r="G381" s="593" t="s">
        <v>2247</v>
      </c>
      <c r="H381" s="593" t="s">
        <v>2248</v>
      </c>
      <c r="I381" s="593" t="s">
        <v>2249</v>
      </c>
      <c r="J381" s="237" t="s">
        <v>410</v>
      </c>
      <c r="K381" s="237" t="s">
        <v>410</v>
      </c>
      <c r="L381" s="237" t="s">
        <v>410</v>
      </c>
      <c r="M381" s="237" t="s">
        <v>410</v>
      </c>
      <c r="N381" s="237" t="s">
        <v>410</v>
      </c>
      <c r="O381" s="237" t="s">
        <v>410</v>
      </c>
      <c r="P381" s="237" t="s">
        <v>410</v>
      </c>
      <c r="Q381" s="237" t="s">
        <v>410</v>
      </c>
      <c r="R381" s="237" t="s">
        <v>410</v>
      </c>
      <c r="S381" s="10" t="s">
        <v>410</v>
      </c>
      <c r="T381" s="10" t="s">
        <v>410</v>
      </c>
    </row>
    <row r="382" spans="1:20" outlineLevel="1" x14ac:dyDescent="0.3">
      <c r="A382" s="583" t="s">
        <v>1934</v>
      </c>
      <c r="B382" s="591">
        <v>16</v>
      </c>
      <c r="C382" s="583" t="s">
        <v>1256</v>
      </c>
      <c r="D382" s="583" t="s">
        <v>1560</v>
      </c>
      <c r="E382" s="592" t="s">
        <v>410</v>
      </c>
      <c r="F382" s="593" t="s">
        <v>4410</v>
      </c>
      <c r="G382" s="237"/>
      <c r="H382" s="237"/>
      <c r="I382" s="237"/>
      <c r="J382" s="237" t="s">
        <v>410</v>
      </c>
      <c r="K382" s="237" t="s">
        <v>410</v>
      </c>
      <c r="L382" s="237" t="s">
        <v>410</v>
      </c>
      <c r="M382" s="237" t="s">
        <v>410</v>
      </c>
      <c r="N382" s="237" t="s">
        <v>410</v>
      </c>
      <c r="O382" s="237" t="s">
        <v>410</v>
      </c>
      <c r="P382" s="237" t="s">
        <v>410</v>
      </c>
      <c r="Q382" s="237" t="s">
        <v>410</v>
      </c>
      <c r="R382" s="237" t="s">
        <v>410</v>
      </c>
      <c r="S382" s="10" t="s">
        <v>410</v>
      </c>
      <c r="T382" s="10" t="s">
        <v>410</v>
      </c>
    </row>
    <row r="383" spans="1:20" outlineLevel="1" x14ac:dyDescent="0.3">
      <c r="A383" s="583" t="s">
        <v>1990</v>
      </c>
      <c r="B383" s="591">
        <v>16</v>
      </c>
      <c r="C383" s="583" t="s">
        <v>1256</v>
      </c>
      <c r="D383" s="583" t="s">
        <v>1560</v>
      </c>
      <c r="E383" s="593" t="s">
        <v>410</v>
      </c>
      <c r="F383" s="593" t="s">
        <v>66</v>
      </c>
      <c r="G383" s="593" t="s">
        <v>67</v>
      </c>
      <c r="H383" s="593" t="s">
        <v>68</v>
      </c>
      <c r="I383" s="593" t="s">
        <v>70</v>
      </c>
      <c r="J383" s="237" t="s">
        <v>410</v>
      </c>
      <c r="K383" s="237" t="s">
        <v>410</v>
      </c>
      <c r="L383" s="237" t="s">
        <v>410</v>
      </c>
      <c r="M383" s="237" t="s">
        <v>410</v>
      </c>
      <c r="N383" s="237" t="s">
        <v>410</v>
      </c>
      <c r="O383" s="237" t="s">
        <v>410</v>
      </c>
      <c r="P383" s="237" t="s">
        <v>410</v>
      </c>
      <c r="Q383" s="237" t="s">
        <v>410</v>
      </c>
      <c r="R383" s="237" t="s">
        <v>410</v>
      </c>
      <c r="S383" s="237" t="s">
        <v>410</v>
      </c>
      <c r="T383" s="237" t="s">
        <v>410</v>
      </c>
    </row>
    <row r="384" spans="1:20" outlineLevel="1" x14ac:dyDescent="0.3">
      <c r="A384" s="583" t="s">
        <v>4381</v>
      </c>
      <c r="B384" s="591">
        <v>21</v>
      </c>
      <c r="C384" s="583" t="s">
        <v>1256</v>
      </c>
      <c r="D384" s="583" t="s">
        <v>1560</v>
      </c>
      <c r="E384" s="592" t="s">
        <v>410</v>
      </c>
      <c r="F384" s="593" t="s">
        <v>67</v>
      </c>
      <c r="G384" s="593" t="s">
        <v>5504</v>
      </c>
      <c r="H384" s="237" t="s">
        <v>410</v>
      </c>
      <c r="I384" s="237" t="s">
        <v>410</v>
      </c>
      <c r="J384" s="237" t="s">
        <v>410</v>
      </c>
      <c r="K384" s="237" t="s">
        <v>410</v>
      </c>
      <c r="L384" s="237" t="s">
        <v>410</v>
      </c>
      <c r="M384" s="237" t="s">
        <v>410</v>
      </c>
      <c r="N384" s="237" t="s">
        <v>410</v>
      </c>
      <c r="O384" s="237" t="s">
        <v>410</v>
      </c>
      <c r="P384" s="237" t="s">
        <v>410</v>
      </c>
      <c r="Q384" s="237" t="s">
        <v>410</v>
      </c>
      <c r="R384" s="237" t="s">
        <v>410</v>
      </c>
      <c r="S384" s="10" t="s">
        <v>410</v>
      </c>
      <c r="T384" s="10" t="s">
        <v>410</v>
      </c>
    </row>
    <row r="385" spans="1:20" outlineLevel="1" x14ac:dyDescent="0.3">
      <c r="A385" s="583" t="s">
        <v>584</v>
      </c>
      <c r="B385" s="591">
        <v>0</v>
      </c>
      <c r="C385" s="583" t="s">
        <v>1564</v>
      </c>
      <c r="D385" s="583" t="s">
        <v>1560</v>
      </c>
      <c r="E385" s="592"/>
      <c r="F385" t="s">
        <v>410</v>
      </c>
      <c r="G385" t="s">
        <v>410</v>
      </c>
      <c r="H385" t="s">
        <v>410</v>
      </c>
      <c r="I385" t="s">
        <v>410</v>
      </c>
      <c r="J385" t="s">
        <v>410</v>
      </c>
      <c r="K385" t="s">
        <v>410</v>
      </c>
      <c r="L385" t="s">
        <v>410</v>
      </c>
      <c r="M385" t="s">
        <v>410</v>
      </c>
      <c r="N385" t="s">
        <v>410</v>
      </c>
      <c r="O385" t="s">
        <v>410</v>
      </c>
      <c r="P385" t="s">
        <v>410</v>
      </c>
      <c r="Q385" t="s">
        <v>410</v>
      </c>
      <c r="R385" t="s">
        <v>410</v>
      </c>
      <c r="S385" t="s">
        <v>410</v>
      </c>
      <c r="T385" t="s">
        <v>410</v>
      </c>
    </row>
    <row r="386" spans="1:20" outlineLevel="1" x14ac:dyDescent="0.3">
      <c r="A386" s="583" t="s">
        <v>4378</v>
      </c>
      <c r="B386" s="591">
        <v>0</v>
      </c>
      <c r="C386" s="583" t="s">
        <v>1564</v>
      </c>
      <c r="D386" s="583" t="s">
        <v>1560</v>
      </c>
      <c r="E386" s="592"/>
      <c r="F386" s="237" t="s">
        <v>410</v>
      </c>
      <c r="G386" s="237" t="s">
        <v>410</v>
      </c>
      <c r="H386" s="237" t="s">
        <v>410</v>
      </c>
      <c r="I386" s="237" t="s">
        <v>410</v>
      </c>
      <c r="J386" s="237" t="s">
        <v>410</v>
      </c>
      <c r="K386" s="237" t="s">
        <v>410</v>
      </c>
      <c r="L386" s="237" t="s">
        <v>410</v>
      </c>
      <c r="M386" s="237" t="s">
        <v>410</v>
      </c>
      <c r="N386" s="237" t="s">
        <v>410</v>
      </c>
      <c r="O386" s="237" t="s">
        <v>410</v>
      </c>
      <c r="P386" s="237" t="s">
        <v>410</v>
      </c>
      <c r="Q386" s="237" t="s">
        <v>410</v>
      </c>
      <c r="R386" s="237" t="s">
        <v>410</v>
      </c>
      <c r="S386" s="10" t="s">
        <v>410</v>
      </c>
      <c r="T386" s="10" t="s">
        <v>410</v>
      </c>
    </row>
    <row r="387" spans="1:20" outlineLevel="1" x14ac:dyDescent="0.3">
      <c r="A387" s="583" t="s">
        <v>2316</v>
      </c>
      <c r="B387" s="591">
        <v>0</v>
      </c>
      <c r="C387" s="583" t="s">
        <v>1564</v>
      </c>
      <c r="D387" s="583" t="s">
        <v>1560</v>
      </c>
      <c r="E387" s="593" t="s">
        <v>2317</v>
      </c>
      <c r="F387" t="s">
        <v>410</v>
      </c>
      <c r="G387" t="s">
        <v>410</v>
      </c>
      <c r="H387" t="s">
        <v>410</v>
      </c>
      <c r="I387" t="s">
        <v>410</v>
      </c>
      <c r="J387" t="s">
        <v>410</v>
      </c>
      <c r="K387" t="s">
        <v>410</v>
      </c>
      <c r="L387" t="s">
        <v>410</v>
      </c>
      <c r="M387" t="s">
        <v>410</v>
      </c>
      <c r="N387" t="s">
        <v>410</v>
      </c>
      <c r="O387" t="s">
        <v>410</v>
      </c>
      <c r="P387" t="s">
        <v>410</v>
      </c>
      <c r="Q387" t="s">
        <v>410</v>
      </c>
      <c r="R387" t="s">
        <v>410</v>
      </c>
      <c r="S387" t="s">
        <v>410</v>
      </c>
      <c r="T387" t="s">
        <v>410</v>
      </c>
    </row>
    <row r="388" spans="1:20" outlineLevel="1" x14ac:dyDescent="0.3">
      <c r="A388" s="583" t="s">
        <v>1563</v>
      </c>
      <c r="B388" s="591">
        <v>6</v>
      </c>
      <c r="C388" s="588" t="s">
        <v>1564</v>
      </c>
      <c r="D388" s="588" t="s">
        <v>1560</v>
      </c>
      <c r="E388" s="589" t="s">
        <v>410</v>
      </c>
      <c r="F388" s="594" t="str">
        <f>CONCATENATE("[TN!] ",TEXT(4+IF(OBR&lt;0,0,OBR)*1,"0")," mg")</f>
        <v>[TN!] 4 mg</v>
      </c>
      <c r="G388" s="594" t="str">
        <f>CONCATENATE(TEXT(5+IF(OBR&lt;0,0,OBR)*2,"0")," mg")</f>
        <v>5 mg</v>
      </c>
      <c r="H388" s="594" t="str">
        <f>CONCATENATE(TEXT(7+IF(OBR&lt;0,0,OBR)*2,"0")," mg")</f>
        <v>7 mg</v>
      </c>
      <c r="I388" s="594" t="str">
        <f>CONCATENATE(TEXT(9+IF(OBR&lt;0,0,OBR)*2,"0")," mg")</f>
        <v>9 mg</v>
      </c>
      <c r="J388" s="594" t="str">
        <f>CONCATENATE(TEXT(9+IF(OBR&lt;0,0,OBR)*3,"0")," mg")</f>
        <v>9 mg</v>
      </c>
      <c r="K388" s="594" t="str">
        <f>CONCATENATE(TEXT(10+IF(OBR&lt;0,0,OBR)*4,"0")," mg")</f>
        <v>10 mg</v>
      </c>
      <c r="L388" s="594" t="str">
        <f>CONCATENATE(TEXT(13+IF(OBR&lt;0,0,OBR)*4,"0")," mg")</f>
        <v>13 mg</v>
      </c>
      <c r="M388" s="594" t="str">
        <f>CONCATENATE(TEXT(16+IF(OBR&lt;0,0,OBR)*4,"0")," mg")</f>
        <v>16 mg</v>
      </c>
      <c r="N388" s="594" t="str">
        <f>CONCATENATE(TEXT(19+IF(OBR&lt;0,0,OBR)*4,"0")," mg")</f>
        <v>19 mg</v>
      </c>
      <c r="O388" s="594" t="str">
        <f>CONCATENATE(TEXT(21+IF(OBR&lt;0,0,OBR)*5,"0")," mg")</f>
        <v>21 mg</v>
      </c>
      <c r="P388" s="441" t="s">
        <v>410</v>
      </c>
      <c r="Q388" s="441" t="s">
        <v>410</v>
      </c>
      <c r="R388" s="441" t="s">
        <v>410</v>
      </c>
      <c r="S388" s="441" t="s">
        <v>410</v>
      </c>
      <c r="T388" s="441" t="s">
        <v>410</v>
      </c>
    </row>
    <row r="389" spans="1:20" x14ac:dyDescent="0.3">
      <c r="A389" s="583" t="s">
        <v>1557</v>
      </c>
      <c r="B389" s="591">
        <v>1</v>
      </c>
      <c r="C389" s="583" t="s">
        <v>1256</v>
      </c>
      <c r="D389" s="583" t="s">
        <v>1514</v>
      </c>
      <c r="E389" s="592" t="s">
        <v>410</v>
      </c>
      <c r="F389" s="237"/>
      <c r="G389" s="237"/>
      <c r="H389" s="237"/>
      <c r="I389" s="237"/>
      <c r="J389" s="237"/>
      <c r="K389" s="237"/>
      <c r="L389" s="237"/>
      <c r="M389" s="441" t="s">
        <v>410</v>
      </c>
      <c r="N389" s="441" t="s">
        <v>410</v>
      </c>
      <c r="O389" s="441" t="s">
        <v>410</v>
      </c>
      <c r="P389" s="441" t="s">
        <v>410</v>
      </c>
      <c r="Q389" s="441" t="s">
        <v>410</v>
      </c>
      <c r="R389" s="237" t="s">
        <v>410</v>
      </c>
      <c r="S389" s="10" t="s">
        <v>410</v>
      </c>
      <c r="T389" s="10" t="s">
        <v>410</v>
      </c>
    </row>
    <row r="390" spans="1:20" hidden="1" outlineLevel="1" x14ac:dyDescent="0.3">
      <c r="A390" s="583" t="s">
        <v>1572</v>
      </c>
      <c r="B390" s="591">
        <v>1</v>
      </c>
      <c r="C390" s="588" t="s">
        <v>1256</v>
      </c>
      <c r="D390" s="588" t="s">
        <v>1514</v>
      </c>
      <c r="E390" s="589" t="s">
        <v>410</v>
      </c>
      <c r="F390" s="594" t="str">
        <f>CONCATENATE(TEXT(0+IF(ZRČ&lt;0,0,ZRČ)*1,"0")," mg")</f>
        <v>0 mg</v>
      </c>
      <c r="G390" s="594" t="str">
        <f>CONCATENATE(TEXT(2+IF(ZRČ&lt;0,0,ZRČ)*1,"0")," mg")</f>
        <v>2 mg</v>
      </c>
      <c r="H390" s="594" t="str">
        <f>CONCATENATE(TEXT(4+IF(ZRČ&lt;0,0,ZRČ)*1,"0")," mg")</f>
        <v>4 mg</v>
      </c>
      <c r="I390" s="594" t="str">
        <f>CONCATENATE(TEXT(4+IF(ZRČ&lt;0,0,ZRČ)*2,"0")," mg")</f>
        <v>4 mg</v>
      </c>
      <c r="J390" s="594" t="str">
        <f>CONCATENATE(TEXT(6+IF(ZRČ&lt;0,0,ZRČ)*2,"0")," mg")</f>
        <v>6 mg</v>
      </c>
      <c r="K390" s="594" t="str">
        <f>CONCATENATE(TEXT(8+IF(ZRČ&lt;0,0,ZRČ)*2,"0")," mg")</f>
        <v>8 mg</v>
      </c>
      <c r="L390" s="594" t="str">
        <f>CONCATENATE(TEXT(10+IF(ZRČ&lt;0,0,ZRČ)*2,"0")," mg")</f>
        <v>10 mg</v>
      </c>
      <c r="M390" s="594" t="str">
        <f>CONCATENATE(TEXT(12+IF(ZRČ&lt;0,0,ZRČ)*2,"0")," mg")</f>
        <v>12 mg</v>
      </c>
      <c r="N390" s="594" t="str">
        <f>CONCATENATE(TEXT(14+IF(ZRČ&lt;0,0,ZRČ)*2,"0")," mg")</f>
        <v>14 mg</v>
      </c>
      <c r="O390" s="594" t="str">
        <f>CONCATENATE(TEXT(15+IF(ZRČ&lt;0,0,ZRČ)*3,"0")," mg")</f>
        <v>15 mg</v>
      </c>
      <c r="P390" s="441" t="s">
        <v>410</v>
      </c>
      <c r="Q390" s="441" t="s">
        <v>410</v>
      </c>
      <c r="R390" s="441" t="s">
        <v>410</v>
      </c>
      <c r="S390" s="441" t="s">
        <v>410</v>
      </c>
      <c r="T390" s="441" t="s">
        <v>410</v>
      </c>
    </row>
    <row r="391" spans="1:20" hidden="1" outlineLevel="1" x14ac:dyDescent="0.3">
      <c r="A391" s="583" t="s">
        <v>1575</v>
      </c>
      <c r="B391" s="591">
        <v>1</v>
      </c>
      <c r="C391" s="588" t="s">
        <v>1256</v>
      </c>
      <c r="D391" s="588" t="s">
        <v>1514</v>
      </c>
      <c r="E391" s="589" t="s">
        <v>410</v>
      </c>
      <c r="F391" s="594" t="str">
        <f>CONCATENATE(TEXT(0+IF(VOL&lt;0,0,VOL)*1,"0")," mg")</f>
        <v>0 mg</v>
      </c>
      <c r="G391" s="594" t="str">
        <f>CONCATENATE(TEXT(2+IF(VOL&lt;0,0,VOL)*1,"0")," mg")</f>
        <v>2 mg</v>
      </c>
      <c r="H391" s="594" t="str">
        <f>CONCATENATE(TEXT(4+IF(VOL&lt;0,0,VOL)*1,"0")," mg")</f>
        <v>4 mg</v>
      </c>
      <c r="I391" s="594" t="str">
        <f>CONCATENATE(TEXT(4+IF(VOL&lt;0,0,VOL)*2,"0")," mg")</f>
        <v>4 mg</v>
      </c>
      <c r="J391" s="594" t="str">
        <f>CONCATENATE(TEXT(6+IF(VOL&lt;0,0,VOL)*2,"0")," mg")</f>
        <v>6 mg</v>
      </c>
      <c r="K391" s="594" t="str">
        <f>CONCATENATE(TEXT(8+IF(VOL&lt;0,0,VOL)*2,"0")," mg")</f>
        <v>8 mg</v>
      </c>
      <c r="L391" s="594" t="str">
        <f>CONCATENATE(TEXT(10+IF(VOL&lt;0,0,VOL)*2,"0")," mg")</f>
        <v>10 mg</v>
      </c>
      <c r="M391" s="594" t="str">
        <f>CONCATENATE(TEXT(12+IF(VOL&lt;0,0,VOL)*2,"0")," mg")</f>
        <v>12 mg</v>
      </c>
      <c r="N391" s="594" t="str">
        <f>CONCATENATE(TEXT(14+IF(VOL&lt;0,0,VOL)*2,"0")," mg")</f>
        <v>14 mg</v>
      </c>
      <c r="O391" s="594" t="str">
        <f>CONCATENATE(TEXT(15+IF(VOL&lt;0,0,VOL)*3,"0")," mg")</f>
        <v>15 mg</v>
      </c>
      <c r="P391" s="441" t="s">
        <v>410</v>
      </c>
      <c r="Q391" s="441" t="s">
        <v>410</v>
      </c>
      <c r="R391" s="441" t="s">
        <v>410</v>
      </c>
      <c r="S391" s="441" t="s">
        <v>410</v>
      </c>
      <c r="T391" s="441" t="s">
        <v>410</v>
      </c>
    </row>
    <row r="392" spans="1:20" hidden="1" outlineLevel="1" x14ac:dyDescent="0.3">
      <c r="A392" s="583" t="s">
        <v>1578</v>
      </c>
      <c r="B392" s="591">
        <v>1</v>
      </c>
      <c r="C392" s="588" t="s">
        <v>1256</v>
      </c>
      <c r="D392" s="588" t="s">
        <v>1514</v>
      </c>
      <c r="E392" s="589" t="s">
        <v>410</v>
      </c>
      <c r="F392" s="594" t="str">
        <f>CONCATENATE(TEXT(0+IF(INT&lt;0,0,INT)*1,"0")," mg")</f>
        <v>0 mg</v>
      </c>
      <c r="G392" s="594" t="str">
        <f>CONCATENATE(TEXT(2+IF(INT&lt;0,0,INT)*1,"0")," mg")</f>
        <v>2 mg</v>
      </c>
      <c r="H392" s="594" t="str">
        <f>CONCATENATE(TEXT(4+IF(INT&lt;0,0,INT)*1,"0")," mg")</f>
        <v>4 mg</v>
      </c>
      <c r="I392" s="594" t="str">
        <f>CONCATENATE(TEXT(4+IF(INT&lt;0,0,INT)*2,"0")," mg")</f>
        <v>4 mg</v>
      </c>
      <c r="J392" s="594" t="str">
        <f>CONCATENATE(TEXT(6+IF(INT&lt;0,0,INT)*2,"0")," mg")</f>
        <v>6 mg</v>
      </c>
      <c r="K392" s="594" t="str">
        <f>CONCATENATE(TEXT(8+IF(INT&lt;0,0,INT)*2,"0")," mg")</f>
        <v>8 mg</v>
      </c>
      <c r="L392" s="594" t="str">
        <f>CONCATENATE(TEXT(10+IF(INT&lt;0,0,INT)*2,"0")," mg")</f>
        <v>10 mg</v>
      </c>
      <c r="M392" s="594" t="str">
        <f>CONCATENATE(TEXT(12+IF(INT&lt;0,0,INT)*2,"0")," mg")</f>
        <v>12 mg</v>
      </c>
      <c r="N392" s="594" t="str">
        <f>CONCATENATE(TEXT(14+IF(INT&lt;0,0,INT)*2,"0")," mg")</f>
        <v>14 mg</v>
      </c>
      <c r="O392" s="594" t="str">
        <f>CONCATENATE(TEXT(15+IF(INT&lt;0,0,INT)*3,"0")," mg")</f>
        <v>15 mg</v>
      </c>
      <c r="P392" s="441" t="s">
        <v>410</v>
      </c>
      <c r="Q392" s="441" t="s">
        <v>410</v>
      </c>
      <c r="R392" s="441" t="s">
        <v>410</v>
      </c>
      <c r="S392" s="441" t="s">
        <v>410</v>
      </c>
      <c r="T392" s="441" t="s">
        <v>410</v>
      </c>
    </row>
    <row r="393" spans="1:20" hidden="1" outlineLevel="1" x14ac:dyDescent="0.3">
      <c r="A393" s="583" t="s">
        <v>1592</v>
      </c>
      <c r="B393" s="591">
        <v>1</v>
      </c>
      <c r="C393" s="588" t="s">
        <v>1256</v>
      </c>
      <c r="D393" s="588" t="s">
        <v>1514</v>
      </c>
      <c r="E393" s="589" t="s">
        <v>410</v>
      </c>
      <c r="F393" s="593" t="s">
        <v>2140</v>
      </c>
      <c r="G393" s="593" t="s">
        <v>4762</v>
      </c>
      <c r="H393" s="593" t="s">
        <v>4763</v>
      </c>
      <c r="I393" s="593" t="s">
        <v>4764</v>
      </c>
      <c r="J393" s="593" t="s">
        <v>5507</v>
      </c>
      <c r="K393" s="593" t="s">
        <v>4765</v>
      </c>
      <c r="L393" s="593" t="s">
        <v>4766</v>
      </c>
      <c r="M393" s="593" t="s">
        <v>4767</v>
      </c>
      <c r="N393" s="593" t="s">
        <v>4768</v>
      </c>
      <c r="O393" s="441" t="s">
        <v>410</v>
      </c>
      <c r="P393" s="441" t="s">
        <v>410</v>
      </c>
      <c r="Q393" s="441" t="s">
        <v>410</v>
      </c>
      <c r="R393" s="441" t="s">
        <v>410</v>
      </c>
      <c r="S393" s="441" t="s">
        <v>410</v>
      </c>
      <c r="T393" s="441" t="s">
        <v>410</v>
      </c>
    </row>
    <row r="394" spans="1:20" hidden="1" outlineLevel="1" x14ac:dyDescent="0.3">
      <c r="A394" s="583" t="s">
        <v>1598</v>
      </c>
      <c r="B394" s="591">
        <v>1</v>
      </c>
      <c r="C394" s="588" t="s">
        <v>1256</v>
      </c>
      <c r="D394" s="588" t="s">
        <v>1514</v>
      </c>
      <c r="E394" s="589" t="s">
        <v>410</v>
      </c>
      <c r="F394" s="593" t="s">
        <v>3573</v>
      </c>
      <c r="G394" s="593" t="s">
        <v>3574</v>
      </c>
      <c r="H394" s="593" t="s">
        <v>3575</v>
      </c>
      <c r="I394" s="593" t="s">
        <v>3576</v>
      </c>
      <c r="J394" s="593" t="s">
        <v>3577</v>
      </c>
      <c r="K394" s="593" t="s">
        <v>3578</v>
      </c>
      <c r="L394" s="441" t="s">
        <v>410</v>
      </c>
      <c r="M394" s="441" t="s">
        <v>410</v>
      </c>
      <c r="N394" s="441" t="s">
        <v>410</v>
      </c>
      <c r="O394" s="441" t="s">
        <v>410</v>
      </c>
      <c r="P394" s="441" t="s">
        <v>410</v>
      </c>
      <c r="Q394" s="441" t="s">
        <v>410</v>
      </c>
      <c r="R394" s="441" t="s">
        <v>410</v>
      </c>
      <c r="S394" s="441" t="s">
        <v>410</v>
      </c>
      <c r="T394" s="441" t="s">
        <v>410</v>
      </c>
    </row>
    <row r="395" spans="1:20" hidden="1" outlineLevel="1" x14ac:dyDescent="0.3">
      <c r="A395" s="583" t="s">
        <v>1622</v>
      </c>
      <c r="B395" s="591">
        <v>1</v>
      </c>
      <c r="C395" s="588" t="s">
        <v>1256</v>
      </c>
      <c r="D395" s="588" t="s">
        <v>1514</v>
      </c>
      <c r="E395" s="855" t="s">
        <v>410</v>
      </c>
      <c r="F395" s="592" t="s">
        <v>5565</v>
      </c>
      <c r="G395" s="592" t="s">
        <v>5566</v>
      </c>
      <c r="H395" s="592" t="s">
        <v>5567</v>
      </c>
      <c r="I395" s="441" t="s">
        <v>410</v>
      </c>
      <c r="J395" s="441" t="s">
        <v>410</v>
      </c>
      <c r="K395" s="441" t="s">
        <v>410</v>
      </c>
      <c r="L395" s="441" t="s">
        <v>410</v>
      </c>
      <c r="M395" s="441" t="s">
        <v>410</v>
      </c>
      <c r="N395" s="441" t="s">
        <v>410</v>
      </c>
      <c r="O395" s="441" t="s">
        <v>410</v>
      </c>
      <c r="P395" s="441" t="s">
        <v>410</v>
      </c>
      <c r="Q395" s="441" t="s">
        <v>410</v>
      </c>
      <c r="R395" s="441" t="s">
        <v>410</v>
      </c>
      <c r="S395" s="441" t="s">
        <v>410</v>
      </c>
      <c r="T395" s="441" t="s">
        <v>410</v>
      </c>
    </row>
    <row r="396" spans="1:20" hidden="1" outlineLevel="1" x14ac:dyDescent="0.3">
      <c r="A396" s="583" t="s">
        <v>1720</v>
      </c>
      <c r="B396" s="591">
        <v>1</v>
      </c>
      <c r="C396" s="583" t="s">
        <v>1256</v>
      </c>
      <c r="D396" s="583" t="s">
        <v>1514</v>
      </c>
      <c r="E396" s="592" t="s">
        <v>410</v>
      </c>
      <c r="F396" s="593"/>
      <c r="G396" s="593"/>
      <c r="H396" s="593"/>
      <c r="I396" s="593"/>
      <c r="J396" s="593"/>
      <c r="K396" s="593"/>
      <c r="L396" s="237" t="s">
        <v>410</v>
      </c>
      <c r="M396" s="237" t="s">
        <v>410</v>
      </c>
      <c r="N396" s="237" t="s">
        <v>410</v>
      </c>
      <c r="O396" s="237" t="s">
        <v>410</v>
      </c>
      <c r="P396" s="237" t="s">
        <v>410</v>
      </c>
      <c r="Q396" s="237" t="s">
        <v>410</v>
      </c>
      <c r="R396" s="237" t="s">
        <v>410</v>
      </c>
      <c r="S396" s="10" t="s">
        <v>410</v>
      </c>
      <c r="T396" s="10" t="s">
        <v>410</v>
      </c>
    </row>
    <row r="397" spans="1:20" hidden="1" outlineLevel="1" x14ac:dyDescent="0.3">
      <c r="A397" s="583" t="s">
        <v>1778</v>
      </c>
      <c r="B397" s="591">
        <v>1</v>
      </c>
      <c r="C397" s="583" t="s">
        <v>1256</v>
      </c>
      <c r="D397" s="583" t="s">
        <v>1514</v>
      </c>
      <c r="E397" s="592" t="s">
        <v>410</v>
      </c>
      <c r="F397" s="593" t="s">
        <v>4335</v>
      </c>
      <c r="G397" s="593" t="s">
        <v>4340</v>
      </c>
      <c r="H397" s="593" t="s">
        <v>4339</v>
      </c>
      <c r="I397" s="593" t="s">
        <v>4338</v>
      </c>
      <c r="J397" s="593" t="s">
        <v>4337</v>
      </c>
      <c r="K397" s="593" t="s">
        <v>4336</v>
      </c>
      <c r="L397" s="237" t="s">
        <v>410</v>
      </c>
      <c r="M397" s="237" t="s">
        <v>410</v>
      </c>
      <c r="N397" s="237" t="s">
        <v>410</v>
      </c>
      <c r="O397" s="237" t="s">
        <v>410</v>
      </c>
      <c r="P397" s="237" t="s">
        <v>410</v>
      </c>
      <c r="Q397" s="237" t="s">
        <v>410</v>
      </c>
      <c r="R397" s="237" t="s">
        <v>410</v>
      </c>
      <c r="S397" s="10" t="s">
        <v>410</v>
      </c>
      <c r="T397" s="10" t="s">
        <v>410</v>
      </c>
    </row>
    <row r="398" spans="1:20" hidden="1" outlineLevel="1" x14ac:dyDescent="0.3">
      <c r="A398" s="583" t="s">
        <v>5543</v>
      </c>
      <c r="B398" s="591">
        <v>1</v>
      </c>
      <c r="C398" s="583" t="s">
        <v>1256</v>
      </c>
      <c r="D398" s="583" t="s">
        <v>1514</v>
      </c>
      <c r="E398" s="593" t="s">
        <v>5539</v>
      </c>
      <c r="F398" s="593" t="s">
        <v>5538</v>
      </c>
      <c r="G398" s="593" t="s">
        <v>5540</v>
      </c>
      <c r="H398" s="593" t="s">
        <v>5544</v>
      </c>
      <c r="I398" s="593" t="s">
        <v>5541</v>
      </c>
      <c r="J398" s="593" t="s">
        <v>5542</v>
      </c>
      <c r="K398" s="237" t="s">
        <v>410</v>
      </c>
      <c r="L398" s="237" t="s">
        <v>410</v>
      </c>
      <c r="M398" s="237" t="s">
        <v>410</v>
      </c>
      <c r="N398" s="237" t="s">
        <v>410</v>
      </c>
      <c r="O398" s="237" t="s">
        <v>410</v>
      </c>
      <c r="P398" s="237" t="s">
        <v>410</v>
      </c>
      <c r="Q398" s="237" t="s">
        <v>410</v>
      </c>
      <c r="R398" s="237" t="s">
        <v>410</v>
      </c>
      <c r="S398" s="10" t="s">
        <v>410</v>
      </c>
      <c r="T398" s="10" t="s">
        <v>410</v>
      </c>
    </row>
    <row r="399" spans="1:20" hidden="1" outlineLevel="1" x14ac:dyDescent="0.3">
      <c r="A399" s="583" t="s">
        <v>4621</v>
      </c>
      <c r="B399" s="591">
        <v>1</v>
      </c>
      <c r="C399" s="583" t="s">
        <v>1256</v>
      </c>
      <c r="D399" s="583" t="s">
        <v>1514</v>
      </c>
      <c r="E399" s="594" t="str">
        <f>CONCATENATE("['Mag. spol. I] ",TEXT(Úr,0)," m")</f>
        <v>['Mag. spol. I] 4 m</v>
      </c>
      <c r="F399" s="594" t="str">
        <f>CONCATENATE(TEXT(Úr*10,0)," m")</f>
        <v>40 m</v>
      </c>
      <c r="G399" s="594" t="str">
        <f>CONCATENATE(TEXT(Úr*50,0)," m")</f>
        <v>200 m</v>
      </c>
      <c r="H399" s="594" t="str">
        <f>CONCATENATE(TEXT(Úr*200,0)," m")</f>
        <v>800 m</v>
      </c>
      <c r="I399" t="s">
        <v>410</v>
      </c>
      <c r="J399" t="s">
        <v>410</v>
      </c>
      <c r="K399" t="s">
        <v>410</v>
      </c>
      <c r="L399" t="s">
        <v>410</v>
      </c>
      <c r="M399" t="s">
        <v>410</v>
      </c>
      <c r="N399" t="s">
        <v>410</v>
      </c>
      <c r="O399" t="s">
        <v>410</v>
      </c>
      <c r="P399" t="s">
        <v>410</v>
      </c>
      <c r="Q399" t="s">
        <v>410</v>
      </c>
      <c r="R399" t="s">
        <v>410</v>
      </c>
      <c r="S399" t="s">
        <v>410</v>
      </c>
      <c r="T399" t="s">
        <v>410</v>
      </c>
    </row>
    <row r="400" spans="1:20" hidden="1" outlineLevel="1" x14ac:dyDescent="0.3">
      <c r="A400" s="583" t="s">
        <v>1993</v>
      </c>
      <c r="B400" s="591">
        <v>1</v>
      </c>
      <c r="C400" s="583" t="s">
        <v>1256</v>
      </c>
      <c r="D400" s="583" t="s">
        <v>1514</v>
      </c>
      <c r="E400" s="593" t="s">
        <v>410</v>
      </c>
      <c r="F400" s="594" t="str">
        <f>CONCATENATE(TEXT(0+IF(CHR&lt;0,0,CHR)*1,"0")," mg")</f>
        <v>0 mg</v>
      </c>
      <c r="G400" s="594" t="str">
        <f>CONCATENATE(TEXT(2+IF(CHR&lt;0,0,CHR)*1,"0")," mg")</f>
        <v>2 mg</v>
      </c>
      <c r="H400" s="594" t="str">
        <f>CONCATENATE(TEXT(4+IF(CHR&lt;0,0,CHR)*1,"0")," mg")</f>
        <v>4 mg</v>
      </c>
      <c r="I400" s="594" t="str">
        <f>CONCATENATE(TEXT(4+IF(CHR&lt;0,0,CHR)*2,"0")," mg")</f>
        <v>4 mg</v>
      </c>
      <c r="J400" s="594" t="str">
        <f>CONCATENATE(TEXT(6+IF(CHR&lt;0,0,CHR)*2,"0")," mg")</f>
        <v>6 mg</v>
      </c>
      <c r="K400" s="594" t="str">
        <f>CONCATENATE(TEXT(8+IF(CHR&lt;0,0,CHR)*2,"0")," mg")</f>
        <v>8 mg</v>
      </c>
      <c r="L400" s="594" t="str">
        <f>CONCATENATE(TEXT(10+IF(CHR&lt;0,0,CHR)*2,"0")," mg")</f>
        <v>10 mg</v>
      </c>
      <c r="M400" s="594" t="str">
        <f>CONCATENATE(TEXT(12+IF(CHR&lt;0,0,CHR)*2,"0")," mg")</f>
        <v>12 mg</v>
      </c>
      <c r="N400" s="594" t="str">
        <f>CONCATENATE(TEXT(14+IF(CHR&lt;0,0,CHR)*2,"0")," mg")</f>
        <v>14 mg</v>
      </c>
      <c r="O400" s="594" t="str">
        <f>CONCATENATE(TEXT(15+IF(CHR&lt;0,0,CHR)*3,"0")," mg")</f>
        <v>15 mg</v>
      </c>
      <c r="P400" s="237" t="s">
        <v>410</v>
      </c>
      <c r="Q400" s="237" t="s">
        <v>410</v>
      </c>
      <c r="R400" s="237" t="s">
        <v>410</v>
      </c>
      <c r="S400" s="237" t="s">
        <v>410</v>
      </c>
      <c r="T400" s="237" t="s">
        <v>410</v>
      </c>
    </row>
    <row r="401" spans="1:20" hidden="1" outlineLevel="1" x14ac:dyDescent="0.3">
      <c r="A401" s="583" t="s">
        <v>1752</v>
      </c>
      <c r="B401" s="591">
        <v>2</v>
      </c>
      <c r="C401" s="583" t="s">
        <v>1256</v>
      </c>
      <c r="D401" s="583" t="s">
        <v>1514</v>
      </c>
      <c r="E401" s="592" t="s">
        <v>3073</v>
      </c>
      <c r="F401" s="593" t="s">
        <v>4377</v>
      </c>
      <c r="G401" s="593" t="s">
        <v>3335</v>
      </c>
      <c r="H401" s="593" t="s">
        <v>3336</v>
      </c>
      <c r="I401" s="593" t="s">
        <v>3337</v>
      </c>
      <c r="J401" s="593" t="s">
        <v>3338</v>
      </c>
      <c r="K401" s="237" t="s">
        <v>410</v>
      </c>
      <c r="L401" s="237" t="s">
        <v>410</v>
      </c>
      <c r="M401" s="237" t="s">
        <v>410</v>
      </c>
      <c r="N401" s="237" t="s">
        <v>410</v>
      </c>
      <c r="O401" s="237" t="s">
        <v>410</v>
      </c>
      <c r="P401" s="237" t="s">
        <v>410</v>
      </c>
      <c r="Q401" s="237" t="s">
        <v>410</v>
      </c>
      <c r="R401" s="237" t="s">
        <v>410</v>
      </c>
      <c r="S401" s="10" t="s">
        <v>410</v>
      </c>
      <c r="T401" s="10" t="s">
        <v>410</v>
      </c>
    </row>
    <row r="402" spans="1:20" hidden="1" outlineLevel="1" x14ac:dyDescent="0.3">
      <c r="A402" s="583" t="s">
        <v>3033</v>
      </c>
      <c r="B402" s="591">
        <v>2</v>
      </c>
      <c r="C402" s="583" t="s">
        <v>1256</v>
      </c>
      <c r="D402" s="583" t="s">
        <v>1514</v>
      </c>
      <c r="E402" s="593" t="s">
        <v>3034</v>
      </c>
      <c r="F402" s="593" t="s">
        <v>3035</v>
      </c>
      <c r="G402" s="593" t="s">
        <v>3036</v>
      </c>
      <c r="H402" s="593" t="s">
        <v>3038</v>
      </c>
      <c r="I402" s="593" t="s">
        <v>3037</v>
      </c>
      <c r="J402" s="237" t="s">
        <v>410</v>
      </c>
      <c r="K402" s="237" t="s">
        <v>410</v>
      </c>
      <c r="L402" s="237" t="s">
        <v>410</v>
      </c>
      <c r="M402" s="237" t="s">
        <v>410</v>
      </c>
      <c r="N402" s="237" t="s">
        <v>410</v>
      </c>
      <c r="O402" s="237" t="s">
        <v>410</v>
      </c>
      <c r="P402" s="237" t="s">
        <v>410</v>
      </c>
      <c r="Q402" s="237" t="s">
        <v>410</v>
      </c>
      <c r="R402" s="237" t="s">
        <v>410</v>
      </c>
      <c r="S402" s="10" t="s">
        <v>410</v>
      </c>
      <c r="T402" s="10" t="s">
        <v>410</v>
      </c>
    </row>
    <row r="403" spans="1:20" hidden="1" outlineLevel="1" x14ac:dyDescent="0.3">
      <c r="A403" s="583" t="s">
        <v>1995</v>
      </c>
      <c r="B403" s="591">
        <v>3</v>
      </c>
      <c r="C403" s="583" t="s">
        <v>1256</v>
      </c>
      <c r="D403" s="583" t="s">
        <v>1514</v>
      </c>
      <c r="E403" s="237" t="s">
        <v>410</v>
      </c>
      <c r="F403" s="593" t="s">
        <v>1525</v>
      </c>
      <c r="G403" s="593" t="s">
        <v>3316</v>
      </c>
      <c r="H403" s="593" t="s">
        <v>3317</v>
      </c>
      <c r="I403" s="593" t="s">
        <v>3318</v>
      </c>
      <c r="J403" s="593" t="s">
        <v>3319</v>
      </c>
      <c r="K403" s="237" t="s">
        <v>410</v>
      </c>
      <c r="L403" s="237" t="s">
        <v>410</v>
      </c>
      <c r="M403" s="237" t="s">
        <v>410</v>
      </c>
      <c r="N403" s="237" t="s">
        <v>410</v>
      </c>
      <c r="O403" s="237" t="s">
        <v>410</v>
      </c>
      <c r="P403" s="237" t="s">
        <v>410</v>
      </c>
      <c r="Q403" s="237" t="s">
        <v>410</v>
      </c>
      <c r="R403" s="237" t="s">
        <v>410</v>
      </c>
      <c r="S403" s="237" t="s">
        <v>410</v>
      </c>
      <c r="T403" s="237" t="s">
        <v>410</v>
      </c>
    </row>
    <row r="404" spans="1:20" hidden="1" outlineLevel="1" x14ac:dyDescent="0.3">
      <c r="A404" s="583" t="s">
        <v>1845</v>
      </c>
      <c r="B404" s="591">
        <v>5</v>
      </c>
      <c r="C404" s="583" t="s">
        <v>1256</v>
      </c>
      <c r="D404" s="583" t="s">
        <v>1514</v>
      </c>
      <c r="E404" s="10" t="s">
        <v>410</v>
      </c>
      <c r="F404" s="593" t="s">
        <v>3311</v>
      </c>
      <c r="G404" s="593" t="s">
        <v>3312</v>
      </c>
      <c r="H404" s="593" t="s">
        <v>3313</v>
      </c>
      <c r="I404" s="593" t="s">
        <v>3314</v>
      </c>
      <c r="J404" s="593" t="s">
        <v>3315</v>
      </c>
      <c r="K404" s="237" t="s">
        <v>410</v>
      </c>
      <c r="L404" s="237" t="s">
        <v>410</v>
      </c>
      <c r="M404" s="237" t="s">
        <v>410</v>
      </c>
      <c r="N404" s="237" t="s">
        <v>410</v>
      </c>
      <c r="O404" s="237" t="s">
        <v>410</v>
      </c>
      <c r="P404" s="237" t="s">
        <v>410</v>
      </c>
      <c r="Q404" s="237" t="s">
        <v>410</v>
      </c>
      <c r="R404" s="237" t="s">
        <v>410</v>
      </c>
      <c r="S404" s="10" t="s">
        <v>410</v>
      </c>
      <c r="T404" s="10" t="s">
        <v>410</v>
      </c>
    </row>
    <row r="405" spans="1:20" hidden="1" outlineLevel="1" x14ac:dyDescent="0.3">
      <c r="A405" s="583" t="s">
        <v>5485</v>
      </c>
      <c r="B405" s="591">
        <v>5</v>
      </c>
      <c r="C405" s="583" t="s">
        <v>1256</v>
      </c>
      <c r="D405" s="583" t="s">
        <v>1514</v>
      </c>
      <c r="E405" s="592" t="s">
        <v>410</v>
      </c>
      <c r="F405" s="593" t="s">
        <v>3269</v>
      </c>
      <c r="G405" s="593" t="s">
        <v>3270</v>
      </c>
      <c r="H405" s="593" t="s">
        <v>3271</v>
      </c>
      <c r="I405" s="593" t="s">
        <v>3272</v>
      </c>
      <c r="J405" s="593" t="s">
        <v>4303</v>
      </c>
      <c r="K405" s="237" t="s">
        <v>410</v>
      </c>
      <c r="L405" s="237" t="s">
        <v>410</v>
      </c>
      <c r="M405" s="237" t="s">
        <v>410</v>
      </c>
      <c r="N405" s="237" t="s">
        <v>410</v>
      </c>
      <c r="O405" s="237" t="s">
        <v>410</v>
      </c>
      <c r="P405" s="237" t="s">
        <v>410</v>
      </c>
      <c r="Q405" s="237" t="s">
        <v>410</v>
      </c>
      <c r="R405" s="237" t="s">
        <v>410</v>
      </c>
      <c r="S405" s="10" t="s">
        <v>410</v>
      </c>
      <c r="T405" s="10" t="s">
        <v>410</v>
      </c>
    </row>
    <row r="406" spans="1:20" hidden="1" outlineLevel="1" x14ac:dyDescent="0.3">
      <c r="A406" s="583" t="s">
        <v>1489</v>
      </c>
      <c r="B406" s="591">
        <v>6</v>
      </c>
      <c r="C406" s="588" t="s">
        <v>1256</v>
      </c>
      <c r="D406" s="588" t="s">
        <v>1514</v>
      </c>
      <c r="E406" s="589" t="s">
        <v>410</v>
      </c>
      <c r="F406" s="590" t="s">
        <v>3117</v>
      </c>
      <c r="G406" s="590" t="s">
        <v>3118</v>
      </c>
      <c r="H406" s="590" t="s">
        <v>3179</v>
      </c>
      <c r="I406" s="590" t="s">
        <v>3180</v>
      </c>
      <c r="J406" s="590" t="s">
        <v>3181</v>
      </c>
      <c r="K406" s="590" t="s">
        <v>3178</v>
      </c>
      <c r="L406" s="441" t="s">
        <v>410</v>
      </c>
      <c r="M406" s="441" t="s">
        <v>410</v>
      </c>
      <c r="N406" s="441" t="s">
        <v>410</v>
      </c>
      <c r="O406" s="441" t="s">
        <v>410</v>
      </c>
      <c r="P406" s="441" t="s">
        <v>410</v>
      </c>
      <c r="Q406" s="441" t="s">
        <v>410</v>
      </c>
      <c r="R406" s="441" t="s">
        <v>410</v>
      </c>
      <c r="S406" s="441" t="s">
        <v>410</v>
      </c>
      <c r="T406" s="441" t="s">
        <v>410</v>
      </c>
    </row>
    <row r="407" spans="1:20" hidden="1" outlineLevel="1" x14ac:dyDescent="0.3">
      <c r="A407" s="583" t="s">
        <v>5505</v>
      </c>
      <c r="B407" s="591">
        <v>6</v>
      </c>
      <c r="C407" s="583" t="s">
        <v>1256</v>
      </c>
      <c r="D407" s="583" t="s">
        <v>1514</v>
      </c>
      <c r="E407" s="592" t="s">
        <v>410</v>
      </c>
      <c r="F407" s="593" t="s">
        <v>3126</v>
      </c>
      <c r="G407" s="593" t="s">
        <v>3127</v>
      </c>
      <c r="H407" s="593" t="s">
        <v>3128</v>
      </c>
      <c r="I407" s="593" t="s">
        <v>3129</v>
      </c>
      <c r="J407" s="593" t="s">
        <v>3130</v>
      </c>
      <c r="K407" s="237" t="s">
        <v>410</v>
      </c>
      <c r="L407" s="237" t="s">
        <v>410</v>
      </c>
      <c r="M407" s="237" t="s">
        <v>410</v>
      </c>
      <c r="N407" s="237" t="s">
        <v>410</v>
      </c>
      <c r="O407" s="237" t="s">
        <v>410</v>
      </c>
      <c r="P407" s="237" t="s">
        <v>410</v>
      </c>
      <c r="Q407" s="237" t="s">
        <v>410</v>
      </c>
      <c r="R407" s="237" t="s">
        <v>410</v>
      </c>
      <c r="S407" s="10" t="s">
        <v>410</v>
      </c>
      <c r="T407" s="10" t="s">
        <v>410</v>
      </c>
    </row>
    <row r="408" spans="1:20" hidden="1" outlineLevel="1" x14ac:dyDescent="0.3">
      <c r="A408" s="583" t="s">
        <v>1882</v>
      </c>
      <c r="B408" s="591">
        <v>6</v>
      </c>
      <c r="C408" s="583" t="s">
        <v>1256</v>
      </c>
      <c r="D408" s="583" t="s">
        <v>1514</v>
      </c>
      <c r="E408" s="592" t="s">
        <v>410</v>
      </c>
      <c r="F408" s="593">
        <v>4</v>
      </c>
      <c r="G408" s="593">
        <v>8</v>
      </c>
      <c r="H408" s="593" t="s">
        <v>2558</v>
      </c>
      <c r="I408" s="593" t="s">
        <v>2591</v>
      </c>
      <c r="J408" s="593" t="s">
        <v>2662</v>
      </c>
      <c r="K408" s="593" t="s">
        <v>410</v>
      </c>
      <c r="L408" s="593" t="s">
        <v>410</v>
      </c>
      <c r="M408" s="593" t="s">
        <v>410</v>
      </c>
      <c r="N408" s="593" t="s">
        <v>410</v>
      </c>
      <c r="O408" s="593" t="s">
        <v>410</v>
      </c>
      <c r="P408" s="237" t="s">
        <v>410</v>
      </c>
      <c r="Q408" s="237" t="s">
        <v>410</v>
      </c>
      <c r="R408" s="237" t="s">
        <v>410</v>
      </c>
      <c r="S408" s="10" t="s">
        <v>410</v>
      </c>
      <c r="T408" s="10" t="s">
        <v>410</v>
      </c>
    </row>
    <row r="409" spans="1:20" hidden="1" outlineLevel="1" x14ac:dyDescent="0.3">
      <c r="A409" s="583" t="s">
        <v>1922</v>
      </c>
      <c r="B409" s="591">
        <v>6</v>
      </c>
      <c r="C409" s="583" t="s">
        <v>1256</v>
      </c>
      <c r="D409" s="583" t="s">
        <v>1514</v>
      </c>
      <c r="E409" s="592" t="s">
        <v>410</v>
      </c>
      <c r="F409" s="593" t="s">
        <v>107</v>
      </c>
      <c r="G409" s="593" t="s">
        <v>1924</v>
      </c>
      <c r="H409" s="593" t="s">
        <v>1925</v>
      </c>
      <c r="I409" s="593" t="s">
        <v>3154</v>
      </c>
      <c r="J409" s="593" t="s">
        <v>3155</v>
      </c>
      <c r="K409" s="237" t="s">
        <v>410</v>
      </c>
      <c r="L409" s="237" t="s">
        <v>410</v>
      </c>
      <c r="M409" s="237" t="s">
        <v>410</v>
      </c>
      <c r="N409" s="237" t="s">
        <v>410</v>
      </c>
      <c r="O409" s="237" t="s">
        <v>410</v>
      </c>
      <c r="P409" s="237" t="s">
        <v>410</v>
      </c>
      <c r="Q409" s="237" t="s">
        <v>410</v>
      </c>
      <c r="R409" s="237" t="s">
        <v>410</v>
      </c>
      <c r="S409" s="10" t="s">
        <v>410</v>
      </c>
      <c r="T409" s="10" t="s">
        <v>410</v>
      </c>
    </row>
    <row r="410" spans="1:20" hidden="1" outlineLevel="1" x14ac:dyDescent="0.3">
      <c r="A410" s="583" t="s">
        <v>1947</v>
      </c>
      <c r="B410" s="591">
        <v>6</v>
      </c>
      <c r="C410" s="583" t="s">
        <v>1256</v>
      </c>
      <c r="D410" s="583" t="s">
        <v>1514</v>
      </c>
      <c r="E410" s="593" t="s">
        <v>410</v>
      </c>
      <c r="F410" s="593" t="s">
        <v>3579</v>
      </c>
      <c r="G410" s="593" t="s">
        <v>3580</v>
      </c>
      <c r="H410" s="593" t="s">
        <v>3581</v>
      </c>
      <c r="I410" s="593" t="s">
        <v>3582</v>
      </c>
      <c r="J410" s="593" t="s">
        <v>1948</v>
      </c>
      <c r="K410" s="237" t="s">
        <v>410</v>
      </c>
      <c r="L410" s="237" t="s">
        <v>410</v>
      </c>
      <c r="M410" s="237" t="s">
        <v>410</v>
      </c>
      <c r="N410" s="237" t="s">
        <v>410</v>
      </c>
      <c r="O410" s="237" t="s">
        <v>410</v>
      </c>
      <c r="P410" s="237" t="s">
        <v>410</v>
      </c>
      <c r="Q410" s="237" t="s">
        <v>410</v>
      </c>
      <c r="R410" s="237" t="s">
        <v>410</v>
      </c>
      <c r="S410" s="237" t="s">
        <v>410</v>
      </c>
      <c r="T410" s="237" t="s">
        <v>410</v>
      </c>
    </row>
    <row r="411" spans="1:20" hidden="1" outlineLevel="1" x14ac:dyDescent="0.3">
      <c r="A411" s="583" t="s">
        <v>1638</v>
      </c>
      <c r="B411" s="591">
        <v>11</v>
      </c>
      <c r="C411" s="583" t="s">
        <v>1256</v>
      </c>
      <c r="D411" s="583" t="s">
        <v>1514</v>
      </c>
      <c r="E411" s="592" t="s">
        <v>410</v>
      </c>
      <c r="F411" s="237"/>
      <c r="G411" s="237"/>
      <c r="H411" s="237"/>
      <c r="I411" s="237"/>
      <c r="J411" s="237"/>
      <c r="K411" s="237"/>
      <c r="L411" s="237"/>
      <c r="M411" s="237" t="s">
        <v>410</v>
      </c>
      <c r="N411" s="237" t="s">
        <v>410</v>
      </c>
      <c r="O411" s="237" t="s">
        <v>410</v>
      </c>
      <c r="P411" s="237" t="s">
        <v>410</v>
      </c>
      <c r="Q411" s="237" t="s">
        <v>410</v>
      </c>
      <c r="R411" s="237" t="s">
        <v>410</v>
      </c>
      <c r="S411" s="10" t="s">
        <v>410</v>
      </c>
      <c r="T411" s="10" t="s">
        <v>410</v>
      </c>
    </row>
    <row r="412" spans="1:20" hidden="1" outlineLevel="1" x14ac:dyDescent="0.3">
      <c r="A412" s="583" t="s">
        <v>1644</v>
      </c>
      <c r="B412" s="591">
        <v>11</v>
      </c>
      <c r="C412" s="583" t="s">
        <v>1256</v>
      </c>
      <c r="D412" s="583" t="s">
        <v>1514</v>
      </c>
      <c r="E412" s="592" t="s">
        <v>410</v>
      </c>
      <c r="F412" s="594" t="str">
        <f>CONCATENATE("INT~",CHR+8,"~0")</f>
        <v>INT~3~0</v>
      </c>
      <c r="G412" s="594" t="str">
        <f>CONCATENATE("INT~",CHR+9,"~0")</f>
        <v>INT~4~0</v>
      </c>
      <c r="H412" s="594" t="str">
        <f>CONCATENATE("INT~",CHR+10,"~0")</f>
        <v>INT~5~0</v>
      </c>
      <c r="I412" s="594" t="str">
        <f>CONCATENATE("INT~",CHR+11,"~0")</f>
        <v>INT~6~0</v>
      </c>
      <c r="J412" s="594" t="str">
        <f>CONCATENATE("INT~",CHR+12,"~0")</f>
        <v>INT~7~0</v>
      </c>
      <c r="K412" s="594" t="str">
        <f>CONCATENATE("INT~",CHR+13,"~0")</f>
        <v>INT~8~0</v>
      </c>
      <c r="L412" s="237" t="s">
        <v>410</v>
      </c>
      <c r="M412" s="237" t="s">
        <v>410</v>
      </c>
      <c r="N412" s="237" t="s">
        <v>410</v>
      </c>
      <c r="O412" s="237" t="s">
        <v>410</v>
      </c>
      <c r="P412" s="237" t="s">
        <v>410</v>
      </c>
      <c r="Q412" s="237" t="s">
        <v>410</v>
      </c>
      <c r="R412" s="237" t="s">
        <v>410</v>
      </c>
      <c r="S412" s="10" t="s">
        <v>410</v>
      </c>
      <c r="T412" s="10" t="s">
        <v>410</v>
      </c>
    </row>
    <row r="413" spans="1:20" hidden="1" outlineLevel="1" x14ac:dyDescent="0.3">
      <c r="A413" s="583" t="s">
        <v>1666</v>
      </c>
      <c r="B413" s="591">
        <v>11</v>
      </c>
      <c r="C413" s="583" t="s">
        <v>1256</v>
      </c>
      <c r="D413" s="583" t="s">
        <v>1514</v>
      </c>
      <c r="E413" s="592" t="s">
        <v>410</v>
      </c>
      <c r="F413" s="593" t="s">
        <v>1667</v>
      </c>
      <c r="G413" s="593" t="s">
        <v>1669</v>
      </c>
      <c r="H413" s="593" t="s">
        <v>1670</v>
      </c>
      <c r="I413" s="593" t="s">
        <v>1671</v>
      </c>
      <c r="J413" s="593" t="s">
        <v>1672</v>
      </c>
      <c r="K413" s="593" t="s">
        <v>1668</v>
      </c>
      <c r="L413" s="237" t="s">
        <v>410</v>
      </c>
      <c r="M413" s="237" t="s">
        <v>410</v>
      </c>
      <c r="N413" s="237" t="s">
        <v>410</v>
      </c>
      <c r="O413" s="237" t="s">
        <v>410</v>
      </c>
      <c r="P413" s="237" t="s">
        <v>410</v>
      </c>
      <c r="Q413" s="237" t="s">
        <v>410</v>
      </c>
      <c r="R413" s="237" t="s">
        <v>410</v>
      </c>
      <c r="S413" s="10" t="s">
        <v>410</v>
      </c>
      <c r="T413" s="10" t="s">
        <v>410</v>
      </c>
    </row>
    <row r="414" spans="1:20" hidden="1" outlineLevel="1" x14ac:dyDescent="0.3">
      <c r="A414" s="583" t="s">
        <v>1721</v>
      </c>
      <c r="B414" s="591">
        <v>16</v>
      </c>
      <c r="C414" s="583" t="s">
        <v>1256</v>
      </c>
      <c r="D414" s="583" t="s">
        <v>1514</v>
      </c>
      <c r="E414" s="592" t="s">
        <v>410</v>
      </c>
      <c r="F414" s="593"/>
      <c r="G414" s="593"/>
      <c r="H414" s="593"/>
      <c r="I414" s="593"/>
      <c r="J414" s="593"/>
      <c r="K414" s="593"/>
      <c r="L414" s="237" t="s">
        <v>410</v>
      </c>
      <c r="M414" s="237" t="s">
        <v>410</v>
      </c>
      <c r="N414" s="237" t="s">
        <v>410</v>
      </c>
      <c r="O414" s="237" t="s">
        <v>410</v>
      </c>
      <c r="P414" s="237" t="s">
        <v>410</v>
      </c>
      <c r="Q414" s="237" t="s">
        <v>410</v>
      </c>
      <c r="R414" s="237" t="s">
        <v>410</v>
      </c>
      <c r="S414" s="10" t="s">
        <v>410</v>
      </c>
      <c r="T414" s="10" t="s">
        <v>410</v>
      </c>
    </row>
    <row r="415" spans="1:20" hidden="1" outlineLevel="1" x14ac:dyDescent="0.3">
      <c r="A415" s="583" t="s">
        <v>1858</v>
      </c>
      <c r="B415" s="591">
        <v>16</v>
      </c>
      <c r="C415" s="583" t="s">
        <v>1256</v>
      </c>
      <c r="D415" s="583" t="s">
        <v>1514</v>
      </c>
      <c r="E415" s="592" t="s">
        <v>410</v>
      </c>
      <c r="F415" s="593"/>
      <c r="G415" s="593"/>
      <c r="H415" s="593"/>
      <c r="I415" s="593"/>
      <c r="J415" s="593"/>
      <c r="K415" s="237" t="s">
        <v>410</v>
      </c>
      <c r="L415" s="237" t="s">
        <v>410</v>
      </c>
      <c r="M415" s="237" t="s">
        <v>410</v>
      </c>
      <c r="N415" s="237" t="s">
        <v>410</v>
      </c>
      <c r="O415" s="237" t="s">
        <v>410</v>
      </c>
      <c r="P415" s="237" t="s">
        <v>410</v>
      </c>
      <c r="Q415" s="237" t="s">
        <v>410</v>
      </c>
      <c r="R415" s="237" t="s">
        <v>410</v>
      </c>
      <c r="S415" s="10" t="s">
        <v>410</v>
      </c>
      <c r="T415" s="10" t="s">
        <v>410</v>
      </c>
    </row>
    <row r="416" spans="1:20" hidden="1" outlineLevel="1" x14ac:dyDescent="0.3">
      <c r="A416" s="583" t="s">
        <v>1863</v>
      </c>
      <c r="B416" s="591">
        <v>16</v>
      </c>
      <c r="C416" s="583" t="s">
        <v>1256</v>
      </c>
      <c r="D416" s="583" t="s">
        <v>1514</v>
      </c>
      <c r="E416" s="592" t="s">
        <v>410</v>
      </c>
      <c r="F416" s="593" t="s">
        <v>1775</v>
      </c>
      <c r="G416" s="593" t="s">
        <v>2234</v>
      </c>
      <c r="H416" s="593" t="s">
        <v>2065</v>
      </c>
      <c r="I416" s="593" t="s">
        <v>2235</v>
      </c>
      <c r="J416" s="593" t="s">
        <v>2236</v>
      </c>
      <c r="K416" s="593" t="s">
        <v>2237</v>
      </c>
      <c r="L416" s="237" t="s">
        <v>410</v>
      </c>
      <c r="M416" s="237" t="s">
        <v>410</v>
      </c>
      <c r="N416" s="237" t="s">
        <v>410</v>
      </c>
      <c r="O416" s="237" t="s">
        <v>410</v>
      </c>
      <c r="P416" s="237" t="s">
        <v>410</v>
      </c>
      <c r="Q416" s="237" t="s">
        <v>410</v>
      </c>
      <c r="R416" s="237" t="s">
        <v>410</v>
      </c>
      <c r="S416" s="10" t="s">
        <v>410</v>
      </c>
      <c r="T416" s="10" t="s">
        <v>410</v>
      </c>
    </row>
    <row r="417" spans="1:20" hidden="1" outlineLevel="1" x14ac:dyDescent="0.3">
      <c r="A417" s="583" t="s">
        <v>1971</v>
      </c>
      <c r="B417" s="591">
        <v>16</v>
      </c>
      <c r="C417" s="583" t="s">
        <v>1256</v>
      </c>
      <c r="D417" s="583" t="s">
        <v>1514</v>
      </c>
      <c r="E417" s="593" t="s">
        <v>410</v>
      </c>
      <c r="F417" s="593" t="s">
        <v>4411</v>
      </c>
      <c r="G417" s="593" t="s">
        <v>4412</v>
      </c>
      <c r="H417" s="593" t="s">
        <v>4413</v>
      </c>
      <c r="I417" s="593" t="s">
        <v>4414</v>
      </c>
      <c r="J417" s="593" t="s">
        <v>4415</v>
      </c>
      <c r="K417" s="237" t="s">
        <v>410</v>
      </c>
      <c r="L417" s="237" t="s">
        <v>410</v>
      </c>
      <c r="M417" s="237" t="s">
        <v>410</v>
      </c>
      <c r="N417" s="237" t="s">
        <v>410</v>
      </c>
      <c r="O417" s="237" t="s">
        <v>410</v>
      </c>
      <c r="P417" s="237" t="s">
        <v>410</v>
      </c>
      <c r="Q417" s="237" t="s">
        <v>410</v>
      </c>
      <c r="R417" s="237" t="s">
        <v>410</v>
      </c>
      <c r="S417" s="237" t="s">
        <v>410</v>
      </c>
      <c r="T417" s="237" t="s">
        <v>410</v>
      </c>
    </row>
    <row r="418" spans="1:20" hidden="1" outlineLevel="1" x14ac:dyDescent="0.3">
      <c r="A418" s="583" t="s">
        <v>2067</v>
      </c>
      <c r="B418" s="591">
        <v>0</v>
      </c>
      <c r="C418" s="588" t="s">
        <v>1564</v>
      </c>
      <c r="D418" s="588" t="s">
        <v>1514</v>
      </c>
      <c r="E418" s="595"/>
      <c r="F418" s="9" t="s">
        <v>410</v>
      </c>
      <c r="G418" s="9" t="s">
        <v>410</v>
      </c>
      <c r="H418" s="9" t="s">
        <v>410</v>
      </c>
      <c r="I418" s="9" t="s">
        <v>410</v>
      </c>
      <c r="J418" s="9" t="s">
        <v>410</v>
      </c>
      <c r="K418" s="9" t="s">
        <v>410</v>
      </c>
      <c r="L418" s="9" t="s">
        <v>410</v>
      </c>
      <c r="M418" s="9" t="s">
        <v>410</v>
      </c>
      <c r="N418" s="9" t="s">
        <v>410</v>
      </c>
      <c r="O418" s="9" t="s">
        <v>410</v>
      </c>
      <c r="P418" s="9" t="s">
        <v>410</v>
      </c>
      <c r="Q418" s="9" t="s">
        <v>410</v>
      </c>
      <c r="R418" s="9" t="s">
        <v>410</v>
      </c>
      <c r="S418" s="9" t="s">
        <v>410</v>
      </c>
      <c r="T418" s="9" t="s">
        <v>410</v>
      </c>
    </row>
    <row r="419" spans="1:20" hidden="1" outlineLevel="1" x14ac:dyDescent="0.3">
      <c r="A419" s="583" t="s">
        <v>2141</v>
      </c>
      <c r="B419" s="591">
        <v>0</v>
      </c>
      <c r="C419" s="588" t="s">
        <v>1564</v>
      </c>
      <c r="D419" s="588" t="s">
        <v>1514</v>
      </c>
      <c r="E419" s="589"/>
      <c r="F419" s="237" t="s">
        <v>410</v>
      </c>
      <c r="G419" s="237" t="s">
        <v>410</v>
      </c>
      <c r="H419" s="237" t="s">
        <v>410</v>
      </c>
      <c r="I419" s="237" t="s">
        <v>410</v>
      </c>
      <c r="J419" s="237" t="s">
        <v>410</v>
      </c>
      <c r="K419" s="237" t="s">
        <v>410</v>
      </c>
      <c r="L419" s="441" t="s">
        <v>410</v>
      </c>
      <c r="M419" s="441" t="s">
        <v>410</v>
      </c>
      <c r="N419" s="441" t="s">
        <v>410</v>
      </c>
      <c r="O419" s="441" t="s">
        <v>410</v>
      </c>
      <c r="P419" s="441" t="s">
        <v>410</v>
      </c>
      <c r="Q419" s="441" t="s">
        <v>410</v>
      </c>
      <c r="R419" s="441" t="s">
        <v>410</v>
      </c>
      <c r="S419" s="441" t="s">
        <v>410</v>
      </c>
      <c r="T419" s="441" t="s">
        <v>410</v>
      </c>
    </row>
    <row r="420" spans="1:20" hidden="1" outlineLevel="1" x14ac:dyDescent="0.3">
      <c r="A420" s="583" t="s">
        <v>2053</v>
      </c>
      <c r="B420" s="591">
        <v>1</v>
      </c>
      <c r="C420" s="583" t="s">
        <v>1564</v>
      </c>
      <c r="D420" s="583" t="s">
        <v>1514</v>
      </c>
      <c r="E420" s="593" t="s">
        <v>410</v>
      </c>
      <c r="F420" s="237"/>
      <c r="G420" s="237"/>
      <c r="H420" s="237"/>
      <c r="I420" s="237"/>
      <c r="J420" s="237"/>
      <c r="K420" s="237"/>
      <c r="L420" s="237"/>
      <c r="M420" s="237"/>
      <c r="N420" s="237" t="s">
        <v>410</v>
      </c>
      <c r="O420" s="237" t="s">
        <v>410</v>
      </c>
      <c r="P420" s="237" t="s">
        <v>410</v>
      </c>
      <c r="Q420" s="237" t="s">
        <v>410</v>
      </c>
      <c r="R420" s="237" t="s">
        <v>410</v>
      </c>
      <c r="S420" s="237" t="s">
        <v>410</v>
      </c>
      <c r="T420" s="237" t="s">
        <v>410</v>
      </c>
    </row>
    <row r="421" spans="1:20" hidden="1" outlineLevel="1" x14ac:dyDescent="0.3">
      <c r="A421" s="583" t="s">
        <v>2204</v>
      </c>
      <c r="B421" s="591">
        <v>1</v>
      </c>
      <c r="C421" s="583" t="s">
        <v>1564</v>
      </c>
      <c r="D421" s="583" t="s">
        <v>1514</v>
      </c>
      <c r="E421" s="592" t="s">
        <v>2205</v>
      </c>
      <c r="F421" s="593" t="s">
        <v>410</v>
      </c>
      <c r="G421" s="237" t="s">
        <v>410</v>
      </c>
      <c r="H421" s="237" t="s">
        <v>410</v>
      </c>
      <c r="I421" s="237" t="s">
        <v>410</v>
      </c>
      <c r="J421" s="237" t="s">
        <v>410</v>
      </c>
      <c r="K421" s="237" t="s">
        <v>410</v>
      </c>
      <c r="L421" s="237" t="s">
        <v>410</v>
      </c>
      <c r="M421" s="237" t="s">
        <v>410</v>
      </c>
      <c r="N421" s="237" t="s">
        <v>410</v>
      </c>
      <c r="O421" s="237" t="s">
        <v>410</v>
      </c>
      <c r="P421" s="237" t="s">
        <v>410</v>
      </c>
      <c r="Q421" s="237" t="s">
        <v>410</v>
      </c>
      <c r="R421" s="237" t="s">
        <v>410</v>
      </c>
      <c r="S421" s="10" t="s">
        <v>410</v>
      </c>
      <c r="T421" s="10" t="s">
        <v>410</v>
      </c>
    </row>
    <row r="422" spans="1:20" hidden="1" outlineLevel="1" x14ac:dyDescent="0.3">
      <c r="A422" s="583" t="s">
        <v>1875</v>
      </c>
      <c r="B422" s="591">
        <v>1</v>
      </c>
      <c r="C422" s="583" t="s">
        <v>1564</v>
      </c>
      <c r="D422" s="583" t="s">
        <v>1514</v>
      </c>
      <c r="E422" s="592" t="s">
        <v>410</v>
      </c>
      <c r="F422" s="593" t="s">
        <v>4983</v>
      </c>
      <c r="G422" s="237" t="s">
        <v>410</v>
      </c>
      <c r="H422" s="237" t="s">
        <v>410</v>
      </c>
      <c r="I422" s="237" t="s">
        <v>410</v>
      </c>
      <c r="J422" s="237" t="s">
        <v>410</v>
      </c>
      <c r="K422" s="237" t="s">
        <v>410</v>
      </c>
      <c r="L422" s="237" t="s">
        <v>410</v>
      </c>
      <c r="M422" s="237" t="s">
        <v>410</v>
      </c>
      <c r="N422" s="237" t="s">
        <v>410</v>
      </c>
      <c r="O422" s="237" t="s">
        <v>410</v>
      </c>
      <c r="P422" s="237" t="s">
        <v>410</v>
      </c>
      <c r="Q422" s="237" t="s">
        <v>410</v>
      </c>
      <c r="R422" s="237" t="s">
        <v>410</v>
      </c>
      <c r="S422" s="10" t="s">
        <v>410</v>
      </c>
      <c r="T422" s="10" t="s">
        <v>410</v>
      </c>
    </row>
    <row r="423" spans="1:20" hidden="1" outlineLevel="1" x14ac:dyDescent="0.3">
      <c r="A423" s="583" t="s">
        <v>1876</v>
      </c>
      <c r="B423" s="591">
        <v>1</v>
      </c>
      <c r="C423" s="583" t="s">
        <v>1564</v>
      </c>
      <c r="D423" s="583" t="s">
        <v>1514</v>
      </c>
      <c r="E423" s="592" t="s">
        <v>410</v>
      </c>
      <c r="F423" s="593" t="s">
        <v>4978</v>
      </c>
      <c r="G423" s="237" t="s">
        <v>410</v>
      </c>
      <c r="H423" s="237" t="s">
        <v>410</v>
      </c>
      <c r="I423" s="237" t="s">
        <v>410</v>
      </c>
      <c r="J423" s="237" t="s">
        <v>410</v>
      </c>
      <c r="K423" s="237" t="s">
        <v>410</v>
      </c>
      <c r="L423" s="237" t="s">
        <v>410</v>
      </c>
      <c r="M423" s="237" t="s">
        <v>410</v>
      </c>
      <c r="N423" s="237" t="s">
        <v>410</v>
      </c>
      <c r="O423" s="237" t="s">
        <v>410</v>
      </c>
      <c r="P423" s="237" t="s">
        <v>410</v>
      </c>
      <c r="Q423" s="237" t="s">
        <v>410</v>
      </c>
      <c r="R423" s="237" t="s">
        <v>410</v>
      </c>
      <c r="S423" s="10" t="s">
        <v>410</v>
      </c>
      <c r="T423" s="10" t="s">
        <v>410</v>
      </c>
    </row>
    <row r="424" spans="1:20" hidden="1" outlineLevel="1" x14ac:dyDescent="0.3">
      <c r="A424" s="583" t="s">
        <v>3026</v>
      </c>
      <c r="B424" s="591">
        <v>1</v>
      </c>
      <c r="C424" s="583" t="s">
        <v>1564</v>
      </c>
      <c r="D424" s="583" t="s">
        <v>1514</v>
      </c>
      <c r="E424" s="592"/>
      <c r="F424" s="592" t="s">
        <v>410</v>
      </c>
      <c r="G424" s="592" t="s">
        <v>410</v>
      </c>
      <c r="H424" s="592" t="s">
        <v>410</v>
      </c>
      <c r="I424" s="10" t="s">
        <v>410</v>
      </c>
      <c r="J424" s="10" t="s">
        <v>410</v>
      </c>
      <c r="K424" s="10" t="s">
        <v>410</v>
      </c>
      <c r="L424" s="10" t="s">
        <v>410</v>
      </c>
      <c r="M424" s="10" t="s">
        <v>410</v>
      </c>
      <c r="N424" s="10" t="s">
        <v>410</v>
      </c>
      <c r="O424" s="10" t="s">
        <v>410</v>
      </c>
      <c r="P424" s="10" t="s">
        <v>410</v>
      </c>
      <c r="Q424" s="10" t="s">
        <v>410</v>
      </c>
      <c r="R424" s="10" t="s">
        <v>410</v>
      </c>
      <c r="S424" s="10" t="s">
        <v>410</v>
      </c>
      <c r="T424" s="10" t="s">
        <v>410</v>
      </c>
    </row>
    <row r="425" spans="1:20" hidden="1" outlineLevel="1" x14ac:dyDescent="0.3">
      <c r="A425" s="583" t="s">
        <v>2933</v>
      </c>
      <c r="B425" s="591">
        <v>2</v>
      </c>
      <c r="C425" s="583" t="s">
        <v>1564</v>
      </c>
      <c r="D425" s="583" t="s">
        <v>1514</v>
      </c>
      <c r="E425" s="593" t="s">
        <v>410</v>
      </c>
      <c r="F425" s="237"/>
      <c r="G425" s="237"/>
      <c r="H425" s="237"/>
      <c r="I425" s="237"/>
      <c r="J425" s="237"/>
      <c r="K425" s="237"/>
      <c r="L425" s="237"/>
      <c r="M425" s="237"/>
      <c r="N425" s="237" t="s">
        <v>410</v>
      </c>
      <c r="O425" s="237" t="s">
        <v>410</v>
      </c>
      <c r="P425" s="237" t="s">
        <v>410</v>
      </c>
      <c r="Q425" s="237" t="s">
        <v>410</v>
      </c>
      <c r="R425" s="237" t="s">
        <v>410</v>
      </c>
      <c r="S425" s="237" t="s">
        <v>410</v>
      </c>
      <c r="T425" s="237" t="s">
        <v>410</v>
      </c>
    </row>
    <row r="426" spans="1:20" hidden="1" outlineLevel="1" x14ac:dyDescent="0.3">
      <c r="A426" s="583" t="s">
        <v>1877</v>
      </c>
      <c r="B426" s="591">
        <v>2</v>
      </c>
      <c r="C426" s="583" t="s">
        <v>1564</v>
      </c>
      <c r="D426" s="583" t="s">
        <v>1514</v>
      </c>
      <c r="E426" s="592" t="s">
        <v>410</v>
      </c>
      <c r="F426" s="593" t="s">
        <v>4979</v>
      </c>
      <c r="G426" s="237" t="s">
        <v>410</v>
      </c>
      <c r="H426" s="237" t="s">
        <v>410</v>
      </c>
      <c r="I426" s="237" t="s">
        <v>410</v>
      </c>
      <c r="J426" s="237" t="s">
        <v>410</v>
      </c>
      <c r="K426" s="237" t="s">
        <v>410</v>
      </c>
      <c r="L426" s="237" t="s">
        <v>410</v>
      </c>
      <c r="M426" s="237" t="s">
        <v>410</v>
      </c>
      <c r="N426" s="237" t="s">
        <v>410</v>
      </c>
      <c r="O426" s="237" t="s">
        <v>410</v>
      </c>
      <c r="P426" s="237" t="s">
        <v>410</v>
      </c>
      <c r="Q426" s="237" t="s">
        <v>410</v>
      </c>
      <c r="R426" s="237" t="s">
        <v>410</v>
      </c>
      <c r="S426" s="10" t="s">
        <v>410</v>
      </c>
      <c r="T426" s="10" t="s">
        <v>410</v>
      </c>
    </row>
    <row r="427" spans="1:20" hidden="1" outlineLevel="1" x14ac:dyDescent="0.3">
      <c r="A427" s="583" t="s">
        <v>1878</v>
      </c>
      <c r="B427" s="591">
        <v>3</v>
      </c>
      <c r="C427" s="583" t="s">
        <v>1564</v>
      </c>
      <c r="D427" s="583" t="s">
        <v>1514</v>
      </c>
      <c r="E427" s="592" t="s">
        <v>410</v>
      </c>
      <c r="F427" s="593" t="s">
        <v>4980</v>
      </c>
      <c r="G427" s="237" t="s">
        <v>410</v>
      </c>
      <c r="H427" s="237" t="s">
        <v>410</v>
      </c>
      <c r="I427" s="237" t="s">
        <v>410</v>
      </c>
      <c r="J427" s="237" t="s">
        <v>410</v>
      </c>
      <c r="K427" s="237" t="s">
        <v>410</v>
      </c>
      <c r="L427" s="237" t="s">
        <v>410</v>
      </c>
      <c r="M427" s="237" t="s">
        <v>410</v>
      </c>
      <c r="N427" s="237" t="s">
        <v>410</v>
      </c>
      <c r="O427" s="237" t="s">
        <v>410</v>
      </c>
      <c r="P427" s="237" t="s">
        <v>410</v>
      </c>
      <c r="Q427" s="237" t="s">
        <v>410</v>
      </c>
      <c r="R427" s="237" t="s">
        <v>410</v>
      </c>
      <c r="S427" s="10" t="s">
        <v>410</v>
      </c>
      <c r="T427" s="10" t="s">
        <v>410</v>
      </c>
    </row>
    <row r="428" spans="1:20" hidden="1" outlineLevel="1" x14ac:dyDescent="0.3">
      <c r="A428" s="583" t="s">
        <v>2054</v>
      </c>
      <c r="B428" s="591">
        <v>4</v>
      </c>
      <c r="C428" s="583" t="s">
        <v>1564</v>
      </c>
      <c r="D428" s="583" t="s">
        <v>1514</v>
      </c>
      <c r="E428" s="593" t="s">
        <v>410</v>
      </c>
      <c r="F428" s="237"/>
      <c r="G428" s="237"/>
      <c r="H428" s="237"/>
      <c r="I428" s="237"/>
      <c r="J428" s="237"/>
      <c r="K428" s="237"/>
      <c r="L428" s="237"/>
      <c r="M428" s="237"/>
      <c r="N428" s="237" t="s">
        <v>410</v>
      </c>
      <c r="O428" s="237" t="s">
        <v>410</v>
      </c>
      <c r="P428" s="237" t="s">
        <v>410</v>
      </c>
      <c r="Q428" s="237" t="s">
        <v>410</v>
      </c>
      <c r="R428" s="237" t="s">
        <v>410</v>
      </c>
      <c r="S428" s="237" t="s">
        <v>410</v>
      </c>
      <c r="T428" s="237" t="s">
        <v>410</v>
      </c>
    </row>
    <row r="429" spans="1:20" hidden="1" outlineLevel="1" x14ac:dyDescent="0.3">
      <c r="A429" s="583" t="s">
        <v>1879</v>
      </c>
      <c r="B429" s="591">
        <v>4</v>
      </c>
      <c r="C429" s="583" t="s">
        <v>1564</v>
      </c>
      <c r="D429" s="583" t="s">
        <v>1514</v>
      </c>
      <c r="E429" s="592" t="s">
        <v>410</v>
      </c>
      <c r="F429" s="593" t="s">
        <v>4981</v>
      </c>
      <c r="G429" s="237" t="s">
        <v>410</v>
      </c>
      <c r="H429" s="237" t="s">
        <v>410</v>
      </c>
      <c r="I429" s="237" t="s">
        <v>410</v>
      </c>
      <c r="J429" s="237" t="s">
        <v>410</v>
      </c>
      <c r="K429" s="237" t="s">
        <v>410</v>
      </c>
      <c r="L429" s="237" t="s">
        <v>410</v>
      </c>
      <c r="M429" s="237" t="s">
        <v>410</v>
      </c>
      <c r="N429" s="237" t="s">
        <v>410</v>
      </c>
      <c r="O429" s="237" t="s">
        <v>410</v>
      </c>
      <c r="P429" s="237" t="s">
        <v>410</v>
      </c>
      <c r="Q429" s="237" t="s">
        <v>410</v>
      </c>
      <c r="R429" s="237" t="s">
        <v>410</v>
      </c>
      <c r="S429" s="10" t="s">
        <v>410</v>
      </c>
      <c r="T429" s="10" t="s">
        <v>410</v>
      </c>
    </row>
    <row r="430" spans="1:20" hidden="1" outlineLevel="1" x14ac:dyDescent="0.3">
      <c r="A430" s="583" t="s">
        <v>1880</v>
      </c>
      <c r="B430" s="591">
        <v>5</v>
      </c>
      <c r="C430" s="583" t="s">
        <v>1564</v>
      </c>
      <c r="D430" s="583" t="s">
        <v>1514</v>
      </c>
      <c r="E430" s="592" t="s">
        <v>410</v>
      </c>
      <c r="F430" s="593" t="s">
        <v>4982</v>
      </c>
      <c r="G430" s="237" t="s">
        <v>410</v>
      </c>
      <c r="H430" s="237" t="s">
        <v>410</v>
      </c>
      <c r="I430" s="237" t="s">
        <v>410</v>
      </c>
      <c r="J430" s="237" t="s">
        <v>410</v>
      </c>
      <c r="K430" s="237" t="s">
        <v>410</v>
      </c>
      <c r="L430" s="237" t="s">
        <v>410</v>
      </c>
      <c r="M430" s="237" t="s">
        <v>410</v>
      </c>
      <c r="N430" s="237" t="s">
        <v>410</v>
      </c>
      <c r="O430" s="237" t="s">
        <v>410</v>
      </c>
      <c r="P430" s="237" t="s">
        <v>410</v>
      </c>
      <c r="Q430" s="237" t="s">
        <v>410</v>
      </c>
      <c r="R430" s="237" t="s">
        <v>410</v>
      </c>
      <c r="S430" s="10" t="s">
        <v>410</v>
      </c>
      <c r="T430" s="10" t="s">
        <v>410</v>
      </c>
    </row>
    <row r="431" spans="1:20" hidden="1" outlineLevel="1" x14ac:dyDescent="0.3">
      <c r="A431" s="583" t="s">
        <v>2051</v>
      </c>
      <c r="B431" s="591">
        <v>6</v>
      </c>
      <c r="C431" s="583" t="s">
        <v>1564</v>
      </c>
      <c r="D431" s="583" t="s">
        <v>1514</v>
      </c>
      <c r="E431" s="593" t="s">
        <v>410</v>
      </c>
      <c r="F431" s="237"/>
      <c r="G431" s="237"/>
      <c r="H431" s="237"/>
      <c r="I431" s="237"/>
      <c r="J431" s="237"/>
      <c r="K431" s="237"/>
      <c r="L431" s="237"/>
      <c r="M431" s="237"/>
      <c r="N431" s="237" t="s">
        <v>410</v>
      </c>
      <c r="O431" s="237" t="s">
        <v>410</v>
      </c>
      <c r="P431" s="237" t="s">
        <v>410</v>
      </c>
      <c r="Q431" s="237" t="s">
        <v>410</v>
      </c>
      <c r="R431" s="237" t="s">
        <v>410</v>
      </c>
      <c r="S431" s="237" t="s">
        <v>410</v>
      </c>
      <c r="T431" s="237" t="s">
        <v>410</v>
      </c>
    </row>
    <row r="432" spans="1:20" hidden="1" outlineLevel="1" x14ac:dyDescent="0.3">
      <c r="A432" s="583" t="s">
        <v>5506</v>
      </c>
      <c r="B432" s="591">
        <v>9</v>
      </c>
      <c r="C432" s="583" t="s">
        <v>1564</v>
      </c>
      <c r="D432" s="583" t="s">
        <v>1514</v>
      </c>
      <c r="E432" s="593" t="s">
        <v>411</v>
      </c>
      <c r="F432" s="237"/>
      <c r="G432" s="237"/>
      <c r="H432" s="237"/>
      <c r="I432" s="237"/>
      <c r="J432" s="237"/>
      <c r="K432" s="237"/>
      <c r="L432" s="237"/>
      <c r="M432" s="237"/>
      <c r="N432" s="237" t="s">
        <v>410</v>
      </c>
      <c r="O432" s="237" t="s">
        <v>410</v>
      </c>
      <c r="P432" s="237" t="s">
        <v>410</v>
      </c>
      <c r="Q432" s="237" t="s">
        <v>410</v>
      </c>
      <c r="R432" s="237" t="s">
        <v>410</v>
      </c>
      <c r="S432" s="237" t="s">
        <v>410</v>
      </c>
      <c r="T432" s="237" t="s">
        <v>410</v>
      </c>
    </row>
    <row r="433" spans="1:20" hidden="1" outlineLevel="1" x14ac:dyDescent="0.3">
      <c r="A433" s="583" t="s">
        <v>2055</v>
      </c>
      <c r="B433" s="591">
        <v>11</v>
      </c>
      <c r="C433" s="583" t="s">
        <v>1564</v>
      </c>
      <c r="D433" s="583" t="s">
        <v>1514</v>
      </c>
      <c r="E433" s="593" t="s">
        <v>410</v>
      </c>
      <c r="F433" s="237"/>
      <c r="G433" s="237"/>
      <c r="H433" s="237"/>
      <c r="I433" s="237"/>
      <c r="J433" s="237"/>
      <c r="K433" s="237"/>
      <c r="L433" s="237"/>
      <c r="M433" s="237"/>
      <c r="N433" s="237" t="s">
        <v>410</v>
      </c>
      <c r="O433" s="237" t="s">
        <v>410</v>
      </c>
      <c r="P433" s="237" t="s">
        <v>410</v>
      </c>
      <c r="Q433" s="237" t="s">
        <v>410</v>
      </c>
      <c r="R433" s="237" t="s">
        <v>410</v>
      </c>
      <c r="S433" s="237" t="s">
        <v>410</v>
      </c>
      <c r="T433" s="237" t="s">
        <v>410</v>
      </c>
    </row>
    <row r="434" spans="1:20" hidden="1" outlineLevel="1" x14ac:dyDescent="0.3">
      <c r="A434" s="583" t="s">
        <v>3583</v>
      </c>
      <c r="B434" s="591">
        <v>13</v>
      </c>
      <c r="C434" s="583" t="s">
        <v>1564</v>
      </c>
      <c r="D434" s="583" t="s">
        <v>1514</v>
      </c>
      <c r="E434" s="237" t="s">
        <v>410</v>
      </c>
      <c r="F434" s="237"/>
      <c r="G434" s="237"/>
      <c r="H434" s="237"/>
      <c r="I434" s="237"/>
      <c r="J434" s="237"/>
      <c r="K434" s="237"/>
      <c r="L434" s="237"/>
      <c r="M434" s="237"/>
      <c r="N434" s="441" t="s">
        <v>410</v>
      </c>
      <c r="O434" s="441" t="s">
        <v>410</v>
      </c>
      <c r="P434" s="441" t="s">
        <v>410</v>
      </c>
      <c r="Q434" s="441" t="s">
        <v>410</v>
      </c>
      <c r="R434" s="237" t="s">
        <v>410</v>
      </c>
      <c r="S434" s="237" t="s">
        <v>410</v>
      </c>
      <c r="T434" s="237" t="s">
        <v>410</v>
      </c>
    </row>
    <row r="435" spans="1:20" hidden="1" outlineLevel="1" x14ac:dyDescent="0.3">
      <c r="A435" s="583" t="s">
        <v>1571</v>
      </c>
      <c r="B435" s="591">
        <v>16</v>
      </c>
      <c r="C435" s="588" t="s">
        <v>1564</v>
      </c>
      <c r="D435" s="588" t="s">
        <v>1514</v>
      </c>
      <c r="E435" s="589" t="s">
        <v>410</v>
      </c>
      <c r="F435" s="594" t="str">
        <f>CONCATENATE(TEXT(0+IF(OBR&lt;0,0,OBR)*1,"0")," mg")</f>
        <v>0 mg</v>
      </c>
      <c r="G435" s="594" t="str">
        <f>CONCATENATE(TEXT(2+IF(OBR&lt;0,0,OBR)*1,"0")," mg")</f>
        <v>2 mg</v>
      </c>
      <c r="H435" s="594" t="str">
        <f>CONCATENATE(TEXT(4+IF(OBR&lt;0,0,OBR)*1,"0")," mg")</f>
        <v>4 mg</v>
      </c>
      <c r="I435" s="594" t="str">
        <f>CONCATENATE(TEXT(4+IF(OBR&lt;0,0,OBR)*2,"0")," mg")</f>
        <v>4 mg</v>
      </c>
      <c r="J435" s="594" t="str">
        <f>CONCATENATE(TEXT(6+IF(OBR&lt;0,0,OBR)*2,"0")," mg")</f>
        <v>6 mg</v>
      </c>
      <c r="K435" s="594" t="str">
        <f>CONCATENATE(TEXT(8+IF(OBR&lt;0,0,OBR)*2,"0")," mg")</f>
        <v>8 mg</v>
      </c>
      <c r="L435" s="594" t="str">
        <f>CONCATENATE(TEXT(10+IF(OBR&lt;0,0,OBR)*2,"0")," mg")</f>
        <v>10 mg</v>
      </c>
      <c r="M435" s="594" t="str">
        <f>CONCATENATE(TEXT(12+IF(OBR&lt;0,0,OBR)*2,"0")," mg")</f>
        <v>12 mg</v>
      </c>
      <c r="N435" s="594" t="str">
        <f>CONCATENATE(TEXT(14+IF(OBR&lt;0,0,OBR)*2,"0")," mg")</f>
        <v>14 mg</v>
      </c>
      <c r="O435" s="594" t="str">
        <f>CONCATENATE(TEXT(15+IF(OBR&lt;0,0,OBR)*3,"0")," mg")</f>
        <v>15 mg</v>
      </c>
      <c r="P435" s="441" t="s">
        <v>410</v>
      </c>
      <c r="Q435" s="441" t="s">
        <v>410</v>
      </c>
      <c r="R435" s="441" t="s">
        <v>410</v>
      </c>
      <c r="S435" s="441" t="s">
        <v>410</v>
      </c>
      <c r="T435" s="441" t="s">
        <v>410</v>
      </c>
    </row>
    <row r="436" spans="1:20" hidden="1" outlineLevel="1" x14ac:dyDescent="0.3">
      <c r="A436" s="583" t="s">
        <v>2056</v>
      </c>
      <c r="B436" s="591">
        <v>16</v>
      </c>
      <c r="C436" s="583" t="s">
        <v>1564</v>
      </c>
      <c r="D436" s="583" t="s">
        <v>1514</v>
      </c>
      <c r="E436" s="593" t="s">
        <v>410</v>
      </c>
      <c r="F436" s="237"/>
      <c r="G436" s="237"/>
      <c r="H436" s="237"/>
      <c r="I436" s="237"/>
      <c r="J436" s="237"/>
      <c r="K436" s="237"/>
      <c r="L436" s="237"/>
      <c r="M436" s="237"/>
      <c r="N436" s="237" t="s">
        <v>410</v>
      </c>
      <c r="O436" s="237" t="s">
        <v>410</v>
      </c>
      <c r="P436" s="237" t="s">
        <v>410</v>
      </c>
      <c r="Q436" s="237" t="s">
        <v>410</v>
      </c>
      <c r="R436" s="237" t="s">
        <v>410</v>
      </c>
      <c r="S436" s="237" t="s">
        <v>410</v>
      </c>
      <c r="T436" s="237" t="s">
        <v>410</v>
      </c>
    </row>
    <row r="437" spans="1:20" hidden="1" outlineLevel="1" x14ac:dyDescent="0.3">
      <c r="A437" s="583" t="s">
        <v>3584</v>
      </c>
      <c r="B437" s="591">
        <v>21</v>
      </c>
      <c r="C437" s="588" t="s">
        <v>1564</v>
      </c>
      <c r="D437" s="588" t="s">
        <v>1514</v>
      </c>
      <c r="E437" s="237" t="s">
        <v>410</v>
      </c>
      <c r="F437" s="237"/>
      <c r="G437" s="237"/>
      <c r="H437" s="237"/>
      <c r="I437" s="237"/>
      <c r="J437" s="237"/>
      <c r="K437" s="237"/>
      <c r="L437" s="237"/>
      <c r="M437" s="237"/>
      <c r="N437" s="441" t="s">
        <v>410</v>
      </c>
      <c r="O437" s="441" t="s">
        <v>410</v>
      </c>
      <c r="P437" s="441" t="s">
        <v>410</v>
      </c>
      <c r="Q437" s="441" t="s">
        <v>410</v>
      </c>
      <c r="R437" s="237" t="s">
        <v>410</v>
      </c>
      <c r="S437" s="237" t="s">
        <v>410</v>
      </c>
      <c r="T437" s="237" t="s">
        <v>410</v>
      </c>
    </row>
    <row r="438" spans="1:20" collapsed="1" x14ac:dyDescent="0.3">
      <c r="A438" s="583" t="s">
        <v>1566</v>
      </c>
      <c r="B438" s="591">
        <v>1</v>
      </c>
      <c r="C438" s="588" t="s">
        <v>1256</v>
      </c>
      <c r="D438" s="588" t="s">
        <v>1567</v>
      </c>
      <c r="E438" s="589" t="s">
        <v>410</v>
      </c>
      <c r="F438" s="594" t="str">
        <f>CONCATENATE(TEXT(2+IF(CHR&lt;0,0,CHR)*1,"0")," mg")</f>
        <v>2 mg</v>
      </c>
      <c r="G438" s="594" t="str">
        <f>CONCATENATE(TEXT(5+IF(CHR&lt;0,0,CHR)*1,"0")," mg")</f>
        <v>5 mg</v>
      </c>
      <c r="H438" s="594" t="str">
        <f>CONCATENATE(TEXT(7+IF(CHR&lt;0,0,CHR)*1,"0")," mg")</f>
        <v>7 mg</v>
      </c>
      <c r="I438" s="594" t="str">
        <f>CONCATENATE(TEXT(7+IF(CHR&lt;0,0,CHR)*2,"0")," mg")</f>
        <v>7 mg</v>
      </c>
      <c r="J438" s="594" t="str">
        <f>CONCATENATE(TEXT(9+IF(CHR&lt;0,0,CHR)*2,"0")," mg")</f>
        <v>9 mg</v>
      </c>
      <c r="K438" s="594" t="str">
        <f>CONCATENATE(TEXT(12+IF(CHR&lt;0,0,CHR)*2,"0")," mg")</f>
        <v>12 mg</v>
      </c>
      <c r="L438" s="594" t="str">
        <f>CONCATENATE(TEXT(13+IF(CHR&lt;0,0,CHR)*3,"0")," mg")</f>
        <v>13 mg</v>
      </c>
      <c r="M438" s="594" t="str">
        <f>CONCATENATE(TEXT(15+IF(CHR&lt;0,0,CHR)*3,"0")," mg")</f>
        <v>15 mg</v>
      </c>
      <c r="N438" s="594" t="str">
        <f>CONCATENATE(TEXT(17+IF(CHR&lt;0,0,CHR)*3,"0")," mg")</f>
        <v>17 mg</v>
      </c>
      <c r="O438" s="594" t="str">
        <f>CONCATENATE(TEXT(18+IF(CHR&lt;0,0,CHR)*4,"0")," mg")</f>
        <v>18 mg</v>
      </c>
      <c r="P438" s="441" t="s">
        <v>410</v>
      </c>
      <c r="Q438" s="441" t="s">
        <v>410</v>
      </c>
      <c r="R438" s="441" t="s">
        <v>410</v>
      </c>
      <c r="S438" s="441" t="s">
        <v>410</v>
      </c>
      <c r="T438" s="441" t="s">
        <v>410</v>
      </c>
    </row>
    <row r="439" spans="1:20" hidden="1" outlineLevel="1" x14ac:dyDescent="0.3">
      <c r="A439" s="583" t="s">
        <v>1572</v>
      </c>
      <c r="B439" s="591">
        <v>1</v>
      </c>
      <c r="C439" s="588" t="s">
        <v>1256</v>
      </c>
      <c r="D439" s="588" t="s">
        <v>1567</v>
      </c>
      <c r="E439" s="589" t="s">
        <v>410</v>
      </c>
      <c r="F439" s="594" t="str">
        <f>CONCATENATE(TEXT(2+IF(ZRČ&lt;0,0,ZRČ)*1,"0")," mg")</f>
        <v>2 mg</v>
      </c>
      <c r="G439" s="594" t="str">
        <f>CONCATENATE(TEXT(5+IF(ZRČ&lt;0,0,ZRČ)*1,"0")," mg")</f>
        <v>5 mg</v>
      </c>
      <c r="H439" s="594" t="str">
        <f>CONCATENATE(TEXT(7+IF(ZRČ&lt;0,0,ZRČ)*1,"0")," mg")</f>
        <v>7 mg</v>
      </c>
      <c r="I439" s="594" t="str">
        <f>CONCATENATE(TEXT(7+IF(ZRČ&lt;0,0,ZRČ)*2,"0")," mg")</f>
        <v>7 mg</v>
      </c>
      <c r="J439" s="594" t="str">
        <f>CONCATENATE(TEXT(9+IF(ZRČ&lt;0,0,ZRČ)*2,"0")," mg")</f>
        <v>9 mg</v>
      </c>
      <c r="K439" s="594" t="str">
        <f>CONCATENATE(TEXT(12+IF(ZRČ&lt;0,0,ZRČ)*2,"0")," mg")</f>
        <v>12 mg</v>
      </c>
      <c r="L439" s="594" t="str">
        <f>CONCATENATE(TEXT(13+IF(ZRČ&lt;0,0,ZRČ)*3,"0")," mg")</f>
        <v>13 mg</v>
      </c>
      <c r="M439" s="594" t="str">
        <f>CONCATENATE(TEXT(15+IF(ZRČ&lt;0,0,ZRČ)*3,"0")," mg")</f>
        <v>15 mg</v>
      </c>
      <c r="N439" s="594" t="str">
        <f>CONCATENATE(TEXT(17+IF(ZRČ&lt;0,0,ZRČ)*3,"0")," mg")</f>
        <v>17 mg</v>
      </c>
      <c r="O439" s="594" t="str">
        <f>CONCATENATE(TEXT(18+IF(ZRČ&lt;0,0,ZRČ)*4,"0")," mg")</f>
        <v>18 mg</v>
      </c>
      <c r="P439" s="441" t="s">
        <v>410</v>
      </c>
      <c r="Q439" s="441" t="s">
        <v>410</v>
      </c>
      <c r="R439" s="441" t="s">
        <v>410</v>
      </c>
      <c r="S439" s="441" t="s">
        <v>410</v>
      </c>
      <c r="T439" s="441" t="s">
        <v>410</v>
      </c>
    </row>
    <row r="440" spans="1:20" hidden="1" outlineLevel="1" x14ac:dyDescent="0.3">
      <c r="A440" s="583" t="s">
        <v>1575</v>
      </c>
      <c r="B440" s="591">
        <v>1</v>
      </c>
      <c r="C440" s="588" t="s">
        <v>1256</v>
      </c>
      <c r="D440" s="588" t="s">
        <v>1567</v>
      </c>
      <c r="E440" s="589" t="s">
        <v>410</v>
      </c>
      <c r="F440" s="594" t="str">
        <f>CONCATENATE(TEXT(2+IF(VOL&lt;0,0,VOL)*1,"0")," mg")</f>
        <v>2 mg</v>
      </c>
      <c r="G440" s="594" t="str">
        <f>CONCATENATE(TEXT(5+IF(VOL&lt;0,0,VOL)*1,"0")," mg")</f>
        <v>5 mg</v>
      </c>
      <c r="H440" s="594" t="str">
        <f>CONCATENATE(TEXT(7+IF(VOL&lt;0,0,VOL)*1,"0")," mg")</f>
        <v>7 mg</v>
      </c>
      <c r="I440" s="594" t="str">
        <f>CONCATENATE(TEXT(7+IF(VOL&lt;0,0,VOL)*2,"0")," mg")</f>
        <v>7 mg</v>
      </c>
      <c r="J440" s="594" t="str">
        <f>CONCATENATE(TEXT(9+IF(VOL&lt;0,0,VOL)*2,"0")," mg")</f>
        <v>9 mg</v>
      </c>
      <c r="K440" s="594" t="str">
        <f>CONCATENATE(TEXT(12+IF(VOL&lt;0,0,VOL)*2,"0")," mg")</f>
        <v>12 mg</v>
      </c>
      <c r="L440" s="594" t="str">
        <f>CONCATENATE(TEXT(13+IF(VOL&lt;0,0,VOL)*3,"0")," mg")</f>
        <v>13 mg</v>
      </c>
      <c r="M440" s="594" t="str">
        <f>CONCATENATE(TEXT(15+IF(VOL&lt;0,0,VOL)*3,"0")," mg")</f>
        <v>15 mg</v>
      </c>
      <c r="N440" s="594" t="str">
        <f>CONCATENATE(TEXT(17+IF(VOL&lt;0,0,VOL)*3,"0")," mg")</f>
        <v>17 mg</v>
      </c>
      <c r="O440" s="594" t="str">
        <f>CONCATENATE(TEXT(18+IF(VOL&lt;0,0,VOL)*4,"0")," mg")</f>
        <v>18 mg</v>
      </c>
      <c r="P440" s="441" t="s">
        <v>410</v>
      </c>
      <c r="Q440" s="441" t="s">
        <v>410</v>
      </c>
      <c r="R440" s="441" t="s">
        <v>410</v>
      </c>
      <c r="S440" s="441" t="s">
        <v>410</v>
      </c>
      <c r="T440" s="441" t="s">
        <v>410</v>
      </c>
    </row>
    <row r="441" spans="1:20" hidden="1" outlineLevel="1" x14ac:dyDescent="0.3">
      <c r="A441" s="583" t="s">
        <v>3091</v>
      </c>
      <c r="B441" s="591">
        <v>1</v>
      </c>
      <c r="C441" s="588" t="s">
        <v>1256</v>
      </c>
      <c r="D441" s="588" t="s">
        <v>1567</v>
      </c>
      <c r="E441" s="589" t="s">
        <v>410</v>
      </c>
      <c r="F441" s="594" t="str">
        <f>CONCATENATE(TEXT(2+IF(INT&lt;0,0,INT)*1,"0")," mg")</f>
        <v>2 mg</v>
      </c>
      <c r="G441" s="594" t="str">
        <f>CONCATENATE(TEXT(5+IF(INT&lt;0,0,INT)*1,"0")," mg")</f>
        <v>5 mg</v>
      </c>
      <c r="H441" s="594" t="str">
        <f>CONCATENATE(TEXT(7+IF(INT&lt;0,0,INT)*1,"0")," mg")</f>
        <v>7 mg</v>
      </c>
      <c r="I441" s="594" t="str">
        <f>CONCATENATE(TEXT(7+IF(INT&lt;0,0,INT)*2,"0")," mg")</f>
        <v>7 mg</v>
      </c>
      <c r="J441" s="594" t="str">
        <f>CONCATENATE(TEXT(9+IF(INT&lt;0,0,INT)*2,"0")," mg")</f>
        <v>9 mg</v>
      </c>
      <c r="K441" s="594" t="str">
        <f>CONCATENATE(TEXT(12+IF(INT&lt;0,0,INT)*2,"0")," mg")</f>
        <v>12 mg</v>
      </c>
      <c r="L441" s="594" t="str">
        <f>CONCATENATE(TEXT(13+IF(INT&lt;0,0,INT)*3,"0")," mg")</f>
        <v>13 mg</v>
      </c>
      <c r="M441" s="594" t="str">
        <f>CONCATENATE(TEXT(15+IF(INT&lt;0,0,INT)*3,"0")," mg")</f>
        <v>15 mg</v>
      </c>
      <c r="N441" s="594" t="str">
        <f>CONCATENATE(TEXT(17+IF(INT&lt;0,0,INT)*3,"0")," mg")</f>
        <v>17 mg</v>
      </c>
      <c r="O441" s="594" t="str">
        <f>CONCATENATE(TEXT(18+IF(INT&lt;0,0,INT)*4,"0")," mg")</f>
        <v>18 mg</v>
      </c>
      <c r="P441" s="441" t="s">
        <v>410</v>
      </c>
      <c r="Q441" s="441" t="s">
        <v>410</v>
      </c>
      <c r="R441" s="441" t="s">
        <v>410</v>
      </c>
      <c r="S441" s="441" t="s">
        <v>410</v>
      </c>
      <c r="T441" s="441" t="s">
        <v>410</v>
      </c>
    </row>
    <row r="442" spans="1:20" ht="14.25" hidden="1" customHeight="1" outlineLevel="1" x14ac:dyDescent="0.3">
      <c r="A442" s="583" t="s">
        <v>1589</v>
      </c>
      <c r="B442" s="591">
        <v>1</v>
      </c>
      <c r="C442" s="588" t="s">
        <v>1256</v>
      </c>
      <c r="D442" s="588" t="s">
        <v>1567</v>
      </c>
      <c r="E442" s="589" t="s">
        <v>410</v>
      </c>
      <c r="F442" s="593" t="s">
        <v>3453</v>
      </c>
      <c r="G442" s="593" t="s">
        <v>4417</v>
      </c>
      <c r="H442" s="593" t="s">
        <v>4418</v>
      </c>
      <c r="I442" s="593" t="s">
        <v>4419</v>
      </c>
      <c r="J442" s="441" t="s">
        <v>410</v>
      </c>
      <c r="K442" s="441" t="s">
        <v>410</v>
      </c>
      <c r="L442" s="441" t="s">
        <v>410</v>
      </c>
      <c r="M442" s="441" t="s">
        <v>410</v>
      </c>
      <c r="N442" s="441" t="s">
        <v>410</v>
      </c>
      <c r="O442" s="441" t="s">
        <v>410</v>
      </c>
      <c r="P442" s="441" t="s">
        <v>410</v>
      </c>
      <c r="Q442" s="441" t="s">
        <v>410</v>
      </c>
      <c r="R442" s="441" t="s">
        <v>410</v>
      </c>
      <c r="S442" s="441" t="s">
        <v>410</v>
      </c>
      <c r="T442" s="441" t="s">
        <v>410</v>
      </c>
    </row>
    <row r="443" spans="1:20" hidden="1" outlineLevel="1" x14ac:dyDescent="0.3">
      <c r="A443" s="583" t="s">
        <v>1619</v>
      </c>
      <c r="B443" s="591">
        <v>1</v>
      </c>
      <c r="C443" s="588" t="s">
        <v>1256</v>
      </c>
      <c r="D443" s="588" t="s">
        <v>1567</v>
      </c>
      <c r="E443" s="589" t="s">
        <v>410</v>
      </c>
      <c r="F443" s="593" t="s">
        <v>2961</v>
      </c>
      <c r="G443" s="593" t="s">
        <v>3455</v>
      </c>
      <c r="H443" s="593" t="s">
        <v>3456</v>
      </c>
      <c r="I443" s="593" t="s">
        <v>3457</v>
      </c>
      <c r="J443" s="593" t="s">
        <v>3458</v>
      </c>
      <c r="K443" s="593" t="s">
        <v>3459</v>
      </c>
      <c r="L443" s="593" t="s">
        <v>3460</v>
      </c>
      <c r="M443" s="593" t="s">
        <v>4633</v>
      </c>
      <c r="N443" s="593" t="s">
        <v>4776</v>
      </c>
      <c r="O443" s="593" t="s">
        <v>4777</v>
      </c>
      <c r="P443" s="441" t="s">
        <v>410</v>
      </c>
      <c r="Q443" s="441" t="s">
        <v>410</v>
      </c>
      <c r="R443" s="441" t="s">
        <v>410</v>
      </c>
      <c r="S443" s="441" t="s">
        <v>410</v>
      </c>
      <c r="T443" s="441" t="s">
        <v>410</v>
      </c>
    </row>
    <row r="444" spans="1:20" hidden="1" outlineLevel="1" x14ac:dyDescent="0.3">
      <c r="A444" s="583" t="s">
        <v>1622</v>
      </c>
      <c r="B444" s="591">
        <v>1</v>
      </c>
      <c r="C444" s="588" t="s">
        <v>1256</v>
      </c>
      <c r="D444" s="588" t="s">
        <v>1567</v>
      </c>
      <c r="E444" s="855" t="s">
        <v>410</v>
      </c>
      <c r="F444" s="592" t="s">
        <v>5565</v>
      </c>
      <c r="G444" s="592" t="s">
        <v>5566</v>
      </c>
      <c r="H444" s="592" t="s">
        <v>5567</v>
      </c>
      <c r="I444" s="441" t="s">
        <v>410</v>
      </c>
      <c r="J444" s="441" t="s">
        <v>410</v>
      </c>
      <c r="K444" s="441" t="s">
        <v>410</v>
      </c>
      <c r="L444" s="441" t="s">
        <v>410</v>
      </c>
      <c r="M444" s="441" t="s">
        <v>410</v>
      </c>
      <c r="N444" s="441" t="s">
        <v>410</v>
      </c>
      <c r="O444" s="441" t="s">
        <v>410</v>
      </c>
      <c r="P444" s="441" t="s">
        <v>410</v>
      </c>
      <c r="Q444" s="441" t="s">
        <v>410</v>
      </c>
      <c r="R444" s="441" t="s">
        <v>410</v>
      </c>
      <c r="S444" s="441" t="s">
        <v>410</v>
      </c>
      <c r="T444" s="441" t="s">
        <v>410</v>
      </c>
    </row>
    <row r="445" spans="1:20" hidden="1" outlineLevel="1" x14ac:dyDescent="0.3">
      <c r="A445" s="583" t="s">
        <v>1665</v>
      </c>
      <c r="B445" s="591">
        <v>1</v>
      </c>
      <c r="C445" s="583" t="s">
        <v>1256</v>
      </c>
      <c r="D445" s="583" t="s">
        <v>1567</v>
      </c>
      <c r="E445" s="592" t="s">
        <v>410</v>
      </c>
      <c r="F445" s="593" t="s">
        <v>2500</v>
      </c>
      <c r="G445" s="593" t="s">
        <v>2501</v>
      </c>
      <c r="H445" s="593" t="s">
        <v>2502</v>
      </c>
      <c r="I445" s="593" t="s">
        <v>3162</v>
      </c>
      <c r="J445" s="593" t="s">
        <v>2503</v>
      </c>
      <c r="K445" s="237" t="s">
        <v>410</v>
      </c>
      <c r="L445" s="237" t="s">
        <v>410</v>
      </c>
      <c r="M445" s="237" t="s">
        <v>410</v>
      </c>
      <c r="N445" s="237" t="s">
        <v>410</v>
      </c>
      <c r="O445" s="237" t="s">
        <v>410</v>
      </c>
      <c r="P445" s="237" t="s">
        <v>410</v>
      </c>
      <c r="Q445" s="237" t="s">
        <v>410</v>
      </c>
      <c r="R445" s="237" t="s">
        <v>410</v>
      </c>
      <c r="S445" s="10" t="s">
        <v>410</v>
      </c>
      <c r="T445" s="10" t="s">
        <v>410</v>
      </c>
    </row>
    <row r="446" spans="1:20" hidden="1" outlineLevel="1" x14ac:dyDescent="0.3">
      <c r="A446" s="583" t="s">
        <v>1779</v>
      </c>
      <c r="B446" s="591">
        <v>1</v>
      </c>
      <c r="C446" s="583" t="s">
        <v>1256</v>
      </c>
      <c r="D446" s="583" t="s">
        <v>1567</v>
      </c>
      <c r="E446" s="592" t="s">
        <v>410</v>
      </c>
      <c r="F446" s="593" t="s">
        <v>4335</v>
      </c>
      <c r="G446" s="593" t="s">
        <v>4340</v>
      </c>
      <c r="H446" s="593" t="s">
        <v>4339</v>
      </c>
      <c r="I446" s="593" t="s">
        <v>4338</v>
      </c>
      <c r="J446" s="593" t="s">
        <v>4337</v>
      </c>
      <c r="K446" s="593" t="s">
        <v>4336</v>
      </c>
      <c r="L446" s="237" t="s">
        <v>410</v>
      </c>
      <c r="M446" s="237" t="s">
        <v>410</v>
      </c>
      <c r="N446" s="237" t="s">
        <v>410</v>
      </c>
      <c r="O446" s="237" t="s">
        <v>410</v>
      </c>
      <c r="P446" s="237" t="s">
        <v>410</v>
      </c>
      <c r="Q446" s="237" t="s">
        <v>410</v>
      </c>
      <c r="R446" s="237" t="s">
        <v>410</v>
      </c>
      <c r="S446" s="10" t="s">
        <v>410</v>
      </c>
      <c r="T446" s="10" t="s">
        <v>410</v>
      </c>
    </row>
    <row r="447" spans="1:20" hidden="1" outlineLevel="1" x14ac:dyDescent="0.3">
      <c r="A447" s="583" t="s">
        <v>1781</v>
      </c>
      <c r="B447" s="591">
        <v>1</v>
      </c>
      <c r="C447" s="583" t="s">
        <v>1256</v>
      </c>
      <c r="D447" s="583" t="s">
        <v>1567</v>
      </c>
      <c r="E447" s="592" t="s">
        <v>410</v>
      </c>
      <c r="F447" s="593" t="s">
        <v>4335</v>
      </c>
      <c r="G447" s="593" t="s">
        <v>4340</v>
      </c>
      <c r="H447" s="593" t="s">
        <v>4339</v>
      </c>
      <c r="I447" s="593" t="s">
        <v>4338</v>
      </c>
      <c r="J447" s="593" t="s">
        <v>4337</v>
      </c>
      <c r="K447" s="593" t="s">
        <v>4336</v>
      </c>
      <c r="L447" s="593" t="s">
        <v>4341</v>
      </c>
      <c r="M447" s="10" t="s">
        <v>410</v>
      </c>
      <c r="N447" s="10" t="s">
        <v>410</v>
      </c>
      <c r="O447" s="10" t="s">
        <v>410</v>
      </c>
      <c r="P447" s="10" t="s">
        <v>410</v>
      </c>
      <c r="Q447" s="10" t="s">
        <v>410</v>
      </c>
      <c r="R447" s="10" t="s">
        <v>410</v>
      </c>
      <c r="S447" s="10" t="s">
        <v>410</v>
      </c>
      <c r="T447" s="10" t="s">
        <v>410</v>
      </c>
    </row>
    <row r="448" spans="1:20" hidden="1" outlineLevel="1" x14ac:dyDescent="0.3">
      <c r="A448" s="583" t="s">
        <v>1862</v>
      </c>
      <c r="B448" s="591">
        <v>1</v>
      </c>
      <c r="C448" s="583" t="s">
        <v>1256</v>
      </c>
      <c r="D448" s="583" t="s">
        <v>1567</v>
      </c>
      <c r="E448" s="592" t="s">
        <v>3120</v>
      </c>
      <c r="F448" s="593" t="s">
        <v>3121</v>
      </c>
      <c r="G448" s="593" t="s">
        <v>3122</v>
      </c>
      <c r="H448" s="593" t="s">
        <v>3123</v>
      </c>
      <c r="I448" s="237" t="s">
        <v>410</v>
      </c>
      <c r="J448" s="237" t="s">
        <v>410</v>
      </c>
      <c r="K448" s="237" t="s">
        <v>410</v>
      </c>
      <c r="L448" s="237" t="s">
        <v>410</v>
      </c>
      <c r="M448" s="237" t="s">
        <v>410</v>
      </c>
      <c r="N448" s="237" t="s">
        <v>410</v>
      </c>
      <c r="O448" s="237" t="s">
        <v>410</v>
      </c>
      <c r="P448" s="237" t="s">
        <v>410</v>
      </c>
      <c r="Q448" s="237" t="s">
        <v>410</v>
      </c>
      <c r="R448" s="237" t="s">
        <v>410</v>
      </c>
      <c r="S448" s="10" t="s">
        <v>410</v>
      </c>
      <c r="T448" s="10" t="s">
        <v>410</v>
      </c>
    </row>
    <row r="449" spans="1:20" hidden="1" outlineLevel="1" x14ac:dyDescent="0.3">
      <c r="A449" s="583" t="s">
        <v>5543</v>
      </c>
      <c r="B449" s="591">
        <v>1</v>
      </c>
      <c r="C449" s="583" t="s">
        <v>1256</v>
      </c>
      <c r="D449" s="583" t="s">
        <v>1567</v>
      </c>
      <c r="E449" s="593" t="s">
        <v>5539</v>
      </c>
      <c r="F449" s="593" t="s">
        <v>5538</v>
      </c>
      <c r="G449" s="593" t="s">
        <v>5540</v>
      </c>
      <c r="H449" s="593" t="s">
        <v>5544</v>
      </c>
      <c r="I449" s="593" t="s">
        <v>5541</v>
      </c>
      <c r="J449" s="593" t="s">
        <v>5542</v>
      </c>
      <c r="K449" s="237" t="s">
        <v>410</v>
      </c>
      <c r="L449" s="237" t="s">
        <v>410</v>
      </c>
      <c r="M449" s="237" t="s">
        <v>410</v>
      </c>
      <c r="N449" s="237" t="s">
        <v>410</v>
      </c>
      <c r="O449" s="237" t="s">
        <v>410</v>
      </c>
      <c r="P449" s="237" t="s">
        <v>410</v>
      </c>
      <c r="Q449" s="237" t="s">
        <v>410</v>
      </c>
      <c r="R449" s="237" t="s">
        <v>410</v>
      </c>
      <c r="S449" s="10" t="s">
        <v>410</v>
      </c>
      <c r="T449" s="10" t="s">
        <v>410</v>
      </c>
    </row>
    <row r="450" spans="1:20" hidden="1" outlineLevel="1" x14ac:dyDescent="0.3">
      <c r="A450" s="583" t="s">
        <v>1911</v>
      </c>
      <c r="B450" s="591">
        <v>1</v>
      </c>
      <c r="C450" s="583" t="s">
        <v>1256</v>
      </c>
      <c r="D450" s="583" t="s">
        <v>1567</v>
      </c>
      <c r="E450" s="594" t="s">
        <v>4176</v>
      </c>
      <c r="F450" s="594" t="s">
        <v>4177</v>
      </c>
      <c r="G450" s="594" t="s">
        <v>4178</v>
      </c>
      <c r="H450" s="594" t="s">
        <v>4179</v>
      </c>
      <c r="I450" s="594" t="s">
        <v>4180</v>
      </c>
      <c r="J450" s="594" t="s">
        <v>4181</v>
      </c>
      <c r="K450" s="593" t="s">
        <v>410</v>
      </c>
      <c r="L450" s="237" t="s">
        <v>410</v>
      </c>
      <c r="M450" s="237" t="s">
        <v>410</v>
      </c>
      <c r="N450" s="237" t="s">
        <v>410</v>
      </c>
      <c r="O450" s="237" t="s">
        <v>410</v>
      </c>
      <c r="P450" s="237" t="s">
        <v>410</v>
      </c>
      <c r="Q450" s="237" t="s">
        <v>410</v>
      </c>
      <c r="R450" s="237" t="s">
        <v>410</v>
      </c>
      <c r="S450" s="10" t="s">
        <v>410</v>
      </c>
      <c r="T450" s="10" t="s">
        <v>410</v>
      </c>
    </row>
    <row r="451" spans="1:20" hidden="1" outlineLevel="1" x14ac:dyDescent="0.3">
      <c r="A451" s="583" t="s">
        <v>1998</v>
      </c>
      <c r="B451" s="591">
        <v>1</v>
      </c>
      <c r="C451" s="583" t="s">
        <v>1256</v>
      </c>
      <c r="D451" s="583" t="s">
        <v>1567</v>
      </c>
      <c r="E451" s="593" t="s">
        <v>410</v>
      </c>
      <c r="F451" s="593" t="s">
        <v>4430</v>
      </c>
      <c r="G451" s="593" t="s">
        <v>1999</v>
      </c>
      <c r="H451" s="593" t="s">
        <v>2000</v>
      </c>
      <c r="I451" s="593" t="s">
        <v>2001</v>
      </c>
      <c r="J451" s="593" t="s">
        <v>4182</v>
      </c>
      <c r="K451" s="593" t="s">
        <v>2002</v>
      </c>
      <c r="L451" s="237" t="s">
        <v>410</v>
      </c>
      <c r="M451" s="237" t="s">
        <v>410</v>
      </c>
      <c r="N451" s="237" t="s">
        <v>410</v>
      </c>
      <c r="O451" s="237" t="s">
        <v>410</v>
      </c>
      <c r="P451" s="237" t="s">
        <v>410</v>
      </c>
      <c r="Q451" s="237" t="s">
        <v>410</v>
      </c>
      <c r="R451" s="237" t="s">
        <v>410</v>
      </c>
      <c r="S451" s="237" t="s">
        <v>410</v>
      </c>
      <c r="T451" s="237" t="s">
        <v>410</v>
      </c>
    </row>
    <row r="452" spans="1:20" hidden="1" outlineLevel="1" x14ac:dyDescent="0.3">
      <c r="A452" s="583" t="s">
        <v>3033</v>
      </c>
      <c r="B452" s="591">
        <v>2</v>
      </c>
      <c r="C452" s="583" t="s">
        <v>1256</v>
      </c>
      <c r="D452" s="583" t="s">
        <v>1567</v>
      </c>
      <c r="E452" s="593" t="s">
        <v>3034</v>
      </c>
      <c r="F452" s="593" t="s">
        <v>3035</v>
      </c>
      <c r="G452" s="593" t="s">
        <v>3036</v>
      </c>
      <c r="H452" s="593" t="s">
        <v>3038</v>
      </c>
      <c r="I452" s="593" t="s">
        <v>3037</v>
      </c>
      <c r="J452" s="237" t="s">
        <v>410</v>
      </c>
      <c r="K452" s="237" t="s">
        <v>410</v>
      </c>
      <c r="L452" s="237" t="s">
        <v>410</v>
      </c>
      <c r="M452" s="237" t="s">
        <v>410</v>
      </c>
      <c r="N452" s="237" t="s">
        <v>410</v>
      </c>
      <c r="O452" s="237" t="s">
        <v>410</v>
      </c>
      <c r="P452" s="237" t="s">
        <v>410</v>
      </c>
      <c r="Q452" s="237" t="s">
        <v>410</v>
      </c>
      <c r="R452" s="237" t="s">
        <v>410</v>
      </c>
      <c r="S452" s="10" t="s">
        <v>410</v>
      </c>
      <c r="T452" s="10" t="s">
        <v>410</v>
      </c>
    </row>
    <row r="453" spans="1:20" hidden="1" outlineLevel="1" x14ac:dyDescent="0.3">
      <c r="A453" s="583" t="s">
        <v>1995</v>
      </c>
      <c r="B453" s="591">
        <v>3</v>
      </c>
      <c r="C453" s="583" t="s">
        <v>1256</v>
      </c>
      <c r="D453" s="583" t="s">
        <v>1567</v>
      </c>
      <c r="E453" s="237" t="s">
        <v>410</v>
      </c>
      <c r="F453" s="593" t="s">
        <v>1525</v>
      </c>
      <c r="G453" s="593" t="s">
        <v>3316</v>
      </c>
      <c r="H453" s="593" t="s">
        <v>3317</v>
      </c>
      <c r="I453" s="593" t="s">
        <v>3318</v>
      </c>
      <c r="J453" s="593" t="s">
        <v>3319</v>
      </c>
      <c r="K453" s="237" t="s">
        <v>410</v>
      </c>
      <c r="L453" s="237" t="s">
        <v>410</v>
      </c>
      <c r="M453" s="237" t="s">
        <v>410</v>
      </c>
      <c r="N453" s="237" t="s">
        <v>410</v>
      </c>
      <c r="O453" s="237" t="s">
        <v>410</v>
      </c>
      <c r="P453" s="237" t="s">
        <v>410</v>
      </c>
      <c r="Q453" s="237" t="s">
        <v>410</v>
      </c>
      <c r="R453" s="237" t="s">
        <v>410</v>
      </c>
      <c r="S453" s="237" t="s">
        <v>410</v>
      </c>
      <c r="T453" s="237" t="s">
        <v>410</v>
      </c>
    </row>
    <row r="454" spans="1:20" hidden="1" outlineLevel="1" x14ac:dyDescent="0.3">
      <c r="A454" s="583" t="s">
        <v>1845</v>
      </c>
      <c r="B454" s="591">
        <v>5</v>
      </c>
      <c r="C454" s="583" t="s">
        <v>1256</v>
      </c>
      <c r="D454" s="583" t="s">
        <v>1567</v>
      </c>
      <c r="E454" s="10" t="s">
        <v>410</v>
      </c>
      <c r="F454" s="593" t="s">
        <v>3311</v>
      </c>
      <c r="G454" s="593" t="s">
        <v>3312</v>
      </c>
      <c r="H454" s="593" t="s">
        <v>3313</v>
      </c>
      <c r="I454" s="593" t="s">
        <v>3314</v>
      </c>
      <c r="J454" s="593" t="s">
        <v>3315</v>
      </c>
      <c r="K454" s="237" t="s">
        <v>410</v>
      </c>
      <c r="L454" s="237" t="s">
        <v>410</v>
      </c>
      <c r="M454" s="237" t="s">
        <v>410</v>
      </c>
      <c r="N454" s="237" t="s">
        <v>410</v>
      </c>
      <c r="O454" s="237" t="s">
        <v>410</v>
      </c>
      <c r="P454" s="237" t="s">
        <v>410</v>
      </c>
      <c r="Q454" s="237" t="s">
        <v>410</v>
      </c>
      <c r="R454" s="237" t="s">
        <v>410</v>
      </c>
      <c r="S454" s="10" t="s">
        <v>410</v>
      </c>
      <c r="T454" s="10" t="s">
        <v>410</v>
      </c>
    </row>
    <row r="455" spans="1:20" hidden="1" outlineLevel="1" x14ac:dyDescent="0.3">
      <c r="A455" s="583" t="s">
        <v>1786</v>
      </c>
      <c r="B455" s="591">
        <v>6</v>
      </c>
      <c r="C455" s="583" t="s">
        <v>1256</v>
      </c>
      <c r="D455" s="583" t="s">
        <v>1567</v>
      </c>
      <c r="E455" s="592" t="s">
        <v>410</v>
      </c>
      <c r="F455" s="593" t="s">
        <v>715</v>
      </c>
      <c r="G455" s="593" t="s">
        <v>5509</v>
      </c>
      <c r="H455" s="593" t="s">
        <v>5510</v>
      </c>
      <c r="I455" s="593" t="s">
        <v>5511</v>
      </c>
      <c r="J455" s="237" t="s">
        <v>410</v>
      </c>
      <c r="K455" s="237" t="s">
        <v>410</v>
      </c>
      <c r="L455" s="237" t="s">
        <v>410</v>
      </c>
      <c r="M455" s="237" t="s">
        <v>410</v>
      </c>
      <c r="N455" s="237" t="s">
        <v>410</v>
      </c>
      <c r="O455" s="237" t="s">
        <v>410</v>
      </c>
      <c r="P455" s="237" t="s">
        <v>410</v>
      </c>
      <c r="Q455" s="237" t="s">
        <v>410</v>
      </c>
      <c r="R455" s="237" t="s">
        <v>410</v>
      </c>
      <c r="S455" s="10" t="s">
        <v>410</v>
      </c>
      <c r="T455" s="10" t="s">
        <v>410</v>
      </c>
    </row>
    <row r="456" spans="1:20" hidden="1" outlineLevel="1" x14ac:dyDescent="0.3">
      <c r="A456" s="583" t="s">
        <v>2432</v>
      </c>
      <c r="B456" s="591">
        <v>6</v>
      </c>
      <c r="C456" s="583" t="s">
        <v>1256</v>
      </c>
      <c r="D456" s="583" t="s">
        <v>1567</v>
      </c>
      <c r="E456" s="583" t="s">
        <v>410</v>
      </c>
      <c r="F456" s="593" t="s">
        <v>4416</v>
      </c>
      <c r="G456" s="593" t="s">
        <v>3444</v>
      </c>
      <c r="H456" s="593" t="s">
        <v>3445</v>
      </c>
      <c r="I456" s="593" t="s">
        <v>3446</v>
      </c>
      <c r="J456" s="593" t="s">
        <v>3447</v>
      </c>
      <c r="K456" s="593" t="s">
        <v>3448</v>
      </c>
      <c r="L456" s="593" t="s">
        <v>3449</v>
      </c>
      <c r="M456" s="593" t="s">
        <v>3450</v>
      </c>
      <c r="N456" s="593" t="s">
        <v>3451</v>
      </c>
      <c r="O456" s="593" t="s">
        <v>3452</v>
      </c>
      <c r="P456" t="s">
        <v>410</v>
      </c>
      <c r="Q456" t="s">
        <v>410</v>
      </c>
      <c r="R456" t="s">
        <v>410</v>
      </c>
      <c r="S456" t="s">
        <v>410</v>
      </c>
      <c r="T456" t="s">
        <v>410</v>
      </c>
    </row>
    <row r="457" spans="1:20" hidden="1" outlineLevel="1" x14ac:dyDescent="0.3">
      <c r="A457" s="583" t="s">
        <v>1922</v>
      </c>
      <c r="B457" s="591">
        <v>6</v>
      </c>
      <c r="C457" s="583" t="s">
        <v>1256</v>
      </c>
      <c r="D457" s="583" t="s">
        <v>1567</v>
      </c>
      <c r="E457" s="592" t="s">
        <v>410</v>
      </c>
      <c r="F457" s="593" t="s">
        <v>107</v>
      </c>
      <c r="G457" s="593" t="s">
        <v>1924</v>
      </c>
      <c r="H457" s="593" t="s">
        <v>1925</v>
      </c>
      <c r="I457" s="593" t="s">
        <v>3154</v>
      </c>
      <c r="J457" s="593" t="s">
        <v>3155</v>
      </c>
      <c r="K457" s="237" t="s">
        <v>410</v>
      </c>
      <c r="L457" s="237" t="s">
        <v>410</v>
      </c>
      <c r="M457" s="237" t="s">
        <v>410</v>
      </c>
      <c r="N457" s="237" t="s">
        <v>410</v>
      </c>
      <c r="O457" s="237" t="s">
        <v>410</v>
      </c>
      <c r="P457" s="237" t="s">
        <v>410</v>
      </c>
      <c r="Q457" s="237" t="s">
        <v>410</v>
      </c>
      <c r="R457" s="237" t="s">
        <v>410</v>
      </c>
      <c r="S457" s="10" t="s">
        <v>410</v>
      </c>
      <c r="T457" s="10" t="s">
        <v>410</v>
      </c>
    </row>
    <row r="458" spans="1:20" hidden="1" outlineLevel="1" x14ac:dyDescent="0.3">
      <c r="A458" s="583" t="s">
        <v>1926</v>
      </c>
      <c r="B458" s="591">
        <v>6</v>
      </c>
      <c r="C458" s="583" t="s">
        <v>1256</v>
      </c>
      <c r="D458" s="583" t="s">
        <v>1567</v>
      </c>
      <c r="E458" s="592" t="s">
        <v>410</v>
      </c>
      <c r="F458" s="593" t="s">
        <v>1829</v>
      </c>
      <c r="G458" s="593" t="s">
        <v>3156</v>
      </c>
      <c r="H458" s="593" t="s">
        <v>1927</v>
      </c>
      <c r="I458" s="593" t="s">
        <v>3157</v>
      </c>
      <c r="J458" s="593" t="s">
        <v>3158</v>
      </c>
      <c r="K458" s="237" t="s">
        <v>410</v>
      </c>
      <c r="L458" s="237" t="s">
        <v>410</v>
      </c>
      <c r="M458" s="237" t="s">
        <v>410</v>
      </c>
      <c r="N458" s="237" t="s">
        <v>410</v>
      </c>
      <c r="O458" s="237" t="s">
        <v>410</v>
      </c>
      <c r="P458" s="237" t="s">
        <v>410</v>
      </c>
      <c r="Q458" s="237" t="s">
        <v>410</v>
      </c>
      <c r="R458" s="237" t="s">
        <v>410</v>
      </c>
      <c r="S458" s="10" t="s">
        <v>410</v>
      </c>
      <c r="T458" s="10" t="s">
        <v>410</v>
      </c>
    </row>
    <row r="459" spans="1:20" hidden="1" outlineLevel="1" x14ac:dyDescent="0.3">
      <c r="A459" s="583" t="s">
        <v>1638</v>
      </c>
      <c r="B459" s="591">
        <v>11</v>
      </c>
      <c r="C459" s="583" t="s">
        <v>1256</v>
      </c>
      <c r="D459" s="583" t="s">
        <v>1567</v>
      </c>
      <c r="E459" s="592" t="s">
        <v>410</v>
      </c>
      <c r="F459" s="593" t="s">
        <v>4420</v>
      </c>
      <c r="G459" s="593" t="s">
        <v>4421</v>
      </c>
      <c r="H459" s="593" t="s">
        <v>4421</v>
      </c>
      <c r="I459" s="593" t="s">
        <v>4422</v>
      </c>
      <c r="J459" s="593" t="s">
        <v>4422</v>
      </c>
      <c r="K459" s="593" t="s">
        <v>4422</v>
      </c>
      <c r="L459" s="593" t="s">
        <v>4423</v>
      </c>
      <c r="M459" s="237" t="s">
        <v>410</v>
      </c>
      <c r="N459" s="237" t="s">
        <v>410</v>
      </c>
      <c r="O459" s="237" t="s">
        <v>410</v>
      </c>
      <c r="P459" s="237" t="s">
        <v>410</v>
      </c>
      <c r="Q459" s="237" t="s">
        <v>410</v>
      </c>
      <c r="R459" s="237" t="s">
        <v>410</v>
      </c>
      <c r="S459" s="10" t="s">
        <v>410</v>
      </c>
      <c r="T459" s="10" t="s">
        <v>410</v>
      </c>
    </row>
    <row r="460" spans="1:20" hidden="1" outlineLevel="1" x14ac:dyDescent="0.3">
      <c r="A460" s="583" t="s">
        <v>1871</v>
      </c>
      <c r="B460" s="591">
        <v>11</v>
      </c>
      <c r="C460" s="583" t="s">
        <v>1256</v>
      </c>
      <c r="D460" s="583" t="s">
        <v>1567</v>
      </c>
      <c r="E460" s="592" t="s">
        <v>410</v>
      </c>
      <c r="F460" s="237"/>
      <c r="G460" s="237"/>
      <c r="H460" s="237" t="s">
        <v>410</v>
      </c>
      <c r="I460" s="237" t="s">
        <v>410</v>
      </c>
      <c r="J460" s="237" t="s">
        <v>410</v>
      </c>
      <c r="K460" s="237" t="s">
        <v>410</v>
      </c>
      <c r="L460" s="237" t="s">
        <v>410</v>
      </c>
      <c r="M460" s="237" t="s">
        <v>410</v>
      </c>
      <c r="N460" s="237" t="s">
        <v>410</v>
      </c>
      <c r="O460" s="237" t="s">
        <v>410</v>
      </c>
      <c r="P460" s="237" t="s">
        <v>410</v>
      </c>
      <c r="Q460" s="237" t="s">
        <v>410</v>
      </c>
      <c r="R460" s="237" t="s">
        <v>410</v>
      </c>
      <c r="S460" s="10" t="s">
        <v>410</v>
      </c>
      <c r="T460" s="10" t="s">
        <v>410</v>
      </c>
    </row>
    <row r="461" spans="1:20" hidden="1" outlineLevel="1" x14ac:dyDescent="0.3">
      <c r="A461" s="583" t="s">
        <v>1645</v>
      </c>
      <c r="B461" s="591">
        <v>13</v>
      </c>
      <c r="C461" s="583" t="s">
        <v>1256</v>
      </c>
      <c r="D461" s="583" t="s">
        <v>1567</v>
      </c>
      <c r="E461" s="592" t="s">
        <v>410</v>
      </c>
      <c r="F461" s="593" t="s">
        <v>1646</v>
      </c>
      <c r="G461" s="593" t="s">
        <v>1647</v>
      </c>
      <c r="H461" s="593" t="s">
        <v>1648</v>
      </c>
      <c r="I461" s="593" t="s">
        <v>1649</v>
      </c>
      <c r="J461" s="593" t="s">
        <v>1650</v>
      </c>
      <c r="K461" s="593" t="s">
        <v>1651</v>
      </c>
      <c r="L461" s="593" t="s">
        <v>1652</v>
      </c>
      <c r="M461" s="593" t="s">
        <v>1653</v>
      </c>
      <c r="N461" s="237" t="s">
        <v>410</v>
      </c>
      <c r="O461" s="237" t="s">
        <v>410</v>
      </c>
      <c r="P461" s="237" t="s">
        <v>410</v>
      </c>
      <c r="Q461" s="237" t="s">
        <v>410</v>
      </c>
      <c r="R461" s="237" t="s">
        <v>410</v>
      </c>
      <c r="S461" s="10" t="s">
        <v>410</v>
      </c>
      <c r="T461" s="10" t="s">
        <v>410</v>
      </c>
    </row>
    <row r="462" spans="1:20" hidden="1" outlineLevel="1" x14ac:dyDescent="0.3">
      <c r="A462" s="583" t="s">
        <v>1734</v>
      </c>
      <c r="B462" s="591">
        <v>16</v>
      </c>
      <c r="C462" s="583" t="s">
        <v>1256</v>
      </c>
      <c r="D462" s="583" t="s">
        <v>1567</v>
      </c>
      <c r="E462" s="592" t="s">
        <v>410</v>
      </c>
      <c r="F462" s="593" t="s">
        <v>3309</v>
      </c>
      <c r="G462" s="593" t="s">
        <v>2232</v>
      </c>
      <c r="H462" s="593" t="s">
        <v>2206</v>
      </c>
      <c r="I462" s="593" t="s">
        <v>2207</v>
      </c>
      <c r="J462" s="593" t="s">
        <v>3310</v>
      </c>
      <c r="K462" s="237" t="s">
        <v>410</v>
      </c>
      <c r="L462" s="237" t="s">
        <v>410</v>
      </c>
      <c r="M462" s="237" t="s">
        <v>410</v>
      </c>
      <c r="N462" s="237" t="s">
        <v>410</v>
      </c>
      <c r="O462" s="237" t="s">
        <v>410</v>
      </c>
      <c r="P462" s="237" t="s">
        <v>410</v>
      </c>
      <c r="Q462" s="237" t="s">
        <v>410</v>
      </c>
      <c r="R462" s="237" t="s">
        <v>410</v>
      </c>
      <c r="S462" s="10" t="s">
        <v>410</v>
      </c>
      <c r="T462" s="10" t="s">
        <v>410</v>
      </c>
    </row>
    <row r="463" spans="1:20" hidden="1" outlineLevel="1" x14ac:dyDescent="0.3">
      <c r="A463" s="583" t="s">
        <v>1750</v>
      </c>
      <c r="B463" s="591">
        <v>16</v>
      </c>
      <c r="C463" s="583" t="s">
        <v>1256</v>
      </c>
      <c r="D463" s="583" t="s">
        <v>1567</v>
      </c>
      <c r="E463" s="592" t="s">
        <v>410</v>
      </c>
      <c r="F463" s="593" t="s">
        <v>4424</v>
      </c>
      <c r="G463" s="593" t="s">
        <v>4425</v>
      </c>
      <c r="H463" s="593" t="s">
        <v>4426</v>
      </c>
      <c r="I463" s="237" t="s">
        <v>410</v>
      </c>
      <c r="J463" s="237" t="s">
        <v>410</v>
      </c>
      <c r="K463" s="237" t="s">
        <v>410</v>
      </c>
      <c r="L463" s="237" t="s">
        <v>410</v>
      </c>
      <c r="M463" s="237" t="s">
        <v>410</v>
      </c>
      <c r="N463" s="237" t="s">
        <v>410</v>
      </c>
      <c r="O463" s="237" t="s">
        <v>410</v>
      </c>
      <c r="P463" s="237" t="s">
        <v>410</v>
      </c>
      <c r="Q463" s="237" t="s">
        <v>410</v>
      </c>
      <c r="R463" s="237" t="s">
        <v>410</v>
      </c>
      <c r="S463" s="10" t="s">
        <v>410</v>
      </c>
      <c r="T463" s="10" t="s">
        <v>410</v>
      </c>
    </row>
    <row r="464" spans="1:20" hidden="1" outlineLevel="1" x14ac:dyDescent="0.3">
      <c r="A464" s="583" t="s">
        <v>4427</v>
      </c>
      <c r="B464" s="591">
        <v>16</v>
      </c>
      <c r="C464" s="583" t="s">
        <v>1256</v>
      </c>
      <c r="D464" s="583" t="s">
        <v>1567</v>
      </c>
      <c r="E464" s="592" t="s">
        <v>410</v>
      </c>
      <c r="F464" s="593" t="s">
        <v>4429</v>
      </c>
      <c r="G464" s="593" t="s">
        <v>4342</v>
      </c>
      <c r="H464" s="593" t="s">
        <v>4428</v>
      </c>
      <c r="I464" s="237" t="s">
        <v>410</v>
      </c>
      <c r="J464" s="237" t="s">
        <v>410</v>
      </c>
      <c r="K464" s="237" t="s">
        <v>410</v>
      </c>
      <c r="L464" s="237" t="s">
        <v>410</v>
      </c>
      <c r="M464" s="237" t="s">
        <v>410</v>
      </c>
      <c r="N464" s="237" t="s">
        <v>410</v>
      </c>
      <c r="O464" s="237" t="s">
        <v>410</v>
      </c>
      <c r="P464" s="237" t="s">
        <v>410</v>
      </c>
      <c r="Q464" s="237" t="s">
        <v>410</v>
      </c>
      <c r="R464" s="237" t="s">
        <v>410</v>
      </c>
      <c r="S464" s="10" t="s">
        <v>410</v>
      </c>
      <c r="T464" s="10" t="s">
        <v>410</v>
      </c>
    </row>
    <row r="465" spans="1:20" hidden="1" outlineLevel="1" x14ac:dyDescent="0.3">
      <c r="A465" s="583" t="s">
        <v>2230</v>
      </c>
      <c r="B465" s="591">
        <v>16</v>
      </c>
      <c r="C465" s="583" t="s">
        <v>1256</v>
      </c>
      <c r="D465" s="583" t="s">
        <v>1567</v>
      </c>
      <c r="E465" s="592" t="s">
        <v>410</v>
      </c>
      <c r="F465" s="593" t="s">
        <v>3443</v>
      </c>
      <c r="G465" s="593" t="s">
        <v>2228</v>
      </c>
      <c r="H465" s="593" t="s">
        <v>2229</v>
      </c>
      <c r="I465" s="237" t="s">
        <v>410</v>
      </c>
      <c r="J465" s="237" t="s">
        <v>410</v>
      </c>
      <c r="K465" s="237" t="s">
        <v>410</v>
      </c>
      <c r="L465" s="237" t="s">
        <v>410</v>
      </c>
      <c r="M465" s="237" t="s">
        <v>410</v>
      </c>
      <c r="N465" s="237" t="s">
        <v>410</v>
      </c>
      <c r="O465" s="237" t="s">
        <v>410</v>
      </c>
      <c r="P465" s="237" t="s">
        <v>410</v>
      </c>
      <c r="Q465" s="237" t="s">
        <v>410</v>
      </c>
      <c r="R465" s="237" t="s">
        <v>410</v>
      </c>
      <c r="S465" s="10" t="s">
        <v>410</v>
      </c>
      <c r="T465" s="10" t="s">
        <v>410</v>
      </c>
    </row>
    <row r="466" spans="1:20" hidden="1" outlineLevel="1" x14ac:dyDescent="0.3">
      <c r="A466" s="583" t="s">
        <v>1836</v>
      </c>
      <c r="B466" s="591">
        <v>16</v>
      </c>
      <c r="C466" s="583" t="s">
        <v>1256</v>
      </c>
      <c r="D466" s="583" t="s">
        <v>1567</v>
      </c>
      <c r="E466" s="592" t="s">
        <v>410</v>
      </c>
      <c r="F466" s="593" t="s">
        <v>3454</v>
      </c>
      <c r="G466" s="237" t="s">
        <v>410</v>
      </c>
      <c r="H466" s="237" t="s">
        <v>410</v>
      </c>
      <c r="I466" s="237" t="s">
        <v>410</v>
      </c>
      <c r="J466" s="237" t="s">
        <v>410</v>
      </c>
      <c r="K466" s="237" t="s">
        <v>410</v>
      </c>
      <c r="L466" s="237" t="s">
        <v>410</v>
      </c>
      <c r="M466" s="237" t="s">
        <v>410</v>
      </c>
      <c r="N466" s="237" t="s">
        <v>410</v>
      </c>
      <c r="O466" s="237" t="s">
        <v>410</v>
      </c>
      <c r="P466" s="237" t="s">
        <v>410</v>
      </c>
      <c r="Q466" s="237" t="s">
        <v>410</v>
      </c>
      <c r="R466" s="237" t="s">
        <v>410</v>
      </c>
      <c r="S466" s="10" t="s">
        <v>410</v>
      </c>
      <c r="T466" s="10" t="s">
        <v>410</v>
      </c>
    </row>
    <row r="467" spans="1:20" hidden="1" outlineLevel="1" x14ac:dyDescent="0.3">
      <c r="A467" s="583" t="s">
        <v>1873</v>
      </c>
      <c r="B467" s="591">
        <v>16</v>
      </c>
      <c r="C467" s="583" t="s">
        <v>1256</v>
      </c>
      <c r="D467" s="583" t="s">
        <v>1567</v>
      </c>
      <c r="E467" s="592" t="s">
        <v>410</v>
      </c>
      <c r="F467" s="593" t="s">
        <v>3275</v>
      </c>
      <c r="G467" s="593" t="s">
        <v>3276</v>
      </c>
      <c r="H467" s="593" t="s">
        <v>3277</v>
      </c>
      <c r="I467" s="593" t="s">
        <v>3278</v>
      </c>
      <c r="J467" s="593" t="s">
        <v>3279</v>
      </c>
      <c r="K467" s="593" t="s">
        <v>3280</v>
      </c>
      <c r="L467" s="237" t="s">
        <v>410</v>
      </c>
      <c r="M467" s="237" t="s">
        <v>410</v>
      </c>
      <c r="N467" s="237" t="s">
        <v>410</v>
      </c>
      <c r="O467" s="237" t="s">
        <v>410</v>
      </c>
      <c r="P467" s="237" t="s">
        <v>410</v>
      </c>
      <c r="Q467" s="237" t="s">
        <v>410</v>
      </c>
      <c r="R467" s="237" t="s">
        <v>410</v>
      </c>
      <c r="S467" s="10" t="s">
        <v>410</v>
      </c>
      <c r="T467" s="10" t="s">
        <v>410</v>
      </c>
    </row>
    <row r="468" spans="1:20" hidden="1" outlineLevel="1" x14ac:dyDescent="0.3">
      <c r="A468" s="583" t="s">
        <v>1997</v>
      </c>
      <c r="B468" s="591">
        <v>16</v>
      </c>
      <c r="C468" s="583" t="s">
        <v>1256</v>
      </c>
      <c r="D468" s="583" t="s">
        <v>1567</v>
      </c>
      <c r="E468" s="593" t="s">
        <v>410</v>
      </c>
      <c r="F468" s="237"/>
      <c r="G468" s="237"/>
      <c r="H468" s="237"/>
      <c r="I468" s="237"/>
      <c r="J468" s="237"/>
      <c r="K468" s="237" t="s">
        <v>410</v>
      </c>
      <c r="L468" s="237" t="s">
        <v>410</v>
      </c>
      <c r="M468" s="237" t="s">
        <v>410</v>
      </c>
      <c r="N468" s="237" t="s">
        <v>410</v>
      </c>
      <c r="O468" s="237" t="s">
        <v>410</v>
      </c>
      <c r="P468" s="237" t="s">
        <v>410</v>
      </c>
      <c r="Q468" s="237" t="s">
        <v>410</v>
      </c>
      <c r="R468" s="237" t="s">
        <v>410</v>
      </c>
      <c r="S468" s="237" t="s">
        <v>410</v>
      </c>
      <c r="T468" s="237" t="s">
        <v>410</v>
      </c>
    </row>
    <row r="469" spans="1:20" hidden="1" outlineLevel="1" x14ac:dyDescent="0.3">
      <c r="A469" s="583" t="s">
        <v>1908</v>
      </c>
      <c r="B469" s="591">
        <v>21</v>
      </c>
      <c r="C469" s="583" t="s">
        <v>1256</v>
      </c>
      <c r="D469" s="583" t="s">
        <v>1567</v>
      </c>
      <c r="E469" s="592" t="s">
        <v>410</v>
      </c>
      <c r="F469" s="457"/>
      <c r="G469" s="457"/>
      <c r="H469" s="457"/>
      <c r="I469" s="457"/>
      <c r="J469" s="457"/>
      <c r="K469" s="237" t="s">
        <v>410</v>
      </c>
      <c r="L469" s="237" t="s">
        <v>410</v>
      </c>
      <c r="M469" s="237" t="s">
        <v>410</v>
      </c>
      <c r="N469" s="237" t="s">
        <v>410</v>
      </c>
      <c r="O469" s="237" t="s">
        <v>410</v>
      </c>
      <c r="P469" s="237" t="s">
        <v>410</v>
      </c>
      <c r="Q469" s="237" t="s">
        <v>410</v>
      </c>
      <c r="R469" s="237" t="s">
        <v>410</v>
      </c>
      <c r="S469" s="10" t="s">
        <v>410</v>
      </c>
      <c r="T469" s="10" t="s">
        <v>410</v>
      </c>
    </row>
    <row r="470" spans="1:20" hidden="1" outlineLevel="1" x14ac:dyDescent="0.3">
      <c r="A470" s="583" t="s">
        <v>2067</v>
      </c>
      <c r="B470" s="591">
        <v>0</v>
      </c>
      <c r="C470" s="588" t="s">
        <v>1564</v>
      </c>
      <c r="D470" s="588" t="s">
        <v>1567</v>
      </c>
      <c r="E470" s="595"/>
      <c r="F470" s="9" t="s">
        <v>410</v>
      </c>
      <c r="G470" s="9" t="s">
        <v>410</v>
      </c>
      <c r="H470" s="9" t="s">
        <v>410</v>
      </c>
      <c r="I470" s="9" t="s">
        <v>410</v>
      </c>
      <c r="J470" s="9" t="s">
        <v>410</v>
      </c>
      <c r="K470" s="9" t="s">
        <v>410</v>
      </c>
      <c r="L470" s="9" t="s">
        <v>410</v>
      </c>
      <c r="M470" s="9" t="s">
        <v>410</v>
      </c>
      <c r="N470" s="9" t="s">
        <v>410</v>
      </c>
      <c r="O470" s="9" t="s">
        <v>410</v>
      </c>
      <c r="P470" s="9" t="s">
        <v>410</v>
      </c>
      <c r="Q470" s="9" t="s">
        <v>410</v>
      </c>
      <c r="R470" s="9" t="s">
        <v>410</v>
      </c>
      <c r="S470" s="9" t="s">
        <v>410</v>
      </c>
      <c r="T470" s="9" t="s">
        <v>410</v>
      </c>
    </row>
    <row r="471" spans="1:20" hidden="1" outlineLevel="1" x14ac:dyDescent="0.3">
      <c r="A471" s="583" t="s">
        <v>2169</v>
      </c>
      <c r="B471" s="591">
        <v>0</v>
      </c>
      <c r="C471" s="588" t="s">
        <v>1564</v>
      </c>
      <c r="D471" s="588" t="s">
        <v>1567</v>
      </c>
      <c r="E471" s="589" t="s">
        <v>2170</v>
      </c>
      <c r="F471" s="441" t="s">
        <v>410</v>
      </c>
      <c r="G471" s="441" t="s">
        <v>410</v>
      </c>
      <c r="H471" s="441" t="s">
        <v>410</v>
      </c>
      <c r="I471" s="441" t="s">
        <v>410</v>
      </c>
      <c r="J471" s="441" t="s">
        <v>410</v>
      </c>
      <c r="K471" s="441" t="s">
        <v>410</v>
      </c>
      <c r="L471" s="441" t="s">
        <v>410</v>
      </c>
      <c r="M471" s="441" t="s">
        <v>410</v>
      </c>
      <c r="N471" s="441" t="s">
        <v>410</v>
      </c>
      <c r="O471" s="441" t="s">
        <v>410</v>
      </c>
      <c r="P471" s="441" t="s">
        <v>410</v>
      </c>
      <c r="Q471" s="441" t="s">
        <v>410</v>
      </c>
      <c r="R471" s="441" t="s">
        <v>410</v>
      </c>
      <c r="S471" s="441" t="s">
        <v>410</v>
      </c>
      <c r="T471" s="441" t="s">
        <v>410</v>
      </c>
    </row>
    <row r="472" spans="1:20" hidden="1" outlineLevel="1" x14ac:dyDescent="0.3">
      <c r="A472" s="583" t="s">
        <v>2177</v>
      </c>
      <c r="B472" s="591">
        <v>0</v>
      </c>
      <c r="C472" s="588" t="s">
        <v>1564</v>
      </c>
      <c r="D472" s="588" t="s">
        <v>1567</v>
      </c>
      <c r="E472" s="460"/>
      <c r="F472" s="460" t="s">
        <v>410</v>
      </c>
      <c r="G472" s="460" t="s">
        <v>410</v>
      </c>
      <c r="H472" s="460" t="s">
        <v>410</v>
      </c>
      <c r="I472" s="460" t="s">
        <v>410</v>
      </c>
      <c r="J472" s="460" t="s">
        <v>410</v>
      </c>
      <c r="K472" s="460" t="s">
        <v>410</v>
      </c>
      <c r="L472" s="441" t="s">
        <v>410</v>
      </c>
      <c r="M472" s="441" t="s">
        <v>410</v>
      </c>
      <c r="N472" s="441" t="s">
        <v>410</v>
      </c>
      <c r="O472" s="441" t="s">
        <v>410</v>
      </c>
      <c r="P472" s="441" t="s">
        <v>410</v>
      </c>
      <c r="Q472" s="441" t="s">
        <v>410</v>
      </c>
      <c r="R472" s="441" t="s">
        <v>410</v>
      </c>
      <c r="S472" s="441" t="s">
        <v>410</v>
      </c>
      <c r="T472" s="441" t="s">
        <v>410</v>
      </c>
    </row>
    <row r="473" spans="1:20" hidden="1" outlineLevel="1" x14ac:dyDescent="0.3">
      <c r="A473" s="583" t="s">
        <v>3027</v>
      </c>
      <c r="B473" s="591">
        <v>0</v>
      </c>
      <c r="C473" s="583" t="s">
        <v>1564</v>
      </c>
      <c r="D473" s="583" t="s">
        <v>1567</v>
      </c>
      <c r="E473" s="592" t="s">
        <v>2205</v>
      </c>
      <c r="F473" s="593" t="s">
        <v>410</v>
      </c>
      <c r="G473" s="237" t="s">
        <v>410</v>
      </c>
      <c r="H473" s="237" t="s">
        <v>410</v>
      </c>
      <c r="I473" s="237" t="s">
        <v>410</v>
      </c>
      <c r="J473" s="237" t="s">
        <v>410</v>
      </c>
      <c r="K473" s="237" t="s">
        <v>410</v>
      </c>
      <c r="L473" s="237" t="s">
        <v>410</v>
      </c>
      <c r="M473" s="237" t="s">
        <v>410</v>
      </c>
      <c r="N473" s="237" t="s">
        <v>410</v>
      </c>
      <c r="O473" s="237" t="s">
        <v>410</v>
      </c>
      <c r="P473" s="237" t="s">
        <v>410</v>
      </c>
      <c r="Q473" s="237" t="s">
        <v>410</v>
      </c>
      <c r="R473" s="237" t="s">
        <v>410</v>
      </c>
      <c r="S473" s="10" t="s">
        <v>410</v>
      </c>
      <c r="T473" s="10" t="s">
        <v>410</v>
      </c>
    </row>
    <row r="474" spans="1:20" hidden="1" outlineLevel="1" x14ac:dyDescent="0.3">
      <c r="A474" s="583" t="s">
        <v>2066</v>
      </c>
      <c r="B474" s="591">
        <v>0</v>
      </c>
      <c r="C474" s="583" t="s">
        <v>1564</v>
      </c>
      <c r="D474" s="583" t="s">
        <v>1567</v>
      </c>
      <c r="F474" t="s">
        <v>410</v>
      </c>
      <c r="G474" t="s">
        <v>410</v>
      </c>
      <c r="H474" t="s">
        <v>410</v>
      </c>
      <c r="I474" t="s">
        <v>410</v>
      </c>
      <c r="J474" t="s">
        <v>410</v>
      </c>
      <c r="K474" t="s">
        <v>410</v>
      </c>
      <c r="L474" t="s">
        <v>410</v>
      </c>
      <c r="M474" t="s">
        <v>410</v>
      </c>
      <c r="N474" t="s">
        <v>410</v>
      </c>
      <c r="O474" t="s">
        <v>410</v>
      </c>
      <c r="P474" t="s">
        <v>410</v>
      </c>
      <c r="Q474" t="s">
        <v>410</v>
      </c>
      <c r="R474" t="s">
        <v>410</v>
      </c>
      <c r="S474" t="s">
        <v>410</v>
      </c>
      <c r="T474" t="s">
        <v>410</v>
      </c>
    </row>
    <row r="475" spans="1:20" hidden="1" outlineLevel="1" x14ac:dyDescent="0.3">
      <c r="A475" s="583" t="s">
        <v>2196</v>
      </c>
      <c r="B475" s="591">
        <v>1</v>
      </c>
      <c r="C475" s="583" t="s">
        <v>1564</v>
      </c>
      <c r="D475" s="583" t="s">
        <v>1567</v>
      </c>
      <c r="E475" s="592" t="s">
        <v>410</v>
      </c>
      <c r="F475" s="592" t="s">
        <v>3164</v>
      </c>
      <c r="G475" s="592" t="s">
        <v>3165</v>
      </c>
      <c r="H475" s="592" t="s">
        <v>3166</v>
      </c>
      <c r="I475" s="592" t="s">
        <v>3167</v>
      </c>
      <c r="J475" s="592" t="s">
        <v>3168</v>
      </c>
      <c r="K475" s="583" t="s">
        <v>410</v>
      </c>
      <c r="L475" t="s">
        <v>410</v>
      </c>
      <c r="M475" t="s">
        <v>410</v>
      </c>
      <c r="N475" t="s">
        <v>410</v>
      </c>
      <c r="O475" t="s">
        <v>410</v>
      </c>
      <c r="P475" t="s">
        <v>410</v>
      </c>
      <c r="Q475" t="s">
        <v>410</v>
      </c>
      <c r="R475" t="s">
        <v>410</v>
      </c>
      <c r="S475" t="s">
        <v>410</v>
      </c>
      <c r="T475" t="s">
        <v>410</v>
      </c>
    </row>
    <row r="476" spans="1:20" hidden="1" outlineLevel="1" x14ac:dyDescent="0.3">
      <c r="A476" s="583" t="s">
        <v>2050</v>
      </c>
      <c r="B476" s="975">
        <v>1</v>
      </c>
      <c r="C476" s="583" t="s">
        <v>1564</v>
      </c>
      <c r="D476" s="583" t="s">
        <v>1567</v>
      </c>
      <c r="E476" s="593" t="s">
        <v>410</v>
      </c>
      <c r="F476" s="593" t="s">
        <v>4643</v>
      </c>
      <c r="G476" s="593" t="s">
        <v>2491</v>
      </c>
      <c r="H476" s="593" t="s">
        <v>3913</v>
      </c>
      <c r="I476" s="593" t="s">
        <v>1937</v>
      </c>
      <c r="J476" s="593" t="s">
        <v>4644</v>
      </c>
      <c r="K476" s="593" t="s">
        <v>4645</v>
      </c>
      <c r="L476" s="593" t="s">
        <v>4646</v>
      </c>
      <c r="M476" s="593" t="s">
        <v>4647</v>
      </c>
      <c r="N476" s="237" t="s">
        <v>410</v>
      </c>
      <c r="O476" s="237" t="s">
        <v>410</v>
      </c>
      <c r="P476" s="237" t="s">
        <v>410</v>
      </c>
      <c r="Q476" s="237" t="s">
        <v>410</v>
      </c>
      <c r="R476" s="237" t="s">
        <v>410</v>
      </c>
      <c r="S476" s="237" t="s">
        <v>410</v>
      </c>
      <c r="T476" s="237" t="s">
        <v>410</v>
      </c>
    </row>
    <row r="477" spans="1:20" hidden="1" outlineLevel="1" x14ac:dyDescent="0.3">
      <c r="A477" s="583" t="s">
        <v>1875</v>
      </c>
      <c r="B477" s="591">
        <v>1</v>
      </c>
      <c r="C477" s="583" t="s">
        <v>1564</v>
      </c>
      <c r="D477" s="583" t="s">
        <v>1567</v>
      </c>
      <c r="E477" s="592" t="s">
        <v>410</v>
      </c>
      <c r="F477" s="593" t="s">
        <v>4983</v>
      </c>
      <c r="G477" s="237" t="s">
        <v>410</v>
      </c>
      <c r="H477" s="237" t="s">
        <v>410</v>
      </c>
      <c r="I477" s="237" t="s">
        <v>410</v>
      </c>
      <c r="J477" s="237" t="s">
        <v>410</v>
      </c>
      <c r="K477" s="237" t="s">
        <v>410</v>
      </c>
      <c r="L477" s="237" t="s">
        <v>410</v>
      </c>
      <c r="M477" s="237" t="s">
        <v>410</v>
      </c>
      <c r="N477" s="237" t="s">
        <v>410</v>
      </c>
      <c r="O477" s="237" t="s">
        <v>410</v>
      </c>
      <c r="P477" s="237" t="s">
        <v>410</v>
      </c>
      <c r="Q477" s="237" t="s">
        <v>410</v>
      </c>
      <c r="R477" s="237" t="s">
        <v>410</v>
      </c>
      <c r="S477" s="10" t="s">
        <v>410</v>
      </c>
      <c r="T477" s="10" t="s">
        <v>410</v>
      </c>
    </row>
    <row r="478" spans="1:20" hidden="1" outlineLevel="1" x14ac:dyDescent="0.3">
      <c r="A478" s="583" t="s">
        <v>1876</v>
      </c>
      <c r="B478" s="591">
        <v>1</v>
      </c>
      <c r="C478" s="583" t="s">
        <v>1564</v>
      </c>
      <c r="D478" s="583" t="s">
        <v>1567</v>
      </c>
      <c r="E478" s="592" t="s">
        <v>410</v>
      </c>
      <c r="F478" s="593" t="s">
        <v>4978</v>
      </c>
      <c r="G478" s="237" t="s">
        <v>410</v>
      </c>
      <c r="H478" s="237" t="s">
        <v>410</v>
      </c>
      <c r="I478" s="237" t="s">
        <v>410</v>
      </c>
      <c r="J478" s="237" t="s">
        <v>410</v>
      </c>
      <c r="K478" s="237" t="s">
        <v>410</v>
      </c>
      <c r="L478" s="237" t="s">
        <v>410</v>
      </c>
      <c r="M478" s="237" t="s">
        <v>410</v>
      </c>
      <c r="N478" s="237" t="s">
        <v>410</v>
      </c>
      <c r="O478" s="237" t="s">
        <v>410</v>
      </c>
      <c r="P478" s="237" t="s">
        <v>410</v>
      </c>
      <c r="Q478" s="237" t="s">
        <v>410</v>
      </c>
      <c r="R478" s="237" t="s">
        <v>410</v>
      </c>
      <c r="S478" s="10" t="s">
        <v>410</v>
      </c>
      <c r="T478" s="10" t="s">
        <v>410</v>
      </c>
    </row>
    <row r="479" spans="1:20" hidden="1" outlineLevel="1" x14ac:dyDescent="0.3">
      <c r="A479" s="583" t="s">
        <v>3026</v>
      </c>
      <c r="B479" s="591">
        <v>1</v>
      </c>
      <c r="C479" s="583" t="s">
        <v>1564</v>
      </c>
      <c r="D479" s="583" t="s">
        <v>1567</v>
      </c>
      <c r="E479" s="592"/>
      <c r="F479" s="592" t="s">
        <v>410</v>
      </c>
      <c r="G479" s="592" t="s">
        <v>410</v>
      </c>
      <c r="H479" s="592" t="s">
        <v>410</v>
      </c>
      <c r="I479" s="10" t="s">
        <v>410</v>
      </c>
      <c r="J479" s="10" t="s">
        <v>410</v>
      </c>
      <c r="K479" s="10" t="s">
        <v>410</v>
      </c>
      <c r="L479" s="10" t="s">
        <v>410</v>
      </c>
      <c r="M479" s="10" t="s">
        <v>410</v>
      </c>
      <c r="N479" s="10" t="s">
        <v>410</v>
      </c>
      <c r="O479" s="10" t="s">
        <v>410</v>
      </c>
      <c r="P479" s="10" t="s">
        <v>410</v>
      </c>
      <c r="Q479" s="10" t="s">
        <v>410</v>
      </c>
      <c r="R479" s="10" t="s">
        <v>410</v>
      </c>
      <c r="S479" s="10" t="s">
        <v>410</v>
      </c>
      <c r="T479" s="10" t="s">
        <v>410</v>
      </c>
    </row>
    <row r="480" spans="1:20" hidden="1" outlineLevel="1" x14ac:dyDescent="0.3">
      <c r="A480" s="583" t="s">
        <v>3145</v>
      </c>
      <c r="B480" s="975">
        <v>2</v>
      </c>
      <c r="C480" s="583" t="s">
        <v>1564</v>
      </c>
      <c r="D480" s="583" t="s">
        <v>1567</v>
      </c>
      <c r="E480" s="593" t="s">
        <v>410</v>
      </c>
      <c r="F480" s="593" t="s">
        <v>3039</v>
      </c>
      <c r="G480" s="593" t="s">
        <v>3040</v>
      </c>
      <c r="H480" s="593" t="s">
        <v>3041</v>
      </c>
      <c r="I480" s="593" t="s">
        <v>4634</v>
      </c>
      <c r="J480" s="593" t="s">
        <v>3042</v>
      </c>
      <c r="K480" s="593" t="s">
        <v>3043</v>
      </c>
      <c r="L480" s="593" t="s">
        <v>3044</v>
      </c>
      <c r="M480" s="593" t="s">
        <v>3045</v>
      </c>
      <c r="N480" s="237" t="s">
        <v>410</v>
      </c>
      <c r="O480" s="237" t="s">
        <v>410</v>
      </c>
      <c r="P480" s="237" t="s">
        <v>410</v>
      </c>
      <c r="Q480" s="237" t="s">
        <v>410</v>
      </c>
      <c r="R480" s="237" t="s">
        <v>410</v>
      </c>
      <c r="S480" s="237" t="s">
        <v>410</v>
      </c>
      <c r="T480" s="237" t="s">
        <v>410</v>
      </c>
    </row>
    <row r="481" spans="1:20" hidden="1" outlineLevel="1" x14ac:dyDescent="0.3">
      <c r="A481" s="583" t="s">
        <v>2197</v>
      </c>
      <c r="B481" s="591">
        <v>2</v>
      </c>
      <c r="C481" s="583" t="s">
        <v>1564</v>
      </c>
      <c r="D481" s="583" t="s">
        <v>1567</v>
      </c>
      <c r="E481" s="592" t="s">
        <v>410</v>
      </c>
      <c r="F481" s="583" t="s">
        <v>410</v>
      </c>
      <c r="G481" s="583" t="s">
        <v>3169</v>
      </c>
      <c r="H481" s="583" t="s">
        <v>3170</v>
      </c>
      <c r="I481" s="583" t="s">
        <v>3171</v>
      </c>
      <c r="J481" s="583" t="s">
        <v>3172</v>
      </c>
      <c r="K481" s="583" t="s">
        <v>410</v>
      </c>
      <c r="L481" t="s">
        <v>410</v>
      </c>
      <c r="M481" t="s">
        <v>410</v>
      </c>
      <c r="N481" t="s">
        <v>410</v>
      </c>
      <c r="O481" t="s">
        <v>410</v>
      </c>
      <c r="P481" t="s">
        <v>410</v>
      </c>
      <c r="Q481" t="s">
        <v>410</v>
      </c>
      <c r="R481" t="s">
        <v>410</v>
      </c>
      <c r="S481" t="s">
        <v>410</v>
      </c>
      <c r="T481" t="s">
        <v>410</v>
      </c>
    </row>
    <row r="482" spans="1:20" hidden="1" outlineLevel="1" x14ac:dyDescent="0.3">
      <c r="A482" s="583" t="s">
        <v>1877</v>
      </c>
      <c r="B482" s="591">
        <v>2</v>
      </c>
      <c r="C482" s="583" t="s">
        <v>1564</v>
      </c>
      <c r="D482" s="583" t="s">
        <v>1567</v>
      </c>
      <c r="E482" s="592" t="s">
        <v>410</v>
      </c>
      <c r="F482" s="593" t="s">
        <v>4979</v>
      </c>
      <c r="G482" s="237" t="s">
        <v>410</v>
      </c>
      <c r="H482" s="237" t="s">
        <v>410</v>
      </c>
      <c r="I482" s="237" t="s">
        <v>410</v>
      </c>
      <c r="J482" s="237" t="s">
        <v>410</v>
      </c>
      <c r="K482" s="237" t="s">
        <v>410</v>
      </c>
      <c r="L482" s="237" t="s">
        <v>410</v>
      </c>
      <c r="M482" s="237" t="s">
        <v>410</v>
      </c>
      <c r="N482" s="237" t="s">
        <v>410</v>
      </c>
      <c r="O482" s="237" t="s">
        <v>410</v>
      </c>
      <c r="P482" s="237" t="s">
        <v>410</v>
      </c>
      <c r="Q482" s="237" t="s">
        <v>410</v>
      </c>
      <c r="R482" s="237" t="s">
        <v>410</v>
      </c>
      <c r="S482" s="10" t="s">
        <v>410</v>
      </c>
      <c r="T482" s="10" t="s">
        <v>410</v>
      </c>
    </row>
    <row r="483" spans="1:20" hidden="1" outlineLevel="1" x14ac:dyDescent="0.3">
      <c r="A483" s="583" t="s">
        <v>3150</v>
      </c>
      <c r="B483" s="975">
        <v>3</v>
      </c>
      <c r="C483" s="583" t="s">
        <v>1564</v>
      </c>
      <c r="D483" s="583" t="s">
        <v>1567</v>
      </c>
      <c r="E483" s="593" t="s">
        <v>410</v>
      </c>
      <c r="F483" s="593" t="s">
        <v>3054</v>
      </c>
      <c r="G483" s="593" t="s">
        <v>3055</v>
      </c>
      <c r="H483" s="593" t="s">
        <v>3056</v>
      </c>
      <c r="I483" s="593" t="s">
        <v>3057</v>
      </c>
      <c r="J483" s="593" t="s">
        <v>3059</v>
      </c>
      <c r="K483" s="593" t="s">
        <v>3060</v>
      </c>
      <c r="L483" s="593" t="s">
        <v>3058</v>
      </c>
      <c r="M483" s="593" t="s">
        <v>3061</v>
      </c>
      <c r="N483" s="237" t="s">
        <v>410</v>
      </c>
      <c r="O483" t="s">
        <v>410</v>
      </c>
      <c r="P483" s="237" t="s">
        <v>410</v>
      </c>
      <c r="Q483" s="237" t="s">
        <v>410</v>
      </c>
      <c r="R483" s="237" t="s">
        <v>410</v>
      </c>
      <c r="S483" s="237" t="s">
        <v>410</v>
      </c>
      <c r="T483" s="237" t="s">
        <v>410</v>
      </c>
    </row>
    <row r="484" spans="1:20" hidden="1" outlineLevel="1" x14ac:dyDescent="0.3">
      <c r="A484" s="583" t="s">
        <v>2198</v>
      </c>
      <c r="B484" s="591">
        <v>3</v>
      </c>
      <c r="C484" s="583" t="s">
        <v>1564</v>
      </c>
      <c r="D484" s="583" t="s">
        <v>1567</v>
      </c>
      <c r="E484" s="592" t="s">
        <v>410</v>
      </c>
      <c r="F484" s="583" t="s">
        <v>410</v>
      </c>
      <c r="G484" s="583" t="s">
        <v>410</v>
      </c>
      <c r="H484" s="592" t="s">
        <v>3173</v>
      </c>
      <c r="I484" s="592" t="s">
        <v>3173</v>
      </c>
      <c r="J484" s="592" t="s">
        <v>3174</v>
      </c>
      <c r="K484" s="583" t="s">
        <v>410</v>
      </c>
      <c r="L484" t="s">
        <v>410</v>
      </c>
      <c r="M484" t="s">
        <v>410</v>
      </c>
      <c r="N484" t="s">
        <v>410</v>
      </c>
      <c r="O484" t="s">
        <v>410</v>
      </c>
      <c r="P484" t="s">
        <v>410</v>
      </c>
      <c r="Q484" t="s">
        <v>410</v>
      </c>
      <c r="R484" t="s">
        <v>410</v>
      </c>
      <c r="S484" t="s">
        <v>410</v>
      </c>
      <c r="T484" t="s">
        <v>410</v>
      </c>
    </row>
    <row r="485" spans="1:20" hidden="1" outlineLevel="1" x14ac:dyDescent="0.3">
      <c r="A485" s="583" t="s">
        <v>1878</v>
      </c>
      <c r="B485" s="591">
        <v>3</v>
      </c>
      <c r="C485" s="583" t="s">
        <v>1564</v>
      </c>
      <c r="D485" s="583" t="s">
        <v>1567</v>
      </c>
      <c r="E485" s="592" t="s">
        <v>410</v>
      </c>
      <c r="F485" s="593" t="s">
        <v>4980</v>
      </c>
      <c r="G485" s="237" t="s">
        <v>410</v>
      </c>
      <c r="H485" s="237" t="s">
        <v>410</v>
      </c>
      <c r="I485" s="237" t="s">
        <v>410</v>
      </c>
      <c r="J485" s="237" t="s">
        <v>410</v>
      </c>
      <c r="K485" s="237" t="s">
        <v>410</v>
      </c>
      <c r="L485" s="237" t="s">
        <v>410</v>
      </c>
      <c r="M485" s="237" t="s">
        <v>410</v>
      </c>
      <c r="N485" s="237" t="s">
        <v>410</v>
      </c>
      <c r="O485" s="237" t="s">
        <v>410</v>
      </c>
      <c r="P485" s="237" t="s">
        <v>410</v>
      </c>
      <c r="Q485" s="237" t="s">
        <v>410</v>
      </c>
      <c r="R485" s="237" t="s">
        <v>410</v>
      </c>
      <c r="S485" s="10" t="s">
        <v>410</v>
      </c>
      <c r="T485" s="10" t="s">
        <v>410</v>
      </c>
    </row>
    <row r="486" spans="1:20" hidden="1" outlineLevel="1" x14ac:dyDescent="0.3">
      <c r="A486" s="583" t="s">
        <v>3163</v>
      </c>
      <c r="B486" s="591">
        <v>4</v>
      </c>
      <c r="C486" s="583" t="s">
        <v>1564</v>
      </c>
      <c r="D486" s="583" t="s">
        <v>1567</v>
      </c>
      <c r="E486" s="592" t="s">
        <v>410</v>
      </c>
      <c r="F486" s="583" t="s">
        <v>410</v>
      </c>
      <c r="G486" s="583" t="s">
        <v>410</v>
      </c>
      <c r="H486" s="583" t="s">
        <v>410</v>
      </c>
      <c r="I486" s="592" t="s">
        <v>3175</v>
      </c>
      <c r="J486" s="592" t="s">
        <v>3175</v>
      </c>
      <c r="K486" s="583" t="s">
        <v>410</v>
      </c>
      <c r="L486" t="s">
        <v>410</v>
      </c>
      <c r="M486" t="s">
        <v>410</v>
      </c>
      <c r="N486" t="s">
        <v>410</v>
      </c>
      <c r="O486" t="s">
        <v>410</v>
      </c>
      <c r="P486" t="s">
        <v>410</v>
      </c>
      <c r="Q486" t="s">
        <v>410</v>
      </c>
      <c r="R486" t="s">
        <v>410</v>
      </c>
      <c r="S486" t="s">
        <v>410</v>
      </c>
      <c r="T486" t="s">
        <v>410</v>
      </c>
    </row>
    <row r="487" spans="1:20" hidden="1" outlineLevel="1" x14ac:dyDescent="0.3">
      <c r="A487" s="583" t="s">
        <v>1879</v>
      </c>
      <c r="B487" s="591">
        <v>4</v>
      </c>
      <c r="C487" s="583" t="s">
        <v>1564</v>
      </c>
      <c r="D487" s="583" t="s">
        <v>1567</v>
      </c>
      <c r="E487" s="592" t="s">
        <v>410</v>
      </c>
      <c r="F487" s="593" t="s">
        <v>4981</v>
      </c>
      <c r="G487" s="237" t="s">
        <v>410</v>
      </c>
      <c r="H487" s="237" t="s">
        <v>410</v>
      </c>
      <c r="I487" s="237" t="s">
        <v>410</v>
      </c>
      <c r="J487" s="237" t="s">
        <v>410</v>
      </c>
      <c r="K487" s="237" t="s">
        <v>410</v>
      </c>
      <c r="L487" s="237" t="s">
        <v>410</v>
      </c>
      <c r="M487" s="237" t="s">
        <v>410</v>
      </c>
      <c r="N487" s="237" t="s">
        <v>410</v>
      </c>
      <c r="O487" s="237" t="s">
        <v>410</v>
      </c>
      <c r="P487" s="237" t="s">
        <v>410</v>
      </c>
      <c r="Q487" s="237" t="s">
        <v>410</v>
      </c>
      <c r="R487" s="237" t="s">
        <v>410</v>
      </c>
      <c r="S487" s="10" t="s">
        <v>410</v>
      </c>
      <c r="T487" s="10" t="s">
        <v>410</v>
      </c>
    </row>
    <row r="488" spans="1:20" hidden="1" outlineLevel="1" x14ac:dyDescent="0.3">
      <c r="A488" s="583" t="s">
        <v>2199</v>
      </c>
      <c r="B488" s="591">
        <v>5</v>
      </c>
      <c r="C488" s="583" t="s">
        <v>1564</v>
      </c>
      <c r="D488" s="583" t="s">
        <v>1567</v>
      </c>
      <c r="E488" s="592" t="s">
        <v>410</v>
      </c>
      <c r="F488" s="583" t="s">
        <v>410</v>
      </c>
      <c r="G488" s="583" t="s">
        <v>410</v>
      </c>
      <c r="H488" s="583" t="s">
        <v>410</v>
      </c>
      <c r="I488" s="583" t="s">
        <v>410</v>
      </c>
      <c r="J488" s="592" t="s">
        <v>2200</v>
      </c>
      <c r="K488" s="583" t="s">
        <v>410</v>
      </c>
      <c r="L488" t="s">
        <v>410</v>
      </c>
      <c r="M488" t="s">
        <v>410</v>
      </c>
      <c r="N488" t="s">
        <v>410</v>
      </c>
      <c r="O488" t="s">
        <v>410</v>
      </c>
      <c r="P488" t="s">
        <v>410</v>
      </c>
      <c r="Q488" t="s">
        <v>410</v>
      </c>
      <c r="R488" t="s">
        <v>410</v>
      </c>
      <c r="S488" t="s">
        <v>410</v>
      </c>
      <c r="T488" t="s">
        <v>410</v>
      </c>
    </row>
    <row r="489" spans="1:20" hidden="1" outlineLevel="1" x14ac:dyDescent="0.3">
      <c r="A489" s="583" t="s">
        <v>1880</v>
      </c>
      <c r="B489" s="591">
        <v>5</v>
      </c>
      <c r="C489" s="583" t="s">
        <v>1564</v>
      </c>
      <c r="D489" s="583" t="s">
        <v>1567</v>
      </c>
      <c r="E489" s="592" t="s">
        <v>410</v>
      </c>
      <c r="F489" s="593" t="s">
        <v>4982</v>
      </c>
      <c r="G489" s="237" t="s">
        <v>410</v>
      </c>
      <c r="H489" s="237" t="s">
        <v>410</v>
      </c>
      <c r="I489" s="237" t="s">
        <v>410</v>
      </c>
      <c r="J489" s="237" t="s">
        <v>410</v>
      </c>
      <c r="K489" s="237" t="s">
        <v>410</v>
      </c>
      <c r="L489" s="237" t="s">
        <v>410</v>
      </c>
      <c r="M489" s="237" t="s">
        <v>410</v>
      </c>
      <c r="N489" s="237" t="s">
        <v>410</v>
      </c>
      <c r="O489" s="237" t="s">
        <v>410</v>
      </c>
      <c r="P489" s="237" t="s">
        <v>410</v>
      </c>
      <c r="Q489" s="237" t="s">
        <v>410</v>
      </c>
      <c r="R489" s="237" t="s">
        <v>410</v>
      </c>
      <c r="S489" s="10" t="s">
        <v>410</v>
      </c>
      <c r="T489" s="10" t="s">
        <v>410</v>
      </c>
    </row>
    <row r="490" spans="1:20" hidden="1" outlineLevel="1" x14ac:dyDescent="0.3">
      <c r="A490" s="583" t="s">
        <v>3089</v>
      </c>
      <c r="B490" s="591">
        <v>6</v>
      </c>
      <c r="C490" s="588" t="s">
        <v>1564</v>
      </c>
      <c r="D490" s="588" t="s">
        <v>1567</v>
      </c>
      <c r="E490" s="589" t="s">
        <v>410</v>
      </c>
      <c r="F490" s="594" t="str">
        <f>CONCATENATE(TEXT(2+IF(SIL&lt;0,0,SIL)*1,"0")," mg")</f>
        <v>2 mg</v>
      </c>
      <c r="G490" s="594" t="str">
        <f>CONCATENATE(TEXT(5+IF(SIL&lt;0,0,SIL)*1,"0")," mg")</f>
        <v>5 mg</v>
      </c>
      <c r="H490" s="594" t="str">
        <f>CONCATENATE(TEXT(7+IF(SIL&lt;0,0,SIL)*1,"0")," mg")</f>
        <v>7 mg</v>
      </c>
      <c r="I490" s="594" t="str">
        <f>CONCATENATE(TEXT(7+IF(SIL&lt;0,0,SIL)*2,"0")," mg")</f>
        <v>7 mg</v>
      </c>
      <c r="J490" s="594" t="str">
        <f>CONCATENATE(TEXT(9+IF(SIL&lt;0,0,SIL)*2,"0")," mg")</f>
        <v>9 mg</v>
      </c>
      <c r="K490" s="594" t="str">
        <f>CONCATENATE(TEXT(12+IF(SIL&lt;0,0,SIL)*2,"0")," mg")</f>
        <v>12 mg</v>
      </c>
      <c r="L490" s="594" t="str">
        <f>CONCATENATE(TEXT(13+IF(SIL&lt;0,0,SIL)*3,"0")," mg")</f>
        <v>13 mg</v>
      </c>
      <c r="M490" s="594" t="str">
        <f>CONCATENATE(TEXT(15+IF(SIL&lt;0,0,SIL)*3,"0")," mg")</f>
        <v>15 mg</v>
      </c>
      <c r="N490" s="594" t="str">
        <f>CONCATENATE(TEXT(17+IF(SIL&lt;0,0,SIL)*3,"0")," mg")</f>
        <v>17 mg</v>
      </c>
      <c r="O490" s="594" t="str">
        <f>CONCATENATE(TEXT(18+IF(SIL&lt;0,0,SIL)*4,"0")," mg")</f>
        <v>18 mg</v>
      </c>
      <c r="P490" s="441" t="s">
        <v>410</v>
      </c>
      <c r="Q490" s="441" t="s">
        <v>410</v>
      </c>
      <c r="R490" s="441" t="s">
        <v>410</v>
      </c>
      <c r="S490" s="441" t="s">
        <v>410</v>
      </c>
      <c r="T490" s="441" t="s">
        <v>410</v>
      </c>
    </row>
    <row r="491" spans="1:20" hidden="1" outlineLevel="1" x14ac:dyDescent="0.3">
      <c r="A491" s="583" t="s">
        <v>2051</v>
      </c>
      <c r="B491" s="975">
        <v>6</v>
      </c>
      <c r="C491" s="583" t="s">
        <v>1564</v>
      </c>
      <c r="D491" s="583" t="s">
        <v>1567</v>
      </c>
      <c r="E491" s="593" t="s">
        <v>410</v>
      </c>
      <c r="F491" s="237"/>
      <c r="G491" s="237"/>
      <c r="H491" s="237"/>
      <c r="I491" s="237"/>
      <c r="J491" s="237"/>
      <c r="K491" s="237"/>
      <c r="L491" s="237"/>
      <c r="M491" s="237"/>
      <c r="N491" s="237" t="s">
        <v>410</v>
      </c>
      <c r="O491" s="237" t="s">
        <v>410</v>
      </c>
      <c r="P491" s="237" t="s">
        <v>410</v>
      </c>
      <c r="Q491" s="237" t="s">
        <v>410</v>
      </c>
      <c r="R491" s="237" t="s">
        <v>410</v>
      </c>
      <c r="S491" s="237" t="s">
        <v>410</v>
      </c>
      <c r="T491" s="237" t="s">
        <v>410</v>
      </c>
    </row>
    <row r="492" spans="1:20" hidden="1" outlineLevel="1" x14ac:dyDescent="0.3">
      <c r="A492" s="583" t="s">
        <v>2962</v>
      </c>
      <c r="B492" s="975">
        <v>8</v>
      </c>
      <c r="C492" s="583" t="s">
        <v>1564</v>
      </c>
      <c r="D492" s="583" t="s">
        <v>1567</v>
      </c>
      <c r="E492" s="593" t="s">
        <v>410</v>
      </c>
      <c r="F492" s="593" t="s">
        <v>4635</v>
      </c>
      <c r="G492" s="593" t="s">
        <v>4636</v>
      </c>
      <c r="H492" s="593" t="s">
        <v>4637</v>
      </c>
      <c r="I492" s="593" t="s">
        <v>4638</v>
      </c>
      <c r="J492" s="593" t="s">
        <v>4639</v>
      </c>
      <c r="K492" s="593" t="s">
        <v>4640</v>
      </c>
      <c r="L492" s="593" t="s">
        <v>4641</v>
      </c>
      <c r="M492" s="593" t="s">
        <v>4642</v>
      </c>
      <c r="N492" s="237" t="s">
        <v>410</v>
      </c>
      <c r="O492" s="237" t="s">
        <v>410</v>
      </c>
      <c r="P492" s="237" t="s">
        <v>410</v>
      </c>
      <c r="Q492" s="237" t="s">
        <v>410</v>
      </c>
      <c r="R492" s="237" t="s">
        <v>410</v>
      </c>
      <c r="S492" s="237" t="s">
        <v>410</v>
      </c>
      <c r="T492" s="237" t="s">
        <v>410</v>
      </c>
    </row>
    <row r="493" spans="1:20" hidden="1" outlineLevel="1" x14ac:dyDescent="0.3">
      <c r="A493" s="583" t="s">
        <v>2052</v>
      </c>
      <c r="B493" s="975">
        <v>11</v>
      </c>
      <c r="C493" s="583" t="s">
        <v>1564</v>
      </c>
      <c r="D493" s="583" t="s">
        <v>1567</v>
      </c>
      <c r="E493" s="593" t="s">
        <v>410</v>
      </c>
      <c r="F493" s="593" t="s">
        <v>4656</v>
      </c>
      <c r="G493" s="593" t="s">
        <v>4657</v>
      </c>
      <c r="H493" s="593" t="s">
        <v>4658</v>
      </c>
      <c r="I493" s="593" t="s">
        <v>4659</v>
      </c>
      <c r="J493" s="593" t="s">
        <v>4660</v>
      </c>
      <c r="K493" s="593" t="s">
        <v>4661</v>
      </c>
      <c r="L493" s="593" t="s">
        <v>4662</v>
      </c>
      <c r="M493" s="593" t="s">
        <v>4663</v>
      </c>
      <c r="N493" s="237" t="s">
        <v>410</v>
      </c>
      <c r="O493" s="237" t="s">
        <v>410</v>
      </c>
      <c r="P493" s="237" t="s">
        <v>410</v>
      </c>
      <c r="Q493" s="237" t="s">
        <v>410</v>
      </c>
      <c r="R493" s="237" t="s">
        <v>410</v>
      </c>
      <c r="S493" s="237" t="s">
        <v>410</v>
      </c>
      <c r="T493" s="237" t="s">
        <v>410</v>
      </c>
    </row>
    <row r="494" spans="1:20" hidden="1" outlineLevel="1" x14ac:dyDescent="0.3">
      <c r="A494" s="583" t="s">
        <v>3151</v>
      </c>
      <c r="B494" s="975">
        <v>13</v>
      </c>
      <c r="C494" s="583" t="s">
        <v>1564</v>
      </c>
      <c r="D494" s="583" t="s">
        <v>1567</v>
      </c>
      <c r="E494" s="237" t="s">
        <v>410</v>
      </c>
      <c r="F494" s="593" t="s">
        <v>3070</v>
      </c>
      <c r="G494" s="593" t="s">
        <v>3071</v>
      </c>
      <c r="H494" s="593" t="s">
        <v>3072</v>
      </c>
      <c r="I494" s="593" t="s">
        <v>3073</v>
      </c>
      <c r="J494" s="593" t="s">
        <v>3074</v>
      </c>
      <c r="K494" s="593" t="s">
        <v>3075</v>
      </c>
      <c r="L494" s="593" t="s">
        <v>3076</v>
      </c>
      <c r="M494" s="593" t="s">
        <v>1068</v>
      </c>
      <c r="N494" s="237" t="s">
        <v>410</v>
      </c>
      <c r="O494" s="237" t="s">
        <v>410</v>
      </c>
      <c r="P494" s="237" t="s">
        <v>410</v>
      </c>
      <c r="Q494" s="237" t="s">
        <v>410</v>
      </c>
      <c r="R494" s="237" t="s">
        <v>410</v>
      </c>
      <c r="S494" s="237" t="s">
        <v>410</v>
      </c>
      <c r="T494" s="237" t="s">
        <v>410</v>
      </c>
    </row>
    <row r="495" spans="1:20" ht="14.25" hidden="1" customHeight="1" outlineLevel="1" x14ac:dyDescent="0.3">
      <c r="A495" s="583" t="s">
        <v>4632</v>
      </c>
      <c r="B495" s="975">
        <v>16</v>
      </c>
      <c r="C495" s="583" t="s">
        <v>1564</v>
      </c>
      <c r="D495" s="583" t="s">
        <v>1567</v>
      </c>
      <c r="E495" s="593" t="s">
        <v>410</v>
      </c>
      <c r="F495" s="593" t="s">
        <v>4648</v>
      </c>
      <c r="G495" s="593" t="s">
        <v>4649</v>
      </c>
      <c r="H495" s="593" t="s">
        <v>4650</v>
      </c>
      <c r="I495" s="593" t="s">
        <v>4651</v>
      </c>
      <c r="J495" s="593" t="s">
        <v>4652</v>
      </c>
      <c r="K495" s="593" t="s">
        <v>4653</v>
      </c>
      <c r="L495" s="593" t="s">
        <v>4654</v>
      </c>
      <c r="M495" s="593" t="s">
        <v>4655</v>
      </c>
      <c r="N495" s="237" t="s">
        <v>410</v>
      </c>
      <c r="O495" s="237" t="s">
        <v>410</v>
      </c>
      <c r="P495" s="237" t="s">
        <v>410</v>
      </c>
      <c r="Q495" s="237" t="s">
        <v>410</v>
      </c>
      <c r="R495" s="237" t="s">
        <v>410</v>
      </c>
      <c r="S495" s="237" t="s">
        <v>410</v>
      </c>
      <c r="T495" s="237" t="s">
        <v>410</v>
      </c>
    </row>
    <row r="496" spans="1:20" ht="14.25" hidden="1" customHeight="1" outlineLevel="1" x14ac:dyDescent="0.3">
      <c r="A496" s="583" t="s">
        <v>4773</v>
      </c>
      <c r="B496" s="975">
        <v>19</v>
      </c>
      <c r="C496" s="583" t="s">
        <v>1564</v>
      </c>
      <c r="D496" s="583" t="s">
        <v>1567</v>
      </c>
      <c r="E496" s="593" t="s">
        <v>410</v>
      </c>
      <c r="F496" s="593"/>
      <c r="G496" s="593"/>
      <c r="H496" s="593"/>
      <c r="I496" s="593"/>
      <c r="J496" s="593"/>
      <c r="K496" s="593"/>
      <c r="L496" s="593"/>
      <c r="M496" s="593"/>
      <c r="N496" s="237" t="s">
        <v>410</v>
      </c>
      <c r="O496" s="237" t="s">
        <v>410</v>
      </c>
      <c r="P496" s="237" t="s">
        <v>410</v>
      </c>
      <c r="Q496" s="237" t="s">
        <v>410</v>
      </c>
      <c r="R496" s="237" t="s">
        <v>410</v>
      </c>
      <c r="S496" s="237" t="s">
        <v>410</v>
      </c>
      <c r="T496" s="237" t="s">
        <v>410</v>
      </c>
    </row>
    <row r="497" spans="1:20" ht="14.25" hidden="1" customHeight="1" outlineLevel="1" x14ac:dyDescent="0.3">
      <c r="A497" s="583" t="s">
        <v>5508</v>
      </c>
      <c r="B497" s="975">
        <v>21</v>
      </c>
      <c r="C497" s="583" t="s">
        <v>1564</v>
      </c>
      <c r="D497" s="583" t="s">
        <v>1567</v>
      </c>
      <c r="E497" s="593" t="s">
        <v>410</v>
      </c>
      <c r="F497" s="593"/>
      <c r="G497" s="593"/>
      <c r="H497" s="593"/>
      <c r="I497" s="593"/>
      <c r="J497" s="593"/>
      <c r="K497" s="593"/>
      <c r="L497" s="593"/>
      <c r="M497" s="593"/>
      <c r="N497" s="237" t="s">
        <v>410</v>
      </c>
      <c r="O497" s="237" t="s">
        <v>410</v>
      </c>
      <c r="P497" s="237" t="s">
        <v>410</v>
      </c>
      <c r="Q497" s="237" t="s">
        <v>410</v>
      </c>
      <c r="R497" s="237" t="s">
        <v>410</v>
      </c>
      <c r="S497" s="237" t="s">
        <v>410</v>
      </c>
      <c r="T497" s="237" t="s">
        <v>410</v>
      </c>
    </row>
    <row r="498" spans="1:20" ht="14.25" customHeight="1" collapsed="1" x14ac:dyDescent="0.3">
      <c r="A498" s="583" t="s">
        <v>1463</v>
      </c>
      <c r="B498" s="975">
        <v>1</v>
      </c>
      <c r="C498" s="583" t="s">
        <v>1256</v>
      </c>
      <c r="D498" s="583" t="s">
        <v>5605</v>
      </c>
      <c r="E498" s="589" t="s">
        <v>410</v>
      </c>
      <c r="F498" s="590" t="s">
        <v>1465</v>
      </c>
      <c r="G498" s="590" t="s">
        <v>1466</v>
      </c>
      <c r="H498" s="590" t="s">
        <v>1467</v>
      </c>
      <c r="I498" s="590" t="s">
        <v>1468</v>
      </c>
      <c r="J498" s="590" t="s">
        <v>1469</v>
      </c>
      <c r="K498" s="590" t="s">
        <v>1470</v>
      </c>
      <c r="L498" s="441" t="s">
        <v>410</v>
      </c>
      <c r="M498" s="441" t="s">
        <v>410</v>
      </c>
      <c r="N498" s="441" t="s">
        <v>410</v>
      </c>
      <c r="O498" s="441" t="s">
        <v>410</v>
      </c>
      <c r="P498" s="441" t="s">
        <v>410</v>
      </c>
      <c r="Q498" s="441" t="s">
        <v>410</v>
      </c>
      <c r="R498" s="441" t="s">
        <v>410</v>
      </c>
      <c r="S498" s="441" t="s">
        <v>410</v>
      </c>
      <c r="T498" s="441" t="s">
        <v>410</v>
      </c>
    </row>
    <row r="499" spans="1:20" ht="14.25" hidden="1" customHeight="1" outlineLevel="1" x14ac:dyDescent="0.3">
      <c r="A499" s="583" t="s">
        <v>3333</v>
      </c>
      <c r="B499" s="975">
        <v>1</v>
      </c>
      <c r="C499" s="583" t="s">
        <v>1256</v>
      </c>
      <c r="D499" s="583" t="s">
        <v>5605</v>
      </c>
      <c r="E499" s="589" t="s">
        <v>66</v>
      </c>
      <c r="F499" s="590" t="s">
        <v>5503</v>
      </c>
      <c r="G499" s="590" t="s">
        <v>3159</v>
      </c>
      <c r="H499" s="590" t="s">
        <v>3160</v>
      </c>
      <c r="I499" s="590" t="s">
        <v>3274</v>
      </c>
      <c r="J499" s="441" t="s">
        <v>410</v>
      </c>
      <c r="K499" s="441" t="s">
        <v>410</v>
      </c>
      <c r="L499" s="441" t="s">
        <v>410</v>
      </c>
      <c r="M499" s="441" t="s">
        <v>410</v>
      </c>
      <c r="N499" s="441" t="s">
        <v>410</v>
      </c>
      <c r="O499" s="441" t="s">
        <v>410</v>
      </c>
      <c r="P499" s="441" t="s">
        <v>410</v>
      </c>
      <c r="Q499" s="441" t="s">
        <v>410</v>
      </c>
      <c r="R499" s="441" t="s">
        <v>410</v>
      </c>
      <c r="S499" s="441" t="s">
        <v>410</v>
      </c>
      <c r="T499" s="441" t="s">
        <v>410</v>
      </c>
    </row>
    <row r="500" spans="1:20" ht="14.25" hidden="1" customHeight="1" outlineLevel="1" x14ac:dyDescent="0.3">
      <c r="A500" s="583" t="s">
        <v>3616</v>
      </c>
      <c r="B500" s="591">
        <v>1</v>
      </c>
      <c r="C500" s="588" t="s">
        <v>1256</v>
      </c>
      <c r="D500" s="583" t="s">
        <v>5605</v>
      </c>
      <c r="E500" s="589" t="s">
        <v>410</v>
      </c>
      <c r="F500" s="594" t="str">
        <f>CONCATENATE(TEXT(4+IF(CHR&lt;0,0,CHR)*1,"0")," mg")</f>
        <v>4 mg</v>
      </c>
      <c r="G500" s="594" t="str">
        <f>CONCATENATE(TEXT(5+IF(CHR&lt;0,0,CHR)*2,"0")," mg")</f>
        <v>5 mg</v>
      </c>
      <c r="H500" s="594" t="str">
        <f>CONCATENATE(TEXT(7+IF(CHR&lt;0,0,CHR)*2,"0")," mg")</f>
        <v>7 mg</v>
      </c>
      <c r="I500" s="594" t="str">
        <f>CONCATENATE(TEXT(9+IF(CHR&lt;0,0,CHR)*2,"0")," mg")</f>
        <v>9 mg</v>
      </c>
      <c r="J500" s="594" t="str">
        <f>CONCATENATE(TEXT(9+IF(CHR&lt;0,0,CHR)*3,"0")," mg")</f>
        <v>9 mg</v>
      </c>
      <c r="K500" s="594" t="str">
        <f>CONCATENATE(TEXT(10+IF(CHR&lt;0,0,CHR)*4,"0")," mg")</f>
        <v>10 mg</v>
      </c>
      <c r="L500" s="594" t="str">
        <f>CONCATENATE(TEXT(13+IF(CHR&lt;0,0,CHR)*4,"0")," mg")</f>
        <v>13 mg</v>
      </c>
      <c r="M500" s="594" t="str">
        <f>CONCATENATE(TEXT(16+IF(CHR&lt;0,0,CHR)*4,"0")," mg")</f>
        <v>16 mg</v>
      </c>
      <c r="N500" s="594" t="str">
        <f>CONCATENATE(TEXT(19+IF(CHR&lt;0,0,CHR)*4,"0")," mg")</f>
        <v>19 mg</v>
      </c>
      <c r="O500" s="594" t="str">
        <f>CONCATENATE(TEXT(21+IF(CHR&lt;0,0,CHR)*5,"0")," mg")</f>
        <v>21 mg</v>
      </c>
      <c r="P500" s="441" t="s">
        <v>410</v>
      </c>
      <c r="Q500" s="441" t="s">
        <v>410</v>
      </c>
      <c r="R500" s="441" t="s">
        <v>410</v>
      </c>
      <c r="S500" s="441" t="s">
        <v>410</v>
      </c>
      <c r="T500" s="441" t="s">
        <v>410</v>
      </c>
    </row>
    <row r="501" spans="1:20" ht="14.25" hidden="1" customHeight="1" outlineLevel="1" x14ac:dyDescent="0.3">
      <c r="A501" s="583" t="s">
        <v>1574</v>
      </c>
      <c r="B501" s="591">
        <v>1</v>
      </c>
      <c r="C501" s="588" t="s">
        <v>1256</v>
      </c>
      <c r="D501" s="583" t="s">
        <v>5605</v>
      </c>
      <c r="E501" s="589" t="s">
        <v>410</v>
      </c>
      <c r="F501" s="594" t="str">
        <f>CONCATENATE(TEXT(4+IF(CHR&lt;0,0,CHR)*1,"0")," mg")</f>
        <v>4 mg</v>
      </c>
      <c r="G501" s="594" t="str">
        <f>CONCATENATE(TEXT(5+IF(CHR&lt;0,0,CHR)*2,"0")," mg")</f>
        <v>5 mg</v>
      </c>
      <c r="H501" s="594" t="str">
        <f>CONCATENATE(TEXT(7+IF(CHR&lt;0,0,CHR)*2,"0")," mg")</f>
        <v>7 mg</v>
      </c>
      <c r="I501" s="594" t="str">
        <f>CONCATENATE(TEXT(9+IF(CHR&lt;0,0,CHR)*2,"0")," mg")</f>
        <v>9 mg</v>
      </c>
      <c r="J501" s="594" t="str">
        <f>CONCATENATE(TEXT(9+IF(CHR&lt;0,0,CHR)*3,"0")," mg")</f>
        <v>9 mg</v>
      </c>
      <c r="K501" s="594" t="str">
        <f>CONCATENATE(TEXT(10+IF(CHR&lt;0,0,CHR)*4,"0")," mg")</f>
        <v>10 mg</v>
      </c>
      <c r="L501" s="594" t="str">
        <f>CONCATENATE(TEXT(13+IF(CHR&lt;0,0,CHR)*4,"0")," mg")</f>
        <v>13 mg</v>
      </c>
      <c r="M501" s="594" t="str">
        <f>CONCATENATE(TEXT(16+IF(CHR&lt;0,0,CHR)*4,"0")," mg")</f>
        <v>16 mg</v>
      </c>
      <c r="N501" s="594" t="str">
        <f>CONCATENATE(TEXT(19+IF(CHR&lt;0,0,CHR)*4,"0")," mg")</f>
        <v>19 mg</v>
      </c>
      <c r="O501" s="594" t="str">
        <f>CONCATENATE(TEXT(21+IF(CHR&lt;0,0,CHR)*5,"0")," mg")</f>
        <v>21 mg</v>
      </c>
      <c r="P501" s="441" t="s">
        <v>410</v>
      </c>
      <c r="Q501" s="441" t="s">
        <v>410</v>
      </c>
      <c r="R501" s="441" t="s">
        <v>410</v>
      </c>
      <c r="S501" s="441" t="s">
        <v>410</v>
      </c>
      <c r="T501" s="441" t="s">
        <v>410</v>
      </c>
    </row>
    <row r="502" spans="1:20" ht="14.25" hidden="1" customHeight="1" outlineLevel="1" x14ac:dyDescent="0.3">
      <c r="A502" s="583" t="s">
        <v>3613</v>
      </c>
      <c r="B502" s="591">
        <v>1</v>
      </c>
      <c r="C502" s="588" t="s">
        <v>1256</v>
      </c>
      <c r="D502" s="583" t="s">
        <v>5605</v>
      </c>
      <c r="E502" s="589" t="s">
        <v>410</v>
      </c>
      <c r="F502" s="594" t="str">
        <f>CONCATENATE(TEXT(4+IF(INT&lt;0,0,INT)*1,"0")," mg")</f>
        <v>4 mg</v>
      </c>
      <c r="G502" s="594" t="str">
        <f>CONCATENATE(TEXT(5+IF(INT&lt;0,0,INT)*2,"0")," mg")</f>
        <v>5 mg</v>
      </c>
      <c r="H502" s="594" t="str">
        <f>CONCATENATE(TEXT(7+IF(INT&lt;0,0,INT)*2,"0")," mg")</f>
        <v>7 mg</v>
      </c>
      <c r="I502" s="594" t="str">
        <f>CONCATENATE(TEXT(9+IF(INT&lt;0,0,INT)*2,"0")," mg")</f>
        <v>9 mg</v>
      </c>
      <c r="J502" s="594" t="str">
        <f>CONCATENATE(TEXT(9+IF(INT&lt;0,0,INT)*3,"0")," mg")</f>
        <v>9 mg</v>
      </c>
      <c r="K502" s="594" t="str">
        <f>CONCATENATE(TEXT(10+IF(INT&lt;0,0,INT)*4,"0")," mg")</f>
        <v>10 mg</v>
      </c>
      <c r="L502" s="594" t="str">
        <f>CONCATENATE(TEXT(13+IF(INT&lt;0,0,INT)*4,"0")," mg")</f>
        <v>13 mg</v>
      </c>
      <c r="M502" s="594" t="str">
        <f>CONCATENATE(TEXT(16+IF(INT&lt;0,0,INT)*4,"0")," mg")</f>
        <v>16 mg</v>
      </c>
      <c r="N502" s="594" t="str">
        <f>CONCATENATE(TEXT(19+IF(INT&lt;0,0,INT)*4,"0")," mg")</f>
        <v>19 mg</v>
      </c>
      <c r="O502" s="594" t="str">
        <f>CONCATENATE(TEXT(21+IF(INT&lt;0,0,INT)*5,"0")," mg")</f>
        <v>21 mg</v>
      </c>
      <c r="P502" s="441" t="s">
        <v>410</v>
      </c>
      <c r="Q502" s="441" t="s">
        <v>410</v>
      </c>
      <c r="R502" s="441" t="s">
        <v>410</v>
      </c>
      <c r="S502" s="441" t="s">
        <v>410</v>
      </c>
      <c r="T502" s="441" t="s">
        <v>410</v>
      </c>
    </row>
    <row r="503" spans="1:20" ht="14.25" hidden="1" customHeight="1" outlineLevel="1" x14ac:dyDescent="0.3">
      <c r="A503" s="583" t="s">
        <v>1593</v>
      </c>
      <c r="B503" s="975">
        <v>1</v>
      </c>
      <c r="C503" s="583" t="s">
        <v>1256</v>
      </c>
      <c r="D503" s="583" t="s">
        <v>5605</v>
      </c>
      <c r="E503" s="593" t="s">
        <v>1594</v>
      </c>
      <c r="F503" s="593" t="s">
        <v>1595</v>
      </c>
      <c r="G503" s="593" t="s">
        <v>1596</v>
      </c>
      <c r="H503" s="593" t="s">
        <v>1597</v>
      </c>
      <c r="I503" s="441" t="s">
        <v>410</v>
      </c>
      <c r="J503" s="441" t="s">
        <v>410</v>
      </c>
      <c r="K503" s="441" t="s">
        <v>410</v>
      </c>
      <c r="L503" s="441" t="s">
        <v>410</v>
      </c>
      <c r="M503" s="441" t="s">
        <v>410</v>
      </c>
      <c r="N503" s="441" t="s">
        <v>410</v>
      </c>
      <c r="O503" s="441" t="s">
        <v>410</v>
      </c>
      <c r="P503" s="441" t="s">
        <v>410</v>
      </c>
      <c r="Q503" s="441" t="s">
        <v>410</v>
      </c>
      <c r="R503" s="441" t="s">
        <v>410</v>
      </c>
      <c r="S503" s="441" t="s">
        <v>410</v>
      </c>
      <c r="T503" s="441" t="s">
        <v>410</v>
      </c>
    </row>
    <row r="504" spans="1:20" ht="14.25" hidden="1" customHeight="1" outlineLevel="1" x14ac:dyDescent="0.3">
      <c r="A504" s="583" t="s">
        <v>1610</v>
      </c>
      <c r="B504" s="975">
        <v>1</v>
      </c>
      <c r="C504" s="583" t="s">
        <v>1256</v>
      </c>
      <c r="D504" s="583" t="s">
        <v>5605</v>
      </c>
      <c r="E504" s="590" t="s">
        <v>2161</v>
      </c>
      <c r="F504" s="590" t="s">
        <v>2161</v>
      </c>
      <c r="G504" s="590" t="s">
        <v>2162</v>
      </c>
      <c r="H504" s="590" t="s">
        <v>2163</v>
      </c>
      <c r="I504" s="590" t="s">
        <v>2164</v>
      </c>
      <c r="J504" s="590" t="s">
        <v>2165</v>
      </c>
      <c r="K504" s="590" t="s">
        <v>2166</v>
      </c>
      <c r="L504" s="441" t="s">
        <v>410</v>
      </c>
      <c r="M504" s="441" t="s">
        <v>410</v>
      </c>
      <c r="N504" s="441" t="s">
        <v>410</v>
      </c>
      <c r="O504" s="441" t="s">
        <v>410</v>
      </c>
      <c r="P504" s="441" t="s">
        <v>410</v>
      </c>
      <c r="Q504" s="441" t="s">
        <v>410</v>
      </c>
      <c r="R504" s="441" t="s">
        <v>410</v>
      </c>
      <c r="S504" s="441" t="s">
        <v>410</v>
      </c>
      <c r="T504" s="441" t="s">
        <v>410</v>
      </c>
    </row>
    <row r="505" spans="1:20" ht="14.25" hidden="1" customHeight="1" outlineLevel="1" x14ac:dyDescent="0.3">
      <c r="A505" s="583" t="s">
        <v>4211</v>
      </c>
      <c r="B505" s="975">
        <v>1</v>
      </c>
      <c r="C505" s="583" t="s">
        <v>1256</v>
      </c>
      <c r="D505" s="583" t="s">
        <v>5605</v>
      </c>
      <c r="E505" s="590" t="s">
        <v>66</v>
      </c>
      <c r="F505" s="590" t="s">
        <v>4324</v>
      </c>
      <c r="G505" s="590" t="s">
        <v>68</v>
      </c>
      <c r="H505" s="590" t="s">
        <v>70</v>
      </c>
      <c r="I505" s="441" t="s">
        <v>410</v>
      </c>
      <c r="J505" s="441" t="s">
        <v>410</v>
      </c>
      <c r="K505" s="441" t="s">
        <v>410</v>
      </c>
      <c r="L505" s="441" t="s">
        <v>410</v>
      </c>
      <c r="M505" s="441" t="s">
        <v>410</v>
      </c>
      <c r="N505" s="441" t="s">
        <v>410</v>
      </c>
      <c r="O505" s="441" t="s">
        <v>410</v>
      </c>
      <c r="P505" s="441" t="s">
        <v>410</v>
      </c>
      <c r="Q505" s="441" t="s">
        <v>410</v>
      </c>
      <c r="R505" s="441" t="s">
        <v>410</v>
      </c>
      <c r="S505" s="441" t="s">
        <v>410</v>
      </c>
      <c r="T505" s="441" t="s">
        <v>410</v>
      </c>
    </row>
    <row r="506" spans="1:20" ht="14.25" hidden="1" customHeight="1" outlineLevel="1" x14ac:dyDescent="0.3">
      <c r="A506" s="583" t="s">
        <v>5606</v>
      </c>
      <c r="B506" s="975">
        <v>1</v>
      </c>
      <c r="C506" s="583" t="s">
        <v>1256</v>
      </c>
      <c r="D506" s="583" t="s">
        <v>5605</v>
      </c>
      <c r="E506" s="593" t="s">
        <v>410</v>
      </c>
      <c r="F506" s="593"/>
      <c r="G506" s="593"/>
      <c r="H506" s="593"/>
      <c r="I506" s="593"/>
      <c r="J506" s="593"/>
      <c r="K506" s="593"/>
      <c r="L506" s="593"/>
      <c r="M506" s="237" t="s">
        <v>410</v>
      </c>
      <c r="N506" s="237" t="s">
        <v>410</v>
      </c>
      <c r="O506" s="237" t="s">
        <v>410</v>
      </c>
      <c r="P506" s="237" t="s">
        <v>410</v>
      </c>
      <c r="Q506" s="237" t="s">
        <v>410</v>
      </c>
      <c r="R506" s="237" t="s">
        <v>410</v>
      </c>
      <c r="S506" s="237" t="s">
        <v>410</v>
      </c>
      <c r="T506" s="237" t="s">
        <v>410</v>
      </c>
    </row>
    <row r="507" spans="1:20" ht="14.25" hidden="1" customHeight="1" outlineLevel="1" x14ac:dyDescent="0.3">
      <c r="A507" s="583" t="s">
        <v>1932</v>
      </c>
      <c r="B507" s="975">
        <v>1</v>
      </c>
      <c r="C507" s="583" t="s">
        <v>1256</v>
      </c>
      <c r="D507" s="583" t="s">
        <v>5605</v>
      </c>
      <c r="E507" s="614" t="s">
        <v>4203</v>
      </c>
      <c r="F507" s="614" t="s">
        <v>4204</v>
      </c>
      <c r="G507" s="614" t="s">
        <v>4205</v>
      </c>
      <c r="H507" s="614" t="s">
        <v>4206</v>
      </c>
      <c r="I507" s="614" t="s">
        <v>4207</v>
      </c>
      <c r="J507" s="614" t="s">
        <v>4208</v>
      </c>
      <c r="K507" s="614" t="s">
        <v>4209</v>
      </c>
      <c r="L507" s="237" t="s">
        <v>410</v>
      </c>
      <c r="M507" s="237" t="s">
        <v>410</v>
      </c>
      <c r="N507" s="237" t="s">
        <v>410</v>
      </c>
      <c r="O507" s="237" t="s">
        <v>410</v>
      </c>
      <c r="P507" s="237" t="s">
        <v>410</v>
      </c>
      <c r="Q507" s="237" t="s">
        <v>410</v>
      </c>
      <c r="R507" s="237" t="s">
        <v>410</v>
      </c>
      <c r="S507" s="10" t="s">
        <v>410</v>
      </c>
      <c r="T507" s="10" t="s">
        <v>410</v>
      </c>
    </row>
    <row r="508" spans="1:20" ht="14.25" hidden="1" customHeight="1" outlineLevel="1" x14ac:dyDescent="0.3">
      <c r="A508" s="583" t="s">
        <v>1935</v>
      </c>
      <c r="B508" s="975">
        <v>1</v>
      </c>
      <c r="C508" s="583" t="s">
        <v>1256</v>
      </c>
      <c r="D508" s="583" t="s">
        <v>5605</v>
      </c>
      <c r="E508" s="592" t="s">
        <v>90</v>
      </c>
      <c r="F508" s="593" t="s">
        <v>3340</v>
      </c>
      <c r="G508" s="593" t="s">
        <v>3341</v>
      </c>
      <c r="H508" s="593" t="s">
        <v>3342</v>
      </c>
      <c r="I508" s="593" t="s">
        <v>3343</v>
      </c>
      <c r="J508" s="237" t="s">
        <v>410</v>
      </c>
      <c r="K508" s="237" t="s">
        <v>410</v>
      </c>
      <c r="L508" s="237" t="s">
        <v>410</v>
      </c>
      <c r="M508" s="237" t="s">
        <v>410</v>
      </c>
      <c r="N508" s="237" t="s">
        <v>410</v>
      </c>
      <c r="O508" s="237" t="s">
        <v>410</v>
      </c>
      <c r="P508" s="237" t="s">
        <v>410</v>
      </c>
      <c r="Q508" s="237" t="s">
        <v>410</v>
      </c>
      <c r="R508" s="237" t="s">
        <v>410</v>
      </c>
      <c r="S508" s="10" t="s">
        <v>410</v>
      </c>
      <c r="T508" s="10" t="s">
        <v>410</v>
      </c>
    </row>
    <row r="509" spans="1:20" ht="14.25" hidden="1" customHeight="1" outlineLevel="1" x14ac:dyDescent="0.3">
      <c r="A509" s="583" t="s">
        <v>1949</v>
      </c>
      <c r="B509" s="975">
        <v>1</v>
      </c>
      <c r="C509" s="583" t="s">
        <v>1256</v>
      </c>
      <c r="D509" s="583" t="s">
        <v>5605</v>
      </c>
      <c r="E509" s="594" t="str">
        <f>CONCATENATE(TEXT(sSms,"0")," %")</f>
        <v>5 %</v>
      </c>
      <c r="F509" s="594" t="str">
        <f>CONCATENATE(TEXT(sSms+10,"0")," %")</f>
        <v>15 %</v>
      </c>
      <c r="G509" s="594" t="str">
        <f>CONCATENATE(TEXT(sSms+20,"0")," %")</f>
        <v>25 %</v>
      </c>
      <c r="H509" s="594" t="str">
        <f>CONCATENATE(TEXT(sSms+30,"0")," %")</f>
        <v>35 %</v>
      </c>
      <c r="I509" s="594" t="str">
        <f>CONCATENATE(TEXT(sSms+40,"0")," %")</f>
        <v>45 %</v>
      </c>
      <c r="J509" s="594" t="str">
        <f>CONCATENATE(TEXT(sSms+50,"0")," %")</f>
        <v>55 %</v>
      </c>
      <c r="K509" s="237" t="s">
        <v>410</v>
      </c>
      <c r="L509" s="237" t="s">
        <v>410</v>
      </c>
      <c r="M509" s="237" t="s">
        <v>410</v>
      </c>
      <c r="N509" s="237" t="s">
        <v>410</v>
      </c>
      <c r="O509" s="237" t="s">
        <v>410</v>
      </c>
      <c r="P509" s="237" t="s">
        <v>410</v>
      </c>
      <c r="Q509" s="237" t="s">
        <v>410</v>
      </c>
      <c r="R509" s="237" t="s">
        <v>410</v>
      </c>
      <c r="S509" s="237" t="s">
        <v>410</v>
      </c>
      <c r="T509" s="237" t="s">
        <v>410</v>
      </c>
    </row>
    <row r="510" spans="1:20" ht="14.25" hidden="1" customHeight="1" outlineLevel="1" x14ac:dyDescent="0.3">
      <c r="A510" s="583" t="s">
        <v>1752</v>
      </c>
      <c r="B510" s="975">
        <v>2</v>
      </c>
      <c r="C510" s="583" t="s">
        <v>1256</v>
      </c>
      <c r="D510" s="583" t="s">
        <v>5605</v>
      </c>
      <c r="E510" s="592" t="s">
        <v>3073</v>
      </c>
      <c r="F510" s="593" t="s">
        <v>4377</v>
      </c>
      <c r="G510" s="593" t="s">
        <v>3335</v>
      </c>
      <c r="H510" s="593" t="s">
        <v>3336</v>
      </c>
      <c r="I510" s="593" t="s">
        <v>3337</v>
      </c>
      <c r="J510" s="593" t="s">
        <v>3338</v>
      </c>
      <c r="K510" s="237" t="s">
        <v>410</v>
      </c>
      <c r="L510" s="237" t="s">
        <v>410</v>
      </c>
      <c r="M510" s="237" t="s">
        <v>410</v>
      </c>
      <c r="N510" s="237" t="s">
        <v>410</v>
      </c>
      <c r="O510" s="237" t="s">
        <v>410</v>
      </c>
      <c r="P510" s="237" t="s">
        <v>410</v>
      </c>
      <c r="Q510" s="237" t="s">
        <v>410</v>
      </c>
      <c r="R510" s="237" t="s">
        <v>410</v>
      </c>
      <c r="S510" s="10" t="s">
        <v>410</v>
      </c>
      <c r="T510" s="10" t="s">
        <v>410</v>
      </c>
    </row>
    <row r="511" spans="1:20" ht="14.25" hidden="1" customHeight="1" outlineLevel="1" x14ac:dyDescent="0.3">
      <c r="A511" s="583" t="s">
        <v>3033</v>
      </c>
      <c r="B511" s="975">
        <v>2</v>
      </c>
      <c r="C511" s="583" t="s">
        <v>1256</v>
      </c>
      <c r="D511" s="583" t="s">
        <v>5605</v>
      </c>
      <c r="E511" s="593" t="s">
        <v>3034</v>
      </c>
      <c r="F511" s="593" t="s">
        <v>3035</v>
      </c>
      <c r="G511" s="593" t="s">
        <v>3036</v>
      </c>
      <c r="H511" s="593" t="s">
        <v>3038</v>
      </c>
      <c r="I511" s="593" t="s">
        <v>3037</v>
      </c>
      <c r="J511" s="237" t="s">
        <v>410</v>
      </c>
      <c r="K511" s="237" t="s">
        <v>410</v>
      </c>
      <c r="L511" s="237" t="s">
        <v>410</v>
      </c>
      <c r="M511" s="237" t="s">
        <v>410</v>
      </c>
      <c r="N511" s="237" t="s">
        <v>410</v>
      </c>
      <c r="O511" s="237" t="s">
        <v>410</v>
      </c>
      <c r="P511" s="237" t="s">
        <v>410</v>
      </c>
      <c r="Q511" s="237" t="s">
        <v>410</v>
      </c>
      <c r="R511" s="237" t="s">
        <v>410</v>
      </c>
      <c r="S511" s="10" t="s">
        <v>410</v>
      </c>
      <c r="T511" s="10" t="s">
        <v>410</v>
      </c>
    </row>
    <row r="512" spans="1:20" ht="14.25" hidden="1" customHeight="1" outlineLevel="1" x14ac:dyDescent="0.3">
      <c r="A512" s="583" t="s">
        <v>1995</v>
      </c>
      <c r="B512" s="975">
        <v>3</v>
      </c>
      <c r="C512" s="583" t="s">
        <v>1256</v>
      </c>
      <c r="D512" s="583" t="s">
        <v>5605</v>
      </c>
      <c r="E512" s="237" t="s">
        <v>410</v>
      </c>
      <c r="F512" s="593" t="s">
        <v>1525</v>
      </c>
      <c r="G512" s="593" t="s">
        <v>3316</v>
      </c>
      <c r="H512" s="593" t="s">
        <v>3317</v>
      </c>
      <c r="I512" s="593" t="s">
        <v>3318</v>
      </c>
      <c r="J512" s="593" t="s">
        <v>3319</v>
      </c>
      <c r="K512" s="237" t="s">
        <v>410</v>
      </c>
      <c r="L512" s="237" t="s">
        <v>410</v>
      </c>
      <c r="M512" s="237" t="s">
        <v>410</v>
      </c>
      <c r="N512" s="237" t="s">
        <v>410</v>
      </c>
      <c r="O512" s="237" t="s">
        <v>410</v>
      </c>
      <c r="P512" s="237" t="s">
        <v>410</v>
      </c>
      <c r="Q512" s="237" t="s">
        <v>410</v>
      </c>
      <c r="R512" s="237" t="s">
        <v>410</v>
      </c>
      <c r="S512" s="237" t="s">
        <v>410</v>
      </c>
      <c r="T512" s="237" t="s">
        <v>410</v>
      </c>
    </row>
    <row r="513" spans="1:20" ht="14.25" hidden="1" customHeight="1" outlineLevel="1" x14ac:dyDescent="0.3">
      <c r="A513" s="583" t="s">
        <v>1872</v>
      </c>
      <c r="B513" s="975">
        <v>4</v>
      </c>
      <c r="C513" s="583" t="s">
        <v>1256</v>
      </c>
      <c r="D513" s="583" t="s">
        <v>5605</v>
      </c>
      <c r="E513" s="855" t="s">
        <v>410</v>
      </c>
      <c r="F513" s="593" t="s">
        <v>4449</v>
      </c>
      <c r="G513" s="593" t="s">
        <v>4213</v>
      </c>
      <c r="H513" s="593" t="s">
        <v>4214</v>
      </c>
      <c r="I513" s="237" t="s">
        <v>410</v>
      </c>
      <c r="J513" s="237" t="s">
        <v>410</v>
      </c>
      <c r="K513" s="237" t="s">
        <v>410</v>
      </c>
      <c r="L513" s="237" t="s">
        <v>410</v>
      </c>
      <c r="M513" s="237" t="s">
        <v>410</v>
      </c>
      <c r="N513" s="237" t="s">
        <v>410</v>
      </c>
      <c r="O513" s="237" t="s">
        <v>410</v>
      </c>
      <c r="P513" s="237" t="s">
        <v>410</v>
      </c>
      <c r="Q513" s="237" t="s">
        <v>410</v>
      </c>
      <c r="R513" s="237" t="s">
        <v>410</v>
      </c>
      <c r="S513" s="10" t="s">
        <v>410</v>
      </c>
      <c r="T513" s="10" t="s">
        <v>410</v>
      </c>
    </row>
    <row r="514" spans="1:20" ht="14.25" hidden="1" customHeight="1" outlineLevel="1" x14ac:dyDescent="0.3">
      <c r="A514" s="583" t="s">
        <v>1845</v>
      </c>
      <c r="B514" s="591">
        <v>5</v>
      </c>
      <c r="C514" s="583" t="s">
        <v>1256</v>
      </c>
      <c r="D514" s="583" t="s">
        <v>5605</v>
      </c>
      <c r="E514" s="10" t="s">
        <v>410</v>
      </c>
      <c r="F514" s="593" t="s">
        <v>3311</v>
      </c>
      <c r="G514" s="593" t="s">
        <v>3312</v>
      </c>
      <c r="H514" s="593" t="s">
        <v>3313</v>
      </c>
      <c r="I514" s="593" t="s">
        <v>3314</v>
      </c>
      <c r="J514" s="593" t="s">
        <v>3315</v>
      </c>
      <c r="K514" s="237" t="s">
        <v>410</v>
      </c>
      <c r="L514" s="237" t="s">
        <v>410</v>
      </c>
      <c r="M514" s="237" t="s">
        <v>410</v>
      </c>
      <c r="N514" s="237" t="s">
        <v>410</v>
      </c>
      <c r="O514" s="237" t="s">
        <v>410</v>
      </c>
      <c r="P514" s="237" t="s">
        <v>410</v>
      </c>
      <c r="Q514" s="237" t="s">
        <v>410</v>
      </c>
      <c r="R514" s="237" t="s">
        <v>410</v>
      </c>
      <c r="S514" s="10" t="s">
        <v>410</v>
      </c>
      <c r="T514" s="10" t="s">
        <v>410</v>
      </c>
    </row>
    <row r="515" spans="1:20" ht="14.25" hidden="1" customHeight="1" outlineLevel="1" x14ac:dyDescent="0.3">
      <c r="A515" s="583" t="s">
        <v>5485</v>
      </c>
      <c r="B515" s="975">
        <v>5</v>
      </c>
      <c r="C515" s="583" t="s">
        <v>1256</v>
      </c>
      <c r="D515" s="583" t="s">
        <v>5605</v>
      </c>
      <c r="E515" s="592" t="s">
        <v>410</v>
      </c>
      <c r="F515" s="593" t="s">
        <v>3269</v>
      </c>
      <c r="G515" s="593" t="s">
        <v>3270</v>
      </c>
      <c r="H515" s="593" t="s">
        <v>3271</v>
      </c>
      <c r="I515" s="593" t="s">
        <v>3272</v>
      </c>
      <c r="J515" s="593" t="s">
        <v>3273</v>
      </c>
      <c r="K515" s="237" t="s">
        <v>410</v>
      </c>
      <c r="L515" s="237" t="s">
        <v>410</v>
      </c>
      <c r="M515" s="237" t="s">
        <v>410</v>
      </c>
      <c r="N515" s="237" t="s">
        <v>410</v>
      </c>
      <c r="O515" s="237" t="s">
        <v>410</v>
      </c>
      <c r="P515" s="237" t="s">
        <v>410</v>
      </c>
      <c r="Q515" s="237" t="s">
        <v>410</v>
      </c>
      <c r="R515" s="237" t="s">
        <v>410</v>
      </c>
      <c r="S515" s="10" t="s">
        <v>410</v>
      </c>
      <c r="T515" s="10" t="s">
        <v>410</v>
      </c>
    </row>
    <row r="516" spans="1:20" hidden="1" outlineLevel="1" x14ac:dyDescent="0.3">
      <c r="A516" s="583" t="s">
        <v>5694</v>
      </c>
      <c r="B516" s="591">
        <v>6</v>
      </c>
      <c r="C516" s="588" t="s">
        <v>1256</v>
      </c>
      <c r="D516" s="588" t="s">
        <v>5605</v>
      </c>
      <c r="E516" s="589" t="s">
        <v>410</v>
      </c>
      <c r="F516" s="594" t="str">
        <f>CONCATENATE(TEXT(4+IF(ZRČ&lt;0,0,ZRČ)*1,"0")," mg")</f>
        <v>4 mg</v>
      </c>
      <c r="G516" s="594" t="str">
        <f>CONCATENATE(TEXT(5+IF(ZRČ&lt;0,0,ZRČ)*2,"0")," mg")</f>
        <v>5 mg</v>
      </c>
      <c r="H516" s="594" t="str">
        <f>CONCATENATE(TEXT(7+IF(ZRČ&lt;0,0,ZRČ)*2,"0")," mg")</f>
        <v>7 mg</v>
      </c>
      <c r="I516" s="594" t="str">
        <f>CONCATENATE(TEXT(9+IF(ZRČ&lt;0,0,ZRČ)*2,"0")," mg")</f>
        <v>9 mg</v>
      </c>
      <c r="J516" s="594" t="str">
        <f>CONCATENATE(TEXT(9+IF(ZRČ&lt;0,0,ZRČ)*3,"0")," mg")</f>
        <v>9 mg</v>
      </c>
      <c r="K516" s="594" t="str">
        <f>CONCATENATE(TEXT(10+IF(ZRČ&lt;0,0,ZRČ)*4,"0")," mg")</f>
        <v>10 mg</v>
      </c>
      <c r="L516" s="594" t="str">
        <f>CONCATENATE(TEXT(13+IF(ZRČ&lt;0,0,ZRČ)*4,"0")," mg")</f>
        <v>13 mg</v>
      </c>
      <c r="M516" s="594" t="str">
        <f>CONCATENATE(TEXT(16+IF(ZRČ&lt;0,0,ZRČ)*4,"0")," mg")</f>
        <v>16 mg</v>
      </c>
      <c r="N516" s="594" t="str">
        <f>CONCATENATE(TEXT(19+IF(ZRČ&lt;0,0,ZRČ)*4,"0")," mg")</f>
        <v>19 mg</v>
      </c>
      <c r="O516" s="594" t="str">
        <f>CONCATENATE(TEXT(21+IF(ZRČ&lt;0,0,ZRČ)*5,"0")," mg")</f>
        <v>21 mg</v>
      </c>
      <c r="P516" s="441" t="s">
        <v>410</v>
      </c>
      <c r="Q516" s="441" t="s">
        <v>410</v>
      </c>
      <c r="R516" s="441" t="s">
        <v>410</v>
      </c>
      <c r="S516" s="441" t="s">
        <v>410</v>
      </c>
      <c r="T516" s="441" t="s">
        <v>410</v>
      </c>
    </row>
    <row r="517" spans="1:20" ht="14.25" hidden="1" customHeight="1" outlineLevel="1" x14ac:dyDescent="0.3">
      <c r="A517" s="583" t="s">
        <v>1774</v>
      </c>
      <c r="B517" s="975">
        <v>6</v>
      </c>
      <c r="C517" s="583" t="s">
        <v>1256</v>
      </c>
      <c r="D517" s="583" t="s">
        <v>5605</v>
      </c>
      <c r="E517" s="592" t="s">
        <v>410</v>
      </c>
      <c r="F517" s="593" t="s">
        <v>67</v>
      </c>
      <c r="G517" s="593" t="s">
        <v>3159</v>
      </c>
      <c r="H517" s="593" t="s">
        <v>3160</v>
      </c>
      <c r="I517" s="593" t="s">
        <v>3274</v>
      </c>
      <c r="J517" s="237" t="s">
        <v>410</v>
      </c>
      <c r="K517" s="237" t="s">
        <v>410</v>
      </c>
      <c r="L517" s="237" t="s">
        <v>410</v>
      </c>
      <c r="M517" s="237" t="s">
        <v>410</v>
      </c>
      <c r="N517" s="237" t="s">
        <v>410</v>
      </c>
      <c r="O517" s="237" t="s">
        <v>410</v>
      </c>
      <c r="P517" s="237" t="s">
        <v>410</v>
      </c>
      <c r="Q517" s="237" t="s">
        <v>410</v>
      </c>
      <c r="R517" s="237" t="s">
        <v>410</v>
      </c>
      <c r="S517" s="10" t="s">
        <v>410</v>
      </c>
      <c r="T517" s="10" t="s">
        <v>410</v>
      </c>
    </row>
    <row r="518" spans="1:20" ht="14.25" hidden="1" customHeight="1" outlineLevel="1" x14ac:dyDescent="0.3">
      <c r="A518" s="583" t="s">
        <v>4379</v>
      </c>
      <c r="B518" s="975">
        <v>6</v>
      </c>
      <c r="C518" s="583" t="s">
        <v>1256</v>
      </c>
      <c r="D518" s="583" t="s">
        <v>5605</v>
      </c>
      <c r="E518" s="592" t="s">
        <v>410</v>
      </c>
      <c r="F518" s="593" t="s">
        <v>67</v>
      </c>
      <c r="G518" s="593" t="s">
        <v>4382</v>
      </c>
      <c r="H518" s="593" t="s">
        <v>4383</v>
      </c>
      <c r="I518" s="593" t="s">
        <v>4384</v>
      </c>
      <c r="J518" s="237" t="s">
        <v>410</v>
      </c>
      <c r="K518" s="237" t="s">
        <v>410</v>
      </c>
      <c r="L518" s="237" t="s">
        <v>410</v>
      </c>
      <c r="M518" s="237" t="s">
        <v>410</v>
      </c>
      <c r="N518" s="237" t="s">
        <v>410</v>
      </c>
      <c r="O518" s="237" t="s">
        <v>410</v>
      </c>
      <c r="P518" s="237" t="s">
        <v>410</v>
      </c>
      <c r="Q518" s="237" t="s">
        <v>410</v>
      </c>
      <c r="R518" s="237" t="s">
        <v>410</v>
      </c>
      <c r="S518" s="10" t="s">
        <v>410</v>
      </c>
      <c r="T518" s="10" t="s">
        <v>410</v>
      </c>
    </row>
    <row r="519" spans="1:20" ht="14.25" hidden="1" customHeight="1" outlineLevel="1" x14ac:dyDescent="0.3">
      <c r="A519" s="583" t="s">
        <v>1972</v>
      </c>
      <c r="B519" s="975">
        <v>6</v>
      </c>
      <c r="C519" s="583" t="s">
        <v>1256</v>
      </c>
      <c r="D519" s="583" t="s">
        <v>5605</v>
      </c>
      <c r="E519" s="237" t="s">
        <v>410</v>
      </c>
      <c r="F519" s="237"/>
      <c r="G519" s="237"/>
      <c r="H519" s="237"/>
      <c r="I519" s="237"/>
      <c r="J519" s="237"/>
      <c r="K519" s="237"/>
      <c r="L519" s="237"/>
      <c r="M519" s="237"/>
      <c r="N519" s="237"/>
      <c r="O519" s="237"/>
      <c r="P519" s="237" t="s">
        <v>410</v>
      </c>
      <c r="Q519" s="237" t="s">
        <v>410</v>
      </c>
      <c r="R519" s="237" t="s">
        <v>410</v>
      </c>
      <c r="S519" s="237" t="s">
        <v>410</v>
      </c>
      <c r="T519" s="237" t="s">
        <v>410</v>
      </c>
    </row>
    <row r="520" spans="1:20" ht="14.25" hidden="1" customHeight="1" outlineLevel="1" x14ac:dyDescent="0.3">
      <c r="A520" s="583" t="s">
        <v>1988</v>
      </c>
      <c r="B520" s="975">
        <v>6</v>
      </c>
      <c r="C520" s="583" t="s">
        <v>1256</v>
      </c>
      <c r="D520" s="583" t="s">
        <v>5605</v>
      </c>
      <c r="E520" s="593" t="s">
        <v>1989</v>
      </c>
      <c r="F520" s="593" t="s">
        <v>1816</v>
      </c>
      <c r="G520" s="593" t="s">
        <v>1817</v>
      </c>
      <c r="H520" s="593" t="s">
        <v>1818</v>
      </c>
      <c r="I520" s="593" t="s">
        <v>3332</v>
      </c>
      <c r="J520" s="237" t="s">
        <v>410</v>
      </c>
      <c r="K520" s="237" t="s">
        <v>410</v>
      </c>
      <c r="L520" s="237" t="s">
        <v>410</v>
      </c>
      <c r="M520" s="237" t="s">
        <v>410</v>
      </c>
      <c r="N520" s="237" t="s">
        <v>410</v>
      </c>
      <c r="O520" s="237" t="s">
        <v>410</v>
      </c>
      <c r="P520" s="237" t="s">
        <v>410</v>
      </c>
      <c r="Q520" s="237" t="s">
        <v>410</v>
      </c>
      <c r="R520" s="237" t="s">
        <v>410</v>
      </c>
      <c r="S520" s="237" t="s">
        <v>410</v>
      </c>
      <c r="T520" s="237" t="s">
        <v>410</v>
      </c>
    </row>
    <row r="521" spans="1:20" ht="14.25" hidden="1" customHeight="1" outlineLevel="1" x14ac:dyDescent="0.3">
      <c r="A521" s="583" t="s">
        <v>1984</v>
      </c>
      <c r="B521" s="975">
        <v>6</v>
      </c>
      <c r="C521" s="583" t="s">
        <v>1256</v>
      </c>
      <c r="D521" s="583" t="s">
        <v>5605</v>
      </c>
      <c r="E521" s="593" t="s">
        <v>1985</v>
      </c>
      <c r="F521" s="593" t="s">
        <v>1986</v>
      </c>
      <c r="G521" s="593" t="s">
        <v>3284</v>
      </c>
      <c r="H521" s="593" t="s">
        <v>1987</v>
      </c>
      <c r="I521" s="593" t="s">
        <v>3285</v>
      </c>
      <c r="J521" s="237" t="s">
        <v>410</v>
      </c>
      <c r="K521" s="237" t="s">
        <v>410</v>
      </c>
      <c r="L521" s="237" t="s">
        <v>410</v>
      </c>
      <c r="M521" s="237" t="s">
        <v>410</v>
      </c>
      <c r="N521" s="237" t="s">
        <v>410</v>
      </c>
      <c r="O521" s="237" t="s">
        <v>410</v>
      </c>
      <c r="P521" s="237" t="s">
        <v>410</v>
      </c>
      <c r="Q521" s="237" t="s">
        <v>410</v>
      </c>
      <c r="R521" s="237" t="s">
        <v>410</v>
      </c>
      <c r="S521" s="237" t="s">
        <v>410</v>
      </c>
      <c r="T521" s="237" t="s">
        <v>410</v>
      </c>
    </row>
    <row r="522" spans="1:20" ht="14.25" hidden="1" customHeight="1" outlineLevel="1" x14ac:dyDescent="0.3">
      <c r="A522" s="583" t="s">
        <v>1788</v>
      </c>
      <c r="B522" s="975">
        <v>8</v>
      </c>
      <c r="C522" s="583" t="s">
        <v>1256</v>
      </c>
      <c r="D522" s="583" t="s">
        <v>5605</v>
      </c>
      <c r="E522" s="592" t="s">
        <v>410</v>
      </c>
      <c r="F522" s="593" t="s">
        <v>4448</v>
      </c>
      <c r="G522" s="593" t="s">
        <v>67</v>
      </c>
      <c r="H522" s="593" t="s">
        <v>68</v>
      </c>
      <c r="I522" s="593" t="s">
        <v>70</v>
      </c>
      <c r="J522" s="593" t="s">
        <v>72</v>
      </c>
      <c r="K522" s="593" t="s">
        <v>74</v>
      </c>
      <c r="L522" s="237" t="s">
        <v>410</v>
      </c>
      <c r="M522" s="237" t="s">
        <v>410</v>
      </c>
      <c r="N522" s="237" t="s">
        <v>410</v>
      </c>
      <c r="O522" s="237" t="s">
        <v>410</v>
      </c>
      <c r="P522" s="237" t="s">
        <v>410</v>
      </c>
      <c r="Q522" s="237" t="s">
        <v>410</v>
      </c>
      <c r="R522" s="237" t="s">
        <v>410</v>
      </c>
      <c r="S522" s="10" t="s">
        <v>410</v>
      </c>
      <c r="T522" s="10" t="s">
        <v>410</v>
      </c>
    </row>
    <row r="523" spans="1:20" ht="14.25" hidden="1" customHeight="1" outlineLevel="1" x14ac:dyDescent="0.3">
      <c r="A523" s="583" t="s">
        <v>1959</v>
      </c>
      <c r="B523" s="975">
        <v>11</v>
      </c>
      <c r="C523" s="583" t="s">
        <v>1256</v>
      </c>
      <c r="D523" s="583" t="s">
        <v>5605</v>
      </c>
      <c r="E523" s="593" t="s">
        <v>410</v>
      </c>
      <c r="F523" s="237"/>
      <c r="G523" s="237"/>
      <c r="H523" s="237"/>
      <c r="I523" s="237"/>
      <c r="J523" s="237"/>
      <c r="K523" s="237" t="s">
        <v>410</v>
      </c>
      <c r="L523" s="237" t="s">
        <v>410</v>
      </c>
      <c r="M523" s="237" t="s">
        <v>410</v>
      </c>
      <c r="N523" s="237" t="s">
        <v>410</v>
      </c>
      <c r="O523" s="237" t="s">
        <v>410</v>
      </c>
      <c r="P523" s="237" t="s">
        <v>410</v>
      </c>
      <c r="Q523" s="237" t="s">
        <v>410</v>
      </c>
      <c r="R523" s="237" t="s">
        <v>410</v>
      </c>
      <c r="S523" s="237" t="s">
        <v>410</v>
      </c>
      <c r="T523" s="237" t="s">
        <v>410</v>
      </c>
    </row>
    <row r="524" spans="1:20" ht="14.25" hidden="1" customHeight="1" outlineLevel="1" x14ac:dyDescent="0.3">
      <c r="A524" s="583" t="s">
        <v>5607</v>
      </c>
      <c r="B524" s="975">
        <v>16</v>
      </c>
      <c r="C524" s="583" t="s">
        <v>1256</v>
      </c>
      <c r="D524" s="583" t="s">
        <v>5605</v>
      </c>
      <c r="E524" s="593" t="s">
        <v>410</v>
      </c>
      <c r="F524" s="593"/>
      <c r="G524" s="593"/>
      <c r="H524" s="593"/>
      <c r="I524" s="593"/>
      <c r="J524" s="593"/>
      <c r="K524" s="593"/>
      <c r="L524" s="593"/>
      <c r="M524" s="237" t="s">
        <v>410</v>
      </c>
      <c r="N524" s="237" t="s">
        <v>410</v>
      </c>
      <c r="O524" s="237" t="s">
        <v>410</v>
      </c>
      <c r="P524" s="237" t="s">
        <v>410</v>
      </c>
      <c r="Q524" s="237" t="s">
        <v>410</v>
      </c>
      <c r="R524" s="237" t="s">
        <v>410</v>
      </c>
      <c r="S524" s="237" t="s">
        <v>410</v>
      </c>
      <c r="T524" s="237" t="s">
        <v>410</v>
      </c>
    </row>
    <row r="525" spans="1:20" ht="14.25" hidden="1" customHeight="1" outlineLevel="1" x14ac:dyDescent="0.3">
      <c r="A525" s="583" t="s">
        <v>1970</v>
      </c>
      <c r="B525" s="975">
        <v>16</v>
      </c>
      <c r="C525" s="583" t="s">
        <v>1256</v>
      </c>
      <c r="D525" s="583" t="s">
        <v>5605</v>
      </c>
      <c r="E525" s="593" t="s">
        <v>410</v>
      </c>
      <c r="F525" s="593"/>
      <c r="G525" s="593"/>
      <c r="H525" s="593"/>
      <c r="I525" s="593"/>
      <c r="J525" s="593"/>
      <c r="K525" s="237" t="s">
        <v>410</v>
      </c>
      <c r="L525" s="237" t="s">
        <v>410</v>
      </c>
      <c r="M525" s="237" t="s">
        <v>410</v>
      </c>
      <c r="N525" s="237" t="s">
        <v>410</v>
      </c>
      <c r="O525" s="237" t="s">
        <v>410</v>
      </c>
      <c r="P525" s="237" t="s">
        <v>410</v>
      </c>
      <c r="Q525" s="237" t="s">
        <v>410</v>
      </c>
      <c r="R525" s="237" t="s">
        <v>410</v>
      </c>
      <c r="S525" s="237" t="s">
        <v>410</v>
      </c>
      <c r="T525" s="237" t="s">
        <v>410</v>
      </c>
    </row>
    <row r="526" spans="1:20" ht="14.25" hidden="1" customHeight="1" outlineLevel="1" x14ac:dyDescent="0.3">
      <c r="A526" s="583" t="s">
        <v>2910</v>
      </c>
      <c r="B526" s="975">
        <v>1</v>
      </c>
      <c r="C526" s="583" t="s">
        <v>1564</v>
      </c>
      <c r="D526" s="583" t="s">
        <v>5605</v>
      </c>
      <c r="E526" s="615" t="s">
        <v>2950</v>
      </c>
      <c r="F526" s="9" t="s">
        <v>410</v>
      </c>
      <c r="G526" s="9" t="s">
        <v>410</v>
      </c>
      <c r="H526" s="9" t="s">
        <v>410</v>
      </c>
      <c r="I526" s="9" t="s">
        <v>410</v>
      </c>
      <c r="J526" s="9" t="s">
        <v>410</v>
      </c>
      <c r="K526" s="9" t="s">
        <v>410</v>
      </c>
      <c r="L526" s="9" t="s">
        <v>410</v>
      </c>
      <c r="M526" s="9" t="s">
        <v>410</v>
      </c>
      <c r="N526" s="9" t="s">
        <v>410</v>
      </c>
      <c r="O526" s="9" t="s">
        <v>410</v>
      </c>
      <c r="P526" s="9" t="s">
        <v>410</v>
      </c>
      <c r="Q526" s="9" t="s">
        <v>410</v>
      </c>
      <c r="R526" s="9" t="s">
        <v>410</v>
      </c>
      <c r="S526" s="9" t="s">
        <v>410</v>
      </c>
      <c r="T526" s="9" t="s">
        <v>410</v>
      </c>
    </row>
    <row r="527" spans="1:20" ht="14.25" hidden="1" customHeight="1" outlineLevel="1" x14ac:dyDescent="0.3">
      <c r="A527" s="583" t="s">
        <v>3286</v>
      </c>
      <c r="B527" s="975">
        <v>1</v>
      </c>
      <c r="C527" s="583" t="s">
        <v>1564</v>
      </c>
      <c r="D527" s="583" t="s">
        <v>5605</v>
      </c>
      <c r="E527" s="615" t="s">
        <v>3287</v>
      </c>
      <c r="F527" s="9" t="s">
        <v>410</v>
      </c>
      <c r="G527" s="9" t="s">
        <v>410</v>
      </c>
      <c r="H527" s="9" t="s">
        <v>410</v>
      </c>
      <c r="I527" s="9" t="s">
        <v>410</v>
      </c>
      <c r="J527" s="9" t="s">
        <v>410</v>
      </c>
      <c r="K527" s="9" t="s">
        <v>410</v>
      </c>
      <c r="L527" s="9" t="s">
        <v>410</v>
      </c>
      <c r="M527" s="9" t="s">
        <v>410</v>
      </c>
      <c r="N527" s="9" t="s">
        <v>410</v>
      </c>
      <c r="O527" s="9" t="s">
        <v>410</v>
      </c>
      <c r="P527" s="9" t="s">
        <v>410</v>
      </c>
      <c r="Q527" s="9" t="s">
        <v>410</v>
      </c>
      <c r="R527" s="9" t="s">
        <v>410</v>
      </c>
      <c r="S527" s="9" t="s">
        <v>410</v>
      </c>
      <c r="T527" s="9" t="s">
        <v>410</v>
      </c>
    </row>
    <row r="528" spans="1:20" ht="14.25" hidden="1" customHeight="1" outlineLevel="1" x14ac:dyDescent="0.3">
      <c r="A528" s="583" t="s">
        <v>2067</v>
      </c>
      <c r="B528" s="975">
        <v>1</v>
      </c>
      <c r="C528" s="583" t="s">
        <v>1564</v>
      </c>
      <c r="D528" s="583" t="s">
        <v>5605</v>
      </c>
      <c r="E528" s="595"/>
      <c r="F528" s="9" t="s">
        <v>410</v>
      </c>
      <c r="G528" s="9" t="s">
        <v>410</v>
      </c>
      <c r="H528" s="9" t="s">
        <v>410</v>
      </c>
      <c r="I528" s="9" t="s">
        <v>410</v>
      </c>
      <c r="J528" s="9" t="s">
        <v>410</v>
      </c>
      <c r="K528" s="9" t="s">
        <v>410</v>
      </c>
      <c r="L528" s="9" t="s">
        <v>410</v>
      </c>
      <c r="M528" s="9" t="s">
        <v>410</v>
      </c>
      <c r="N528" s="9" t="s">
        <v>410</v>
      </c>
      <c r="O528" s="9" t="s">
        <v>410</v>
      </c>
      <c r="P528" s="9" t="s">
        <v>410</v>
      </c>
      <c r="Q528" s="9" t="s">
        <v>410</v>
      </c>
      <c r="R528" s="9" t="s">
        <v>410</v>
      </c>
      <c r="S528" s="9" t="s">
        <v>410</v>
      </c>
      <c r="T528" s="9" t="s">
        <v>410</v>
      </c>
    </row>
    <row r="529" spans="1:20" ht="14.25" hidden="1" customHeight="1" outlineLevel="1" x14ac:dyDescent="0.3">
      <c r="A529" s="583" t="s">
        <v>5615</v>
      </c>
      <c r="B529" s="975">
        <v>1</v>
      </c>
      <c r="C529" s="583" t="s">
        <v>1564</v>
      </c>
      <c r="D529" s="583" t="s">
        <v>5605</v>
      </c>
      <c r="E529" s="237" t="s">
        <v>410</v>
      </c>
      <c r="F529" s="237"/>
      <c r="G529" s="237" t="s">
        <v>410</v>
      </c>
      <c r="H529" s="237" t="s">
        <v>410</v>
      </c>
      <c r="I529" s="237" t="s">
        <v>410</v>
      </c>
      <c r="J529" s="237" t="s">
        <v>410</v>
      </c>
      <c r="K529" s="237" t="s">
        <v>410</v>
      </c>
      <c r="L529" s="237" t="s">
        <v>410</v>
      </c>
      <c r="M529" s="237" t="s">
        <v>410</v>
      </c>
      <c r="N529" s="237" t="s">
        <v>410</v>
      </c>
      <c r="O529" s="237" t="s">
        <v>410</v>
      </c>
      <c r="P529" s="237" t="s">
        <v>410</v>
      </c>
      <c r="Q529" s="237" t="s">
        <v>410</v>
      </c>
      <c r="R529" s="237" t="s">
        <v>410</v>
      </c>
      <c r="S529" s="237" t="s">
        <v>410</v>
      </c>
      <c r="T529" s="237" t="s">
        <v>410</v>
      </c>
    </row>
    <row r="530" spans="1:20" ht="14.25" hidden="1" customHeight="1" outlineLevel="1" x14ac:dyDescent="0.3">
      <c r="A530" s="583" t="s">
        <v>5618</v>
      </c>
      <c r="B530" s="975">
        <v>1</v>
      </c>
      <c r="C530" s="583" t="s">
        <v>1564</v>
      </c>
      <c r="D530" s="583" t="s">
        <v>5605</v>
      </c>
      <c r="E530" s="237" t="s">
        <v>410</v>
      </c>
      <c r="F530" s="237"/>
      <c r="G530" s="237" t="s">
        <v>410</v>
      </c>
      <c r="H530" s="237" t="s">
        <v>410</v>
      </c>
      <c r="I530" s="237" t="s">
        <v>410</v>
      </c>
      <c r="J530" s="237" t="s">
        <v>410</v>
      </c>
      <c r="K530" s="237" t="s">
        <v>410</v>
      </c>
      <c r="L530" s="237" t="s">
        <v>410</v>
      </c>
      <c r="M530" s="237" t="s">
        <v>410</v>
      </c>
      <c r="N530" s="237" t="s">
        <v>410</v>
      </c>
      <c r="O530" s="237" t="s">
        <v>410</v>
      </c>
      <c r="P530" s="237" t="s">
        <v>410</v>
      </c>
      <c r="Q530" s="237" t="s">
        <v>410</v>
      </c>
      <c r="R530" s="237" t="s">
        <v>410</v>
      </c>
      <c r="S530" s="237" t="s">
        <v>410</v>
      </c>
      <c r="T530" s="237" t="s">
        <v>410</v>
      </c>
    </row>
    <row r="531" spans="1:20" ht="14.25" hidden="1" customHeight="1" outlineLevel="1" x14ac:dyDescent="0.3">
      <c r="A531" s="583" t="s">
        <v>3926</v>
      </c>
      <c r="B531" s="975">
        <v>1</v>
      </c>
      <c r="C531" s="583" t="s">
        <v>1564</v>
      </c>
      <c r="D531" s="583" t="s">
        <v>5605</v>
      </c>
      <c r="E531" s="237" t="s">
        <v>410</v>
      </c>
      <c r="F531" s="237"/>
      <c r="G531" s="237" t="s">
        <v>410</v>
      </c>
      <c r="H531" s="237" t="s">
        <v>410</v>
      </c>
      <c r="I531" s="237" t="s">
        <v>410</v>
      </c>
      <c r="J531" s="237" t="s">
        <v>410</v>
      </c>
      <c r="K531" s="237" t="s">
        <v>410</v>
      </c>
      <c r="L531" s="237" t="s">
        <v>410</v>
      </c>
      <c r="M531" s="237" t="s">
        <v>410</v>
      </c>
      <c r="N531" s="237" t="s">
        <v>410</v>
      </c>
      <c r="O531" s="237" t="s">
        <v>410</v>
      </c>
      <c r="P531" s="237" t="s">
        <v>410</v>
      </c>
      <c r="Q531" s="237" t="s">
        <v>410</v>
      </c>
      <c r="R531" s="237" t="s">
        <v>410</v>
      </c>
      <c r="S531" s="237" t="s">
        <v>410</v>
      </c>
      <c r="T531" s="237" t="s">
        <v>410</v>
      </c>
    </row>
    <row r="532" spans="1:20" ht="14.25" hidden="1" customHeight="1" outlineLevel="1" x14ac:dyDescent="0.3">
      <c r="A532" s="583" t="s">
        <v>584</v>
      </c>
      <c r="B532" s="975">
        <v>1</v>
      </c>
      <c r="C532" s="583" t="s">
        <v>1564</v>
      </c>
      <c r="D532" s="583" t="s">
        <v>5605</v>
      </c>
      <c r="E532" s="592"/>
      <c r="F532" t="s">
        <v>410</v>
      </c>
      <c r="G532" t="s">
        <v>410</v>
      </c>
      <c r="H532" t="s">
        <v>410</v>
      </c>
      <c r="I532" t="s">
        <v>410</v>
      </c>
      <c r="J532" t="s">
        <v>410</v>
      </c>
      <c r="K532" t="s">
        <v>410</v>
      </c>
      <c r="L532" t="s">
        <v>410</v>
      </c>
      <c r="M532" t="s">
        <v>410</v>
      </c>
      <c r="N532" t="s">
        <v>410</v>
      </c>
      <c r="O532" t="s">
        <v>410</v>
      </c>
      <c r="P532" t="s">
        <v>410</v>
      </c>
      <c r="Q532" t="s">
        <v>410</v>
      </c>
      <c r="R532" t="s">
        <v>410</v>
      </c>
      <c r="S532" t="s">
        <v>410</v>
      </c>
      <c r="T532" t="s">
        <v>410</v>
      </c>
    </row>
    <row r="533" spans="1:20" ht="14.25" hidden="1" customHeight="1" outlineLevel="1" x14ac:dyDescent="0.3">
      <c r="A533" s="583" t="s">
        <v>4378</v>
      </c>
      <c r="B533" s="975">
        <v>1</v>
      </c>
      <c r="C533" s="583" t="s">
        <v>1564</v>
      </c>
      <c r="D533" s="583" t="s">
        <v>5605</v>
      </c>
      <c r="E533" s="593"/>
      <c r="F533" t="s">
        <v>410</v>
      </c>
      <c r="G533" t="s">
        <v>410</v>
      </c>
      <c r="H533" t="s">
        <v>410</v>
      </c>
      <c r="I533" t="s">
        <v>410</v>
      </c>
      <c r="J533" t="s">
        <v>410</v>
      </c>
      <c r="K533" t="s">
        <v>410</v>
      </c>
      <c r="L533" t="s">
        <v>410</v>
      </c>
      <c r="M533" t="s">
        <v>410</v>
      </c>
      <c r="N533" t="s">
        <v>410</v>
      </c>
      <c r="O533" t="s">
        <v>410</v>
      </c>
      <c r="P533" t="s">
        <v>410</v>
      </c>
      <c r="Q533" t="s">
        <v>410</v>
      </c>
      <c r="R533" t="s">
        <v>410</v>
      </c>
      <c r="S533" t="s">
        <v>410</v>
      </c>
      <c r="T533" t="s">
        <v>410</v>
      </c>
    </row>
    <row r="534" spans="1:20" ht="14.25" hidden="1" customHeight="1" outlineLevel="1" x14ac:dyDescent="0.3">
      <c r="A534" s="583" t="s">
        <v>2316</v>
      </c>
      <c r="B534" s="975">
        <v>1</v>
      </c>
      <c r="C534" s="583" t="s">
        <v>1564</v>
      </c>
      <c r="D534" s="583" t="s">
        <v>5605</v>
      </c>
      <c r="E534" s="593" t="s">
        <v>2317</v>
      </c>
      <c r="F534" t="s">
        <v>410</v>
      </c>
      <c r="G534" t="s">
        <v>410</v>
      </c>
      <c r="H534" t="s">
        <v>410</v>
      </c>
      <c r="I534" t="s">
        <v>410</v>
      </c>
      <c r="J534" t="s">
        <v>410</v>
      </c>
      <c r="K534" t="s">
        <v>410</v>
      </c>
      <c r="L534" t="s">
        <v>410</v>
      </c>
      <c r="M534" t="s">
        <v>410</v>
      </c>
      <c r="N534" t="s">
        <v>410</v>
      </c>
      <c r="O534" t="s">
        <v>410</v>
      </c>
      <c r="P534" t="s">
        <v>410</v>
      </c>
      <c r="Q534" t="s">
        <v>410</v>
      </c>
      <c r="R534" t="s">
        <v>410</v>
      </c>
      <c r="S534" t="s">
        <v>410</v>
      </c>
      <c r="T534" t="s">
        <v>410</v>
      </c>
    </row>
    <row r="535" spans="1:20" ht="14.25" hidden="1" customHeight="1" outlineLevel="1" x14ac:dyDescent="0.3">
      <c r="A535" s="583" t="s">
        <v>5608</v>
      </c>
      <c r="B535" s="975">
        <v>2</v>
      </c>
      <c r="C535" s="583" t="s">
        <v>1564</v>
      </c>
      <c r="D535" s="583" t="s">
        <v>5605</v>
      </c>
      <c r="E535" s="237" t="s">
        <v>410</v>
      </c>
      <c r="F535" s="237"/>
      <c r="G535" s="237" t="s">
        <v>410</v>
      </c>
      <c r="H535" s="237" t="s">
        <v>410</v>
      </c>
      <c r="I535" s="237" t="s">
        <v>410</v>
      </c>
      <c r="J535" s="237" t="s">
        <v>410</v>
      </c>
      <c r="K535" s="237" t="s">
        <v>410</v>
      </c>
      <c r="L535" s="237" t="s">
        <v>410</v>
      </c>
      <c r="M535" s="237" t="s">
        <v>410</v>
      </c>
      <c r="N535" s="237" t="s">
        <v>410</v>
      </c>
      <c r="O535" s="237" t="s">
        <v>410</v>
      </c>
      <c r="P535" s="237" t="s">
        <v>410</v>
      </c>
      <c r="Q535" s="237" t="s">
        <v>410</v>
      </c>
      <c r="R535" s="237" t="s">
        <v>410</v>
      </c>
      <c r="S535" s="237" t="s">
        <v>410</v>
      </c>
      <c r="T535" s="237" t="s">
        <v>410</v>
      </c>
    </row>
    <row r="536" spans="1:20" ht="14.25" hidden="1" customHeight="1" outlineLevel="1" x14ac:dyDescent="0.3">
      <c r="A536" s="583" t="s">
        <v>5610</v>
      </c>
      <c r="B536" s="975">
        <v>2</v>
      </c>
      <c r="C536" s="583" t="s">
        <v>1564</v>
      </c>
      <c r="D536" s="583" t="s">
        <v>5605</v>
      </c>
      <c r="E536" s="237" t="s">
        <v>410</v>
      </c>
      <c r="F536" s="237"/>
      <c r="G536" s="237" t="s">
        <v>410</v>
      </c>
      <c r="H536" s="237" t="s">
        <v>410</v>
      </c>
      <c r="I536" s="237" t="s">
        <v>410</v>
      </c>
      <c r="J536" s="237" t="s">
        <v>410</v>
      </c>
      <c r="K536" s="237" t="s">
        <v>410</v>
      </c>
      <c r="L536" s="237" t="s">
        <v>410</v>
      </c>
      <c r="M536" s="237" t="s">
        <v>410</v>
      </c>
      <c r="N536" s="237" t="s">
        <v>410</v>
      </c>
      <c r="O536" s="237" t="s">
        <v>410</v>
      </c>
      <c r="P536" s="237" t="s">
        <v>410</v>
      </c>
      <c r="Q536" s="237" t="s">
        <v>410</v>
      </c>
      <c r="R536" s="237" t="s">
        <v>410</v>
      </c>
      <c r="S536" s="237" t="s">
        <v>410</v>
      </c>
      <c r="T536" s="237" t="s">
        <v>410</v>
      </c>
    </row>
    <row r="537" spans="1:20" ht="14.25" hidden="1" customHeight="1" outlineLevel="1" x14ac:dyDescent="0.3">
      <c r="A537" s="583" t="s">
        <v>5611</v>
      </c>
      <c r="B537" s="975">
        <v>2</v>
      </c>
      <c r="C537" s="583" t="s">
        <v>1564</v>
      </c>
      <c r="D537" s="583" t="s">
        <v>5605</v>
      </c>
      <c r="E537" s="237" t="s">
        <v>410</v>
      </c>
      <c r="F537" s="237"/>
      <c r="G537" s="237" t="s">
        <v>410</v>
      </c>
      <c r="H537" s="237" t="s">
        <v>410</v>
      </c>
      <c r="I537" s="237" t="s">
        <v>410</v>
      </c>
      <c r="J537" s="237" t="s">
        <v>410</v>
      </c>
      <c r="K537" s="237" t="s">
        <v>410</v>
      </c>
      <c r="L537" s="237" t="s">
        <v>410</v>
      </c>
      <c r="M537" s="237" t="s">
        <v>410</v>
      </c>
      <c r="N537" s="237" t="s">
        <v>410</v>
      </c>
      <c r="O537" s="237" t="s">
        <v>410</v>
      </c>
      <c r="P537" s="237" t="s">
        <v>410</v>
      </c>
      <c r="Q537" s="237" t="s">
        <v>410</v>
      </c>
      <c r="R537" s="237" t="s">
        <v>410</v>
      </c>
      <c r="S537" s="237" t="s">
        <v>410</v>
      </c>
      <c r="T537" s="237" t="s">
        <v>410</v>
      </c>
    </row>
    <row r="538" spans="1:20" ht="14.25" hidden="1" customHeight="1" outlineLevel="1" x14ac:dyDescent="0.3">
      <c r="A538" s="583" t="s">
        <v>5613</v>
      </c>
      <c r="B538" s="975">
        <v>3</v>
      </c>
      <c r="C538" s="583" t="s">
        <v>1564</v>
      </c>
      <c r="D538" s="583" t="s">
        <v>5605</v>
      </c>
      <c r="E538" s="237" t="s">
        <v>410</v>
      </c>
      <c r="F538" s="237"/>
      <c r="G538" s="237" t="s">
        <v>410</v>
      </c>
      <c r="H538" s="237" t="s">
        <v>410</v>
      </c>
      <c r="I538" s="237" t="s">
        <v>410</v>
      </c>
      <c r="J538" s="237" t="s">
        <v>410</v>
      </c>
      <c r="K538" s="237" t="s">
        <v>410</v>
      </c>
      <c r="L538" s="237" t="s">
        <v>410</v>
      </c>
      <c r="M538" s="237" t="s">
        <v>410</v>
      </c>
      <c r="N538" s="237" t="s">
        <v>410</v>
      </c>
      <c r="O538" s="237" t="s">
        <v>410</v>
      </c>
      <c r="P538" s="237" t="s">
        <v>410</v>
      </c>
      <c r="Q538" s="237" t="s">
        <v>410</v>
      </c>
      <c r="R538" s="237" t="s">
        <v>410</v>
      </c>
      <c r="S538" s="237" t="s">
        <v>410</v>
      </c>
      <c r="T538" s="237" t="s">
        <v>410</v>
      </c>
    </row>
    <row r="539" spans="1:20" ht="14.25" hidden="1" customHeight="1" outlineLevel="1" x14ac:dyDescent="0.3">
      <c r="A539" s="583" t="s">
        <v>5620</v>
      </c>
      <c r="B539" s="975">
        <v>3</v>
      </c>
      <c r="C539" s="583" t="s">
        <v>1564</v>
      </c>
      <c r="D539" s="583" t="s">
        <v>5605</v>
      </c>
      <c r="E539" s="237" t="s">
        <v>410</v>
      </c>
      <c r="F539" s="237"/>
      <c r="G539" s="237" t="s">
        <v>410</v>
      </c>
      <c r="H539" s="237" t="s">
        <v>410</v>
      </c>
      <c r="I539" s="237" t="s">
        <v>410</v>
      </c>
      <c r="J539" s="237" t="s">
        <v>410</v>
      </c>
      <c r="K539" s="237" t="s">
        <v>410</v>
      </c>
      <c r="L539" s="237" t="s">
        <v>410</v>
      </c>
      <c r="M539" s="237" t="s">
        <v>410</v>
      </c>
      <c r="N539" s="237" t="s">
        <v>410</v>
      </c>
      <c r="O539" s="237" t="s">
        <v>410</v>
      </c>
      <c r="P539" s="237" t="s">
        <v>410</v>
      </c>
      <c r="Q539" s="237" t="s">
        <v>410</v>
      </c>
      <c r="R539" s="237" t="s">
        <v>410</v>
      </c>
      <c r="S539" s="237" t="s">
        <v>410</v>
      </c>
      <c r="T539" s="237" t="s">
        <v>410</v>
      </c>
    </row>
    <row r="540" spans="1:20" ht="14.25" hidden="1" customHeight="1" outlineLevel="1" x14ac:dyDescent="0.3">
      <c r="A540" s="583" t="s">
        <v>5609</v>
      </c>
      <c r="B540" s="975">
        <v>4</v>
      </c>
      <c r="C540" s="583" t="s">
        <v>1564</v>
      </c>
      <c r="D540" s="583" t="s">
        <v>5605</v>
      </c>
      <c r="E540" s="237" t="s">
        <v>410</v>
      </c>
      <c r="F540" s="237"/>
      <c r="G540" s="237" t="s">
        <v>410</v>
      </c>
      <c r="H540" s="237" t="s">
        <v>410</v>
      </c>
      <c r="I540" s="237" t="s">
        <v>410</v>
      </c>
      <c r="J540" s="237" t="s">
        <v>410</v>
      </c>
      <c r="K540" s="237" t="s">
        <v>410</v>
      </c>
      <c r="L540" s="237" t="s">
        <v>410</v>
      </c>
      <c r="M540" s="237" t="s">
        <v>410</v>
      </c>
      <c r="N540" s="237" t="s">
        <v>410</v>
      </c>
      <c r="O540" s="237" t="s">
        <v>410</v>
      </c>
      <c r="P540" s="237" t="s">
        <v>410</v>
      </c>
      <c r="Q540" s="237" t="s">
        <v>410</v>
      </c>
      <c r="R540" s="237" t="s">
        <v>410</v>
      </c>
      <c r="S540" s="237" t="s">
        <v>410</v>
      </c>
      <c r="T540" s="237" t="s">
        <v>410</v>
      </c>
    </row>
    <row r="541" spans="1:20" ht="14.25" hidden="1" customHeight="1" outlineLevel="1" x14ac:dyDescent="0.3">
      <c r="A541" s="583" t="s">
        <v>5623</v>
      </c>
      <c r="B541" s="975">
        <v>5</v>
      </c>
      <c r="C541" s="583" t="s">
        <v>1564</v>
      </c>
      <c r="D541" s="583" t="s">
        <v>5605</v>
      </c>
      <c r="E541" s="237" t="s">
        <v>410</v>
      </c>
      <c r="F541" s="237"/>
      <c r="G541" s="237" t="s">
        <v>410</v>
      </c>
      <c r="H541" s="237" t="s">
        <v>410</v>
      </c>
      <c r="I541" s="237" t="s">
        <v>410</v>
      </c>
      <c r="J541" s="237" t="s">
        <v>410</v>
      </c>
      <c r="K541" s="237" t="s">
        <v>410</v>
      </c>
      <c r="L541" s="237" t="s">
        <v>410</v>
      </c>
      <c r="M541" s="237" t="s">
        <v>410</v>
      </c>
      <c r="N541" s="237" t="s">
        <v>410</v>
      </c>
      <c r="O541" s="237" t="s">
        <v>410</v>
      </c>
      <c r="P541" s="237" t="s">
        <v>410</v>
      </c>
      <c r="Q541" s="237" t="s">
        <v>410</v>
      </c>
      <c r="R541" s="237" t="s">
        <v>410</v>
      </c>
      <c r="S541" s="237" t="s">
        <v>410</v>
      </c>
      <c r="T541" s="237" t="s">
        <v>410</v>
      </c>
    </row>
    <row r="542" spans="1:20" ht="14.25" hidden="1" customHeight="1" outlineLevel="1" x14ac:dyDescent="0.3">
      <c r="A542" s="583" t="s">
        <v>1563</v>
      </c>
      <c r="B542" s="591">
        <v>6</v>
      </c>
      <c r="C542" s="588" t="s">
        <v>1564</v>
      </c>
      <c r="D542" s="583" t="s">
        <v>5605</v>
      </c>
      <c r="E542" s="589" t="s">
        <v>410</v>
      </c>
      <c r="F542" s="594" t="str">
        <f>CONCATENATE("[TN!] ",TEXT(4+IF(OBR&lt;0,0,OBR)*1,"0")," mg")</f>
        <v>[TN!] 4 mg</v>
      </c>
      <c r="G542" s="594" t="str">
        <f>CONCATENATE(TEXT(5+IF(OBR&lt;0,0,OBR)*2,"0")," mg")</f>
        <v>5 mg</v>
      </c>
      <c r="H542" s="594" t="str">
        <f>CONCATENATE(TEXT(7+IF(OBR&lt;0,0,OBR)*2,"0")," mg")</f>
        <v>7 mg</v>
      </c>
      <c r="I542" s="594" t="str">
        <f>CONCATENATE(TEXT(9+IF(OBR&lt;0,0,OBR)*2,"0")," mg")</f>
        <v>9 mg</v>
      </c>
      <c r="J542" s="594" t="str">
        <f>CONCATENATE(TEXT(9+IF(OBR&lt;0,0,OBR)*3,"0")," mg")</f>
        <v>9 mg</v>
      </c>
      <c r="K542" s="594" t="str">
        <f>CONCATENATE(TEXT(10+IF(OBR&lt;0,0,OBR)*4,"0")," mg")</f>
        <v>10 mg</v>
      </c>
      <c r="L542" s="594" t="str">
        <f>CONCATENATE(TEXT(13+IF(OBR&lt;0,0,OBR)*4,"0")," mg")</f>
        <v>13 mg</v>
      </c>
      <c r="M542" s="594" t="str">
        <f>CONCATENATE(TEXT(16+IF(OBR&lt;0,0,OBR)*4,"0")," mg")</f>
        <v>16 mg</v>
      </c>
      <c r="N542" s="594" t="str">
        <f>CONCATENATE(TEXT(19+IF(OBR&lt;0,0,OBR)*4,"0")," mg")</f>
        <v>19 mg</v>
      </c>
      <c r="O542" s="594" t="str">
        <f>CONCATENATE(TEXT(21+IF(OBR&lt;0,0,OBR)*5,"0")," mg")</f>
        <v>21 mg</v>
      </c>
      <c r="P542" s="441" t="s">
        <v>410</v>
      </c>
      <c r="Q542" s="441" t="s">
        <v>410</v>
      </c>
      <c r="R542" s="441" t="s">
        <v>410</v>
      </c>
      <c r="S542" s="441" t="s">
        <v>410</v>
      </c>
      <c r="T542" s="441" t="s">
        <v>410</v>
      </c>
    </row>
    <row r="543" spans="1:20" ht="14.25" hidden="1" customHeight="1" outlineLevel="1" x14ac:dyDescent="0.3">
      <c r="A543" s="583" t="s">
        <v>5612</v>
      </c>
      <c r="B543" s="975">
        <v>16</v>
      </c>
      <c r="C543" s="583" t="s">
        <v>1564</v>
      </c>
      <c r="D543" s="583" t="s">
        <v>5605</v>
      </c>
      <c r="E543" s="237" t="s">
        <v>410</v>
      </c>
      <c r="F543" s="237"/>
      <c r="G543" s="237" t="s">
        <v>410</v>
      </c>
      <c r="H543" s="237" t="s">
        <v>410</v>
      </c>
      <c r="I543" s="237" t="s">
        <v>410</v>
      </c>
      <c r="J543" s="237" t="s">
        <v>410</v>
      </c>
      <c r="K543" s="237" t="s">
        <v>410</v>
      </c>
      <c r="L543" s="237" t="s">
        <v>410</v>
      </c>
      <c r="M543" s="237" t="s">
        <v>410</v>
      </c>
      <c r="N543" s="237" t="s">
        <v>410</v>
      </c>
      <c r="O543" s="237" t="s">
        <v>410</v>
      </c>
      <c r="P543" s="237" t="s">
        <v>410</v>
      </c>
      <c r="Q543" s="237" t="s">
        <v>410</v>
      </c>
      <c r="R543" s="237" t="s">
        <v>410</v>
      </c>
      <c r="S543" s="237" t="s">
        <v>410</v>
      </c>
      <c r="T543" s="237" t="s">
        <v>410</v>
      </c>
    </row>
    <row r="544" spans="1:20" ht="14.25" hidden="1" customHeight="1" outlineLevel="1" x14ac:dyDescent="0.3">
      <c r="A544" s="583" t="s">
        <v>5614</v>
      </c>
      <c r="B544" s="975">
        <v>16</v>
      </c>
      <c r="C544" s="583" t="s">
        <v>1564</v>
      </c>
      <c r="D544" s="583" t="s">
        <v>5605</v>
      </c>
      <c r="E544" s="237" t="s">
        <v>410</v>
      </c>
      <c r="F544" s="237"/>
      <c r="G544" s="237" t="s">
        <v>410</v>
      </c>
      <c r="H544" s="237" t="s">
        <v>410</v>
      </c>
      <c r="I544" s="237" t="s">
        <v>410</v>
      </c>
      <c r="J544" s="237" t="s">
        <v>410</v>
      </c>
      <c r="K544" s="237" t="s">
        <v>410</v>
      </c>
      <c r="L544" s="237" t="s">
        <v>410</v>
      </c>
      <c r="M544" s="237" t="s">
        <v>410</v>
      </c>
      <c r="N544" s="237" t="s">
        <v>410</v>
      </c>
      <c r="O544" s="237" t="s">
        <v>410</v>
      </c>
      <c r="P544" s="237" t="s">
        <v>410</v>
      </c>
      <c r="Q544" s="237" t="s">
        <v>410</v>
      </c>
      <c r="R544" s="237" t="s">
        <v>410</v>
      </c>
      <c r="S544" s="237" t="s">
        <v>410</v>
      </c>
      <c r="T544" s="237" t="s">
        <v>410</v>
      </c>
    </row>
    <row r="545" spans="1:20" ht="14.25" hidden="1" customHeight="1" outlineLevel="1" x14ac:dyDescent="0.3">
      <c r="A545" s="583" t="s">
        <v>5616</v>
      </c>
      <c r="B545" s="975">
        <v>16</v>
      </c>
      <c r="C545" s="583" t="s">
        <v>1564</v>
      </c>
      <c r="D545" s="583" t="s">
        <v>5605</v>
      </c>
      <c r="E545" s="237" t="s">
        <v>410</v>
      </c>
      <c r="F545" s="237"/>
      <c r="G545" s="237" t="s">
        <v>410</v>
      </c>
      <c r="H545" s="237" t="s">
        <v>410</v>
      </c>
      <c r="I545" s="237" t="s">
        <v>410</v>
      </c>
      <c r="J545" s="237" t="s">
        <v>410</v>
      </c>
      <c r="K545" s="237" t="s">
        <v>410</v>
      </c>
      <c r="L545" s="237" t="s">
        <v>410</v>
      </c>
      <c r="M545" s="237" t="s">
        <v>410</v>
      </c>
      <c r="N545" s="237" t="s">
        <v>410</v>
      </c>
      <c r="O545" s="237" t="s">
        <v>410</v>
      </c>
      <c r="P545" s="237" t="s">
        <v>410</v>
      </c>
      <c r="Q545" s="237" t="s">
        <v>410</v>
      </c>
      <c r="R545" s="237" t="s">
        <v>410</v>
      </c>
      <c r="S545" s="237" t="s">
        <v>410</v>
      </c>
      <c r="T545" s="237" t="s">
        <v>410</v>
      </c>
    </row>
    <row r="546" spans="1:20" ht="14.25" hidden="1" customHeight="1" outlineLevel="1" x14ac:dyDescent="0.3">
      <c r="A546" s="583" t="s">
        <v>5619</v>
      </c>
      <c r="B546" s="975">
        <v>16</v>
      </c>
      <c r="C546" s="583" t="s">
        <v>1564</v>
      </c>
      <c r="D546" s="583" t="s">
        <v>5605</v>
      </c>
      <c r="E546" s="237" t="s">
        <v>410</v>
      </c>
      <c r="F546" s="237"/>
      <c r="G546" s="237" t="s">
        <v>410</v>
      </c>
      <c r="H546" s="237" t="s">
        <v>410</v>
      </c>
      <c r="I546" s="237" t="s">
        <v>410</v>
      </c>
      <c r="J546" s="237" t="s">
        <v>410</v>
      </c>
      <c r="K546" s="237" t="s">
        <v>410</v>
      </c>
      <c r="L546" s="237" t="s">
        <v>410</v>
      </c>
      <c r="M546" s="237" t="s">
        <v>410</v>
      </c>
      <c r="N546" s="237" t="s">
        <v>410</v>
      </c>
      <c r="O546" s="237" t="s">
        <v>410</v>
      </c>
      <c r="P546" s="237" t="s">
        <v>410</v>
      </c>
      <c r="Q546" s="237" t="s">
        <v>410</v>
      </c>
      <c r="R546" s="237" t="s">
        <v>410</v>
      </c>
      <c r="S546" s="237" t="s">
        <v>410</v>
      </c>
      <c r="T546" s="237" t="s">
        <v>410</v>
      </c>
    </row>
    <row r="547" spans="1:20" ht="14.25" hidden="1" customHeight="1" outlineLevel="1" x14ac:dyDescent="0.3">
      <c r="A547" s="583" t="s">
        <v>5621</v>
      </c>
      <c r="B547" s="975">
        <v>16</v>
      </c>
      <c r="C547" s="583" t="s">
        <v>1564</v>
      </c>
      <c r="D547" s="583" t="s">
        <v>5605</v>
      </c>
      <c r="E547" s="237" t="s">
        <v>410</v>
      </c>
      <c r="F547" s="237"/>
      <c r="G547" s="237" t="s">
        <v>410</v>
      </c>
      <c r="H547" s="237" t="s">
        <v>410</v>
      </c>
      <c r="I547" s="237" t="s">
        <v>410</v>
      </c>
      <c r="J547" s="237" t="s">
        <v>410</v>
      </c>
      <c r="K547" s="237" t="s">
        <v>410</v>
      </c>
      <c r="L547" s="237" t="s">
        <v>410</v>
      </c>
      <c r="M547" s="237" t="s">
        <v>410</v>
      </c>
      <c r="N547" s="237" t="s">
        <v>410</v>
      </c>
      <c r="O547" s="237" t="s">
        <v>410</v>
      </c>
      <c r="P547" s="237" t="s">
        <v>410</v>
      </c>
      <c r="Q547" s="237" t="s">
        <v>410</v>
      </c>
      <c r="R547" s="237" t="s">
        <v>410</v>
      </c>
      <c r="S547" s="237" t="s">
        <v>410</v>
      </c>
      <c r="T547" s="237" t="s">
        <v>410</v>
      </c>
    </row>
    <row r="548" spans="1:20" ht="14.25" hidden="1" customHeight="1" outlineLevel="1" x14ac:dyDescent="0.3">
      <c r="A548" s="583" t="s">
        <v>5624</v>
      </c>
      <c r="B548" s="975">
        <v>16</v>
      </c>
      <c r="C548" s="583" t="s">
        <v>1564</v>
      </c>
      <c r="D548" s="583" t="s">
        <v>5605</v>
      </c>
      <c r="E548" s="237" t="s">
        <v>410</v>
      </c>
      <c r="F548" s="237"/>
      <c r="G548" s="237" t="s">
        <v>410</v>
      </c>
      <c r="H548" s="237" t="s">
        <v>410</v>
      </c>
      <c r="I548" s="237" t="s">
        <v>410</v>
      </c>
      <c r="J548" s="237" t="s">
        <v>410</v>
      </c>
      <c r="K548" s="237" t="s">
        <v>410</v>
      </c>
      <c r="L548" s="237" t="s">
        <v>410</v>
      </c>
      <c r="M548" s="237" t="s">
        <v>410</v>
      </c>
      <c r="N548" s="237" t="s">
        <v>410</v>
      </c>
      <c r="O548" s="237" t="s">
        <v>410</v>
      </c>
      <c r="P548" s="237" t="s">
        <v>410</v>
      </c>
      <c r="Q548" s="237" t="s">
        <v>410</v>
      </c>
      <c r="R548" s="237" t="s">
        <v>410</v>
      </c>
      <c r="S548" s="237" t="s">
        <v>410</v>
      </c>
      <c r="T548" s="237" t="s">
        <v>410</v>
      </c>
    </row>
    <row r="549" spans="1:20" ht="14.25" hidden="1" customHeight="1" outlineLevel="1" x14ac:dyDescent="0.3">
      <c r="A549" s="583" t="s">
        <v>5617</v>
      </c>
      <c r="B549" s="975">
        <v>17</v>
      </c>
      <c r="C549" s="583" t="s">
        <v>1564</v>
      </c>
      <c r="D549" s="583" t="s">
        <v>5605</v>
      </c>
      <c r="E549" s="237" t="s">
        <v>410</v>
      </c>
      <c r="F549" s="237"/>
      <c r="G549" s="237" t="s">
        <v>410</v>
      </c>
      <c r="H549" s="237" t="s">
        <v>410</v>
      </c>
      <c r="I549" s="237" t="s">
        <v>410</v>
      </c>
      <c r="J549" s="237" t="s">
        <v>410</v>
      </c>
      <c r="K549" s="237" t="s">
        <v>410</v>
      </c>
      <c r="L549" s="237" t="s">
        <v>410</v>
      </c>
      <c r="M549" s="237" t="s">
        <v>410</v>
      </c>
      <c r="N549" s="237" t="s">
        <v>410</v>
      </c>
      <c r="O549" s="237" t="s">
        <v>410</v>
      </c>
      <c r="P549" s="237" t="s">
        <v>410</v>
      </c>
      <c r="Q549" s="237" t="s">
        <v>410</v>
      </c>
      <c r="R549" s="237" t="s">
        <v>410</v>
      </c>
      <c r="S549" s="237" t="s">
        <v>410</v>
      </c>
      <c r="T549" s="237" t="s">
        <v>410</v>
      </c>
    </row>
    <row r="550" spans="1:20" ht="14.25" hidden="1" customHeight="1" outlineLevel="1" x14ac:dyDescent="0.3">
      <c r="A550" s="583" t="s">
        <v>5622</v>
      </c>
      <c r="B550" s="975">
        <v>17</v>
      </c>
      <c r="C550" s="583" t="s">
        <v>1564</v>
      </c>
      <c r="D550" s="583" t="s">
        <v>5605</v>
      </c>
      <c r="E550" s="237" t="s">
        <v>410</v>
      </c>
      <c r="F550" s="237"/>
      <c r="G550" s="237" t="s">
        <v>410</v>
      </c>
      <c r="H550" s="237" t="s">
        <v>410</v>
      </c>
      <c r="I550" s="237" t="s">
        <v>410</v>
      </c>
      <c r="J550" s="237" t="s">
        <v>410</v>
      </c>
      <c r="K550" s="237" t="s">
        <v>410</v>
      </c>
      <c r="L550" s="237" t="s">
        <v>410</v>
      </c>
      <c r="M550" s="237" t="s">
        <v>410</v>
      </c>
      <c r="N550" s="237" t="s">
        <v>410</v>
      </c>
      <c r="O550" s="237" t="s">
        <v>410</v>
      </c>
      <c r="P550" s="237" t="s">
        <v>410</v>
      </c>
      <c r="Q550" s="237" t="s">
        <v>410</v>
      </c>
      <c r="R550" s="237" t="s">
        <v>410</v>
      </c>
      <c r="S550" s="237" t="s">
        <v>410</v>
      </c>
      <c r="T550" s="237" t="s">
        <v>410</v>
      </c>
    </row>
    <row r="551" spans="1:20" ht="14.25" hidden="1" customHeight="1" outlineLevel="1" x14ac:dyDescent="0.3">
      <c r="A551" s="583" t="s">
        <v>5625</v>
      </c>
      <c r="B551" s="975">
        <v>17</v>
      </c>
      <c r="C551" s="583" t="s">
        <v>1564</v>
      </c>
      <c r="D551" s="583" t="s">
        <v>5605</v>
      </c>
      <c r="E551" s="237" t="s">
        <v>410</v>
      </c>
      <c r="F551" s="237"/>
      <c r="G551" s="237" t="s">
        <v>410</v>
      </c>
      <c r="H551" s="237" t="s">
        <v>410</v>
      </c>
      <c r="I551" s="237" t="s">
        <v>410</v>
      </c>
      <c r="J551" s="237" t="s">
        <v>410</v>
      </c>
      <c r="K551" s="237" t="s">
        <v>410</v>
      </c>
      <c r="L551" s="237" t="s">
        <v>410</v>
      </c>
      <c r="M551" s="237" t="s">
        <v>410</v>
      </c>
      <c r="N551" s="237" t="s">
        <v>410</v>
      </c>
      <c r="O551" s="237" t="s">
        <v>410</v>
      </c>
      <c r="P551" s="237" t="s">
        <v>410</v>
      </c>
      <c r="Q551" s="237" t="s">
        <v>410</v>
      </c>
      <c r="R551" s="237" t="s">
        <v>410</v>
      </c>
      <c r="S551" s="237" t="s">
        <v>410</v>
      </c>
      <c r="T551" s="237" t="s">
        <v>410</v>
      </c>
    </row>
    <row r="552" spans="1:20" collapsed="1" x14ac:dyDescent="0.3">
      <c r="A552" s="583" t="s">
        <v>1478</v>
      </c>
      <c r="B552" s="591">
        <v>1</v>
      </c>
      <c r="C552" s="588" t="s">
        <v>1256</v>
      </c>
      <c r="D552" s="588" t="s">
        <v>1513</v>
      </c>
      <c r="E552" s="589" t="s">
        <v>410</v>
      </c>
      <c r="F552" s="590" t="s">
        <v>2117</v>
      </c>
      <c r="G552" s="590" t="s">
        <v>2118</v>
      </c>
      <c r="H552" s="590" t="s">
        <v>2119</v>
      </c>
      <c r="I552" s="590" t="s">
        <v>2120</v>
      </c>
      <c r="J552" s="590" t="s">
        <v>2121</v>
      </c>
      <c r="K552" s="590" t="s">
        <v>2122</v>
      </c>
      <c r="L552" s="441" t="s">
        <v>410</v>
      </c>
      <c r="M552" s="441" t="s">
        <v>410</v>
      </c>
      <c r="N552" s="441" t="s">
        <v>410</v>
      </c>
      <c r="O552" s="441" t="s">
        <v>410</v>
      </c>
      <c r="P552" s="441" t="s">
        <v>410</v>
      </c>
      <c r="Q552" s="441" t="s">
        <v>410</v>
      </c>
      <c r="R552" s="441" t="s">
        <v>410</v>
      </c>
      <c r="S552" s="441" t="s">
        <v>410</v>
      </c>
      <c r="T552" s="441" t="s">
        <v>410</v>
      </c>
    </row>
    <row r="553" spans="1:20" ht="16.5" hidden="1" customHeight="1" outlineLevel="1" x14ac:dyDescent="0.3">
      <c r="A553" s="583" t="s">
        <v>4742</v>
      </c>
      <c r="B553" s="591">
        <v>1</v>
      </c>
      <c r="C553" s="588" t="s">
        <v>1256</v>
      </c>
      <c r="D553" s="588" t="s">
        <v>1513</v>
      </c>
      <c r="E553" s="589" t="s">
        <v>410</v>
      </c>
      <c r="F553" s="594" t="str">
        <f>CONCATENATE(TEXT(2+IF(VOL&lt;0,0,VOL)*1,"0")," mg")</f>
        <v>2 mg</v>
      </c>
      <c r="G553" s="594" t="str">
        <f>CONCATENATE(TEXT(5+IF(VOL&lt;0,0,VOL)*1,"0")," mg")</f>
        <v>5 mg</v>
      </c>
      <c r="H553" s="594" t="str">
        <f>CONCATENATE(TEXT(7+IF(VOL&lt;0,0,VOL)*1,"0")," mg")</f>
        <v>7 mg</v>
      </c>
      <c r="I553" s="594" t="str">
        <f>CONCATENATE(TEXT(7+IF(VOL&lt;0,0,VOL)*2,"0")," mg")</f>
        <v>7 mg</v>
      </c>
      <c r="J553" s="594" t="str">
        <f>CONCATENATE(TEXT(9+IF(VOL&lt;0,0,VOL)*2,"0")," mg")</f>
        <v>9 mg</v>
      </c>
      <c r="K553" s="594" t="str">
        <f>CONCATENATE(TEXT(12+IF(VOL&lt;0,0,VOL)*2,"0")," mg")</f>
        <v>12 mg</v>
      </c>
      <c r="L553" s="594" t="str">
        <f>CONCATENATE(TEXT(13+IF(VOL&lt;0,0,VOL)*3,"0")," mg")</f>
        <v>13 mg</v>
      </c>
      <c r="M553" s="594" t="str">
        <f>CONCATENATE(TEXT(15+IF(VOL&lt;0,0,VOL)*3,"0")," mg")</f>
        <v>15 mg</v>
      </c>
      <c r="N553" s="594" t="str">
        <f>CONCATENATE(TEXT(17+IF(VOL&lt;0,0,VOL)*3,"0")," mg")</f>
        <v>17 mg</v>
      </c>
      <c r="O553" s="594" t="str">
        <f>CONCATENATE(TEXT(18+IF(VOL&lt;0,0,VOL)*4,"0")," mg")</f>
        <v>18 mg</v>
      </c>
      <c r="P553" s="441" t="s">
        <v>410</v>
      </c>
      <c r="Q553" s="441" t="s">
        <v>410</v>
      </c>
      <c r="R553" s="441" t="s">
        <v>410</v>
      </c>
      <c r="S553" s="441" t="s">
        <v>410</v>
      </c>
      <c r="T553" s="441" t="s">
        <v>410</v>
      </c>
    </row>
    <row r="554" spans="1:20" hidden="1" outlineLevel="1" x14ac:dyDescent="0.3">
      <c r="A554" s="583" t="s">
        <v>1569</v>
      </c>
      <c r="B554" s="591">
        <v>1</v>
      </c>
      <c r="C554" s="588" t="s">
        <v>1256</v>
      </c>
      <c r="D554" s="588" t="s">
        <v>1513</v>
      </c>
      <c r="E554" s="589" t="s">
        <v>410</v>
      </c>
      <c r="F554" s="594" t="str">
        <f>CONCATENATE(TEXT(2+IF(SIL&lt;0,0,SIL)*1,"0")," mg")</f>
        <v>2 mg</v>
      </c>
      <c r="G554" s="594" t="str">
        <f>CONCATENATE(TEXT(5+IF(SIL&lt;0,0,SIL)*1,"0")," mg")</f>
        <v>5 mg</v>
      </c>
      <c r="H554" s="594" t="str">
        <f>CONCATENATE(TEXT(7+IF(SIL&lt;0,0,SIL)*1,"0")," mg")</f>
        <v>7 mg</v>
      </c>
      <c r="I554" s="594" t="str">
        <f>CONCATENATE(TEXT(7+IF(SIL&lt;0,0,SIL)*2,"0")," mg")</f>
        <v>7 mg</v>
      </c>
      <c r="J554" s="594" t="str">
        <f>CONCATENATE(TEXT(9+IF(SIL&lt;0,0,SIL)*2,"0")," mg")</f>
        <v>9 mg</v>
      </c>
      <c r="K554" s="594" t="str">
        <f>CONCATENATE(TEXT(12+IF(SIL&lt;0,0,SIL)*2,"0")," mg")</f>
        <v>12 mg</v>
      </c>
      <c r="L554" s="594" t="str">
        <f>CONCATENATE(TEXT(13+IF(SIL&lt;0,0,SIL)*3,"0")," mg")</f>
        <v>13 mg</v>
      </c>
      <c r="M554" s="594" t="str">
        <f>CONCATENATE(TEXT(15+IF(SIL&lt;0,0,SIL)*3,"0")," mg")</f>
        <v>15 mg</v>
      </c>
      <c r="N554" s="594" t="str">
        <f>CONCATENATE(TEXT(17+IF(SIL&lt;0,0,SIL)*3,"0")," mg")</f>
        <v>17 mg</v>
      </c>
      <c r="O554" s="594" t="str">
        <f>CONCATENATE(TEXT(18+IF(SIL&lt;0,0,SIL)*4,"0")," mg")</f>
        <v>18 mg</v>
      </c>
      <c r="P554" s="589" t="s">
        <v>410</v>
      </c>
      <c r="Q554" s="589" t="s">
        <v>410</v>
      </c>
      <c r="R554" s="589" t="s">
        <v>410</v>
      </c>
      <c r="S554" s="589" t="s">
        <v>410</v>
      </c>
      <c r="T554" s="589" t="s">
        <v>410</v>
      </c>
    </row>
    <row r="555" spans="1:20" hidden="1" outlineLevel="1" x14ac:dyDescent="0.3">
      <c r="A555" s="583" t="s">
        <v>1570</v>
      </c>
      <c r="B555" s="591">
        <v>1</v>
      </c>
      <c r="C555" s="588" t="s">
        <v>1256</v>
      </c>
      <c r="D555" s="588" t="s">
        <v>1513</v>
      </c>
      <c r="E555" s="589" t="s">
        <v>410</v>
      </c>
      <c r="F555" s="594" t="str">
        <f>CONCATENATE(TEXT(2+IF(ZRČ&lt;0,0,ZRČ)*1,"0")," mg")</f>
        <v>2 mg</v>
      </c>
      <c r="G555" s="594" t="str">
        <f>CONCATENATE(TEXT(5+IF(ZRČ&lt;0,0,ZRČ)*1,"0")," mg")</f>
        <v>5 mg</v>
      </c>
      <c r="H555" s="594" t="str">
        <f>CONCATENATE(TEXT(7+IF(ZRČ&lt;0,0,ZRČ)*1,"0")," mg")</f>
        <v>7 mg</v>
      </c>
      <c r="I555" s="594" t="str">
        <f>CONCATENATE(TEXT(7+IF(ZRČ&lt;0,0,ZRČ)*2,"0")," mg")</f>
        <v>7 mg</v>
      </c>
      <c r="J555" s="594" t="str">
        <f>CONCATENATE(TEXT(9+IF(ZRČ&lt;0,0,ZRČ)*2,"0")," mg")</f>
        <v>9 mg</v>
      </c>
      <c r="K555" s="594" t="str">
        <f>CONCATENATE(TEXT(12+IF(ZRČ&lt;0,0,ZRČ)*2,"0")," mg")</f>
        <v>12 mg</v>
      </c>
      <c r="L555" s="594" t="str">
        <f>CONCATENATE(TEXT(13+IF(ZRČ&lt;0,0,ZRČ)*3,"0")," mg")</f>
        <v>13 mg</v>
      </c>
      <c r="M555" s="594" t="str">
        <f>CONCATENATE(TEXT(15+IF(ZRČ&lt;0,0,ZRČ)*3,"0")," mg")</f>
        <v>15 mg</v>
      </c>
      <c r="N555" s="594" t="str">
        <f>CONCATENATE(TEXT(17+IF(ZRČ&lt;0,0,ZRČ)*3,"0")," mg")</f>
        <v>17 mg</v>
      </c>
      <c r="O555" s="594" t="str">
        <f>CONCATENATE(TEXT(18+IF(ZRČ&lt;0,0,ZRČ)*4,"0")," mg")</f>
        <v>18 mg</v>
      </c>
      <c r="P555" s="589" t="s">
        <v>410</v>
      </c>
      <c r="Q555" s="589" t="s">
        <v>410</v>
      </c>
      <c r="R555" s="589" t="s">
        <v>410</v>
      </c>
      <c r="S555" s="589" t="s">
        <v>410</v>
      </c>
      <c r="T555" s="589" t="s">
        <v>410</v>
      </c>
    </row>
    <row r="556" spans="1:20" hidden="1" outlineLevel="1" x14ac:dyDescent="0.3">
      <c r="A556" s="583" t="s">
        <v>3092</v>
      </c>
      <c r="B556" s="591">
        <v>1</v>
      </c>
      <c r="C556" s="588" t="s">
        <v>1256</v>
      </c>
      <c r="D556" s="588" t="s">
        <v>1513</v>
      </c>
      <c r="E556" s="589" t="s">
        <v>410</v>
      </c>
      <c r="F556" s="594" t="str">
        <f>CONCATENATE(TEXT(2+IF(CHR&lt;0,0,CHR)*1,"0")," mg")</f>
        <v>2 mg</v>
      </c>
      <c r="G556" s="594" t="str">
        <f>CONCATENATE(TEXT(5+IF(CHR&lt;0,0,CHR)*1,"0")," mg")</f>
        <v>5 mg</v>
      </c>
      <c r="H556" s="594" t="str">
        <f>CONCATENATE(TEXT(7+IF(CHR&lt;0,0,CHR)*1,"0")," mg")</f>
        <v>7 mg</v>
      </c>
      <c r="I556" s="594" t="str">
        <f>CONCATENATE(TEXT(7+IF(CHR&lt;0,0,CHR)*2,"0")," mg")</f>
        <v>7 mg</v>
      </c>
      <c r="J556" s="594" t="str">
        <f>CONCATENATE(TEXT(9+IF(CHR&lt;0,0,CHR)*2,"0")," mg")</f>
        <v>9 mg</v>
      </c>
      <c r="K556" s="594" t="str">
        <f>CONCATENATE(TEXT(12+IF(CHR&lt;0,0,CHR)*2,"0")," mg")</f>
        <v>12 mg</v>
      </c>
      <c r="L556" s="594" t="str">
        <f>CONCATENATE(TEXT(13+IF(CHR&lt;0,0,CHR)*3,"0")," mg")</f>
        <v>13 mg</v>
      </c>
      <c r="M556" s="594" t="str">
        <f>CONCATENATE(TEXT(15+IF(CHR&lt;0,0,CHR)*3,"0")," mg")</f>
        <v>15 mg</v>
      </c>
      <c r="N556" s="594" t="str">
        <f>CONCATENATE(TEXT(17+IF(CHR&lt;0,0,CHR)*3,"0")," mg")</f>
        <v>17 mg</v>
      </c>
      <c r="O556" s="594" t="str">
        <f>CONCATENATE(TEXT(18+IF(CHR&lt;0,0,CHR)*4,"0")," mg")</f>
        <v>18 mg</v>
      </c>
      <c r="P556" s="441" t="s">
        <v>410</v>
      </c>
      <c r="Q556" s="441" t="s">
        <v>410</v>
      </c>
      <c r="R556" s="441" t="s">
        <v>410</v>
      </c>
      <c r="S556" s="441" t="s">
        <v>410</v>
      </c>
      <c r="T556" s="441" t="s">
        <v>410</v>
      </c>
    </row>
    <row r="557" spans="1:20" hidden="1" outlineLevel="1" x14ac:dyDescent="0.3">
      <c r="A557" s="583" t="s">
        <v>1622</v>
      </c>
      <c r="B557" s="591">
        <v>1</v>
      </c>
      <c r="C557" s="588" t="s">
        <v>1256</v>
      </c>
      <c r="D557" s="588" t="s">
        <v>1513</v>
      </c>
      <c r="E557" s="855" t="s">
        <v>410</v>
      </c>
      <c r="F557" s="592" t="s">
        <v>5565</v>
      </c>
      <c r="G557" s="592" t="s">
        <v>5566</v>
      </c>
      <c r="H557" s="592" t="s">
        <v>5567</v>
      </c>
      <c r="I557" s="441" t="s">
        <v>410</v>
      </c>
      <c r="J557" s="441" t="s">
        <v>410</v>
      </c>
      <c r="K557" s="441" t="s">
        <v>410</v>
      </c>
      <c r="L557" s="441" t="s">
        <v>410</v>
      </c>
      <c r="M557" s="441" t="s">
        <v>410</v>
      </c>
      <c r="N557" s="441" t="s">
        <v>410</v>
      </c>
      <c r="O557" s="441" t="s">
        <v>410</v>
      </c>
      <c r="P557" s="441" t="s">
        <v>410</v>
      </c>
      <c r="Q557" s="441" t="s">
        <v>410</v>
      </c>
      <c r="R557" s="441" t="s">
        <v>410</v>
      </c>
      <c r="S557" s="441" t="s">
        <v>410</v>
      </c>
      <c r="T557" s="441" t="s">
        <v>410</v>
      </c>
    </row>
    <row r="558" spans="1:20" hidden="1" outlineLevel="1" x14ac:dyDescent="0.3">
      <c r="A558" s="583" t="s">
        <v>3308</v>
      </c>
      <c r="B558" s="591">
        <v>1</v>
      </c>
      <c r="C558" s="583" t="s">
        <v>1256</v>
      </c>
      <c r="D558" s="583" t="s">
        <v>1513</v>
      </c>
      <c r="E558" s="592" t="s">
        <v>410</v>
      </c>
      <c r="F558" s="593" t="s">
        <v>4629</v>
      </c>
      <c r="G558" s="593" t="s">
        <v>4630</v>
      </c>
      <c r="H558" s="593" t="s">
        <v>4631</v>
      </c>
      <c r="I558" s="593" t="s">
        <v>4628</v>
      </c>
      <c r="J558" s="593" t="s">
        <v>4627</v>
      </c>
      <c r="K558" s="593" t="s">
        <v>4756</v>
      </c>
      <c r="L558" s="593" t="s">
        <v>410</v>
      </c>
      <c r="M558" s="593" t="s">
        <v>410</v>
      </c>
      <c r="N558" s="593" t="s">
        <v>410</v>
      </c>
      <c r="O558" s="593" t="s">
        <v>410</v>
      </c>
      <c r="P558" s="593" t="s">
        <v>410</v>
      </c>
      <c r="Q558" s="593" t="s">
        <v>410</v>
      </c>
      <c r="R558" s="593" t="s">
        <v>410</v>
      </c>
      <c r="S558" s="593" t="s">
        <v>410</v>
      </c>
      <c r="T558" s="593" t="s">
        <v>410</v>
      </c>
    </row>
    <row r="559" spans="1:20" hidden="1" outlineLevel="1" x14ac:dyDescent="0.3">
      <c r="A559" s="583" t="s">
        <v>1665</v>
      </c>
      <c r="B559" s="591">
        <v>1</v>
      </c>
      <c r="C559" s="583" t="s">
        <v>1256</v>
      </c>
      <c r="D559" s="583" t="s">
        <v>1513</v>
      </c>
      <c r="E559" s="592" t="s">
        <v>410</v>
      </c>
      <c r="F559" s="593" t="s">
        <v>2500</v>
      </c>
      <c r="G559" s="593" t="s">
        <v>2501</v>
      </c>
      <c r="H559" s="593" t="s">
        <v>2502</v>
      </c>
      <c r="I559" s="593" t="s">
        <v>3162</v>
      </c>
      <c r="J559" s="593" t="s">
        <v>2503</v>
      </c>
      <c r="K559" s="237" t="s">
        <v>410</v>
      </c>
      <c r="L559" s="237" t="s">
        <v>410</v>
      </c>
      <c r="M559" s="237" t="s">
        <v>410</v>
      </c>
      <c r="N559" s="237" t="s">
        <v>410</v>
      </c>
      <c r="O559" s="237" t="s">
        <v>410</v>
      </c>
      <c r="P559" s="237" t="s">
        <v>410</v>
      </c>
      <c r="Q559" s="237" t="s">
        <v>410</v>
      </c>
      <c r="R559" s="237" t="s">
        <v>410</v>
      </c>
      <c r="S559" s="10" t="s">
        <v>410</v>
      </c>
      <c r="T559" s="10" t="s">
        <v>410</v>
      </c>
    </row>
    <row r="560" spans="1:20" hidden="1" outlineLevel="1" x14ac:dyDescent="0.3">
      <c r="A560" s="583" t="s">
        <v>1751</v>
      </c>
      <c r="B560" s="591">
        <v>1</v>
      </c>
      <c r="C560" s="583" t="s">
        <v>1256</v>
      </c>
      <c r="D560" s="583" t="s">
        <v>1513</v>
      </c>
      <c r="E560" s="592" t="s">
        <v>410</v>
      </c>
      <c r="F560" s="237"/>
      <c r="G560" s="237"/>
      <c r="H560" s="237"/>
      <c r="I560" s="237"/>
      <c r="J560" s="237"/>
      <c r="K560" s="237"/>
      <c r="L560" s="237"/>
      <c r="M560" s="237"/>
      <c r="N560" s="237"/>
      <c r="O560" s="237" t="s">
        <v>410</v>
      </c>
      <c r="P560" s="237" t="s">
        <v>410</v>
      </c>
      <c r="Q560" s="237" t="s">
        <v>410</v>
      </c>
      <c r="R560" s="237" t="s">
        <v>410</v>
      </c>
      <c r="S560" s="10" t="s">
        <v>410</v>
      </c>
      <c r="T560" s="10" t="s">
        <v>410</v>
      </c>
    </row>
    <row r="561" spans="1:20" hidden="1" outlineLevel="1" x14ac:dyDescent="0.3">
      <c r="A561" s="583" t="s">
        <v>1765</v>
      </c>
      <c r="B561" s="591">
        <v>1</v>
      </c>
      <c r="C561" s="583" t="s">
        <v>1256</v>
      </c>
      <c r="D561" s="583" t="s">
        <v>1513</v>
      </c>
      <c r="E561" s="592" t="s">
        <v>410</v>
      </c>
      <c r="F561" s="594" t="str">
        <f>CONCATENATE(TEXT(2+IF(INT&lt;0,0,INT)*1,"0")," mg")</f>
        <v>2 mg</v>
      </c>
      <c r="G561" s="594" t="str">
        <f>CONCATENATE(TEXT(5+IF(INT&lt;0,0,INT)*1,"0")," mg")</f>
        <v>5 mg</v>
      </c>
      <c r="H561" s="594" t="str">
        <f>CONCATENATE(TEXT(7+IF(INT&lt;0,0,INT)*1,"0")," mg")</f>
        <v>7 mg</v>
      </c>
      <c r="I561" s="594" t="str">
        <f>CONCATENATE(TEXT(7+IF(INT&lt;0,0,INT)*2,"0")," mg")</f>
        <v>7 mg</v>
      </c>
      <c r="J561" s="594" t="str">
        <f>CONCATENATE(TEXT(9+IF(INT&lt;0,0,INT)*2,"0")," mg")</f>
        <v>9 mg</v>
      </c>
      <c r="K561" s="594" t="str">
        <f>CONCATENATE(TEXT(12+IF(INT&lt;0,0,INT)*2,"0")," mg")</f>
        <v>12 mg</v>
      </c>
      <c r="L561" s="594" t="str">
        <f>CONCATENATE(TEXT(13+IF(INT&lt;0,0,INT)*3,"0")," mg")</f>
        <v>13 mg</v>
      </c>
      <c r="M561" s="594" t="str">
        <f>CONCATENATE(TEXT(15+IF(INT&lt;0,0,INT)*3,"0")," mg")</f>
        <v>15 mg</v>
      </c>
      <c r="N561" s="594" t="str">
        <f>CONCATENATE(TEXT(17+IF(INT&lt;0,0,INT)*3,"0")," mg")</f>
        <v>17 mg</v>
      </c>
      <c r="O561" s="594" t="str">
        <f>CONCATENATE(TEXT(18+IF(INT&lt;0,0,INT)*4,"0")," mg")</f>
        <v>18 mg</v>
      </c>
      <c r="P561" s="593" t="s">
        <v>410</v>
      </c>
      <c r="Q561" s="593" t="s">
        <v>410</v>
      </c>
      <c r="R561" s="593" t="s">
        <v>410</v>
      </c>
      <c r="S561" s="592" t="s">
        <v>410</v>
      </c>
      <c r="T561" s="592" t="s">
        <v>410</v>
      </c>
    </row>
    <row r="562" spans="1:20" hidden="1" outlineLevel="1" x14ac:dyDescent="0.3">
      <c r="A562" s="583" t="s">
        <v>1778</v>
      </c>
      <c r="B562" s="591">
        <v>1</v>
      </c>
      <c r="C562" s="583" t="s">
        <v>1256</v>
      </c>
      <c r="D562" s="583" t="s">
        <v>1513</v>
      </c>
      <c r="E562" s="592" t="s">
        <v>410</v>
      </c>
      <c r="F562" s="593" t="s">
        <v>4335</v>
      </c>
      <c r="G562" s="593" t="s">
        <v>4340</v>
      </c>
      <c r="H562" s="593" t="s">
        <v>4339</v>
      </c>
      <c r="I562" s="593" t="s">
        <v>4338</v>
      </c>
      <c r="J562" s="593" t="s">
        <v>4337</v>
      </c>
      <c r="K562" s="593" t="s">
        <v>4336</v>
      </c>
      <c r="L562" s="237" t="s">
        <v>410</v>
      </c>
      <c r="M562" s="237" t="s">
        <v>410</v>
      </c>
      <c r="N562" s="237" t="s">
        <v>410</v>
      </c>
      <c r="O562" s="237" t="s">
        <v>410</v>
      </c>
      <c r="P562" s="237" t="s">
        <v>410</v>
      </c>
      <c r="Q562" s="237" t="s">
        <v>410</v>
      </c>
      <c r="R562" s="237" t="s">
        <v>410</v>
      </c>
      <c r="S562" s="10" t="s">
        <v>410</v>
      </c>
      <c r="T562" s="10" t="s">
        <v>410</v>
      </c>
    </row>
    <row r="563" spans="1:20" hidden="1" outlineLevel="1" x14ac:dyDescent="0.3">
      <c r="A563" s="583" t="s">
        <v>1779</v>
      </c>
      <c r="B563" s="591">
        <v>1</v>
      </c>
      <c r="C563" s="583" t="s">
        <v>1256</v>
      </c>
      <c r="D563" s="583" t="s">
        <v>1513</v>
      </c>
      <c r="E563" s="592" t="s">
        <v>410</v>
      </c>
      <c r="F563" s="593" t="s">
        <v>4335</v>
      </c>
      <c r="G563" s="593" t="s">
        <v>4340</v>
      </c>
      <c r="H563" s="593" t="s">
        <v>4339</v>
      </c>
      <c r="I563" s="593" t="s">
        <v>4338</v>
      </c>
      <c r="J563" s="593" t="s">
        <v>4337</v>
      </c>
      <c r="K563" s="593" t="s">
        <v>4336</v>
      </c>
      <c r="L563" s="237" t="s">
        <v>410</v>
      </c>
      <c r="M563" s="237" t="s">
        <v>410</v>
      </c>
      <c r="N563" s="237" t="s">
        <v>410</v>
      </c>
      <c r="O563" s="237" t="s">
        <v>410</v>
      </c>
      <c r="P563" s="237" t="s">
        <v>410</v>
      </c>
      <c r="Q563" s="237" t="s">
        <v>410</v>
      </c>
      <c r="R563" s="237" t="s">
        <v>410</v>
      </c>
      <c r="S563" s="10" t="s">
        <v>410</v>
      </c>
      <c r="T563" s="10" t="s">
        <v>410</v>
      </c>
    </row>
    <row r="564" spans="1:20" hidden="1" outlineLevel="1" x14ac:dyDescent="0.3">
      <c r="A564" s="583" t="s">
        <v>1780</v>
      </c>
      <c r="B564" s="591">
        <v>1</v>
      </c>
      <c r="C564" s="583" t="s">
        <v>1256</v>
      </c>
      <c r="D564" s="583" t="s">
        <v>1513</v>
      </c>
      <c r="E564" s="592" t="s">
        <v>410</v>
      </c>
      <c r="F564" s="593" t="s">
        <v>4335</v>
      </c>
      <c r="G564" s="593" t="s">
        <v>4340</v>
      </c>
      <c r="H564" s="593" t="s">
        <v>4339</v>
      </c>
      <c r="I564" s="593" t="s">
        <v>4338</v>
      </c>
      <c r="J564" s="593" t="s">
        <v>4337</v>
      </c>
      <c r="K564" s="593" t="s">
        <v>4336</v>
      </c>
      <c r="L564" s="10" t="s">
        <v>410</v>
      </c>
      <c r="M564" s="10" t="s">
        <v>410</v>
      </c>
      <c r="N564" s="10" t="s">
        <v>410</v>
      </c>
      <c r="O564" s="10" t="s">
        <v>410</v>
      </c>
      <c r="P564" s="10" t="s">
        <v>410</v>
      </c>
      <c r="Q564" s="10" t="s">
        <v>410</v>
      </c>
      <c r="R564" s="10" t="s">
        <v>410</v>
      </c>
      <c r="S564" s="10" t="s">
        <v>410</v>
      </c>
      <c r="T564" s="10" t="s">
        <v>410</v>
      </c>
    </row>
    <row r="565" spans="1:20" hidden="1" outlineLevel="1" x14ac:dyDescent="0.3">
      <c r="A565" s="583" t="s">
        <v>1892</v>
      </c>
      <c r="B565" s="591">
        <v>1</v>
      </c>
      <c r="C565" s="583" t="s">
        <v>1256</v>
      </c>
      <c r="D565" s="583" t="s">
        <v>1513</v>
      </c>
      <c r="E565" s="592" t="s">
        <v>410</v>
      </c>
      <c r="F565" s="593" t="s">
        <v>67</v>
      </c>
      <c r="G565" s="593" t="s">
        <v>68</v>
      </c>
      <c r="H565" s="593" t="s">
        <v>70</v>
      </c>
      <c r="I565" s="594">
        <f>IF(CHR&lt;4,4,CHR)</f>
        <v>4</v>
      </c>
      <c r="J565" s="237" t="s">
        <v>410</v>
      </c>
      <c r="K565" s="237" t="s">
        <v>410</v>
      </c>
      <c r="L565" s="237" t="s">
        <v>410</v>
      </c>
      <c r="M565" s="237" t="s">
        <v>410</v>
      </c>
      <c r="N565" s="237" t="s">
        <v>410</v>
      </c>
      <c r="O565" s="237" t="s">
        <v>410</v>
      </c>
      <c r="P565" s="237" t="s">
        <v>410</v>
      </c>
      <c r="Q565" s="237" t="s">
        <v>410</v>
      </c>
      <c r="R565" s="237" t="s">
        <v>410</v>
      </c>
      <c r="S565" s="10" t="s">
        <v>410</v>
      </c>
      <c r="T565" s="10" t="s">
        <v>410</v>
      </c>
    </row>
    <row r="566" spans="1:20" hidden="1" outlineLevel="1" x14ac:dyDescent="0.3">
      <c r="A566" s="583" t="s">
        <v>1913</v>
      </c>
      <c r="B566" s="591">
        <v>1</v>
      </c>
      <c r="C566" s="583" t="s">
        <v>1256</v>
      </c>
      <c r="D566" s="583" t="s">
        <v>1513</v>
      </c>
      <c r="E566" s="592" t="s">
        <v>410</v>
      </c>
      <c r="F566" s="593" t="s">
        <v>1540</v>
      </c>
      <c r="G566" s="593" t="s">
        <v>1548</v>
      </c>
      <c r="H566" s="593" t="s">
        <v>1543</v>
      </c>
      <c r="I566" s="593" t="s">
        <v>1544</v>
      </c>
      <c r="J566" s="593" t="s">
        <v>1549</v>
      </c>
      <c r="K566" s="593" t="s">
        <v>1547</v>
      </c>
      <c r="L566" s="593" t="s">
        <v>1550</v>
      </c>
      <c r="M566" s="593" t="s">
        <v>1551</v>
      </c>
      <c r="N566" s="237" t="s">
        <v>410</v>
      </c>
      <c r="O566" s="237" t="s">
        <v>410</v>
      </c>
      <c r="P566" s="237" t="s">
        <v>410</v>
      </c>
      <c r="Q566" s="237" t="s">
        <v>410</v>
      </c>
      <c r="R566" s="237" t="s">
        <v>410</v>
      </c>
      <c r="S566" s="10" t="s">
        <v>410</v>
      </c>
      <c r="T566" s="10" t="s">
        <v>410</v>
      </c>
    </row>
    <row r="567" spans="1:20" hidden="1" outlineLevel="1" x14ac:dyDescent="0.3">
      <c r="A567" s="583" t="s">
        <v>1950</v>
      </c>
      <c r="B567" s="591">
        <v>1</v>
      </c>
      <c r="C567" s="583" t="s">
        <v>1256</v>
      </c>
      <c r="D567" s="583" t="s">
        <v>1513</v>
      </c>
      <c r="E567" s="592" t="s">
        <v>66</v>
      </c>
      <c r="F567" s="593" t="s">
        <v>4361</v>
      </c>
      <c r="G567" s="593" t="s">
        <v>68</v>
      </c>
      <c r="H567" s="593" t="s">
        <v>70</v>
      </c>
      <c r="I567" s="593" t="s">
        <v>72</v>
      </c>
      <c r="J567" s="237" t="s">
        <v>410</v>
      </c>
      <c r="K567" s="237" t="s">
        <v>410</v>
      </c>
      <c r="L567" s="237" t="s">
        <v>410</v>
      </c>
      <c r="M567" s="237" t="s">
        <v>410</v>
      </c>
      <c r="N567" s="237" t="s">
        <v>410</v>
      </c>
      <c r="O567" s="237" t="s">
        <v>410</v>
      </c>
      <c r="P567" s="237" t="s">
        <v>410</v>
      </c>
      <c r="Q567" s="237" t="s">
        <v>410</v>
      </c>
      <c r="R567" s="237" t="s">
        <v>410</v>
      </c>
      <c r="S567" s="10" t="s">
        <v>410</v>
      </c>
      <c r="T567" s="10" t="s">
        <v>410</v>
      </c>
    </row>
    <row r="568" spans="1:20" hidden="1" outlineLevel="1" x14ac:dyDescent="0.3">
      <c r="A568" s="583" t="s">
        <v>1844</v>
      </c>
      <c r="B568" s="591">
        <v>2</v>
      </c>
      <c r="C568" s="583" t="s">
        <v>1256</v>
      </c>
      <c r="D568" s="583" t="s">
        <v>1513</v>
      </c>
      <c r="E568" s="592" t="s">
        <v>410</v>
      </c>
      <c r="F568" s="593" t="s">
        <v>5492</v>
      </c>
      <c r="G568" s="593" t="s">
        <v>5493</v>
      </c>
      <c r="H568" s="593" t="s">
        <v>5494</v>
      </c>
      <c r="I568" s="593" t="s">
        <v>5490</v>
      </c>
      <c r="J568" s="593" t="s">
        <v>5491</v>
      </c>
      <c r="K568" s="237" t="s">
        <v>410</v>
      </c>
      <c r="L568" s="237" t="s">
        <v>410</v>
      </c>
      <c r="M568" s="237" t="s">
        <v>410</v>
      </c>
      <c r="N568" s="237" t="s">
        <v>410</v>
      </c>
      <c r="O568" s="237" t="s">
        <v>410</v>
      </c>
      <c r="P568" s="237" t="s">
        <v>410</v>
      </c>
      <c r="Q568" s="237" t="s">
        <v>410</v>
      </c>
      <c r="R568" s="237" t="s">
        <v>410</v>
      </c>
      <c r="S568" s="10" t="s">
        <v>410</v>
      </c>
      <c r="T568" s="10" t="s">
        <v>410</v>
      </c>
    </row>
    <row r="569" spans="1:20" hidden="1" outlineLevel="1" x14ac:dyDescent="0.3">
      <c r="A569" s="583" t="s">
        <v>3033</v>
      </c>
      <c r="B569" s="591">
        <v>2</v>
      </c>
      <c r="C569" s="583" t="s">
        <v>1256</v>
      </c>
      <c r="D569" s="583" t="s">
        <v>1513</v>
      </c>
      <c r="E569" s="593" t="s">
        <v>3034</v>
      </c>
      <c r="F569" s="593" t="s">
        <v>3035</v>
      </c>
      <c r="G569" s="593" t="s">
        <v>3036</v>
      </c>
      <c r="H569" s="593" t="s">
        <v>3038</v>
      </c>
      <c r="I569" s="593" t="s">
        <v>3037</v>
      </c>
      <c r="J569" s="237" t="s">
        <v>410</v>
      </c>
      <c r="K569" s="237" t="s">
        <v>410</v>
      </c>
      <c r="L569" s="237" t="s">
        <v>410</v>
      </c>
      <c r="M569" s="237" t="s">
        <v>410</v>
      </c>
      <c r="N569" s="237" t="s">
        <v>410</v>
      </c>
      <c r="O569" s="237" t="s">
        <v>410</v>
      </c>
      <c r="P569" s="237" t="s">
        <v>410</v>
      </c>
      <c r="Q569" s="237" t="s">
        <v>410</v>
      </c>
      <c r="R569" s="237" t="s">
        <v>410</v>
      </c>
      <c r="S569" s="10" t="s">
        <v>410</v>
      </c>
      <c r="T569" s="10" t="s">
        <v>410</v>
      </c>
    </row>
    <row r="570" spans="1:20" hidden="1" outlineLevel="1" x14ac:dyDescent="0.3">
      <c r="A570" s="583" t="s">
        <v>1656</v>
      </c>
      <c r="B570" s="591">
        <v>6</v>
      </c>
      <c r="C570" s="583" t="s">
        <v>1256</v>
      </c>
      <c r="D570" s="583" t="s">
        <v>1513</v>
      </c>
      <c r="E570" s="592" t="s">
        <v>410</v>
      </c>
      <c r="F570" s="593" t="s">
        <v>3293</v>
      </c>
      <c r="G570" s="593" t="s">
        <v>3294</v>
      </c>
      <c r="H570" s="593" t="s">
        <v>3295</v>
      </c>
      <c r="I570" s="593" t="s">
        <v>3296</v>
      </c>
      <c r="J570" s="593" t="s">
        <v>3297</v>
      </c>
      <c r="K570" s="237" t="s">
        <v>410</v>
      </c>
      <c r="L570" s="237" t="s">
        <v>410</v>
      </c>
      <c r="M570" s="237" t="s">
        <v>410</v>
      </c>
      <c r="N570" s="237" t="s">
        <v>410</v>
      </c>
      <c r="O570" s="237" t="s">
        <v>410</v>
      </c>
      <c r="P570" s="237" t="s">
        <v>410</v>
      </c>
      <c r="Q570" s="237" t="s">
        <v>410</v>
      </c>
      <c r="R570" s="237" t="s">
        <v>410</v>
      </c>
      <c r="S570" s="10" t="s">
        <v>410</v>
      </c>
      <c r="T570" s="10" t="s">
        <v>410</v>
      </c>
    </row>
    <row r="571" spans="1:20" hidden="1" outlineLevel="1" x14ac:dyDescent="0.3">
      <c r="A571" s="583" t="s">
        <v>1786</v>
      </c>
      <c r="B571" s="591">
        <v>6</v>
      </c>
      <c r="C571" s="583" t="s">
        <v>1256</v>
      </c>
      <c r="D571" s="583" t="s">
        <v>1513</v>
      </c>
      <c r="E571" s="592" t="s">
        <v>410</v>
      </c>
      <c r="F571" s="593" t="s">
        <v>715</v>
      </c>
      <c r="G571" s="593" t="s">
        <v>5509</v>
      </c>
      <c r="H571" s="593" t="s">
        <v>5510</v>
      </c>
      <c r="I571" s="593" t="s">
        <v>5511</v>
      </c>
      <c r="J571" s="237" t="s">
        <v>410</v>
      </c>
      <c r="K571" s="237" t="s">
        <v>410</v>
      </c>
      <c r="L571" s="237" t="s">
        <v>410</v>
      </c>
      <c r="M571" s="237" t="s">
        <v>410</v>
      </c>
      <c r="N571" s="237" t="s">
        <v>410</v>
      </c>
      <c r="O571" s="237" t="s">
        <v>410</v>
      </c>
      <c r="P571" s="237" t="s">
        <v>410</v>
      </c>
      <c r="Q571" s="237" t="s">
        <v>410</v>
      </c>
      <c r="R571" s="237" t="s">
        <v>410</v>
      </c>
      <c r="S571" s="10" t="s">
        <v>410</v>
      </c>
      <c r="T571" s="10" t="s">
        <v>410</v>
      </c>
    </row>
    <row r="572" spans="1:20" hidden="1" outlineLevel="1" x14ac:dyDescent="0.3">
      <c r="A572" s="583" t="s">
        <v>1920</v>
      </c>
      <c r="B572" s="591">
        <v>6</v>
      </c>
      <c r="C572" s="583" t="s">
        <v>1256</v>
      </c>
      <c r="D572" s="583" t="s">
        <v>1513</v>
      </c>
      <c r="E572" s="10" t="s">
        <v>410</v>
      </c>
      <c r="F572" s="593" t="s">
        <v>4322</v>
      </c>
      <c r="G572" s="593" t="s">
        <v>68</v>
      </c>
      <c r="H572" s="593" t="s">
        <v>70</v>
      </c>
      <c r="I572" s="593" t="s">
        <v>72</v>
      </c>
      <c r="J572" s="237" t="s">
        <v>410</v>
      </c>
      <c r="K572" s="237" t="s">
        <v>410</v>
      </c>
      <c r="L572" s="237" t="s">
        <v>410</v>
      </c>
      <c r="M572" s="237" t="s">
        <v>410</v>
      </c>
      <c r="N572" s="237" t="s">
        <v>410</v>
      </c>
      <c r="O572" s="237" t="s">
        <v>410</v>
      </c>
      <c r="P572" s="237" t="s">
        <v>410</v>
      </c>
      <c r="Q572" s="237" t="s">
        <v>410</v>
      </c>
      <c r="R572" s="237" t="s">
        <v>410</v>
      </c>
      <c r="S572" s="10" t="s">
        <v>410</v>
      </c>
      <c r="T572" s="10" t="s">
        <v>410</v>
      </c>
    </row>
    <row r="573" spans="1:20" hidden="1" outlineLevel="1" x14ac:dyDescent="0.3">
      <c r="A573" s="583" t="s">
        <v>1926</v>
      </c>
      <c r="B573" s="591">
        <v>6</v>
      </c>
      <c r="C573" s="583" t="s">
        <v>1256</v>
      </c>
      <c r="D573" s="583" t="s">
        <v>1513</v>
      </c>
      <c r="E573" s="592" t="s">
        <v>410</v>
      </c>
      <c r="F573" s="593" t="s">
        <v>1829</v>
      </c>
      <c r="G573" s="593" t="s">
        <v>3156</v>
      </c>
      <c r="H573" s="593" t="s">
        <v>1927</v>
      </c>
      <c r="I573" s="593" t="s">
        <v>3157</v>
      </c>
      <c r="J573" s="593" t="s">
        <v>3158</v>
      </c>
      <c r="K573" s="237" t="s">
        <v>410</v>
      </c>
      <c r="L573" s="237" t="s">
        <v>410</v>
      </c>
      <c r="M573" s="237" t="s">
        <v>410</v>
      </c>
      <c r="N573" s="237" t="s">
        <v>410</v>
      </c>
      <c r="O573" s="237" t="s">
        <v>410</v>
      </c>
      <c r="P573" s="237" t="s">
        <v>410</v>
      </c>
      <c r="Q573" s="237" t="s">
        <v>410</v>
      </c>
      <c r="R573" s="237" t="s">
        <v>410</v>
      </c>
      <c r="S573" s="10" t="s">
        <v>410</v>
      </c>
      <c r="T573" s="10" t="s">
        <v>410</v>
      </c>
    </row>
    <row r="574" spans="1:20" hidden="1" outlineLevel="1" x14ac:dyDescent="0.3">
      <c r="A574" s="583" t="s">
        <v>1952</v>
      </c>
      <c r="B574" s="591">
        <v>6</v>
      </c>
      <c r="C574" s="583" t="s">
        <v>1256</v>
      </c>
      <c r="D574" s="583" t="s">
        <v>1513</v>
      </c>
      <c r="E574" s="237" t="s">
        <v>410</v>
      </c>
      <c r="F574" s="593" t="s">
        <v>66</v>
      </c>
      <c r="G574" s="593" t="s">
        <v>68</v>
      </c>
      <c r="H574" s="594" t="str">
        <f>CONCATENATE("+",TEXT(IF(CHR&gt;3,CHR,3),0))</f>
        <v>+3</v>
      </c>
      <c r="I574" s="237" t="s">
        <v>410</v>
      </c>
      <c r="J574" s="237" t="s">
        <v>410</v>
      </c>
      <c r="K574" s="237" t="s">
        <v>410</v>
      </c>
      <c r="L574" s="237" t="s">
        <v>410</v>
      </c>
      <c r="M574" s="237" t="s">
        <v>410</v>
      </c>
      <c r="N574" s="237" t="s">
        <v>410</v>
      </c>
      <c r="O574" s="237" t="s">
        <v>410</v>
      </c>
      <c r="P574" s="237" t="s">
        <v>410</v>
      </c>
      <c r="Q574" s="237" t="s">
        <v>410</v>
      </c>
      <c r="R574" s="237" t="s">
        <v>410</v>
      </c>
      <c r="S574" s="237" t="s">
        <v>410</v>
      </c>
      <c r="T574" s="237" t="s">
        <v>410</v>
      </c>
    </row>
    <row r="575" spans="1:20" hidden="1" outlineLevel="1" x14ac:dyDescent="0.3">
      <c r="A575" s="583" t="s">
        <v>1960</v>
      </c>
      <c r="B575" s="591">
        <v>6</v>
      </c>
      <c r="C575" s="583" t="s">
        <v>1256</v>
      </c>
      <c r="D575" s="583" t="s">
        <v>1513</v>
      </c>
      <c r="E575" s="593" t="s">
        <v>410</v>
      </c>
      <c r="F575" s="593" t="s">
        <v>4195</v>
      </c>
      <c r="G575" s="593" t="s">
        <v>4196</v>
      </c>
      <c r="H575" s="593" t="s">
        <v>4197</v>
      </c>
      <c r="I575" s="237" t="s">
        <v>410</v>
      </c>
      <c r="J575" s="237" t="s">
        <v>410</v>
      </c>
      <c r="K575" s="237" t="s">
        <v>410</v>
      </c>
      <c r="L575" s="237" t="s">
        <v>410</v>
      </c>
      <c r="M575" s="237" t="s">
        <v>410</v>
      </c>
      <c r="N575" s="237" t="s">
        <v>410</v>
      </c>
      <c r="O575" s="237" t="s">
        <v>410</v>
      </c>
      <c r="P575" s="237" t="s">
        <v>410</v>
      </c>
      <c r="Q575" s="237" t="s">
        <v>410</v>
      </c>
      <c r="R575" s="237" t="s">
        <v>410</v>
      </c>
      <c r="S575" s="237" t="s">
        <v>410</v>
      </c>
      <c r="T575" s="237" t="s">
        <v>410</v>
      </c>
    </row>
    <row r="576" spans="1:20" hidden="1" outlineLevel="1" x14ac:dyDescent="0.3">
      <c r="A576" s="583" t="s">
        <v>1768</v>
      </c>
      <c r="B576" s="591">
        <v>11</v>
      </c>
      <c r="C576" s="583" t="s">
        <v>1256</v>
      </c>
      <c r="D576" s="583" t="s">
        <v>1513</v>
      </c>
      <c r="E576" s="592" t="s">
        <v>410</v>
      </c>
      <c r="F576" s="593" t="s">
        <v>67</v>
      </c>
      <c r="G576" s="593" t="s">
        <v>68</v>
      </c>
      <c r="H576" s="593" t="s">
        <v>70</v>
      </c>
      <c r="I576" s="593" t="s">
        <v>72</v>
      </c>
      <c r="J576" s="593" t="s">
        <v>74</v>
      </c>
      <c r="K576" s="237" t="s">
        <v>410</v>
      </c>
      <c r="L576" s="237" t="s">
        <v>410</v>
      </c>
      <c r="M576" s="237" t="s">
        <v>410</v>
      </c>
      <c r="N576" s="237" t="s">
        <v>410</v>
      </c>
      <c r="O576" s="237" t="s">
        <v>410</v>
      </c>
      <c r="P576" s="237" t="s">
        <v>410</v>
      </c>
      <c r="Q576" s="237" t="s">
        <v>410</v>
      </c>
      <c r="R576" s="237" t="s">
        <v>410</v>
      </c>
      <c r="S576" s="10" t="s">
        <v>410</v>
      </c>
      <c r="T576" s="10" t="s">
        <v>410</v>
      </c>
    </row>
    <row r="577" spans="1:20" hidden="1" outlineLevel="1" x14ac:dyDescent="0.3">
      <c r="A577" s="583" t="s">
        <v>1959</v>
      </c>
      <c r="B577" s="591">
        <v>11</v>
      </c>
      <c r="C577" s="583" t="s">
        <v>1256</v>
      </c>
      <c r="D577" s="583" t="s">
        <v>1513</v>
      </c>
      <c r="E577" s="593" t="s">
        <v>410</v>
      </c>
      <c r="F577" s="237"/>
      <c r="G577" s="237"/>
      <c r="H577" s="237"/>
      <c r="I577" s="237"/>
      <c r="J577" s="237"/>
      <c r="K577" s="237" t="s">
        <v>410</v>
      </c>
      <c r="L577" s="237" t="s">
        <v>410</v>
      </c>
      <c r="M577" s="237" t="s">
        <v>410</v>
      </c>
      <c r="N577" s="237" t="s">
        <v>410</v>
      </c>
      <c r="O577" s="237" t="s">
        <v>410</v>
      </c>
      <c r="P577" s="237" t="s">
        <v>410</v>
      </c>
      <c r="Q577" s="237" t="s">
        <v>410</v>
      </c>
      <c r="R577" s="237" t="s">
        <v>410</v>
      </c>
      <c r="S577" s="237" t="s">
        <v>410</v>
      </c>
      <c r="T577" s="237" t="s">
        <v>410</v>
      </c>
    </row>
    <row r="578" spans="1:20" hidden="1" outlineLevel="1" x14ac:dyDescent="0.3">
      <c r="A578" s="583" t="s">
        <v>4788</v>
      </c>
      <c r="B578" s="591">
        <v>13</v>
      </c>
      <c r="C578" s="588" t="s">
        <v>1256</v>
      </c>
      <c r="D578" s="588" t="s">
        <v>1513</v>
      </c>
      <c r="E578" s="589" t="s">
        <v>410</v>
      </c>
      <c r="F578" s="590"/>
      <c r="G578" s="590"/>
      <c r="H578" s="590"/>
      <c r="I578" s="590"/>
      <c r="J578" s="590"/>
      <c r="K578" s="590"/>
      <c r="L578" s="590"/>
      <c r="M578" s="590"/>
      <c r="N578" s="441" t="s">
        <v>410</v>
      </c>
      <c r="O578" s="441" t="s">
        <v>410</v>
      </c>
      <c r="P578" s="441" t="s">
        <v>410</v>
      </c>
      <c r="Q578" s="441" t="s">
        <v>410</v>
      </c>
      <c r="R578" s="441" t="s">
        <v>410</v>
      </c>
      <c r="S578" s="441" t="s">
        <v>410</v>
      </c>
      <c r="T578" s="441" t="s">
        <v>410</v>
      </c>
    </row>
    <row r="579" spans="1:20" hidden="1" outlineLevel="1" x14ac:dyDescent="0.3">
      <c r="A579" s="583" t="s">
        <v>1798</v>
      </c>
      <c r="B579" s="591">
        <v>16</v>
      </c>
      <c r="C579" s="583" t="s">
        <v>1256</v>
      </c>
      <c r="D579" s="583" t="s">
        <v>1513</v>
      </c>
      <c r="E579" s="592" t="s">
        <v>410</v>
      </c>
      <c r="F579" s="593" t="s">
        <v>1799</v>
      </c>
      <c r="G579" s="593" t="s">
        <v>1800</v>
      </c>
      <c r="H579" s="593" t="s">
        <v>1801</v>
      </c>
      <c r="I579" s="593" t="s">
        <v>1802</v>
      </c>
      <c r="J579" s="237" t="s">
        <v>410</v>
      </c>
      <c r="K579" s="237" t="s">
        <v>410</v>
      </c>
      <c r="L579" s="237" t="s">
        <v>410</v>
      </c>
      <c r="M579" s="237" t="s">
        <v>410</v>
      </c>
      <c r="N579" s="237" t="s">
        <v>410</v>
      </c>
      <c r="O579" s="237" t="s">
        <v>410</v>
      </c>
      <c r="P579" s="237" t="s">
        <v>410</v>
      </c>
      <c r="Q579" s="237" t="s">
        <v>410</v>
      </c>
      <c r="R579" s="237" t="s">
        <v>410</v>
      </c>
      <c r="S579" s="10" t="s">
        <v>410</v>
      </c>
      <c r="T579" s="10" t="s">
        <v>410</v>
      </c>
    </row>
    <row r="580" spans="1:20" hidden="1" outlineLevel="1" x14ac:dyDescent="0.3">
      <c r="A580" s="583" t="s">
        <v>1807</v>
      </c>
      <c r="B580" s="591">
        <v>16</v>
      </c>
      <c r="C580" s="583" t="s">
        <v>1256</v>
      </c>
      <c r="D580" s="583" t="s">
        <v>1513</v>
      </c>
      <c r="E580" s="592" t="s">
        <v>410</v>
      </c>
      <c r="F580" s="593" t="s">
        <v>1799</v>
      </c>
      <c r="G580" s="593" t="s">
        <v>1800</v>
      </c>
      <c r="H580" s="593" t="s">
        <v>1801</v>
      </c>
      <c r="I580" s="593" t="s">
        <v>1802</v>
      </c>
      <c r="J580" s="237" t="s">
        <v>410</v>
      </c>
      <c r="K580" s="237" t="s">
        <v>410</v>
      </c>
      <c r="L580" s="237" t="s">
        <v>410</v>
      </c>
      <c r="M580" s="237" t="s">
        <v>410</v>
      </c>
      <c r="N580" s="237" t="s">
        <v>410</v>
      </c>
      <c r="O580" s="237" t="s">
        <v>410</v>
      </c>
      <c r="P580" s="237" t="s">
        <v>410</v>
      </c>
      <c r="Q580" s="237" t="s">
        <v>410</v>
      </c>
      <c r="R580" s="237" t="s">
        <v>410</v>
      </c>
      <c r="S580" s="10" t="s">
        <v>410</v>
      </c>
      <c r="T580" s="10" t="s">
        <v>410</v>
      </c>
    </row>
    <row r="581" spans="1:20" hidden="1" outlineLevel="1" x14ac:dyDescent="0.3">
      <c r="A581" s="583" t="s">
        <v>1968</v>
      </c>
      <c r="B581" s="591">
        <v>16</v>
      </c>
      <c r="C581" s="583" t="s">
        <v>1256</v>
      </c>
      <c r="D581" s="583" t="s">
        <v>1513</v>
      </c>
      <c r="E581" s="593" t="s">
        <v>410</v>
      </c>
      <c r="F581" s="593" t="s">
        <v>3300</v>
      </c>
      <c r="G581" s="593" t="s">
        <v>3301</v>
      </c>
      <c r="H581" s="593" t="s">
        <v>3302</v>
      </c>
      <c r="I581" s="593" t="s">
        <v>3303</v>
      </c>
      <c r="J581" s="593" t="s">
        <v>3304</v>
      </c>
      <c r="K581" s="237" t="s">
        <v>410</v>
      </c>
      <c r="L581" s="237" t="s">
        <v>410</v>
      </c>
      <c r="M581" s="237" t="s">
        <v>410</v>
      </c>
      <c r="N581" s="237" t="s">
        <v>410</v>
      </c>
      <c r="O581" s="237" t="s">
        <v>410</v>
      </c>
      <c r="P581" s="237" t="s">
        <v>410</v>
      </c>
      <c r="Q581" s="237" t="s">
        <v>410</v>
      </c>
      <c r="R581" s="237" t="s">
        <v>410</v>
      </c>
      <c r="S581" s="237" t="s">
        <v>410</v>
      </c>
      <c r="T581" s="237" t="s">
        <v>410</v>
      </c>
    </row>
    <row r="582" spans="1:20" hidden="1" outlineLevel="1" x14ac:dyDescent="0.3">
      <c r="A582" s="583" t="s">
        <v>1803</v>
      </c>
      <c r="B582" s="591">
        <v>21</v>
      </c>
      <c r="C582" s="583" t="s">
        <v>1256</v>
      </c>
      <c r="D582" s="583" t="s">
        <v>1513</v>
      </c>
      <c r="E582" s="592" t="s">
        <v>410</v>
      </c>
      <c r="F582" s="593" t="s">
        <v>1804</v>
      </c>
      <c r="G582" s="593" t="s">
        <v>1805</v>
      </c>
      <c r="H582" s="593" t="s">
        <v>1806</v>
      </c>
      <c r="I582" s="1019" t="s">
        <v>410</v>
      </c>
      <c r="J582" s="237" t="s">
        <v>410</v>
      </c>
      <c r="K582" s="237" t="s">
        <v>410</v>
      </c>
      <c r="L582" s="237" t="s">
        <v>410</v>
      </c>
      <c r="M582" s="237" t="s">
        <v>410</v>
      </c>
      <c r="N582" s="237" t="s">
        <v>410</v>
      </c>
      <c r="O582" s="237" t="s">
        <v>410</v>
      </c>
      <c r="P582" s="237" t="s">
        <v>410</v>
      </c>
      <c r="Q582" s="237" t="s">
        <v>410</v>
      </c>
      <c r="R582" s="237" t="s">
        <v>410</v>
      </c>
      <c r="S582" s="10" t="s">
        <v>410</v>
      </c>
      <c r="T582" s="10" t="s">
        <v>410</v>
      </c>
    </row>
    <row r="583" spans="1:20" hidden="1" outlineLevel="1" x14ac:dyDescent="0.3">
      <c r="A583" s="583" t="s">
        <v>2067</v>
      </c>
      <c r="B583" s="591">
        <v>0</v>
      </c>
      <c r="C583" s="588" t="s">
        <v>1564</v>
      </c>
      <c r="D583" s="588" t="s">
        <v>1513</v>
      </c>
      <c r="E583" s="595"/>
      <c r="F583" s="9" t="s">
        <v>410</v>
      </c>
      <c r="G583" s="9" t="s">
        <v>410</v>
      </c>
      <c r="H583" s="9" t="s">
        <v>410</v>
      </c>
      <c r="I583" s="9" t="s">
        <v>410</v>
      </c>
      <c r="J583" s="9" t="s">
        <v>410</v>
      </c>
      <c r="K583" s="9" t="s">
        <v>410</v>
      </c>
      <c r="L583" s="9" t="s">
        <v>410</v>
      </c>
      <c r="M583" s="9" t="s">
        <v>410</v>
      </c>
      <c r="N583" s="9" t="s">
        <v>410</v>
      </c>
      <c r="O583" s="9" t="s">
        <v>410</v>
      </c>
      <c r="P583" s="9" t="s">
        <v>410</v>
      </c>
      <c r="Q583" s="9" t="s">
        <v>410</v>
      </c>
      <c r="R583" s="9" t="s">
        <v>410</v>
      </c>
      <c r="S583" s="9" t="s">
        <v>410</v>
      </c>
      <c r="T583" s="9" t="s">
        <v>410</v>
      </c>
    </row>
    <row r="584" spans="1:20" hidden="1" outlineLevel="1" x14ac:dyDescent="0.3">
      <c r="A584" s="583" t="s">
        <v>2318</v>
      </c>
      <c r="B584" s="591">
        <v>0</v>
      </c>
      <c r="C584" s="583" t="s">
        <v>1564</v>
      </c>
      <c r="D584" s="583" t="s">
        <v>1513</v>
      </c>
      <c r="E584" s="583"/>
      <c r="F584" s="591" t="s">
        <v>410</v>
      </c>
      <c r="G584" s="591" t="s">
        <v>410</v>
      </c>
      <c r="H584" s="591" t="s">
        <v>410</v>
      </c>
      <c r="I584" s="591" t="s">
        <v>410</v>
      </c>
      <c r="J584" s="591" t="s">
        <v>410</v>
      </c>
      <c r="K584" s="591" t="s">
        <v>410</v>
      </c>
      <c r="L584" t="s">
        <v>410</v>
      </c>
      <c r="M584" t="s">
        <v>410</v>
      </c>
      <c r="N584" t="s">
        <v>410</v>
      </c>
      <c r="O584" t="s">
        <v>410</v>
      </c>
      <c r="P584" t="s">
        <v>410</v>
      </c>
      <c r="Q584" t="s">
        <v>410</v>
      </c>
      <c r="R584" t="s">
        <v>410</v>
      </c>
      <c r="S584" t="s">
        <v>410</v>
      </c>
      <c r="T584" t="s">
        <v>410</v>
      </c>
    </row>
    <row r="585" spans="1:20" hidden="1" outlineLevel="1" x14ac:dyDescent="0.3">
      <c r="A585" s="583" t="s">
        <v>2196</v>
      </c>
      <c r="B585" s="591">
        <v>1</v>
      </c>
      <c r="C585" s="583" t="s">
        <v>1564</v>
      </c>
      <c r="D585" s="583" t="s">
        <v>1513</v>
      </c>
      <c r="E585" s="592" t="s">
        <v>410</v>
      </c>
      <c r="F585" s="592" t="s">
        <v>3164</v>
      </c>
      <c r="G585" s="592" t="s">
        <v>3165</v>
      </c>
      <c r="H585" s="592" t="s">
        <v>3166</v>
      </c>
      <c r="I585" s="592" t="s">
        <v>3167</v>
      </c>
      <c r="J585" s="592" t="s">
        <v>3168</v>
      </c>
      <c r="K585" s="583" t="s">
        <v>410</v>
      </c>
      <c r="L585" t="s">
        <v>410</v>
      </c>
      <c r="M585" t="s">
        <v>410</v>
      </c>
      <c r="N585" t="s">
        <v>410</v>
      </c>
      <c r="O585" t="s">
        <v>410</v>
      </c>
      <c r="P585" t="s">
        <v>410</v>
      </c>
      <c r="Q585" t="s">
        <v>410</v>
      </c>
      <c r="R585" t="s">
        <v>410</v>
      </c>
      <c r="S585" t="s">
        <v>410</v>
      </c>
      <c r="T585" t="s">
        <v>410</v>
      </c>
    </row>
    <row r="586" spans="1:20" hidden="1" outlineLevel="1" x14ac:dyDescent="0.3">
      <c r="A586" s="583" t="s">
        <v>1658</v>
      </c>
      <c r="B586" s="591">
        <v>1</v>
      </c>
      <c r="C586" s="583" t="s">
        <v>1564</v>
      </c>
      <c r="D586" s="583" t="s">
        <v>1513</v>
      </c>
      <c r="E586" s="592" t="s">
        <v>410</v>
      </c>
      <c r="F586" s="593"/>
      <c r="G586" s="593"/>
      <c r="H586" s="593"/>
      <c r="I586" s="593"/>
      <c r="J586" s="593"/>
      <c r="K586" s="593"/>
      <c r="L586" s="593"/>
      <c r="M586" s="593"/>
      <c r="N586" s="593"/>
      <c r="O586" s="593"/>
      <c r="P586" s="593" t="s">
        <v>410</v>
      </c>
      <c r="Q586" s="593" t="s">
        <v>410</v>
      </c>
      <c r="R586" s="593" t="s">
        <v>410</v>
      </c>
      <c r="S586" s="592" t="s">
        <v>410</v>
      </c>
      <c r="T586" s="592" t="s">
        <v>410</v>
      </c>
    </row>
    <row r="587" spans="1:20" hidden="1" outlineLevel="1" x14ac:dyDescent="0.3">
      <c r="A587" s="583" t="s">
        <v>2197</v>
      </c>
      <c r="B587" s="591">
        <v>2</v>
      </c>
      <c r="C587" s="583" t="s">
        <v>1564</v>
      </c>
      <c r="D587" s="583" t="s">
        <v>1513</v>
      </c>
      <c r="E587" s="592" t="s">
        <v>410</v>
      </c>
      <c r="F587" s="583" t="s">
        <v>410</v>
      </c>
      <c r="G587" s="583" t="s">
        <v>3169</v>
      </c>
      <c r="H587" s="583" t="s">
        <v>3170</v>
      </c>
      <c r="I587" s="583" t="s">
        <v>3171</v>
      </c>
      <c r="J587" s="583" t="s">
        <v>3172</v>
      </c>
      <c r="K587" s="583" t="s">
        <v>410</v>
      </c>
      <c r="L587" t="s">
        <v>410</v>
      </c>
      <c r="M587" t="s">
        <v>410</v>
      </c>
      <c r="N587" t="s">
        <v>410</v>
      </c>
      <c r="O587" t="s">
        <v>410</v>
      </c>
      <c r="P587" t="s">
        <v>410</v>
      </c>
      <c r="Q587" t="s">
        <v>410</v>
      </c>
      <c r="R587" t="s">
        <v>410</v>
      </c>
      <c r="S587" t="s">
        <v>410</v>
      </c>
      <c r="T587" t="s">
        <v>410</v>
      </c>
    </row>
    <row r="588" spans="1:20" hidden="1" outlineLevel="1" x14ac:dyDescent="0.3">
      <c r="A588" s="583" t="s">
        <v>4431</v>
      </c>
      <c r="B588" s="591">
        <v>3</v>
      </c>
      <c r="C588" s="588" t="s">
        <v>1564</v>
      </c>
      <c r="D588" s="588" t="s">
        <v>1513</v>
      </c>
      <c r="E588" s="589" t="s">
        <v>410</v>
      </c>
      <c r="F588" s="594" t="str">
        <f>CONCATENATE(TEXT(2+IF(OBR&lt;0,0,OBR)*1,"0")," mg")</f>
        <v>2 mg</v>
      </c>
      <c r="G588" s="594" t="str">
        <f>CONCATENATE(TEXT(5+IF(OBR&lt;0,0,OBR)*1,"0")," mg")</f>
        <v>5 mg</v>
      </c>
      <c r="H588" s="594" t="str">
        <f>CONCATENATE(TEXT(7+IF(OBR&lt;0,0,OBR)*1,"0")," mg")</f>
        <v>7 mg</v>
      </c>
      <c r="I588" s="594" t="str">
        <f>CONCATENATE(TEXT(7+IF(OBR&lt;0,0,OBR)*2,"0")," mg")</f>
        <v>7 mg</v>
      </c>
      <c r="J588" s="594" t="str">
        <f>CONCATENATE(TEXT(9+IF(OBR&lt;0,0,OBR)*2,"0")," mg")</f>
        <v>9 mg</v>
      </c>
      <c r="K588" s="594" t="str">
        <f>CONCATENATE(TEXT(12+IF(OBR&lt;0,0,OBR)*2,"0")," mg")</f>
        <v>12 mg</v>
      </c>
      <c r="L588" s="594" t="str">
        <f>CONCATENATE(TEXT(13+IF(OBR&lt;0,0,OBR)*3,"0")," mg")</f>
        <v>13 mg</v>
      </c>
      <c r="M588" s="594" t="str">
        <f>CONCATENATE(TEXT(15+IF(OBR&lt;0,0,OBR)*3,"0")," mg")</f>
        <v>15 mg</v>
      </c>
      <c r="N588" s="594" t="str">
        <f>CONCATENATE(TEXT(17+IF(OBR&lt;0,0,OBR)*3,"0")," mg")</f>
        <v>17 mg</v>
      </c>
      <c r="O588" s="594" t="str">
        <f>CONCATENATE(TEXT(18+IF(OBR&lt;0,0,OBR)*4,"0")," mg")</f>
        <v>18 mg</v>
      </c>
      <c r="P588" s="441" t="s">
        <v>410</v>
      </c>
      <c r="Q588" s="441" t="s">
        <v>410</v>
      </c>
      <c r="R588" s="441" t="s">
        <v>410</v>
      </c>
      <c r="S588" s="441" t="s">
        <v>410</v>
      </c>
      <c r="T588" s="441" t="s">
        <v>410</v>
      </c>
    </row>
    <row r="589" spans="1:20" hidden="1" outlineLevel="1" x14ac:dyDescent="0.3">
      <c r="A589" s="583" t="s">
        <v>2198</v>
      </c>
      <c r="B589" s="591">
        <v>3</v>
      </c>
      <c r="C589" s="583" t="s">
        <v>1564</v>
      </c>
      <c r="D589" s="583" t="s">
        <v>1513</v>
      </c>
      <c r="E589" s="592" t="s">
        <v>410</v>
      </c>
      <c r="F589" s="583" t="s">
        <v>410</v>
      </c>
      <c r="G589" s="583" t="s">
        <v>410</v>
      </c>
      <c r="H589" s="592" t="s">
        <v>3173</v>
      </c>
      <c r="I589" s="592" t="s">
        <v>3173</v>
      </c>
      <c r="J589" s="592" t="s">
        <v>3174</v>
      </c>
      <c r="K589" s="583" t="s">
        <v>410</v>
      </c>
      <c r="L589" t="s">
        <v>410</v>
      </c>
      <c r="M589" t="s">
        <v>410</v>
      </c>
      <c r="N589" t="s">
        <v>410</v>
      </c>
      <c r="O589" t="s">
        <v>410</v>
      </c>
      <c r="P589" t="s">
        <v>410</v>
      </c>
      <c r="Q589" t="s">
        <v>410</v>
      </c>
      <c r="R589" t="s">
        <v>410</v>
      </c>
      <c r="S589" t="s">
        <v>410</v>
      </c>
      <c r="T589" t="s">
        <v>410</v>
      </c>
    </row>
    <row r="590" spans="1:20" hidden="1" outlineLevel="1" x14ac:dyDescent="0.3">
      <c r="A590" s="583" t="s">
        <v>3163</v>
      </c>
      <c r="B590" s="591">
        <v>4</v>
      </c>
      <c r="C590" s="583" t="s">
        <v>1564</v>
      </c>
      <c r="D590" s="583" t="s">
        <v>1513</v>
      </c>
      <c r="E590" s="592" t="s">
        <v>410</v>
      </c>
      <c r="F590" s="583" t="s">
        <v>410</v>
      </c>
      <c r="G590" s="583" t="s">
        <v>410</v>
      </c>
      <c r="H590" s="583" t="s">
        <v>410</v>
      </c>
      <c r="I590" s="592" t="s">
        <v>3175</v>
      </c>
      <c r="J590" s="592" t="s">
        <v>3175</v>
      </c>
      <c r="K590" s="583" t="s">
        <v>410</v>
      </c>
      <c r="L590" t="s">
        <v>410</v>
      </c>
      <c r="M590" t="s">
        <v>410</v>
      </c>
      <c r="N590" t="s">
        <v>410</v>
      </c>
      <c r="O590" t="s">
        <v>410</v>
      </c>
      <c r="P590" t="s">
        <v>410</v>
      </c>
      <c r="Q590" t="s">
        <v>410</v>
      </c>
      <c r="R590" t="s">
        <v>410</v>
      </c>
      <c r="S590" t="s">
        <v>410</v>
      </c>
      <c r="T590" t="s">
        <v>410</v>
      </c>
    </row>
    <row r="591" spans="1:20" hidden="1" outlineLevel="1" x14ac:dyDescent="0.3">
      <c r="A591" s="583" t="s">
        <v>1659</v>
      </c>
      <c r="B591" s="591">
        <v>5</v>
      </c>
      <c r="C591" s="588" t="s">
        <v>1564</v>
      </c>
      <c r="D591" s="588" t="s">
        <v>1513</v>
      </c>
      <c r="E591" s="592" t="s">
        <v>410</v>
      </c>
      <c r="F591" s="593"/>
      <c r="G591" s="593"/>
      <c r="H591" s="593"/>
      <c r="I591" s="593"/>
      <c r="J591" s="593"/>
      <c r="K591" s="589"/>
      <c r="L591" s="589"/>
      <c r="M591" s="589"/>
      <c r="N591" s="589"/>
      <c r="O591" s="589"/>
      <c r="P591" s="589" t="s">
        <v>410</v>
      </c>
      <c r="Q591" s="589" t="s">
        <v>410</v>
      </c>
      <c r="R591" s="589" t="s">
        <v>410</v>
      </c>
      <c r="S591" s="589" t="s">
        <v>410</v>
      </c>
      <c r="T591" s="589" t="s">
        <v>410</v>
      </c>
    </row>
    <row r="592" spans="1:20" hidden="1" outlineLevel="1" x14ac:dyDescent="0.3">
      <c r="A592" s="583" t="s">
        <v>2199</v>
      </c>
      <c r="B592" s="591">
        <v>5</v>
      </c>
      <c r="C592" s="583" t="s">
        <v>1564</v>
      </c>
      <c r="D592" s="583" t="s">
        <v>1513</v>
      </c>
      <c r="E592" s="592" t="s">
        <v>410</v>
      </c>
      <c r="F592" s="583" t="s">
        <v>410</v>
      </c>
      <c r="G592" s="583" t="s">
        <v>410</v>
      </c>
      <c r="H592" s="583" t="s">
        <v>410</v>
      </c>
      <c r="I592" s="583" t="s">
        <v>410</v>
      </c>
      <c r="J592" s="592" t="s">
        <v>2200</v>
      </c>
      <c r="K592" s="583" t="s">
        <v>410</v>
      </c>
      <c r="L592" t="s">
        <v>410</v>
      </c>
      <c r="M592" t="s">
        <v>410</v>
      </c>
      <c r="N592" t="s">
        <v>410</v>
      </c>
      <c r="O592" t="s">
        <v>410</v>
      </c>
      <c r="P592" t="s">
        <v>410</v>
      </c>
      <c r="Q592" t="s">
        <v>410</v>
      </c>
      <c r="R592" t="s">
        <v>410</v>
      </c>
      <c r="S592" t="s">
        <v>410</v>
      </c>
      <c r="T592" t="s">
        <v>410</v>
      </c>
    </row>
    <row r="593" spans="1:20" hidden="1" outlineLevel="1" x14ac:dyDescent="0.3">
      <c r="A593" s="583" t="s">
        <v>1577</v>
      </c>
      <c r="B593" s="591">
        <v>6</v>
      </c>
      <c r="C593" s="588" t="s">
        <v>1564</v>
      </c>
      <c r="D593" s="588" t="s">
        <v>1513</v>
      </c>
      <c r="E593" s="589" t="s">
        <v>410</v>
      </c>
      <c r="F593" s="594" t="str">
        <f>CONCATENATE(TEXT(2+IF(OBR&lt;0,0,OBR)*1,"0")," mg")</f>
        <v>2 mg</v>
      </c>
      <c r="G593" s="594" t="str">
        <f>CONCATENATE(TEXT(5+IF(OBR&lt;0,0,OBR)*1,"0")," mg")</f>
        <v>5 mg</v>
      </c>
      <c r="H593" s="594" t="str">
        <f>CONCATENATE(TEXT(7+IF(OBR&lt;0,0,OBR)*1,"0")," mg")</f>
        <v>7 mg</v>
      </c>
      <c r="I593" s="594" t="str">
        <f>CONCATENATE(TEXT(7+IF(OBR&lt;0,0,OBR)*2,"0")," mg")</f>
        <v>7 mg</v>
      </c>
      <c r="J593" s="594" t="str">
        <f>CONCATENATE(TEXT(9+IF(OBR&lt;0,0,OBR)*2,"0")," mg")</f>
        <v>9 mg</v>
      </c>
      <c r="K593" s="594" t="str">
        <f>CONCATENATE(TEXT(12+IF(OBR&lt;0,0,OBR)*2,"0")," mg")</f>
        <v>12 mg</v>
      </c>
      <c r="L593" s="594" t="str">
        <f>CONCATENATE(TEXT(13+IF(OBR&lt;0,0,OBR)*3,"0")," mg")</f>
        <v>13 mg</v>
      </c>
      <c r="M593" s="594" t="str">
        <f>CONCATENATE(TEXT(15+IF(OBR&lt;0,0,OBR)*3,"0")," mg")</f>
        <v>15 mg</v>
      </c>
      <c r="N593" s="594" t="str">
        <f>CONCATENATE(TEXT(17+IF(OBR&lt;0,0,OBR)*3,"0")," mg")</f>
        <v>17 mg</v>
      </c>
      <c r="O593" s="594" t="str">
        <f>CONCATENATE(TEXT(18+IF(OBR&lt;0,0,OBR)*4,"0")," mg")</f>
        <v>18 mg</v>
      </c>
      <c r="P593" s="441" t="s">
        <v>410</v>
      </c>
      <c r="Q593" s="441" t="s">
        <v>410</v>
      </c>
      <c r="R593" s="441" t="s">
        <v>410</v>
      </c>
      <c r="S593" s="441" t="s">
        <v>410</v>
      </c>
      <c r="T593" s="441" t="s">
        <v>410</v>
      </c>
    </row>
    <row r="594" spans="1:20" hidden="1" outlineLevel="1" x14ac:dyDescent="0.3">
      <c r="A594" s="583" t="s">
        <v>4432</v>
      </c>
      <c r="B594" s="591">
        <v>11</v>
      </c>
      <c r="C594" s="588" t="s">
        <v>1564</v>
      </c>
      <c r="D594" s="588" t="s">
        <v>1513</v>
      </c>
      <c r="E594" s="583" t="s">
        <v>410</v>
      </c>
      <c r="F594" s="593"/>
      <c r="G594" s="593"/>
      <c r="H594" s="593"/>
      <c r="I594" s="593"/>
      <c r="J594" s="593"/>
      <c r="K594" s="589"/>
      <c r="L594" s="589"/>
      <c r="M594" s="589"/>
      <c r="N594" t="s">
        <v>410</v>
      </c>
      <c r="O594" t="s">
        <v>410</v>
      </c>
      <c r="P594" t="s">
        <v>410</v>
      </c>
      <c r="Q594" t="s">
        <v>410</v>
      </c>
      <c r="R594" t="s">
        <v>410</v>
      </c>
      <c r="S594" t="s">
        <v>410</v>
      </c>
      <c r="T594" t="s">
        <v>410</v>
      </c>
    </row>
    <row r="595" spans="1:20" hidden="1" outlineLevel="1" x14ac:dyDescent="0.3">
      <c r="A595" s="583" t="s">
        <v>4626</v>
      </c>
      <c r="B595" s="591">
        <v>16</v>
      </c>
      <c r="C595" s="588" t="s">
        <v>1564</v>
      </c>
      <c r="D595" s="588" t="s">
        <v>1513</v>
      </c>
      <c r="E595" s="592" t="s">
        <v>410</v>
      </c>
      <c r="F595" s="593"/>
      <c r="G595" s="593"/>
      <c r="H595" s="593"/>
      <c r="I595" s="593"/>
      <c r="J595" s="593"/>
      <c r="K595" s="589"/>
      <c r="L595" s="589"/>
      <c r="M595" s="589"/>
      <c r="N595" s="589" t="s">
        <v>410</v>
      </c>
      <c r="O595" s="589" t="s">
        <v>410</v>
      </c>
      <c r="P595" s="589" t="s">
        <v>410</v>
      </c>
      <c r="Q595" s="589" t="s">
        <v>410</v>
      </c>
      <c r="R595" s="589" t="s">
        <v>410</v>
      </c>
      <c r="S595" s="589" t="s">
        <v>410</v>
      </c>
      <c r="T595" s="589" t="s">
        <v>410</v>
      </c>
    </row>
    <row r="596" spans="1:20" hidden="1" outlineLevel="1" x14ac:dyDescent="0.3">
      <c r="A596" s="583" t="s">
        <v>4758</v>
      </c>
      <c r="B596" s="591">
        <v>21</v>
      </c>
      <c r="C596" s="588" t="s">
        <v>1564</v>
      </c>
      <c r="D596" s="588" t="s">
        <v>1513</v>
      </c>
      <c r="E596" s="592" t="s">
        <v>410</v>
      </c>
      <c r="F596" s="593"/>
      <c r="G596" s="593"/>
      <c r="H596" s="593"/>
      <c r="I596" s="593"/>
      <c r="J596" s="593"/>
      <c r="K596" s="589"/>
      <c r="L596" s="589"/>
      <c r="M596" s="589"/>
      <c r="N596" s="589" t="s">
        <v>410</v>
      </c>
      <c r="O596" s="589" t="s">
        <v>410</v>
      </c>
      <c r="P596" s="589" t="s">
        <v>410</v>
      </c>
      <c r="Q596" s="589" t="s">
        <v>410</v>
      </c>
      <c r="R596" s="589" t="s">
        <v>410</v>
      </c>
      <c r="S596" s="589" t="s">
        <v>410</v>
      </c>
      <c r="T596" s="589" t="s">
        <v>410</v>
      </c>
    </row>
    <row r="597" spans="1:20" collapsed="1" x14ac:dyDescent="0.3">
      <c r="A597" s="583" t="s">
        <v>1478</v>
      </c>
      <c r="B597" s="591">
        <v>1</v>
      </c>
      <c r="C597" s="588" t="s">
        <v>1256</v>
      </c>
      <c r="D597" s="588" t="s">
        <v>5561</v>
      </c>
      <c r="E597" s="589" t="s">
        <v>410</v>
      </c>
      <c r="F597" s="590" t="s">
        <v>2117</v>
      </c>
      <c r="G597" s="590" t="s">
        <v>2118</v>
      </c>
      <c r="H597" s="590" t="s">
        <v>2119</v>
      </c>
      <c r="I597" s="590" t="s">
        <v>2120</v>
      </c>
      <c r="J597" s="590" t="s">
        <v>2121</v>
      </c>
      <c r="K597" s="590" t="s">
        <v>2122</v>
      </c>
      <c r="L597" s="441" t="s">
        <v>410</v>
      </c>
      <c r="M597" s="441" t="s">
        <v>410</v>
      </c>
      <c r="N597" s="441" t="s">
        <v>410</v>
      </c>
      <c r="O597" s="441" t="s">
        <v>410</v>
      </c>
      <c r="P597" s="441" t="s">
        <v>410</v>
      </c>
      <c r="Q597" s="441" t="s">
        <v>410</v>
      </c>
      <c r="R597" s="441" t="s">
        <v>410</v>
      </c>
      <c r="S597" s="441" t="s">
        <v>410</v>
      </c>
      <c r="T597" s="441" t="s">
        <v>410</v>
      </c>
    </row>
    <row r="598" spans="1:20" hidden="1" outlineLevel="1" x14ac:dyDescent="0.3">
      <c r="A598" s="583" t="s">
        <v>1489</v>
      </c>
      <c r="B598" s="591">
        <v>1</v>
      </c>
      <c r="C598" s="588" t="s">
        <v>1256</v>
      </c>
      <c r="D598" s="588" t="s">
        <v>5561</v>
      </c>
      <c r="E598" s="589" t="s">
        <v>410</v>
      </c>
      <c r="F598" s="590" t="s">
        <v>3117</v>
      </c>
      <c r="G598" s="590" t="s">
        <v>3118</v>
      </c>
      <c r="H598" s="590" t="s">
        <v>3179</v>
      </c>
      <c r="I598" s="590" t="s">
        <v>3180</v>
      </c>
      <c r="J598" s="590" t="s">
        <v>3181</v>
      </c>
      <c r="K598" s="590" t="s">
        <v>3178</v>
      </c>
      <c r="L598" s="441" t="s">
        <v>410</v>
      </c>
      <c r="M598" s="441" t="s">
        <v>410</v>
      </c>
      <c r="N598" s="441" t="s">
        <v>410</v>
      </c>
      <c r="O598" s="441" t="s">
        <v>410</v>
      </c>
      <c r="P598" s="441" t="s">
        <v>410</v>
      </c>
      <c r="Q598" s="441" t="s">
        <v>410</v>
      </c>
      <c r="R598" s="441" t="s">
        <v>410</v>
      </c>
      <c r="S598" s="441" t="s">
        <v>410</v>
      </c>
      <c r="T598" s="441" t="s">
        <v>410</v>
      </c>
    </row>
    <row r="599" spans="1:20" hidden="1" outlineLevel="1" x14ac:dyDescent="0.3">
      <c r="A599" s="583" t="s">
        <v>5054</v>
      </c>
      <c r="B599" s="591">
        <v>1</v>
      </c>
      <c r="C599" s="588" t="s">
        <v>1256</v>
      </c>
      <c r="D599" s="588" t="s">
        <v>5561</v>
      </c>
      <c r="E599" s="592" t="s">
        <v>410</v>
      </c>
      <c r="F599" s="593" t="s">
        <v>5205</v>
      </c>
      <c r="G599" s="593" t="s">
        <v>5188</v>
      </c>
      <c r="H599" s="593" t="s">
        <v>5222</v>
      </c>
      <c r="I599" s="593" t="s">
        <v>5190</v>
      </c>
      <c r="J599" s="237" t="s">
        <v>410</v>
      </c>
      <c r="K599" s="237" t="s">
        <v>410</v>
      </c>
      <c r="L599" s="237" t="s">
        <v>410</v>
      </c>
      <c r="M599" s="237" t="s">
        <v>410</v>
      </c>
      <c r="N599" s="237" t="s">
        <v>410</v>
      </c>
      <c r="O599" s="237" t="s">
        <v>410</v>
      </c>
      <c r="P599" s="237" t="s">
        <v>410</v>
      </c>
      <c r="Q599" s="237" t="s">
        <v>410</v>
      </c>
      <c r="R599" s="237" t="s">
        <v>410</v>
      </c>
      <c r="S599" s="10" t="s">
        <v>410</v>
      </c>
      <c r="T599" s="10" t="s">
        <v>410</v>
      </c>
    </row>
    <row r="600" spans="1:20" hidden="1" outlineLevel="1" x14ac:dyDescent="0.3">
      <c r="A600" s="583" t="s">
        <v>1622</v>
      </c>
      <c r="B600" s="591">
        <v>1</v>
      </c>
      <c r="C600" s="588" t="s">
        <v>1256</v>
      </c>
      <c r="D600" s="588" t="s">
        <v>5561</v>
      </c>
      <c r="E600" s="855" t="s">
        <v>410</v>
      </c>
      <c r="F600" s="592" t="s">
        <v>5565</v>
      </c>
      <c r="G600" s="592" t="s">
        <v>5566</v>
      </c>
      <c r="H600" s="592" t="s">
        <v>5567</v>
      </c>
      <c r="I600" s="441" t="s">
        <v>410</v>
      </c>
      <c r="J600" s="441" t="s">
        <v>410</v>
      </c>
      <c r="K600" s="441" t="s">
        <v>410</v>
      </c>
      <c r="L600" s="441" t="s">
        <v>410</v>
      </c>
      <c r="M600" s="441" t="s">
        <v>410</v>
      </c>
      <c r="N600" s="441" t="s">
        <v>410</v>
      </c>
      <c r="O600" s="441" t="s">
        <v>410</v>
      </c>
      <c r="P600" s="441" t="s">
        <v>410</v>
      </c>
      <c r="Q600" s="441" t="s">
        <v>410</v>
      </c>
      <c r="R600" s="441" t="s">
        <v>410</v>
      </c>
      <c r="S600" s="441" t="s">
        <v>410</v>
      </c>
      <c r="T600" s="441" t="s">
        <v>410</v>
      </c>
    </row>
    <row r="601" spans="1:20" hidden="1" outlineLevel="1" x14ac:dyDescent="0.3">
      <c r="A601" s="583" t="s">
        <v>5055</v>
      </c>
      <c r="B601" s="591">
        <v>1</v>
      </c>
      <c r="C601" s="583" t="s">
        <v>1256</v>
      </c>
      <c r="D601" s="588" t="s">
        <v>5561</v>
      </c>
      <c r="E601" s="592" t="s">
        <v>410</v>
      </c>
      <c r="F601" s="593" t="s">
        <v>1591</v>
      </c>
      <c r="G601" s="593" t="s">
        <v>1519</v>
      </c>
      <c r="H601" s="593" t="s">
        <v>1520</v>
      </c>
      <c r="I601" s="593" t="s">
        <v>1521</v>
      </c>
      <c r="J601" s="593" t="s">
        <v>5191</v>
      </c>
      <c r="K601" s="237" t="s">
        <v>410</v>
      </c>
      <c r="L601" s="237" t="s">
        <v>410</v>
      </c>
      <c r="M601" s="237" t="s">
        <v>410</v>
      </c>
      <c r="N601" s="237" t="s">
        <v>410</v>
      </c>
      <c r="O601" s="237" t="s">
        <v>410</v>
      </c>
      <c r="P601" s="237" t="s">
        <v>410</v>
      </c>
      <c r="Q601" s="237" t="s">
        <v>410</v>
      </c>
      <c r="R601" s="237" t="s">
        <v>410</v>
      </c>
      <c r="S601" s="10" t="s">
        <v>410</v>
      </c>
      <c r="T601" s="10" t="s">
        <v>410</v>
      </c>
    </row>
    <row r="602" spans="1:20" hidden="1" outlineLevel="1" x14ac:dyDescent="0.3">
      <c r="A602" s="583" t="s">
        <v>1665</v>
      </c>
      <c r="B602" s="591">
        <v>1</v>
      </c>
      <c r="C602" s="588" t="s">
        <v>1256</v>
      </c>
      <c r="D602" s="588" t="s">
        <v>5561</v>
      </c>
      <c r="E602" s="592" t="s">
        <v>410</v>
      </c>
      <c r="F602" s="593" t="s">
        <v>2500</v>
      </c>
      <c r="G602" s="593" t="s">
        <v>2501</v>
      </c>
      <c r="H602" s="593" t="s">
        <v>2502</v>
      </c>
      <c r="I602" s="593" t="s">
        <v>3162</v>
      </c>
      <c r="J602" s="593" t="s">
        <v>2503</v>
      </c>
      <c r="K602" s="237" t="s">
        <v>410</v>
      </c>
      <c r="L602" s="237" t="s">
        <v>410</v>
      </c>
      <c r="M602" s="237" t="s">
        <v>410</v>
      </c>
      <c r="N602" s="237" t="s">
        <v>410</v>
      </c>
      <c r="O602" s="237" t="s">
        <v>410</v>
      </c>
      <c r="P602" s="237" t="s">
        <v>410</v>
      </c>
      <c r="Q602" s="237" t="s">
        <v>410</v>
      </c>
      <c r="R602" s="237" t="s">
        <v>410</v>
      </c>
      <c r="S602" s="10" t="s">
        <v>410</v>
      </c>
      <c r="T602" s="10" t="s">
        <v>410</v>
      </c>
    </row>
    <row r="603" spans="1:20" hidden="1" outlineLevel="1" x14ac:dyDescent="0.3">
      <c r="A603" s="583" t="s">
        <v>1673</v>
      </c>
      <c r="B603" s="591">
        <v>1</v>
      </c>
      <c r="C603" s="588" t="s">
        <v>1256</v>
      </c>
      <c r="D603" s="588" t="s">
        <v>5561</v>
      </c>
      <c r="E603" s="592" t="s">
        <v>66</v>
      </c>
      <c r="F603" s="593" t="s">
        <v>67</v>
      </c>
      <c r="G603" s="593" t="s">
        <v>68</v>
      </c>
      <c r="H603" s="593" t="s">
        <v>70</v>
      </c>
      <c r="I603" s="593" t="s">
        <v>72</v>
      </c>
      <c r="J603" s="593" t="s">
        <v>74</v>
      </c>
      <c r="K603" s="593" t="s">
        <v>75</v>
      </c>
      <c r="L603" s="237" t="s">
        <v>410</v>
      </c>
      <c r="M603" s="237" t="s">
        <v>410</v>
      </c>
      <c r="N603" s="237" t="s">
        <v>410</v>
      </c>
      <c r="O603" s="237" t="s">
        <v>410</v>
      </c>
      <c r="P603" s="237" t="s">
        <v>410</v>
      </c>
      <c r="Q603" s="237" t="s">
        <v>410</v>
      </c>
      <c r="R603" s="237" t="s">
        <v>410</v>
      </c>
      <c r="S603" s="10" t="s">
        <v>410</v>
      </c>
      <c r="T603" s="10" t="s">
        <v>410</v>
      </c>
    </row>
    <row r="604" spans="1:20" hidden="1" outlineLevel="1" x14ac:dyDescent="0.3">
      <c r="A604" s="583" t="s">
        <v>1674</v>
      </c>
      <c r="B604" s="591">
        <v>1</v>
      </c>
      <c r="C604" s="588" t="s">
        <v>1256</v>
      </c>
      <c r="D604" s="588" t="s">
        <v>5561</v>
      </c>
      <c r="E604" s="592" t="s">
        <v>410</v>
      </c>
      <c r="F604" s="593" t="s">
        <v>3176</v>
      </c>
      <c r="G604" s="593" t="s">
        <v>4173</v>
      </c>
      <c r="H604" s="593" t="s">
        <v>4174</v>
      </c>
      <c r="I604" s="593" t="s">
        <v>4175</v>
      </c>
      <c r="J604" s="237" t="s">
        <v>410</v>
      </c>
      <c r="K604" s="237" t="s">
        <v>410</v>
      </c>
      <c r="L604" s="237" t="s">
        <v>410</v>
      </c>
      <c r="M604" s="237" t="s">
        <v>410</v>
      </c>
      <c r="N604" s="237" t="s">
        <v>410</v>
      </c>
      <c r="O604" s="237" t="s">
        <v>410</v>
      </c>
      <c r="P604" s="237" t="s">
        <v>410</v>
      </c>
      <c r="Q604" s="237" t="s">
        <v>410</v>
      </c>
      <c r="R604" s="237" t="s">
        <v>410</v>
      </c>
      <c r="S604" s="10" t="s">
        <v>410</v>
      </c>
      <c r="T604" s="10" t="s">
        <v>410</v>
      </c>
    </row>
    <row r="605" spans="1:20" hidden="1" outlineLevel="1" x14ac:dyDescent="0.3">
      <c r="A605" s="583" t="s">
        <v>5056</v>
      </c>
      <c r="B605" s="591">
        <v>1</v>
      </c>
      <c r="C605" s="588" t="s">
        <v>1256</v>
      </c>
      <c r="D605" s="588" t="s">
        <v>5561</v>
      </c>
      <c r="E605" s="592" t="s">
        <v>410</v>
      </c>
      <c r="F605" s="593" t="s">
        <v>67</v>
      </c>
      <c r="G605" s="593" t="s">
        <v>68</v>
      </c>
      <c r="H605" s="593" t="s">
        <v>70</v>
      </c>
      <c r="I605" s="593" t="s">
        <v>72</v>
      </c>
      <c r="J605" s="237" t="s">
        <v>410</v>
      </c>
      <c r="K605" s="237" t="s">
        <v>410</v>
      </c>
      <c r="L605" s="237" t="s">
        <v>410</v>
      </c>
      <c r="M605" s="237" t="s">
        <v>410</v>
      </c>
      <c r="N605" s="237" t="s">
        <v>410</v>
      </c>
      <c r="O605" s="237" t="s">
        <v>410</v>
      </c>
      <c r="P605" s="237" t="s">
        <v>410</v>
      </c>
      <c r="Q605" s="237" t="s">
        <v>410</v>
      </c>
      <c r="R605" s="237" t="s">
        <v>410</v>
      </c>
      <c r="S605" s="10" t="s">
        <v>410</v>
      </c>
      <c r="T605" s="10" t="s">
        <v>410</v>
      </c>
    </row>
    <row r="606" spans="1:20" hidden="1" outlineLevel="1" x14ac:dyDescent="0.3">
      <c r="A606" s="583" t="s">
        <v>5543</v>
      </c>
      <c r="B606" s="591">
        <v>1</v>
      </c>
      <c r="C606" s="583" t="s">
        <v>1256</v>
      </c>
      <c r="D606" s="588" t="s">
        <v>5561</v>
      </c>
      <c r="E606" s="593" t="s">
        <v>5539</v>
      </c>
      <c r="F606" s="593" t="s">
        <v>5538</v>
      </c>
      <c r="G606" s="593" t="s">
        <v>5540</v>
      </c>
      <c r="H606" s="593" t="s">
        <v>5544</v>
      </c>
      <c r="I606" s="593" t="s">
        <v>5541</v>
      </c>
      <c r="J606" s="593" t="s">
        <v>5542</v>
      </c>
      <c r="K606" s="237" t="s">
        <v>410</v>
      </c>
      <c r="L606" s="237" t="s">
        <v>410</v>
      </c>
      <c r="M606" s="237" t="s">
        <v>410</v>
      </c>
      <c r="N606" s="237" t="s">
        <v>410</v>
      </c>
      <c r="O606" s="237" t="s">
        <v>410</v>
      </c>
      <c r="P606" s="237" t="s">
        <v>410</v>
      </c>
      <c r="Q606" s="237" t="s">
        <v>410</v>
      </c>
      <c r="R606" s="237" t="s">
        <v>410</v>
      </c>
      <c r="S606" s="10" t="s">
        <v>410</v>
      </c>
      <c r="T606" s="10" t="s">
        <v>410</v>
      </c>
    </row>
    <row r="607" spans="1:20" hidden="1" outlineLevel="1" x14ac:dyDescent="0.3">
      <c r="A607" s="583" t="s">
        <v>1911</v>
      </c>
      <c r="B607" s="591">
        <v>1</v>
      </c>
      <c r="C607" s="583" t="s">
        <v>1256</v>
      </c>
      <c r="D607" s="588" t="s">
        <v>5561</v>
      </c>
      <c r="E607" s="594" t="s">
        <v>4176</v>
      </c>
      <c r="F607" s="594" t="s">
        <v>4177</v>
      </c>
      <c r="G607" s="594" t="s">
        <v>4178</v>
      </c>
      <c r="H607" s="594" t="s">
        <v>4179</v>
      </c>
      <c r="I607" s="594" t="s">
        <v>4180</v>
      </c>
      <c r="J607" s="594" t="s">
        <v>4181</v>
      </c>
      <c r="K607" s="593" t="s">
        <v>410</v>
      </c>
      <c r="L607" s="237" t="s">
        <v>410</v>
      </c>
      <c r="M607" s="237" t="s">
        <v>410</v>
      </c>
      <c r="N607" s="237" t="s">
        <v>410</v>
      </c>
      <c r="O607" s="237" t="s">
        <v>410</v>
      </c>
      <c r="P607" s="237" t="s">
        <v>410</v>
      </c>
      <c r="Q607" s="237" t="s">
        <v>410</v>
      </c>
      <c r="R607" s="237" t="s">
        <v>410</v>
      </c>
      <c r="S607" s="10" t="s">
        <v>410</v>
      </c>
      <c r="T607" s="10" t="s">
        <v>410</v>
      </c>
    </row>
    <row r="608" spans="1:20" hidden="1" outlineLevel="1" x14ac:dyDescent="0.3">
      <c r="A608" s="583" t="s">
        <v>5057</v>
      </c>
      <c r="B608" s="591">
        <v>1</v>
      </c>
      <c r="C608" s="583" t="s">
        <v>1256</v>
      </c>
      <c r="D608" s="588" t="s">
        <v>5561</v>
      </c>
      <c r="E608" s="592" t="s">
        <v>410</v>
      </c>
      <c r="F608" s="590" t="s">
        <v>2130</v>
      </c>
      <c r="G608" s="237" t="s">
        <v>410</v>
      </c>
      <c r="H608" s="237" t="s">
        <v>410</v>
      </c>
      <c r="I608" s="237" t="s">
        <v>410</v>
      </c>
      <c r="J608" s="237" t="s">
        <v>410</v>
      </c>
      <c r="K608" s="237" t="s">
        <v>410</v>
      </c>
      <c r="L608" s="237" t="s">
        <v>410</v>
      </c>
      <c r="M608" s="237" t="s">
        <v>410</v>
      </c>
      <c r="N608" s="237" t="s">
        <v>410</v>
      </c>
      <c r="O608" s="237" t="s">
        <v>410</v>
      </c>
      <c r="P608" s="237" t="s">
        <v>410</v>
      </c>
      <c r="Q608" s="237" t="s">
        <v>410</v>
      </c>
      <c r="R608" s="237" t="s">
        <v>410</v>
      </c>
      <c r="S608" s="10" t="s">
        <v>410</v>
      </c>
      <c r="T608" s="10" t="s">
        <v>410</v>
      </c>
    </row>
    <row r="609" spans="1:20" hidden="1" outlineLevel="1" x14ac:dyDescent="0.3">
      <c r="A609" s="583" t="s">
        <v>5058</v>
      </c>
      <c r="B609" s="591">
        <v>1</v>
      </c>
      <c r="C609" s="588" t="s">
        <v>1256</v>
      </c>
      <c r="D609" s="588" t="s">
        <v>5561</v>
      </c>
      <c r="E609" s="592" t="s">
        <v>410</v>
      </c>
      <c r="F609" s="593" t="s">
        <v>1485</v>
      </c>
      <c r="G609" s="593" t="s">
        <v>2176</v>
      </c>
      <c r="H609" s="593" t="s">
        <v>5192</v>
      </c>
      <c r="I609" s="593" t="s">
        <v>5193</v>
      </c>
      <c r="J609" s="593" t="s">
        <v>5194</v>
      </c>
      <c r="K609" s="237" t="s">
        <v>410</v>
      </c>
      <c r="L609" s="237" t="s">
        <v>410</v>
      </c>
      <c r="M609" s="237" t="s">
        <v>410</v>
      </c>
      <c r="N609" s="237" t="s">
        <v>410</v>
      </c>
      <c r="O609" s="237" t="s">
        <v>410</v>
      </c>
      <c r="P609" s="237" t="s">
        <v>410</v>
      </c>
      <c r="Q609" s="237" t="s">
        <v>410</v>
      </c>
      <c r="R609" s="237" t="s">
        <v>410</v>
      </c>
      <c r="S609" s="10" t="s">
        <v>410</v>
      </c>
      <c r="T609" s="10" t="s">
        <v>410</v>
      </c>
    </row>
    <row r="610" spans="1:20" hidden="1" outlineLevel="1" x14ac:dyDescent="0.3">
      <c r="A610" s="583" t="s">
        <v>5059</v>
      </c>
      <c r="B610" s="591">
        <v>1</v>
      </c>
      <c r="C610" s="583" t="s">
        <v>1256</v>
      </c>
      <c r="D610" s="588" t="s">
        <v>5561</v>
      </c>
      <c r="E610" s="592" t="s">
        <v>410</v>
      </c>
      <c r="F610" s="593" t="s">
        <v>5195</v>
      </c>
      <c r="G610" s="593" t="s">
        <v>5196</v>
      </c>
      <c r="H610" s="593" t="s">
        <v>5197</v>
      </c>
      <c r="I610" s="593" t="s">
        <v>5198</v>
      </c>
      <c r="J610" s="593" t="s">
        <v>5199</v>
      </c>
      <c r="K610" s="237" t="s">
        <v>410</v>
      </c>
      <c r="L610" s="237" t="s">
        <v>410</v>
      </c>
      <c r="M610" s="237" t="s">
        <v>410</v>
      </c>
      <c r="N610" s="237" t="s">
        <v>410</v>
      </c>
      <c r="O610" s="237" t="s">
        <v>410</v>
      </c>
      <c r="P610" s="237" t="s">
        <v>410</v>
      </c>
      <c r="Q610" s="237" t="s">
        <v>410</v>
      </c>
      <c r="R610" s="237" t="s">
        <v>410</v>
      </c>
      <c r="S610" s="10" t="s">
        <v>410</v>
      </c>
      <c r="T610" s="10" t="s">
        <v>410</v>
      </c>
    </row>
    <row r="611" spans="1:20" hidden="1" outlineLevel="1" x14ac:dyDescent="0.3">
      <c r="A611" s="583" t="s">
        <v>1998</v>
      </c>
      <c r="B611" s="591">
        <v>1</v>
      </c>
      <c r="C611" s="583" t="s">
        <v>1256</v>
      </c>
      <c r="D611" s="588" t="s">
        <v>5561</v>
      </c>
      <c r="E611" s="593" t="s">
        <v>410</v>
      </c>
      <c r="F611" s="593" t="s">
        <v>4430</v>
      </c>
      <c r="G611" s="593" t="s">
        <v>1999</v>
      </c>
      <c r="H611" s="593" t="s">
        <v>2000</v>
      </c>
      <c r="I611" s="593" t="s">
        <v>2001</v>
      </c>
      <c r="J611" s="593" t="s">
        <v>4182</v>
      </c>
      <c r="K611" s="593" t="s">
        <v>2002</v>
      </c>
      <c r="L611" s="237" t="s">
        <v>410</v>
      </c>
      <c r="M611" s="237" t="s">
        <v>410</v>
      </c>
      <c r="N611" s="237" t="s">
        <v>410</v>
      </c>
      <c r="O611" s="237" t="s">
        <v>410</v>
      </c>
      <c r="P611" s="237" t="s">
        <v>410</v>
      </c>
      <c r="Q611" s="237" t="s">
        <v>410</v>
      </c>
      <c r="R611" s="237" t="s">
        <v>410</v>
      </c>
      <c r="S611" s="237" t="s">
        <v>410</v>
      </c>
      <c r="T611" s="237" t="s">
        <v>410</v>
      </c>
    </row>
    <row r="612" spans="1:20" hidden="1" outlineLevel="1" x14ac:dyDescent="0.3">
      <c r="A612" s="583" t="s">
        <v>1945</v>
      </c>
      <c r="B612" s="591">
        <v>2</v>
      </c>
      <c r="C612" s="588" t="s">
        <v>1256</v>
      </c>
      <c r="D612" s="588" t="s">
        <v>5561</v>
      </c>
      <c r="E612" s="593" t="s">
        <v>410</v>
      </c>
      <c r="F612" s="593" t="s">
        <v>3243</v>
      </c>
      <c r="G612" s="593" t="s">
        <v>4027</v>
      </c>
      <c r="H612" s="593" t="s">
        <v>4028</v>
      </c>
      <c r="I612" s="593" t="s">
        <v>4029</v>
      </c>
      <c r="J612" s="593" t="s">
        <v>4030</v>
      </c>
      <c r="K612" s="593" t="s">
        <v>4031</v>
      </c>
      <c r="L612" s="593" t="s">
        <v>410</v>
      </c>
      <c r="M612" s="593" t="s">
        <v>410</v>
      </c>
      <c r="N612" s="237" t="s">
        <v>410</v>
      </c>
      <c r="O612" s="237" t="s">
        <v>410</v>
      </c>
      <c r="P612" s="237" t="s">
        <v>410</v>
      </c>
      <c r="Q612" s="237" t="s">
        <v>410</v>
      </c>
      <c r="R612" s="237" t="s">
        <v>410</v>
      </c>
      <c r="S612" s="237" t="s">
        <v>410</v>
      </c>
      <c r="T612" s="237" t="s">
        <v>410</v>
      </c>
    </row>
    <row r="613" spans="1:20" hidden="1" outlineLevel="1" x14ac:dyDescent="0.3">
      <c r="A613" s="583" t="s">
        <v>5485</v>
      </c>
      <c r="B613" s="591">
        <v>5</v>
      </c>
      <c r="C613" s="588" t="s">
        <v>1256</v>
      </c>
      <c r="D613" s="588" t="s">
        <v>5561</v>
      </c>
      <c r="E613" s="592" t="s">
        <v>410</v>
      </c>
      <c r="F613" s="593" t="s">
        <v>3269</v>
      </c>
      <c r="G613" s="593" t="s">
        <v>3270</v>
      </c>
      <c r="H613" s="593" t="s">
        <v>3271</v>
      </c>
      <c r="I613" s="593" t="s">
        <v>3272</v>
      </c>
      <c r="J613" s="593" t="s">
        <v>3273</v>
      </c>
      <c r="K613" s="237" t="s">
        <v>410</v>
      </c>
      <c r="L613" s="237" t="s">
        <v>410</v>
      </c>
      <c r="M613" s="237" t="s">
        <v>410</v>
      </c>
      <c r="N613" s="237" t="s">
        <v>410</v>
      </c>
      <c r="O613" s="237" t="s">
        <v>410</v>
      </c>
      <c r="P613" s="237" t="s">
        <v>410</v>
      </c>
      <c r="Q613" s="237" t="s">
        <v>410</v>
      </c>
      <c r="R613" s="237" t="s">
        <v>410</v>
      </c>
      <c r="S613" s="10" t="s">
        <v>410</v>
      </c>
      <c r="T613" s="10" t="s">
        <v>410</v>
      </c>
    </row>
    <row r="614" spans="1:20" hidden="1" outlineLevel="1" x14ac:dyDescent="0.3">
      <c r="A614" s="583" t="s">
        <v>1479</v>
      </c>
      <c r="B614" s="591">
        <v>6</v>
      </c>
      <c r="C614" s="588" t="s">
        <v>1256</v>
      </c>
      <c r="D614" s="588" t="s">
        <v>5561</v>
      </c>
      <c r="E614" s="589" t="s">
        <v>410</v>
      </c>
      <c r="F614" s="590" t="s">
        <v>1481</v>
      </c>
      <c r="G614" s="590" t="s">
        <v>1482</v>
      </c>
      <c r="H614" s="590" t="s">
        <v>3432</v>
      </c>
      <c r="I614" s="590" t="s">
        <v>3433</v>
      </c>
      <c r="J614" s="590" t="s">
        <v>3434</v>
      </c>
      <c r="K614" s="590" t="s">
        <v>3435</v>
      </c>
      <c r="L614" s="441" t="s">
        <v>410</v>
      </c>
      <c r="M614" s="441" t="s">
        <v>410</v>
      </c>
      <c r="N614" s="441" t="s">
        <v>410</v>
      </c>
      <c r="O614" s="441" t="s">
        <v>410</v>
      </c>
      <c r="P614" s="441" t="s">
        <v>410</v>
      </c>
      <c r="Q614" s="441" t="s">
        <v>410</v>
      </c>
      <c r="R614" s="441" t="s">
        <v>410</v>
      </c>
      <c r="S614" s="441" t="s">
        <v>410</v>
      </c>
      <c r="T614" s="441" t="s">
        <v>410</v>
      </c>
    </row>
    <row r="615" spans="1:20" hidden="1" outlineLevel="1" x14ac:dyDescent="0.3">
      <c r="A615" s="583" t="s">
        <v>1718</v>
      </c>
      <c r="B615" s="591">
        <v>6</v>
      </c>
      <c r="C615" s="588" t="s">
        <v>1256</v>
      </c>
      <c r="D615" s="588" t="s">
        <v>5561</v>
      </c>
      <c r="E615" s="592" t="s">
        <v>410</v>
      </c>
      <c r="F615" s="593" t="s">
        <v>3380</v>
      </c>
      <c r="G615" s="593" t="s">
        <v>3381</v>
      </c>
      <c r="H615" s="593" t="s">
        <v>3382</v>
      </c>
      <c r="I615" s="593" t="s">
        <v>3383</v>
      </c>
      <c r="J615" s="593" t="s">
        <v>3384</v>
      </c>
      <c r="K615" s="237" t="s">
        <v>410</v>
      </c>
      <c r="L615" s="237" t="s">
        <v>410</v>
      </c>
      <c r="M615" s="237" t="s">
        <v>410</v>
      </c>
      <c r="N615" s="237" t="s">
        <v>410</v>
      </c>
      <c r="O615" s="237" t="s">
        <v>410</v>
      </c>
      <c r="P615" s="237" t="s">
        <v>410</v>
      </c>
      <c r="Q615" s="237" t="s">
        <v>410</v>
      </c>
      <c r="R615" s="237" t="s">
        <v>410</v>
      </c>
      <c r="S615" s="10" t="s">
        <v>410</v>
      </c>
      <c r="T615" s="10" t="s">
        <v>410</v>
      </c>
    </row>
    <row r="616" spans="1:20" hidden="1" outlineLevel="1" x14ac:dyDescent="0.3">
      <c r="A616" s="583" t="s">
        <v>1774</v>
      </c>
      <c r="B616" s="591">
        <v>6</v>
      </c>
      <c r="C616" s="588" t="s">
        <v>1256</v>
      </c>
      <c r="D616" s="588" t="s">
        <v>5561</v>
      </c>
      <c r="E616" s="592" t="s">
        <v>410</v>
      </c>
      <c r="F616" s="593" t="s">
        <v>67</v>
      </c>
      <c r="G616" s="593" t="s">
        <v>3159</v>
      </c>
      <c r="H616" s="593" t="s">
        <v>3160</v>
      </c>
      <c r="I616" s="593" t="s">
        <v>3274</v>
      </c>
      <c r="J616" s="237" t="s">
        <v>410</v>
      </c>
      <c r="K616" s="237" t="s">
        <v>410</v>
      </c>
      <c r="L616" s="237" t="s">
        <v>410</v>
      </c>
      <c r="M616" s="237" t="s">
        <v>410</v>
      </c>
      <c r="N616" s="237" t="s">
        <v>410</v>
      </c>
      <c r="O616" s="237" t="s">
        <v>410</v>
      </c>
      <c r="P616" s="237" t="s">
        <v>410</v>
      </c>
      <c r="Q616" s="237" t="s">
        <v>410</v>
      </c>
      <c r="R616" s="237" t="s">
        <v>410</v>
      </c>
      <c r="S616" s="10" t="s">
        <v>410</v>
      </c>
      <c r="T616" s="10" t="s">
        <v>410</v>
      </c>
    </row>
    <row r="617" spans="1:20" hidden="1" outlineLevel="1" x14ac:dyDescent="0.3">
      <c r="A617" s="583" t="s">
        <v>1846</v>
      </c>
      <c r="B617" s="591">
        <v>6</v>
      </c>
      <c r="C617" s="588" t="s">
        <v>1256</v>
      </c>
      <c r="D617" s="588" t="s">
        <v>5561</v>
      </c>
      <c r="E617" s="592" t="s">
        <v>410</v>
      </c>
      <c r="F617" s="593" t="s">
        <v>1591</v>
      </c>
      <c r="G617" s="593" t="s">
        <v>1847</v>
      </c>
      <c r="H617" s="593" t="s">
        <v>3198</v>
      </c>
      <c r="I617" s="593" t="s">
        <v>1841</v>
      </c>
      <c r="J617" s="593" t="s">
        <v>1842</v>
      </c>
      <c r="K617" s="237" t="s">
        <v>410</v>
      </c>
      <c r="L617" s="237" t="s">
        <v>410</v>
      </c>
      <c r="M617" s="237" t="s">
        <v>410</v>
      </c>
      <c r="N617" s="237" t="s">
        <v>410</v>
      </c>
      <c r="O617" s="237" t="s">
        <v>410</v>
      </c>
      <c r="P617" s="237" t="s">
        <v>410</v>
      </c>
      <c r="Q617" s="237" t="s">
        <v>410</v>
      </c>
      <c r="R617" s="237" t="s">
        <v>410</v>
      </c>
      <c r="S617" s="10" t="s">
        <v>410</v>
      </c>
      <c r="T617" s="10" t="s">
        <v>410</v>
      </c>
    </row>
    <row r="618" spans="1:20" hidden="1" outlineLevel="1" x14ac:dyDescent="0.3">
      <c r="A618" s="583" t="s">
        <v>5502</v>
      </c>
      <c r="B618" s="591">
        <v>6</v>
      </c>
      <c r="C618" s="588" t="s">
        <v>1256</v>
      </c>
      <c r="D618" s="588" t="s">
        <v>5561</v>
      </c>
      <c r="E618" s="592" t="s">
        <v>410</v>
      </c>
      <c r="F618" s="593" t="s">
        <v>5496</v>
      </c>
      <c r="G618" s="593" t="s">
        <v>5497</v>
      </c>
      <c r="H618" s="593" t="s">
        <v>5498</v>
      </c>
      <c r="I618" s="593" t="s">
        <v>5499</v>
      </c>
      <c r="J618" s="593" t="s">
        <v>5500</v>
      </c>
      <c r="K618" s="910" t="s">
        <v>410</v>
      </c>
      <c r="L618" s="237" t="s">
        <v>410</v>
      </c>
      <c r="M618" s="237" t="s">
        <v>410</v>
      </c>
      <c r="N618" s="237" t="s">
        <v>410</v>
      </c>
      <c r="O618" s="237" t="s">
        <v>410</v>
      </c>
      <c r="P618" s="237" t="s">
        <v>410</v>
      </c>
      <c r="Q618" s="237" t="s">
        <v>410</v>
      </c>
      <c r="R618" s="237" t="s">
        <v>410</v>
      </c>
      <c r="S618" s="10" t="s">
        <v>410</v>
      </c>
      <c r="T618" s="10" t="s">
        <v>410</v>
      </c>
    </row>
    <row r="619" spans="1:20" hidden="1" outlineLevel="1" x14ac:dyDescent="0.3">
      <c r="A619" s="583" t="s">
        <v>5060</v>
      </c>
      <c r="B619" s="591">
        <v>8</v>
      </c>
      <c r="C619" s="583" t="s">
        <v>1256</v>
      </c>
      <c r="D619" s="588" t="s">
        <v>5561</v>
      </c>
      <c r="E619" s="592" t="s">
        <v>410</v>
      </c>
      <c r="F619" s="593"/>
      <c r="G619" s="237" t="s">
        <v>410</v>
      </c>
      <c r="H619" s="237" t="s">
        <v>410</v>
      </c>
      <c r="I619" s="237" t="s">
        <v>410</v>
      </c>
      <c r="J619" s="237" t="s">
        <v>410</v>
      </c>
      <c r="K619" s="237" t="s">
        <v>410</v>
      </c>
      <c r="L619" s="237" t="s">
        <v>410</v>
      </c>
      <c r="M619" s="237" t="s">
        <v>410</v>
      </c>
      <c r="N619" s="237" t="s">
        <v>410</v>
      </c>
      <c r="O619" s="237" t="s">
        <v>410</v>
      </c>
      <c r="P619" s="237" t="s">
        <v>410</v>
      </c>
      <c r="Q619" s="237" t="s">
        <v>410</v>
      </c>
      <c r="R619" s="237" t="s">
        <v>410</v>
      </c>
      <c r="S619" s="10" t="s">
        <v>410</v>
      </c>
      <c r="T619" s="10" t="s">
        <v>410</v>
      </c>
    </row>
    <row r="620" spans="1:20" hidden="1" outlineLevel="1" x14ac:dyDescent="0.3">
      <c r="A620" s="583" t="s">
        <v>5061</v>
      </c>
      <c r="B620" s="591">
        <v>8</v>
      </c>
      <c r="C620" s="583" t="s">
        <v>1256</v>
      </c>
      <c r="D620" s="588" t="s">
        <v>5561</v>
      </c>
      <c r="E620" s="592" t="s">
        <v>410</v>
      </c>
      <c r="F620" s="593"/>
      <c r="G620" s="237" t="s">
        <v>410</v>
      </c>
      <c r="H620" s="237" t="s">
        <v>410</v>
      </c>
      <c r="I620" s="237" t="s">
        <v>410</v>
      </c>
      <c r="J620" s="237" t="s">
        <v>410</v>
      </c>
      <c r="K620" s="237" t="s">
        <v>410</v>
      </c>
      <c r="L620" s="237" t="s">
        <v>410</v>
      </c>
      <c r="M620" s="237" t="s">
        <v>410</v>
      </c>
      <c r="N620" s="237" t="s">
        <v>410</v>
      </c>
      <c r="O620" s="237" t="s">
        <v>410</v>
      </c>
      <c r="P620" s="237" t="s">
        <v>410</v>
      </c>
      <c r="Q620" s="237" t="s">
        <v>410</v>
      </c>
      <c r="R620" s="237" t="s">
        <v>410</v>
      </c>
      <c r="S620" s="10" t="s">
        <v>410</v>
      </c>
      <c r="T620" s="10" t="s">
        <v>410</v>
      </c>
    </row>
    <row r="621" spans="1:20" hidden="1" outlineLevel="1" x14ac:dyDescent="0.3">
      <c r="A621" s="583" t="s">
        <v>5063</v>
      </c>
      <c r="B621" s="591">
        <v>8</v>
      </c>
      <c r="C621" s="583" t="s">
        <v>1256</v>
      </c>
      <c r="D621" s="588" t="s">
        <v>5561</v>
      </c>
      <c r="E621" s="592" t="s">
        <v>410</v>
      </c>
      <c r="F621" s="592" t="s">
        <v>68</v>
      </c>
      <c r="G621" s="593" t="s">
        <v>72</v>
      </c>
      <c r="H621" s="593" t="s">
        <v>5036</v>
      </c>
      <c r="I621" s="593" t="s">
        <v>5037</v>
      </c>
      <c r="J621" s="441" t="s">
        <v>410</v>
      </c>
      <c r="K621" s="441" t="s">
        <v>410</v>
      </c>
      <c r="L621" s="441" t="s">
        <v>410</v>
      </c>
      <c r="M621" s="441" t="s">
        <v>410</v>
      </c>
      <c r="N621" s="441" t="s">
        <v>410</v>
      </c>
      <c r="O621" s="441" t="s">
        <v>410</v>
      </c>
      <c r="P621" s="441" t="s">
        <v>410</v>
      </c>
      <c r="Q621" s="441" t="s">
        <v>410</v>
      </c>
      <c r="R621" s="441" t="s">
        <v>410</v>
      </c>
      <c r="S621" s="441" t="s">
        <v>410</v>
      </c>
      <c r="T621" s="441" t="s">
        <v>410</v>
      </c>
    </row>
    <row r="622" spans="1:20" hidden="1" outlineLevel="1" x14ac:dyDescent="0.3">
      <c r="A622" s="583" t="s">
        <v>5064</v>
      </c>
      <c r="B622" s="591">
        <v>8</v>
      </c>
      <c r="C622" s="583" t="s">
        <v>1256</v>
      </c>
      <c r="D622" s="588" t="s">
        <v>5561</v>
      </c>
      <c r="E622" s="592" t="s">
        <v>410</v>
      </c>
      <c r="F622" s="593"/>
      <c r="G622" s="237" t="s">
        <v>410</v>
      </c>
      <c r="H622" s="237" t="s">
        <v>410</v>
      </c>
      <c r="I622" s="237" t="s">
        <v>410</v>
      </c>
      <c r="J622" s="237" t="s">
        <v>410</v>
      </c>
      <c r="K622" s="237" t="s">
        <v>410</v>
      </c>
      <c r="L622" s="237" t="s">
        <v>410</v>
      </c>
      <c r="M622" s="237" t="s">
        <v>410</v>
      </c>
      <c r="N622" s="237" t="s">
        <v>410</v>
      </c>
      <c r="O622" s="237" t="s">
        <v>410</v>
      </c>
      <c r="P622" s="237" t="s">
        <v>410</v>
      </c>
      <c r="Q622" s="237" t="s">
        <v>410</v>
      </c>
      <c r="R622" s="237" t="s">
        <v>410</v>
      </c>
      <c r="S622" s="10" t="s">
        <v>410</v>
      </c>
      <c r="T622" s="10" t="s">
        <v>410</v>
      </c>
    </row>
    <row r="623" spans="1:20" hidden="1" outlineLevel="1" x14ac:dyDescent="0.3">
      <c r="A623" s="583" t="s">
        <v>5066</v>
      </c>
      <c r="B623" s="591">
        <v>8</v>
      </c>
      <c r="C623" s="583" t="s">
        <v>1256</v>
      </c>
      <c r="D623" s="588" t="s">
        <v>5561</v>
      </c>
      <c r="E623" s="592" t="s">
        <v>410</v>
      </c>
      <c r="F623" s="854" t="s">
        <v>5109</v>
      </c>
      <c r="G623" s="441" t="s">
        <v>410</v>
      </c>
      <c r="H623" s="441" t="s">
        <v>410</v>
      </c>
      <c r="I623" s="441" t="s">
        <v>410</v>
      </c>
      <c r="J623" s="441" t="s">
        <v>410</v>
      </c>
      <c r="K623" s="441" t="s">
        <v>410</v>
      </c>
      <c r="L623" s="441" t="s">
        <v>410</v>
      </c>
      <c r="M623" s="441" t="s">
        <v>410</v>
      </c>
      <c r="N623" s="441" t="s">
        <v>410</v>
      </c>
      <c r="O623" s="441" t="s">
        <v>410</v>
      </c>
      <c r="P623" s="441" t="s">
        <v>410</v>
      </c>
      <c r="Q623" s="441" t="s">
        <v>410</v>
      </c>
      <c r="R623" s="441" t="s">
        <v>410</v>
      </c>
      <c r="S623" s="441" t="s">
        <v>410</v>
      </c>
      <c r="T623" s="441" t="s">
        <v>410</v>
      </c>
    </row>
    <row r="624" spans="1:20" hidden="1" outlineLevel="1" x14ac:dyDescent="0.3">
      <c r="A624" s="583" t="s">
        <v>5065</v>
      </c>
      <c r="B624" s="591">
        <v>8</v>
      </c>
      <c r="C624" s="583" t="s">
        <v>1256</v>
      </c>
      <c r="D624" s="588" t="s">
        <v>5561</v>
      </c>
      <c r="E624" s="592" t="s">
        <v>410</v>
      </c>
      <c r="F624" s="593"/>
      <c r="G624" s="237" t="s">
        <v>410</v>
      </c>
      <c r="H624" s="237" t="s">
        <v>410</v>
      </c>
      <c r="I624" s="237" t="s">
        <v>410</v>
      </c>
      <c r="J624" s="237" t="s">
        <v>410</v>
      </c>
      <c r="K624" s="237" t="s">
        <v>410</v>
      </c>
      <c r="L624" s="237" t="s">
        <v>410</v>
      </c>
      <c r="M624" s="237" t="s">
        <v>410</v>
      </c>
      <c r="N624" s="237" t="s">
        <v>410</v>
      </c>
      <c r="O624" s="237" t="s">
        <v>410</v>
      </c>
      <c r="P624" s="237" t="s">
        <v>410</v>
      </c>
      <c r="Q624" s="237" t="s">
        <v>410</v>
      </c>
      <c r="R624" s="237" t="s">
        <v>410</v>
      </c>
      <c r="S624" s="10" t="s">
        <v>410</v>
      </c>
      <c r="T624" s="10" t="s">
        <v>410</v>
      </c>
    </row>
    <row r="625" spans="1:20" hidden="1" outlineLevel="1" x14ac:dyDescent="0.3">
      <c r="A625" s="583" t="s">
        <v>5067</v>
      </c>
      <c r="B625" s="591">
        <v>8</v>
      </c>
      <c r="C625" s="583" t="s">
        <v>1256</v>
      </c>
      <c r="D625" s="588" t="s">
        <v>5561</v>
      </c>
      <c r="E625" s="592" t="s">
        <v>410</v>
      </c>
      <c r="F625" s="593"/>
      <c r="G625" s="237" t="s">
        <v>410</v>
      </c>
      <c r="H625" s="237" t="s">
        <v>410</v>
      </c>
      <c r="I625" s="237" t="s">
        <v>410</v>
      </c>
      <c r="J625" s="237" t="s">
        <v>410</v>
      </c>
      <c r="K625" s="237" t="s">
        <v>410</v>
      </c>
      <c r="L625" s="237" t="s">
        <v>410</v>
      </c>
      <c r="M625" s="237" t="s">
        <v>410</v>
      </c>
      <c r="N625" s="237" t="s">
        <v>410</v>
      </c>
      <c r="O625" s="237" t="s">
        <v>410</v>
      </c>
      <c r="P625" s="237" t="s">
        <v>410</v>
      </c>
      <c r="Q625" s="237" t="s">
        <v>410</v>
      </c>
      <c r="R625" s="237" t="s">
        <v>410</v>
      </c>
      <c r="S625" s="10" t="s">
        <v>410</v>
      </c>
      <c r="T625" s="10" t="s">
        <v>410</v>
      </c>
    </row>
    <row r="626" spans="1:20" hidden="1" outlineLevel="1" x14ac:dyDescent="0.3">
      <c r="A626" s="583" t="s">
        <v>5068</v>
      </c>
      <c r="B626" s="591">
        <v>8</v>
      </c>
      <c r="C626" s="583" t="s">
        <v>1256</v>
      </c>
      <c r="D626" s="588" t="s">
        <v>5561</v>
      </c>
      <c r="E626" s="592" t="s">
        <v>410</v>
      </c>
      <c r="F626" s="593"/>
      <c r="G626" s="237" t="s">
        <v>410</v>
      </c>
      <c r="H626" s="237" t="s">
        <v>410</v>
      </c>
      <c r="I626" s="237" t="s">
        <v>410</v>
      </c>
      <c r="J626" s="237" t="s">
        <v>410</v>
      </c>
      <c r="K626" s="237" t="s">
        <v>410</v>
      </c>
      <c r="L626" s="237" t="s">
        <v>410</v>
      </c>
      <c r="M626" s="237" t="s">
        <v>410</v>
      </c>
      <c r="N626" s="237" t="s">
        <v>410</v>
      </c>
      <c r="O626" s="237" t="s">
        <v>410</v>
      </c>
      <c r="P626" s="237" t="s">
        <v>410</v>
      </c>
      <c r="Q626" s="237" t="s">
        <v>410</v>
      </c>
      <c r="R626" s="237" t="s">
        <v>410</v>
      </c>
      <c r="S626" s="10" t="s">
        <v>410</v>
      </c>
      <c r="T626" s="10" t="s">
        <v>410</v>
      </c>
    </row>
    <row r="627" spans="1:20" hidden="1" outlineLevel="1" x14ac:dyDescent="0.3">
      <c r="A627" s="583" t="s">
        <v>5070</v>
      </c>
      <c r="B627" s="591">
        <v>8</v>
      </c>
      <c r="C627" s="583" t="s">
        <v>1256</v>
      </c>
      <c r="D627" s="588" t="s">
        <v>5561</v>
      </c>
      <c r="E627" s="592" t="s">
        <v>410</v>
      </c>
      <c r="F627" s="593"/>
      <c r="G627" s="237" t="s">
        <v>410</v>
      </c>
      <c r="H627" s="237" t="s">
        <v>410</v>
      </c>
      <c r="I627" s="237" t="s">
        <v>410</v>
      </c>
      <c r="J627" s="237" t="s">
        <v>410</v>
      </c>
      <c r="K627" s="237" t="s">
        <v>410</v>
      </c>
      <c r="L627" s="237" t="s">
        <v>410</v>
      </c>
      <c r="M627" s="237" t="s">
        <v>410</v>
      </c>
      <c r="N627" s="237" t="s">
        <v>410</v>
      </c>
      <c r="O627" s="237" t="s">
        <v>410</v>
      </c>
      <c r="P627" s="237" t="s">
        <v>410</v>
      </c>
      <c r="Q627" s="237" t="s">
        <v>410</v>
      </c>
      <c r="R627" s="237" t="s">
        <v>410</v>
      </c>
      <c r="S627" s="10" t="s">
        <v>410</v>
      </c>
      <c r="T627" s="10" t="s">
        <v>410</v>
      </c>
    </row>
    <row r="628" spans="1:20" hidden="1" outlineLevel="1" x14ac:dyDescent="0.3">
      <c r="A628" s="583" t="s">
        <v>5071</v>
      </c>
      <c r="B628" s="591">
        <v>8</v>
      </c>
      <c r="C628" s="583" t="s">
        <v>1256</v>
      </c>
      <c r="D628" s="588" t="s">
        <v>5561</v>
      </c>
      <c r="E628" s="592" t="s">
        <v>410</v>
      </c>
      <c r="F628" s="593" t="s">
        <v>5045</v>
      </c>
      <c r="G628" s="237" t="s">
        <v>410</v>
      </c>
      <c r="H628" s="237" t="s">
        <v>410</v>
      </c>
      <c r="I628" s="237" t="s">
        <v>410</v>
      </c>
      <c r="J628" s="237" t="s">
        <v>410</v>
      </c>
      <c r="K628" s="237" t="s">
        <v>410</v>
      </c>
      <c r="L628" s="237" t="s">
        <v>410</v>
      </c>
      <c r="M628" s="237" t="s">
        <v>410</v>
      </c>
      <c r="N628" s="237" t="s">
        <v>410</v>
      </c>
      <c r="O628" s="237" t="s">
        <v>410</v>
      </c>
      <c r="P628" s="237" t="s">
        <v>410</v>
      </c>
      <c r="Q628" s="237" t="s">
        <v>410</v>
      </c>
      <c r="R628" s="237" t="s">
        <v>410</v>
      </c>
      <c r="S628" s="10" t="s">
        <v>410</v>
      </c>
      <c r="T628" s="10" t="s">
        <v>410</v>
      </c>
    </row>
    <row r="629" spans="1:20" hidden="1" outlineLevel="1" x14ac:dyDescent="0.3">
      <c r="A629" s="583" t="s">
        <v>5072</v>
      </c>
      <c r="B629" s="591">
        <v>8</v>
      </c>
      <c r="C629" s="583" t="s">
        <v>1256</v>
      </c>
      <c r="D629" s="588" t="s">
        <v>5561</v>
      </c>
      <c r="E629" s="592" t="s">
        <v>410</v>
      </c>
      <c r="F629" s="593" t="s">
        <v>5047</v>
      </c>
      <c r="G629" s="910" t="s">
        <v>410</v>
      </c>
      <c r="H629" s="910" t="s">
        <v>410</v>
      </c>
      <c r="I629" s="910" t="s">
        <v>410</v>
      </c>
      <c r="J629" s="910" t="s">
        <v>410</v>
      </c>
      <c r="K629" s="910" t="s">
        <v>410</v>
      </c>
      <c r="L629" s="237" t="s">
        <v>410</v>
      </c>
      <c r="M629" s="237" t="s">
        <v>410</v>
      </c>
      <c r="N629" s="237" t="s">
        <v>410</v>
      </c>
      <c r="O629" s="237" t="s">
        <v>410</v>
      </c>
      <c r="P629" s="237" t="s">
        <v>410</v>
      </c>
      <c r="Q629" s="237" t="s">
        <v>410</v>
      </c>
      <c r="R629" s="237" t="s">
        <v>410</v>
      </c>
      <c r="S629" s="10" t="s">
        <v>410</v>
      </c>
      <c r="T629" s="10" t="s">
        <v>410</v>
      </c>
    </row>
    <row r="630" spans="1:20" hidden="1" outlineLevel="1" x14ac:dyDescent="0.3">
      <c r="A630" s="583" t="s">
        <v>5073</v>
      </c>
      <c r="B630" s="591">
        <v>8</v>
      </c>
      <c r="C630" s="583" t="s">
        <v>1256</v>
      </c>
      <c r="D630" s="588" t="s">
        <v>5561</v>
      </c>
      <c r="E630" s="592" t="s">
        <v>410</v>
      </c>
      <c r="F630" s="593" t="s">
        <v>5046</v>
      </c>
      <c r="G630" s="910" t="s">
        <v>410</v>
      </c>
      <c r="H630" s="910" t="s">
        <v>410</v>
      </c>
      <c r="I630" s="910" t="s">
        <v>410</v>
      </c>
      <c r="J630" s="910" t="s">
        <v>410</v>
      </c>
      <c r="K630" s="910" t="s">
        <v>410</v>
      </c>
      <c r="L630" s="237" t="s">
        <v>410</v>
      </c>
      <c r="M630" s="237" t="s">
        <v>410</v>
      </c>
      <c r="N630" s="237" t="s">
        <v>410</v>
      </c>
      <c r="O630" s="237" t="s">
        <v>410</v>
      </c>
      <c r="P630" s="237" t="s">
        <v>410</v>
      </c>
      <c r="Q630" s="237" t="s">
        <v>410</v>
      </c>
      <c r="R630" s="237" t="s">
        <v>410</v>
      </c>
      <c r="S630" s="10" t="s">
        <v>410</v>
      </c>
      <c r="T630" s="10" t="s">
        <v>410</v>
      </c>
    </row>
    <row r="631" spans="1:20" hidden="1" outlineLevel="1" x14ac:dyDescent="0.3">
      <c r="A631" s="583" t="s">
        <v>5074</v>
      </c>
      <c r="B631" s="591">
        <v>8</v>
      </c>
      <c r="C631" s="583" t="s">
        <v>1256</v>
      </c>
      <c r="D631" s="588" t="s">
        <v>5561</v>
      </c>
      <c r="E631" s="592" t="s">
        <v>410</v>
      </c>
      <c r="F631" s="593" t="s">
        <v>5048</v>
      </c>
      <c r="G631" s="910" t="s">
        <v>410</v>
      </c>
      <c r="H631" s="910" t="s">
        <v>410</v>
      </c>
      <c r="I631" s="910" t="s">
        <v>410</v>
      </c>
      <c r="J631" s="910" t="s">
        <v>410</v>
      </c>
      <c r="K631" s="910" t="s">
        <v>410</v>
      </c>
      <c r="L631" s="237" t="s">
        <v>410</v>
      </c>
      <c r="M631" s="237" t="s">
        <v>410</v>
      </c>
      <c r="N631" s="237" t="s">
        <v>410</v>
      </c>
      <c r="O631" s="237" t="s">
        <v>410</v>
      </c>
      <c r="P631" s="237" t="s">
        <v>410</v>
      </c>
      <c r="Q631" s="237" t="s">
        <v>410</v>
      </c>
      <c r="R631" s="237" t="s">
        <v>410</v>
      </c>
      <c r="S631" s="10" t="s">
        <v>410</v>
      </c>
      <c r="T631" s="10" t="s">
        <v>410</v>
      </c>
    </row>
    <row r="632" spans="1:20" hidden="1" outlineLevel="1" x14ac:dyDescent="0.3">
      <c r="A632" s="583" t="s">
        <v>1515</v>
      </c>
      <c r="B632" s="591">
        <v>11</v>
      </c>
      <c r="C632" s="588" t="s">
        <v>1256</v>
      </c>
      <c r="D632" s="588" t="s">
        <v>5561</v>
      </c>
      <c r="E632" s="589" t="s">
        <v>410</v>
      </c>
      <c r="F632" s="590" t="s">
        <v>3379</v>
      </c>
      <c r="G632" s="590" t="s">
        <v>1486</v>
      </c>
      <c r="H632" s="590" t="s">
        <v>1516</v>
      </c>
      <c r="I632" s="590" t="s">
        <v>1487</v>
      </c>
      <c r="J632" s="590" t="s">
        <v>1488</v>
      </c>
      <c r="K632" s="590" t="s">
        <v>1517</v>
      </c>
      <c r="L632" s="441" t="s">
        <v>410</v>
      </c>
      <c r="M632" s="441" t="s">
        <v>410</v>
      </c>
      <c r="N632" s="441" t="s">
        <v>410</v>
      </c>
      <c r="O632" s="441" t="s">
        <v>410</v>
      </c>
      <c r="P632" s="441" t="s">
        <v>410</v>
      </c>
      <c r="Q632" s="441" t="s">
        <v>410</v>
      </c>
      <c r="R632" s="441" t="s">
        <v>410</v>
      </c>
      <c r="S632" s="441" t="s">
        <v>410</v>
      </c>
      <c r="T632" s="441" t="s">
        <v>410</v>
      </c>
    </row>
    <row r="633" spans="1:20" hidden="1" outlineLevel="1" x14ac:dyDescent="0.3">
      <c r="A633" s="583" t="s">
        <v>1849</v>
      </c>
      <c r="B633" s="591">
        <v>11</v>
      </c>
      <c r="C633" s="588" t="s">
        <v>1256</v>
      </c>
      <c r="D633" s="588" t="s">
        <v>5561</v>
      </c>
      <c r="E633" s="592" t="s">
        <v>410</v>
      </c>
      <c r="F633" s="593" t="s">
        <v>2167</v>
      </c>
      <c r="G633" s="593" t="s">
        <v>2233</v>
      </c>
      <c r="H633" s="593" t="s">
        <v>3560</v>
      </c>
      <c r="I633" s="593" t="s">
        <v>3561</v>
      </c>
      <c r="J633" s="593" t="s">
        <v>3562</v>
      </c>
      <c r="K633" s="237" t="s">
        <v>410</v>
      </c>
      <c r="L633" s="441" t="s">
        <v>410</v>
      </c>
      <c r="M633" s="237" t="s">
        <v>410</v>
      </c>
      <c r="N633" s="237" t="s">
        <v>410</v>
      </c>
      <c r="O633" s="237" t="s">
        <v>410</v>
      </c>
      <c r="P633" s="237" t="s">
        <v>410</v>
      </c>
      <c r="Q633" s="237" t="s">
        <v>410</v>
      </c>
      <c r="R633" s="237" t="s">
        <v>410</v>
      </c>
      <c r="S633" s="10" t="s">
        <v>410</v>
      </c>
      <c r="T633" s="10" t="s">
        <v>410</v>
      </c>
    </row>
    <row r="634" spans="1:20" hidden="1" outlineLevel="1" x14ac:dyDescent="0.3">
      <c r="A634" s="583" t="s">
        <v>4041</v>
      </c>
      <c r="B634" s="591">
        <v>11</v>
      </c>
      <c r="C634" s="583" t="s">
        <v>1256</v>
      </c>
      <c r="D634" s="588" t="s">
        <v>5561</v>
      </c>
      <c r="E634" s="593" t="s">
        <v>410</v>
      </c>
      <c r="F634" s="856" t="s">
        <v>67</v>
      </c>
      <c r="G634" s="856" t="s">
        <v>68</v>
      </c>
      <c r="H634" s="856" t="s">
        <v>70</v>
      </c>
      <c r="I634" s="854">
        <f>bÚr</f>
        <v>1</v>
      </c>
      <c r="J634" s="237" t="s">
        <v>410</v>
      </c>
      <c r="K634" s="237" t="s">
        <v>410</v>
      </c>
      <c r="L634" s="237" t="s">
        <v>410</v>
      </c>
      <c r="M634" s="237" t="s">
        <v>410</v>
      </c>
      <c r="N634" s="237" t="s">
        <v>410</v>
      </c>
      <c r="O634" s="237" t="s">
        <v>410</v>
      </c>
      <c r="P634" s="237" t="s">
        <v>410</v>
      </c>
      <c r="Q634" s="237" t="s">
        <v>410</v>
      </c>
      <c r="R634" s="237" t="s">
        <v>410</v>
      </c>
      <c r="S634" s="237" t="s">
        <v>410</v>
      </c>
      <c r="T634" s="237" t="s">
        <v>410</v>
      </c>
    </row>
    <row r="635" spans="1:20" hidden="1" outlineLevel="1" x14ac:dyDescent="0.3">
      <c r="A635" s="583" t="s">
        <v>2003</v>
      </c>
      <c r="B635" s="591">
        <v>11</v>
      </c>
      <c r="C635" s="583" t="s">
        <v>1256</v>
      </c>
      <c r="D635" s="588" t="s">
        <v>5561</v>
      </c>
      <c r="E635" s="593" t="s">
        <v>410</v>
      </c>
      <c r="F635" s="593" t="s">
        <v>5559</v>
      </c>
      <c r="G635" s="593" t="s">
        <v>4342</v>
      </c>
      <c r="H635" s="593" t="s">
        <v>5558</v>
      </c>
      <c r="I635" s="237" t="s">
        <v>410</v>
      </c>
      <c r="J635" s="237" t="s">
        <v>410</v>
      </c>
      <c r="K635" s="237" t="s">
        <v>410</v>
      </c>
      <c r="L635" s="237" t="s">
        <v>410</v>
      </c>
      <c r="M635" s="237" t="s">
        <v>410</v>
      </c>
      <c r="N635" s="237" t="s">
        <v>410</v>
      </c>
      <c r="O635" s="237" t="s">
        <v>410</v>
      </c>
      <c r="P635" s="237" t="s">
        <v>410</v>
      </c>
      <c r="Q635" s="237" t="s">
        <v>410</v>
      </c>
      <c r="R635" s="237" t="s">
        <v>410</v>
      </c>
      <c r="S635" s="237" t="s">
        <v>410</v>
      </c>
      <c r="T635" s="237" t="s">
        <v>410</v>
      </c>
    </row>
    <row r="636" spans="1:20" hidden="1" outlineLevel="1" x14ac:dyDescent="0.3">
      <c r="A636" s="583" t="s">
        <v>4440</v>
      </c>
      <c r="B636" s="591">
        <v>16</v>
      </c>
      <c r="C636" s="588" t="s">
        <v>1256</v>
      </c>
      <c r="D636" s="588" t="s">
        <v>5561</v>
      </c>
      <c r="E636" s="592" t="s">
        <v>410</v>
      </c>
      <c r="F636" s="593" t="s">
        <v>4445</v>
      </c>
      <c r="G636" s="593" t="s">
        <v>4441</v>
      </c>
      <c r="H636" s="593" t="s">
        <v>4442</v>
      </c>
      <c r="I636" s="593" t="s">
        <v>4443</v>
      </c>
      <c r="J636" s="593" t="s">
        <v>4444</v>
      </c>
      <c r="K636" s="237" t="s">
        <v>410</v>
      </c>
      <c r="L636" s="237" t="s">
        <v>410</v>
      </c>
      <c r="M636" s="237" t="s">
        <v>410</v>
      </c>
      <c r="N636" s="237" t="s">
        <v>410</v>
      </c>
      <c r="O636" s="237" t="s">
        <v>410</v>
      </c>
      <c r="P636" s="237" t="s">
        <v>410</v>
      </c>
      <c r="Q636" s="237" t="s">
        <v>410</v>
      </c>
      <c r="R636" s="237" t="s">
        <v>410</v>
      </c>
      <c r="S636" s="10" t="s">
        <v>410</v>
      </c>
      <c r="T636" s="10" t="s">
        <v>410</v>
      </c>
    </row>
    <row r="637" spans="1:20" hidden="1" outlineLevel="1" x14ac:dyDescent="0.3">
      <c r="A637" s="583" t="s">
        <v>5562</v>
      </c>
      <c r="B637" s="591">
        <v>16</v>
      </c>
      <c r="C637" s="588" t="s">
        <v>1256</v>
      </c>
      <c r="D637" s="588" t="s">
        <v>5561</v>
      </c>
      <c r="E637" s="592" t="s">
        <v>410</v>
      </c>
      <c r="F637" s="593" t="s">
        <v>5564</v>
      </c>
      <c r="G637" s="593" t="s">
        <v>3125</v>
      </c>
      <c r="H637" s="593" t="s">
        <v>2209</v>
      </c>
      <c r="I637" s="593" t="s">
        <v>2210</v>
      </c>
      <c r="J637" s="593" t="s">
        <v>2211</v>
      </c>
      <c r="K637" s="907" t="s">
        <v>410</v>
      </c>
      <c r="L637" s="907" t="s">
        <v>410</v>
      </c>
      <c r="M637" s="907" t="s">
        <v>410</v>
      </c>
      <c r="N637" s="237" t="s">
        <v>410</v>
      </c>
      <c r="O637" s="237" t="s">
        <v>410</v>
      </c>
      <c r="P637" s="237" t="s">
        <v>410</v>
      </c>
      <c r="Q637" s="237" t="s">
        <v>410</v>
      </c>
      <c r="R637" s="237" t="s">
        <v>410</v>
      </c>
      <c r="S637" s="10" t="s">
        <v>410</v>
      </c>
      <c r="T637" s="10" t="s">
        <v>410</v>
      </c>
    </row>
    <row r="638" spans="1:20" hidden="1" outlineLevel="1" x14ac:dyDescent="0.3">
      <c r="A638" s="583" t="s">
        <v>5075</v>
      </c>
      <c r="B638" s="591">
        <v>16</v>
      </c>
      <c r="C638" s="583" t="s">
        <v>1256</v>
      </c>
      <c r="D638" s="588" t="s">
        <v>5561</v>
      </c>
      <c r="E638" s="592" t="s">
        <v>410</v>
      </c>
      <c r="F638" s="593" t="s">
        <v>5049</v>
      </c>
      <c r="G638" s="910" t="s">
        <v>410</v>
      </c>
      <c r="H638" s="237" t="s">
        <v>410</v>
      </c>
      <c r="I638" s="910" t="s">
        <v>410</v>
      </c>
      <c r="J638" s="237" t="s">
        <v>410</v>
      </c>
      <c r="K638" s="910" t="s">
        <v>410</v>
      </c>
      <c r="L638" s="237" t="s">
        <v>410</v>
      </c>
      <c r="M638" s="237" t="s">
        <v>410</v>
      </c>
      <c r="N638" s="237" t="s">
        <v>410</v>
      </c>
      <c r="O638" s="237" t="s">
        <v>410</v>
      </c>
      <c r="P638" s="237" t="s">
        <v>410</v>
      </c>
      <c r="Q638" s="237" t="s">
        <v>410</v>
      </c>
      <c r="R638" s="237" t="s">
        <v>410</v>
      </c>
      <c r="S638" s="10" t="s">
        <v>410</v>
      </c>
      <c r="T638" s="10" t="s">
        <v>410</v>
      </c>
    </row>
    <row r="639" spans="1:20" hidden="1" outlineLevel="1" x14ac:dyDescent="0.3">
      <c r="A639" s="583" t="s">
        <v>5076</v>
      </c>
      <c r="B639" s="591">
        <v>16</v>
      </c>
      <c r="C639" s="583" t="s">
        <v>1256</v>
      </c>
      <c r="D639" s="588" t="s">
        <v>5561</v>
      </c>
      <c r="E639" s="592" t="s">
        <v>410</v>
      </c>
      <c r="F639" s="593" t="s">
        <v>5050</v>
      </c>
      <c r="G639" s="237" t="s">
        <v>410</v>
      </c>
      <c r="H639" s="237" t="s">
        <v>410</v>
      </c>
      <c r="I639" s="237" t="s">
        <v>410</v>
      </c>
      <c r="J639" s="237" t="s">
        <v>410</v>
      </c>
      <c r="K639" s="237" t="s">
        <v>410</v>
      </c>
      <c r="L639" s="237" t="s">
        <v>410</v>
      </c>
      <c r="M639" s="237" t="s">
        <v>410</v>
      </c>
      <c r="N639" s="237" t="s">
        <v>410</v>
      </c>
      <c r="O639" s="237" t="s">
        <v>410</v>
      </c>
      <c r="P639" s="237" t="s">
        <v>410</v>
      </c>
      <c r="Q639" s="237" t="s">
        <v>410</v>
      </c>
      <c r="R639" s="237" t="s">
        <v>410</v>
      </c>
      <c r="S639" s="10" t="s">
        <v>410</v>
      </c>
      <c r="T639" s="10" t="s">
        <v>410</v>
      </c>
    </row>
    <row r="640" spans="1:20" hidden="1" outlineLevel="1" x14ac:dyDescent="0.3">
      <c r="A640" s="583" t="s">
        <v>5077</v>
      </c>
      <c r="B640" s="591">
        <v>16</v>
      </c>
      <c r="C640" s="583" t="s">
        <v>1256</v>
      </c>
      <c r="D640" s="588" t="s">
        <v>5561</v>
      </c>
      <c r="E640" s="592" t="s">
        <v>410</v>
      </c>
      <c r="F640" s="593" t="s">
        <v>5038</v>
      </c>
      <c r="G640" s="910" t="s">
        <v>410</v>
      </c>
      <c r="H640" s="237" t="s">
        <v>410</v>
      </c>
      <c r="I640" s="910" t="s">
        <v>410</v>
      </c>
      <c r="J640" s="237" t="s">
        <v>410</v>
      </c>
      <c r="K640" s="910" t="s">
        <v>410</v>
      </c>
      <c r="L640" s="237" t="s">
        <v>410</v>
      </c>
      <c r="M640" s="237" t="s">
        <v>410</v>
      </c>
      <c r="N640" s="237" t="s">
        <v>410</v>
      </c>
      <c r="O640" s="237" t="s">
        <v>410</v>
      </c>
      <c r="P640" s="237" t="s">
        <v>410</v>
      </c>
      <c r="Q640" s="237" t="s">
        <v>410</v>
      </c>
      <c r="R640" s="237" t="s">
        <v>410</v>
      </c>
      <c r="S640" s="10" t="s">
        <v>410</v>
      </c>
      <c r="T640" s="10" t="s">
        <v>410</v>
      </c>
    </row>
    <row r="641" spans="1:20" hidden="1" outlineLevel="1" x14ac:dyDescent="0.3">
      <c r="A641" s="583" t="s">
        <v>1868</v>
      </c>
      <c r="B641" s="591">
        <v>16</v>
      </c>
      <c r="C641" s="588" t="s">
        <v>1256</v>
      </c>
      <c r="D641" s="588" t="s">
        <v>5561</v>
      </c>
      <c r="E641" s="592" t="s">
        <v>410</v>
      </c>
      <c r="F641" s="856" t="s">
        <v>67</v>
      </c>
      <c r="G641" s="856" t="s">
        <v>68</v>
      </c>
      <c r="H641" s="856" t="s">
        <v>70</v>
      </c>
      <c r="I641" s="854">
        <f>bÚr</f>
        <v>1</v>
      </c>
      <c r="J641" s="237" t="s">
        <v>410</v>
      </c>
      <c r="K641" s="237" t="s">
        <v>410</v>
      </c>
      <c r="L641" s="237" t="s">
        <v>410</v>
      </c>
      <c r="M641" s="237" t="s">
        <v>410</v>
      </c>
      <c r="N641" s="237" t="s">
        <v>410</v>
      </c>
      <c r="O641" s="237" t="s">
        <v>410</v>
      </c>
      <c r="P641" s="237" t="s">
        <v>410</v>
      </c>
      <c r="Q641" s="237" t="s">
        <v>410</v>
      </c>
      <c r="R641" s="237" t="s">
        <v>410</v>
      </c>
      <c r="S641" s="10" t="s">
        <v>410</v>
      </c>
      <c r="T641" s="10" t="s">
        <v>410</v>
      </c>
    </row>
    <row r="642" spans="1:20" hidden="1" outlineLevel="1" x14ac:dyDescent="0.3">
      <c r="A642" s="583" t="s">
        <v>5078</v>
      </c>
      <c r="B642" s="591">
        <v>16</v>
      </c>
      <c r="C642" s="583" t="s">
        <v>1256</v>
      </c>
      <c r="D642" s="588" t="s">
        <v>5561</v>
      </c>
      <c r="E642" s="592" t="s">
        <v>410</v>
      </c>
      <c r="F642" s="856" t="s">
        <v>5051</v>
      </c>
      <c r="G642" s="237" t="s">
        <v>410</v>
      </c>
      <c r="H642" s="237" t="s">
        <v>410</v>
      </c>
      <c r="I642" s="237" t="s">
        <v>410</v>
      </c>
      <c r="J642" s="237" t="s">
        <v>410</v>
      </c>
      <c r="K642" s="910" t="s">
        <v>410</v>
      </c>
      <c r="L642" s="237" t="s">
        <v>410</v>
      </c>
      <c r="M642" s="237" t="s">
        <v>410</v>
      </c>
      <c r="N642" s="237" t="s">
        <v>410</v>
      </c>
      <c r="O642" s="237" t="s">
        <v>410</v>
      </c>
      <c r="P642" s="237" t="s">
        <v>410</v>
      </c>
      <c r="Q642" s="237" t="s">
        <v>410</v>
      </c>
      <c r="R642" s="237" t="s">
        <v>410</v>
      </c>
      <c r="S642" s="10" t="s">
        <v>410</v>
      </c>
      <c r="T642" s="10" t="s">
        <v>410</v>
      </c>
    </row>
    <row r="643" spans="1:20" hidden="1" outlineLevel="1" x14ac:dyDescent="0.3">
      <c r="A643" s="583" t="s">
        <v>5079</v>
      </c>
      <c r="B643" s="591">
        <v>16</v>
      </c>
      <c r="C643" s="583" t="s">
        <v>1256</v>
      </c>
      <c r="D643" s="588" t="s">
        <v>5561</v>
      </c>
      <c r="E643" s="592" t="s">
        <v>410</v>
      </c>
      <c r="F643" s="856" t="s">
        <v>5052</v>
      </c>
      <c r="G643" s="237" t="s">
        <v>410</v>
      </c>
      <c r="H643" s="237" t="s">
        <v>410</v>
      </c>
      <c r="I643" s="237" t="s">
        <v>410</v>
      </c>
      <c r="J643" s="237" t="s">
        <v>410</v>
      </c>
      <c r="K643" s="237" t="s">
        <v>410</v>
      </c>
      <c r="L643" s="237" t="s">
        <v>410</v>
      </c>
      <c r="M643" s="237" t="s">
        <v>410</v>
      </c>
      <c r="N643" s="237" t="s">
        <v>410</v>
      </c>
      <c r="O643" s="237" t="s">
        <v>410</v>
      </c>
      <c r="P643" s="237" t="s">
        <v>410</v>
      </c>
      <c r="Q643" s="237" t="s">
        <v>410</v>
      </c>
      <c r="R643" s="237" t="s">
        <v>410</v>
      </c>
      <c r="S643" s="10" t="s">
        <v>410</v>
      </c>
      <c r="T643" s="10" t="s">
        <v>410</v>
      </c>
    </row>
    <row r="644" spans="1:20" hidden="1" outlineLevel="1" x14ac:dyDescent="0.3">
      <c r="A644" s="583" t="s">
        <v>5080</v>
      </c>
      <c r="B644" s="591">
        <v>16</v>
      </c>
      <c r="C644" s="583" t="s">
        <v>1256</v>
      </c>
      <c r="D644" s="588" t="s">
        <v>5561</v>
      </c>
      <c r="E644" s="592" t="s">
        <v>410</v>
      </c>
      <c r="F644" s="593" t="s">
        <v>5053</v>
      </c>
      <c r="G644" s="237" t="s">
        <v>410</v>
      </c>
      <c r="H644" s="237" t="s">
        <v>410</v>
      </c>
      <c r="I644" s="237" t="s">
        <v>410</v>
      </c>
      <c r="J644" s="237" t="s">
        <v>410</v>
      </c>
      <c r="K644" s="237" t="s">
        <v>410</v>
      </c>
      <c r="L644" s="237" t="s">
        <v>410</v>
      </c>
      <c r="M644" s="237" t="s">
        <v>410</v>
      </c>
      <c r="N644" s="237" t="s">
        <v>410</v>
      </c>
      <c r="O644" s="237" t="s">
        <v>410</v>
      </c>
      <c r="P644" s="237" t="s">
        <v>410</v>
      </c>
      <c r="Q644" s="237" t="s">
        <v>410</v>
      </c>
      <c r="R644" s="237" t="s">
        <v>410</v>
      </c>
      <c r="S644" s="10" t="s">
        <v>410</v>
      </c>
      <c r="T644" s="10" t="s">
        <v>410</v>
      </c>
    </row>
    <row r="645" spans="1:20" hidden="1" outlineLevel="1" x14ac:dyDescent="0.3">
      <c r="A645" s="583" t="s">
        <v>2067</v>
      </c>
      <c r="B645" s="591">
        <v>1</v>
      </c>
      <c r="C645" s="588" t="s">
        <v>1564</v>
      </c>
      <c r="D645" s="588" t="s">
        <v>5561</v>
      </c>
      <c r="E645" s="595"/>
      <c r="F645" s="9" t="s">
        <v>410</v>
      </c>
      <c r="G645" s="9" t="s">
        <v>410</v>
      </c>
      <c r="H645" s="9" t="s">
        <v>410</v>
      </c>
      <c r="I645" s="9" t="s">
        <v>410</v>
      </c>
      <c r="J645" s="9" t="s">
        <v>410</v>
      </c>
      <c r="K645" s="9" t="s">
        <v>410</v>
      </c>
      <c r="L645" s="9" t="s">
        <v>410</v>
      </c>
      <c r="M645" s="9" t="s">
        <v>410</v>
      </c>
      <c r="N645" s="9" t="s">
        <v>410</v>
      </c>
      <c r="O645" s="9" t="s">
        <v>410</v>
      </c>
      <c r="P645" s="9" t="s">
        <v>410</v>
      </c>
      <c r="Q645" s="9" t="s">
        <v>410</v>
      </c>
      <c r="R645" s="9" t="s">
        <v>410</v>
      </c>
      <c r="S645" s="9" t="s">
        <v>410</v>
      </c>
      <c r="T645" s="9" t="s">
        <v>410</v>
      </c>
    </row>
    <row r="646" spans="1:20" hidden="1" outlineLevel="1" x14ac:dyDescent="0.3">
      <c r="A646" s="583" t="s">
        <v>2066</v>
      </c>
      <c r="B646" s="591">
        <v>1</v>
      </c>
      <c r="C646" s="588" t="s">
        <v>1564</v>
      </c>
      <c r="D646" s="588" t="s">
        <v>5561</v>
      </c>
      <c r="E646" s="589"/>
      <c r="F646" s="237" t="s">
        <v>410</v>
      </c>
      <c r="G646" s="237" t="s">
        <v>410</v>
      </c>
      <c r="H646" s="237" t="s">
        <v>410</v>
      </c>
      <c r="I646" s="237" t="s">
        <v>410</v>
      </c>
      <c r="J646" s="237" t="s">
        <v>410</v>
      </c>
      <c r="K646" s="237" t="s">
        <v>410</v>
      </c>
      <c r="L646" s="237" t="s">
        <v>410</v>
      </c>
      <c r="M646" s="237" t="s">
        <v>410</v>
      </c>
      <c r="N646" s="237" t="s">
        <v>410</v>
      </c>
      <c r="O646" s="237" t="s">
        <v>410</v>
      </c>
      <c r="P646" s="237" t="s">
        <v>410</v>
      </c>
      <c r="Q646" s="237" t="s">
        <v>410</v>
      </c>
      <c r="R646" s="237" t="s">
        <v>410</v>
      </c>
      <c r="S646" s="10" t="s">
        <v>410</v>
      </c>
      <c r="T646" s="10" t="s">
        <v>410</v>
      </c>
    </row>
    <row r="647" spans="1:20" hidden="1" outlineLevel="1" x14ac:dyDescent="0.3">
      <c r="A647" s="583" t="s">
        <v>1875</v>
      </c>
      <c r="B647" s="591">
        <v>1</v>
      </c>
      <c r="C647" s="583" t="s">
        <v>1564</v>
      </c>
      <c r="D647" s="588" t="s">
        <v>5561</v>
      </c>
      <c r="E647" s="592" t="s">
        <v>410</v>
      </c>
      <c r="F647" s="593" t="s">
        <v>4983</v>
      </c>
      <c r="G647" s="237" t="s">
        <v>410</v>
      </c>
      <c r="H647" s="237" t="s">
        <v>410</v>
      </c>
      <c r="I647" s="237" t="s">
        <v>410</v>
      </c>
      <c r="J647" s="237" t="s">
        <v>410</v>
      </c>
      <c r="K647" s="237" t="s">
        <v>410</v>
      </c>
      <c r="L647" s="237" t="s">
        <v>410</v>
      </c>
      <c r="M647" s="237" t="s">
        <v>410</v>
      </c>
      <c r="N647" s="237" t="s">
        <v>410</v>
      </c>
      <c r="O647" s="237" t="s">
        <v>410</v>
      </c>
      <c r="P647" s="237" t="s">
        <v>410</v>
      </c>
      <c r="Q647" s="237" t="s">
        <v>410</v>
      </c>
      <c r="R647" s="237" t="s">
        <v>410</v>
      </c>
      <c r="S647" s="10" t="s">
        <v>410</v>
      </c>
      <c r="T647" s="10" t="s">
        <v>410</v>
      </c>
    </row>
    <row r="648" spans="1:20" hidden="1" outlineLevel="1" x14ac:dyDescent="0.3">
      <c r="A648" s="583" t="s">
        <v>1876</v>
      </c>
      <c r="B648" s="591">
        <v>1</v>
      </c>
      <c r="C648" s="583" t="s">
        <v>1564</v>
      </c>
      <c r="D648" s="588" t="s">
        <v>5561</v>
      </c>
      <c r="E648" s="592" t="s">
        <v>410</v>
      </c>
      <c r="F648" s="593" t="s">
        <v>4978</v>
      </c>
      <c r="G648" s="237" t="s">
        <v>410</v>
      </c>
      <c r="H648" s="237" t="s">
        <v>410</v>
      </c>
      <c r="I648" s="237" t="s">
        <v>410</v>
      </c>
      <c r="J648" s="237" t="s">
        <v>410</v>
      </c>
      <c r="K648" s="237" t="s">
        <v>410</v>
      </c>
      <c r="L648" s="237" t="s">
        <v>410</v>
      </c>
      <c r="M648" s="237" t="s">
        <v>410</v>
      </c>
      <c r="N648" s="237" t="s">
        <v>410</v>
      </c>
      <c r="O648" s="237" t="s">
        <v>410</v>
      </c>
      <c r="P648" s="237" t="s">
        <v>410</v>
      </c>
      <c r="Q648" s="237" t="s">
        <v>410</v>
      </c>
      <c r="R648" s="237" t="s">
        <v>410</v>
      </c>
      <c r="S648" s="10" t="s">
        <v>410</v>
      </c>
      <c r="T648" s="10" t="s">
        <v>410</v>
      </c>
    </row>
    <row r="649" spans="1:20" hidden="1" outlineLevel="1" x14ac:dyDescent="0.3">
      <c r="A649" s="583" t="s">
        <v>1877</v>
      </c>
      <c r="B649" s="591">
        <v>2</v>
      </c>
      <c r="C649" s="583" t="s">
        <v>1564</v>
      </c>
      <c r="D649" s="588" t="s">
        <v>5561</v>
      </c>
      <c r="E649" s="592" t="s">
        <v>410</v>
      </c>
      <c r="F649" s="593" t="s">
        <v>4979</v>
      </c>
      <c r="G649" s="237" t="s">
        <v>410</v>
      </c>
      <c r="H649" s="237" t="s">
        <v>410</v>
      </c>
      <c r="I649" s="237" t="s">
        <v>410</v>
      </c>
      <c r="J649" s="237" t="s">
        <v>410</v>
      </c>
      <c r="K649" s="237" t="s">
        <v>410</v>
      </c>
      <c r="L649" s="237" t="s">
        <v>410</v>
      </c>
      <c r="M649" s="237" t="s">
        <v>410</v>
      </c>
      <c r="N649" s="237" t="s">
        <v>410</v>
      </c>
      <c r="O649" s="237" t="s">
        <v>410</v>
      </c>
      <c r="P649" s="237" t="s">
        <v>410</v>
      </c>
      <c r="Q649" s="237" t="s">
        <v>410</v>
      </c>
      <c r="R649" s="237" t="s">
        <v>410</v>
      </c>
      <c r="S649" s="10" t="s">
        <v>410</v>
      </c>
      <c r="T649" s="10" t="s">
        <v>410</v>
      </c>
    </row>
    <row r="650" spans="1:20" hidden="1" outlineLevel="1" x14ac:dyDescent="0.3">
      <c r="A650" s="583" t="s">
        <v>1878</v>
      </c>
      <c r="B650" s="591">
        <v>3</v>
      </c>
      <c r="C650" s="583" t="s">
        <v>1564</v>
      </c>
      <c r="D650" s="588" t="s">
        <v>5561</v>
      </c>
      <c r="E650" s="592" t="s">
        <v>410</v>
      </c>
      <c r="F650" s="593" t="s">
        <v>4980</v>
      </c>
      <c r="G650" s="237" t="s">
        <v>410</v>
      </c>
      <c r="H650" s="237" t="s">
        <v>410</v>
      </c>
      <c r="I650" s="237" t="s">
        <v>410</v>
      </c>
      <c r="J650" s="237" t="s">
        <v>410</v>
      </c>
      <c r="K650" s="237" t="s">
        <v>410</v>
      </c>
      <c r="L650" s="237" t="s">
        <v>410</v>
      </c>
      <c r="M650" s="237" t="s">
        <v>410</v>
      </c>
      <c r="N650" s="237" t="s">
        <v>410</v>
      </c>
      <c r="O650" s="237" t="s">
        <v>410</v>
      </c>
      <c r="P650" s="237" t="s">
        <v>410</v>
      </c>
      <c r="Q650" s="237" t="s">
        <v>410</v>
      </c>
      <c r="R650" s="237" t="s">
        <v>410</v>
      </c>
      <c r="S650" s="10" t="s">
        <v>410</v>
      </c>
      <c r="T650" s="10" t="s">
        <v>410</v>
      </c>
    </row>
    <row r="651" spans="1:20" hidden="1" outlineLevel="1" x14ac:dyDescent="0.3">
      <c r="A651" s="583" t="s">
        <v>1879</v>
      </c>
      <c r="B651" s="591">
        <v>4</v>
      </c>
      <c r="C651" s="583" t="s">
        <v>1564</v>
      </c>
      <c r="D651" s="588" t="s">
        <v>5561</v>
      </c>
      <c r="E651" s="592" t="s">
        <v>410</v>
      </c>
      <c r="F651" s="593" t="s">
        <v>4981</v>
      </c>
      <c r="G651" s="237" t="s">
        <v>410</v>
      </c>
      <c r="H651" s="237" t="s">
        <v>410</v>
      </c>
      <c r="I651" s="237" t="s">
        <v>410</v>
      </c>
      <c r="J651" s="237" t="s">
        <v>410</v>
      </c>
      <c r="K651" s="237" t="s">
        <v>410</v>
      </c>
      <c r="L651" s="237" t="s">
        <v>410</v>
      </c>
      <c r="M651" s="237" t="s">
        <v>410</v>
      </c>
      <c r="N651" s="237" t="s">
        <v>410</v>
      </c>
      <c r="O651" s="237" t="s">
        <v>410</v>
      </c>
      <c r="P651" s="237" t="s">
        <v>410</v>
      </c>
      <c r="Q651" s="237" t="s">
        <v>410</v>
      </c>
      <c r="R651" s="237" t="s">
        <v>410</v>
      </c>
      <c r="S651" s="10" t="s">
        <v>410</v>
      </c>
      <c r="T651" s="10" t="s">
        <v>410</v>
      </c>
    </row>
    <row r="652" spans="1:20" hidden="1" outlineLevel="1" x14ac:dyDescent="0.3">
      <c r="A652" s="583" t="s">
        <v>1880</v>
      </c>
      <c r="B652" s="591">
        <v>5</v>
      </c>
      <c r="C652" s="583" t="s">
        <v>1564</v>
      </c>
      <c r="D652" s="588" t="s">
        <v>5561</v>
      </c>
      <c r="E652" s="592" t="s">
        <v>410</v>
      </c>
      <c r="F652" s="593" t="s">
        <v>4982</v>
      </c>
      <c r="G652" s="237" t="s">
        <v>410</v>
      </c>
      <c r="H652" s="237" t="s">
        <v>410</v>
      </c>
      <c r="I652" s="237" t="s">
        <v>410</v>
      </c>
      <c r="J652" s="237" t="s">
        <v>410</v>
      </c>
      <c r="K652" s="237" t="s">
        <v>410</v>
      </c>
      <c r="L652" s="237" t="s">
        <v>410</v>
      </c>
      <c r="M652" s="237" t="s">
        <v>410</v>
      </c>
      <c r="N652" s="237" t="s">
        <v>410</v>
      </c>
      <c r="O652" s="237" t="s">
        <v>410</v>
      </c>
      <c r="P652" s="237" t="s">
        <v>410</v>
      </c>
      <c r="Q652" s="237" t="s">
        <v>410</v>
      </c>
      <c r="R652" s="237" t="s">
        <v>410</v>
      </c>
      <c r="S652" s="10" t="s">
        <v>410</v>
      </c>
      <c r="T652" s="10" t="s">
        <v>410</v>
      </c>
    </row>
    <row r="653" spans="1:20" collapsed="1" x14ac:dyDescent="0.3">
      <c r="A653" s="583" t="s">
        <v>1463</v>
      </c>
      <c r="B653" s="591">
        <v>1</v>
      </c>
      <c r="C653" s="588" t="s">
        <v>1256</v>
      </c>
      <c r="D653" s="588" t="s">
        <v>5570</v>
      </c>
      <c r="E653" s="589" t="s">
        <v>410</v>
      </c>
      <c r="F653" s="590" t="s">
        <v>1465</v>
      </c>
      <c r="G653" s="590" t="s">
        <v>1466</v>
      </c>
      <c r="H653" s="590" t="s">
        <v>1467</v>
      </c>
      <c r="I653" s="590" t="s">
        <v>1468</v>
      </c>
      <c r="J653" s="590" t="s">
        <v>1469</v>
      </c>
      <c r="K653" s="590" t="s">
        <v>1470</v>
      </c>
      <c r="L653" s="441" t="s">
        <v>410</v>
      </c>
      <c r="M653" s="441" t="s">
        <v>410</v>
      </c>
      <c r="N653" s="441" t="s">
        <v>410</v>
      </c>
      <c r="O653" s="441" t="s">
        <v>410</v>
      </c>
      <c r="P653" s="441" t="s">
        <v>410</v>
      </c>
      <c r="Q653" s="441" t="s">
        <v>410</v>
      </c>
      <c r="R653" s="441" t="s">
        <v>410</v>
      </c>
      <c r="S653" s="441" t="s">
        <v>410</v>
      </c>
      <c r="T653" s="441" t="s">
        <v>410</v>
      </c>
    </row>
    <row r="654" spans="1:20" hidden="1" outlineLevel="1" x14ac:dyDescent="0.3">
      <c r="A654" s="583" t="s">
        <v>1478</v>
      </c>
      <c r="B654" s="591">
        <v>1</v>
      </c>
      <c r="C654" s="588" t="s">
        <v>1256</v>
      </c>
      <c r="D654" s="588" t="s">
        <v>5570</v>
      </c>
      <c r="E654" s="589" t="s">
        <v>410</v>
      </c>
      <c r="F654" s="590" t="s">
        <v>2117</v>
      </c>
      <c r="G654" s="590" t="s">
        <v>2118</v>
      </c>
      <c r="H654" s="590" t="s">
        <v>2119</v>
      </c>
      <c r="I654" s="590" t="s">
        <v>2120</v>
      </c>
      <c r="J654" s="590" t="s">
        <v>2121</v>
      </c>
      <c r="K654" s="590" t="s">
        <v>2122</v>
      </c>
      <c r="L654" s="441" t="s">
        <v>410</v>
      </c>
      <c r="M654" s="441" t="s">
        <v>410</v>
      </c>
      <c r="N654" s="441" t="s">
        <v>410</v>
      </c>
      <c r="O654" s="441" t="s">
        <v>410</v>
      </c>
      <c r="P654" s="441" t="s">
        <v>410</v>
      </c>
      <c r="Q654" s="441" t="s">
        <v>410</v>
      </c>
      <c r="R654" s="441" t="s">
        <v>410</v>
      </c>
      <c r="S654" s="441" t="s">
        <v>410</v>
      </c>
      <c r="T654" s="441" t="s">
        <v>410</v>
      </c>
    </row>
    <row r="655" spans="1:20" hidden="1" outlineLevel="1" x14ac:dyDescent="0.3">
      <c r="A655" s="583" t="s">
        <v>1593</v>
      </c>
      <c r="B655" s="591">
        <v>1</v>
      </c>
      <c r="C655" s="588" t="s">
        <v>1256</v>
      </c>
      <c r="D655" s="588" t="s">
        <v>5570</v>
      </c>
      <c r="E655" s="593" t="s">
        <v>1594</v>
      </c>
      <c r="F655" s="593" t="s">
        <v>1595</v>
      </c>
      <c r="G655" s="593" t="s">
        <v>1596</v>
      </c>
      <c r="H655" s="593" t="s">
        <v>1597</v>
      </c>
      <c r="I655" s="441" t="s">
        <v>410</v>
      </c>
      <c r="J655" s="441" t="s">
        <v>410</v>
      </c>
      <c r="K655" s="441" t="s">
        <v>410</v>
      </c>
      <c r="L655" s="441" t="s">
        <v>410</v>
      </c>
      <c r="M655" s="441" t="s">
        <v>410</v>
      </c>
      <c r="N655" s="441" t="s">
        <v>410</v>
      </c>
      <c r="O655" s="441" t="s">
        <v>410</v>
      </c>
      <c r="P655" s="441" t="s">
        <v>410</v>
      </c>
      <c r="Q655" s="441" t="s">
        <v>410</v>
      </c>
      <c r="R655" s="441" t="s">
        <v>410</v>
      </c>
      <c r="S655" s="441" t="s">
        <v>410</v>
      </c>
      <c r="T655" s="441" t="s">
        <v>410</v>
      </c>
    </row>
    <row r="656" spans="1:20" hidden="1" outlineLevel="1" x14ac:dyDescent="0.3">
      <c r="A656" s="583" t="s">
        <v>1610</v>
      </c>
      <c r="B656" s="591">
        <v>1</v>
      </c>
      <c r="C656" s="588" t="s">
        <v>1256</v>
      </c>
      <c r="D656" s="588" t="s">
        <v>5570</v>
      </c>
      <c r="E656" s="590" t="s">
        <v>2161</v>
      </c>
      <c r="F656" s="590" t="s">
        <v>2161</v>
      </c>
      <c r="G656" s="590" t="s">
        <v>2162</v>
      </c>
      <c r="H656" s="590" t="s">
        <v>2163</v>
      </c>
      <c r="I656" s="590" t="s">
        <v>2164</v>
      </c>
      <c r="J656" s="590" t="s">
        <v>2165</v>
      </c>
      <c r="K656" s="590" t="s">
        <v>2166</v>
      </c>
      <c r="L656" s="441" t="s">
        <v>410</v>
      </c>
      <c r="M656" s="441" t="s">
        <v>410</v>
      </c>
      <c r="N656" s="441" t="s">
        <v>410</v>
      </c>
      <c r="O656" s="441" t="s">
        <v>410</v>
      </c>
      <c r="P656" s="441" t="s">
        <v>410</v>
      </c>
      <c r="Q656" s="441" t="s">
        <v>410</v>
      </c>
      <c r="R656" s="441" t="s">
        <v>410</v>
      </c>
      <c r="S656" s="441" t="s">
        <v>410</v>
      </c>
      <c r="T656" s="441" t="s">
        <v>410</v>
      </c>
    </row>
    <row r="657" spans="1:20" hidden="1" outlineLevel="1" x14ac:dyDescent="0.3">
      <c r="A657" s="583" t="s">
        <v>4211</v>
      </c>
      <c r="B657" s="591">
        <v>1</v>
      </c>
      <c r="C657" s="588" t="s">
        <v>1256</v>
      </c>
      <c r="D657" s="588" t="s">
        <v>5570</v>
      </c>
      <c r="E657" s="590" t="s">
        <v>66</v>
      </c>
      <c r="F657" s="590" t="s">
        <v>4324</v>
      </c>
      <c r="G657" s="590" t="s">
        <v>68</v>
      </c>
      <c r="H657" s="590" t="s">
        <v>70</v>
      </c>
      <c r="I657" s="441" t="s">
        <v>410</v>
      </c>
      <c r="J657" s="441" t="s">
        <v>410</v>
      </c>
      <c r="K657" s="441" t="s">
        <v>410</v>
      </c>
      <c r="L657" s="441" t="s">
        <v>410</v>
      </c>
      <c r="M657" s="441" t="s">
        <v>410</v>
      </c>
      <c r="N657" s="441" t="s">
        <v>410</v>
      </c>
      <c r="O657" s="441" t="s">
        <v>410</v>
      </c>
      <c r="P657" s="441" t="s">
        <v>410</v>
      </c>
      <c r="Q657" s="441" t="s">
        <v>410</v>
      </c>
      <c r="R657" s="441" t="s">
        <v>410</v>
      </c>
      <c r="S657" s="441" t="s">
        <v>410</v>
      </c>
      <c r="T657" s="441" t="s">
        <v>410</v>
      </c>
    </row>
    <row r="658" spans="1:20" hidden="1" outlineLevel="1" x14ac:dyDescent="0.3">
      <c r="A658" s="583" t="s">
        <v>3368</v>
      </c>
      <c r="B658" s="591">
        <v>1</v>
      </c>
      <c r="C658" s="583" t="s">
        <v>1256</v>
      </c>
      <c r="D658" s="588" t="s">
        <v>5570</v>
      </c>
      <c r="E658" s="592" t="s">
        <v>410</v>
      </c>
      <c r="F658" s="593" t="s">
        <v>5581</v>
      </c>
      <c r="G658" s="593" t="s">
        <v>68</v>
      </c>
      <c r="H658" s="593" t="s">
        <v>70</v>
      </c>
      <c r="I658" s="593" t="s">
        <v>72</v>
      </c>
      <c r="J658" s="593" t="s">
        <v>74</v>
      </c>
      <c r="K658" s="237" t="s">
        <v>410</v>
      </c>
      <c r="L658" s="237" t="s">
        <v>410</v>
      </c>
      <c r="M658" s="237" t="s">
        <v>410</v>
      </c>
      <c r="N658" s="237" t="s">
        <v>410</v>
      </c>
      <c r="O658" s="237" t="s">
        <v>410</v>
      </c>
      <c r="P658" s="237" t="s">
        <v>410</v>
      </c>
      <c r="Q658" s="237" t="s">
        <v>410</v>
      </c>
      <c r="R658" s="237" t="s">
        <v>410</v>
      </c>
      <c r="S658" s="10" t="s">
        <v>410</v>
      </c>
      <c r="T658" s="10" t="s">
        <v>410</v>
      </c>
    </row>
    <row r="659" spans="1:20" hidden="1" outlineLevel="1" x14ac:dyDescent="0.3">
      <c r="A659" s="583" t="s">
        <v>1673</v>
      </c>
      <c r="B659" s="591">
        <v>1</v>
      </c>
      <c r="C659" s="583" t="s">
        <v>1256</v>
      </c>
      <c r="D659" s="588" t="s">
        <v>5570</v>
      </c>
      <c r="E659" s="592" t="s">
        <v>66</v>
      </c>
      <c r="F659" s="593" t="s">
        <v>67</v>
      </c>
      <c r="G659" s="593" t="s">
        <v>68</v>
      </c>
      <c r="H659" s="593" t="s">
        <v>70</v>
      </c>
      <c r="I659" s="593" t="s">
        <v>72</v>
      </c>
      <c r="J659" s="593" t="s">
        <v>74</v>
      </c>
      <c r="K659" s="593" t="s">
        <v>75</v>
      </c>
      <c r="L659" s="237" t="s">
        <v>410</v>
      </c>
      <c r="M659" s="237" t="s">
        <v>410</v>
      </c>
      <c r="N659" s="237" t="s">
        <v>410</v>
      </c>
      <c r="O659" s="237" t="s">
        <v>410</v>
      </c>
      <c r="P659" s="237" t="s">
        <v>410</v>
      </c>
      <c r="Q659" s="237" t="s">
        <v>410</v>
      </c>
      <c r="R659" s="237" t="s">
        <v>410</v>
      </c>
      <c r="S659" s="10" t="s">
        <v>410</v>
      </c>
      <c r="T659" s="10" t="s">
        <v>410</v>
      </c>
    </row>
    <row r="660" spans="1:20" hidden="1" outlineLevel="1" x14ac:dyDescent="0.3">
      <c r="A660" s="583" t="s">
        <v>1675</v>
      </c>
      <c r="B660" s="591">
        <v>1</v>
      </c>
      <c r="C660" s="583" t="s">
        <v>1256</v>
      </c>
      <c r="D660" s="588" t="s">
        <v>5570</v>
      </c>
      <c r="E660" s="10" t="s">
        <v>410</v>
      </c>
      <c r="F660" s="237"/>
      <c r="G660" s="237"/>
      <c r="H660" s="237"/>
      <c r="I660" s="237"/>
      <c r="J660" s="237"/>
      <c r="K660" s="237"/>
      <c r="L660" s="237"/>
      <c r="M660" s="237"/>
      <c r="N660" s="237"/>
      <c r="O660" s="237" t="s">
        <v>410</v>
      </c>
      <c r="P660" s="237" t="s">
        <v>410</v>
      </c>
      <c r="Q660" s="237" t="s">
        <v>410</v>
      </c>
      <c r="R660" s="237" t="s">
        <v>410</v>
      </c>
      <c r="S660" s="10" t="s">
        <v>410</v>
      </c>
      <c r="T660" s="10" t="s">
        <v>410</v>
      </c>
    </row>
    <row r="661" spans="1:20" hidden="1" outlineLevel="1" x14ac:dyDescent="0.3">
      <c r="A661" s="583" t="s">
        <v>1766</v>
      </c>
      <c r="B661" s="591">
        <v>1</v>
      </c>
      <c r="C661" s="583" t="s">
        <v>1256</v>
      </c>
      <c r="D661" s="588" t="s">
        <v>5570</v>
      </c>
      <c r="E661" s="592" t="s">
        <v>410</v>
      </c>
      <c r="F661" s="593" t="s">
        <v>5523</v>
      </c>
      <c r="G661" s="593" t="s">
        <v>68</v>
      </c>
      <c r="H661" s="593" t="s">
        <v>72</v>
      </c>
      <c r="I661" s="593" t="s">
        <v>75</v>
      </c>
      <c r="J661" s="593" t="s">
        <v>77</v>
      </c>
      <c r="K661" s="237" t="s">
        <v>410</v>
      </c>
      <c r="L661" s="237" t="s">
        <v>410</v>
      </c>
      <c r="M661" s="237" t="s">
        <v>410</v>
      </c>
      <c r="N661" s="237" t="s">
        <v>410</v>
      </c>
      <c r="O661" s="237" t="s">
        <v>410</v>
      </c>
      <c r="P661" s="237" t="s">
        <v>410</v>
      </c>
      <c r="Q661" s="237" t="s">
        <v>410</v>
      </c>
      <c r="R661" s="237" t="s">
        <v>410</v>
      </c>
      <c r="S661" s="10" t="s">
        <v>410</v>
      </c>
      <c r="T661" s="10" t="s">
        <v>410</v>
      </c>
    </row>
    <row r="662" spans="1:20" hidden="1" outlineLevel="1" x14ac:dyDescent="0.3">
      <c r="A662" s="583" t="s">
        <v>1821</v>
      </c>
      <c r="B662" s="591">
        <v>1</v>
      </c>
      <c r="C662" s="583" t="s">
        <v>1256</v>
      </c>
      <c r="D662" s="588" t="s">
        <v>5570</v>
      </c>
      <c r="E662" s="592" t="s">
        <v>65</v>
      </c>
      <c r="F662" s="593" t="s">
        <v>66</v>
      </c>
      <c r="G662" s="593" t="s">
        <v>67</v>
      </c>
      <c r="H662" s="593" t="s">
        <v>68</v>
      </c>
      <c r="I662" s="593" t="s">
        <v>70</v>
      </c>
      <c r="J662" s="237" t="s">
        <v>410</v>
      </c>
      <c r="K662" s="237" t="s">
        <v>410</v>
      </c>
      <c r="L662" s="237" t="s">
        <v>410</v>
      </c>
      <c r="M662" s="237" t="s">
        <v>410</v>
      </c>
      <c r="N662" s="237" t="s">
        <v>410</v>
      </c>
      <c r="O662" s="237" t="s">
        <v>410</v>
      </c>
      <c r="P662" s="237" t="s">
        <v>410</v>
      </c>
      <c r="Q662" s="237" t="s">
        <v>410</v>
      </c>
      <c r="R662" s="237" t="s">
        <v>410</v>
      </c>
      <c r="S662" s="10" t="s">
        <v>410</v>
      </c>
      <c r="T662" s="10" t="s">
        <v>410</v>
      </c>
    </row>
    <row r="663" spans="1:20" hidden="1" outlineLevel="1" x14ac:dyDescent="0.3">
      <c r="A663" s="583" t="s">
        <v>2238</v>
      </c>
      <c r="B663" s="591">
        <v>1</v>
      </c>
      <c r="C663" s="583" t="s">
        <v>1256</v>
      </c>
      <c r="D663" s="588" t="s">
        <v>5570</v>
      </c>
      <c r="E663" s="594" t="s">
        <v>5573</v>
      </c>
      <c r="F663" t="s">
        <v>410</v>
      </c>
      <c r="G663" t="s">
        <v>410</v>
      </c>
      <c r="H663" t="s">
        <v>410</v>
      </c>
      <c r="I663" t="s">
        <v>410</v>
      </c>
      <c r="J663" t="s">
        <v>410</v>
      </c>
      <c r="K663" t="s">
        <v>410</v>
      </c>
      <c r="L663" t="s">
        <v>410</v>
      </c>
      <c r="M663" t="s">
        <v>410</v>
      </c>
      <c r="N663" t="s">
        <v>410</v>
      </c>
      <c r="O663" t="s">
        <v>410</v>
      </c>
      <c r="P663" t="s">
        <v>410</v>
      </c>
      <c r="Q663" t="s">
        <v>410</v>
      </c>
      <c r="R663" t="s">
        <v>410</v>
      </c>
      <c r="S663" t="s">
        <v>410</v>
      </c>
      <c r="T663" t="s">
        <v>410</v>
      </c>
    </row>
    <row r="664" spans="1:20" hidden="1" outlineLevel="1" x14ac:dyDescent="0.3">
      <c r="A664" s="583" t="s">
        <v>1867</v>
      </c>
      <c r="B664" s="591">
        <v>1</v>
      </c>
      <c r="C664" s="583" t="s">
        <v>1256</v>
      </c>
      <c r="D664" s="588" t="s">
        <v>5570</v>
      </c>
      <c r="E664" s="592" t="s">
        <v>410</v>
      </c>
      <c r="F664" s="593" t="s">
        <v>2243</v>
      </c>
      <c r="G664" s="593" t="s">
        <v>2244</v>
      </c>
      <c r="H664" s="593" t="s">
        <v>2245</v>
      </c>
      <c r="I664" s="593" t="s">
        <v>2246</v>
      </c>
      <c r="J664" s="237" t="s">
        <v>410</v>
      </c>
      <c r="K664" s="237" t="s">
        <v>410</v>
      </c>
      <c r="L664" s="237" t="s">
        <v>410</v>
      </c>
      <c r="M664" s="237" t="s">
        <v>410</v>
      </c>
      <c r="N664" s="237" t="s">
        <v>410</v>
      </c>
      <c r="O664" s="237" t="s">
        <v>410</v>
      </c>
      <c r="P664" s="237" t="s">
        <v>410</v>
      </c>
      <c r="Q664" s="237" t="s">
        <v>410</v>
      </c>
      <c r="R664" s="237" t="s">
        <v>410</v>
      </c>
      <c r="S664" s="10" t="s">
        <v>410</v>
      </c>
      <c r="T664" s="10" t="s">
        <v>410</v>
      </c>
    </row>
    <row r="665" spans="1:20" hidden="1" outlineLevel="1" x14ac:dyDescent="0.3">
      <c r="A665" s="583" t="s">
        <v>1892</v>
      </c>
      <c r="B665" s="591">
        <v>1</v>
      </c>
      <c r="C665" s="583" t="s">
        <v>1256</v>
      </c>
      <c r="D665" s="588" t="s">
        <v>5570</v>
      </c>
      <c r="E665" s="592" t="s">
        <v>410</v>
      </c>
      <c r="F665" s="593" t="s">
        <v>67</v>
      </c>
      <c r="G665" s="593" t="s">
        <v>68</v>
      </c>
      <c r="H665" s="593" t="s">
        <v>70</v>
      </c>
      <c r="I665" s="594">
        <f>IF(CHR&lt;4,4,CHR)</f>
        <v>4</v>
      </c>
      <c r="J665" s="237" t="s">
        <v>410</v>
      </c>
      <c r="K665" s="237" t="s">
        <v>410</v>
      </c>
      <c r="L665" s="237" t="s">
        <v>410</v>
      </c>
      <c r="M665" s="237" t="s">
        <v>410</v>
      </c>
      <c r="N665" s="237" t="s">
        <v>410</v>
      </c>
      <c r="O665" s="237" t="s">
        <v>410</v>
      </c>
      <c r="P665" s="237" t="s">
        <v>410</v>
      </c>
      <c r="Q665" s="237" t="s">
        <v>410</v>
      </c>
      <c r="R665" s="237" t="s">
        <v>410</v>
      </c>
      <c r="S665" s="10" t="s">
        <v>410</v>
      </c>
      <c r="T665" s="10" t="s">
        <v>410</v>
      </c>
    </row>
    <row r="666" spans="1:20" hidden="1" outlineLevel="1" x14ac:dyDescent="0.3">
      <c r="A666" s="583" t="s">
        <v>1929</v>
      </c>
      <c r="B666" s="591">
        <v>1</v>
      </c>
      <c r="C666" s="583" t="s">
        <v>1256</v>
      </c>
      <c r="D666" s="588" t="s">
        <v>5570</v>
      </c>
      <c r="E666" s="592" t="s">
        <v>410</v>
      </c>
      <c r="F666" s="593" t="s">
        <v>67</v>
      </c>
      <c r="G666" s="593" t="s">
        <v>68</v>
      </c>
      <c r="H666" s="593" t="s">
        <v>70</v>
      </c>
      <c r="I666" s="593" t="s">
        <v>72</v>
      </c>
      <c r="J666" s="237" t="s">
        <v>410</v>
      </c>
      <c r="K666" s="237" t="s">
        <v>410</v>
      </c>
      <c r="L666" s="237" t="s">
        <v>410</v>
      </c>
      <c r="M666" s="237" t="s">
        <v>410</v>
      </c>
      <c r="N666" s="237" t="s">
        <v>410</v>
      </c>
      <c r="O666" s="237" t="s">
        <v>410</v>
      </c>
      <c r="P666" s="237" t="s">
        <v>410</v>
      </c>
      <c r="Q666" s="237" t="s">
        <v>410</v>
      </c>
      <c r="R666" s="237" t="s">
        <v>410</v>
      </c>
      <c r="S666" s="10" t="s">
        <v>410</v>
      </c>
      <c r="T666" s="10" t="s">
        <v>410</v>
      </c>
    </row>
    <row r="667" spans="1:20" hidden="1" outlineLevel="1" x14ac:dyDescent="0.3">
      <c r="A667" s="583" t="s">
        <v>1932</v>
      </c>
      <c r="B667" s="591">
        <v>1</v>
      </c>
      <c r="C667" s="583" t="s">
        <v>1256</v>
      </c>
      <c r="D667" s="588" t="s">
        <v>5570</v>
      </c>
      <c r="E667" s="614" t="s">
        <v>4203</v>
      </c>
      <c r="F667" s="614" t="s">
        <v>4204</v>
      </c>
      <c r="G667" s="614" t="s">
        <v>4205</v>
      </c>
      <c r="H667" s="614" t="s">
        <v>4206</v>
      </c>
      <c r="I667" s="614" t="s">
        <v>4207</v>
      </c>
      <c r="J667" s="614" t="s">
        <v>4208</v>
      </c>
      <c r="K667" s="614" t="s">
        <v>4209</v>
      </c>
      <c r="L667" s="237" t="s">
        <v>410</v>
      </c>
      <c r="M667" s="237" t="s">
        <v>410</v>
      </c>
      <c r="N667" s="237" t="s">
        <v>410</v>
      </c>
      <c r="O667" s="237" t="s">
        <v>410</v>
      </c>
      <c r="P667" s="237" t="s">
        <v>410</v>
      </c>
      <c r="Q667" s="237" t="s">
        <v>410</v>
      </c>
      <c r="R667" s="237" t="s">
        <v>410</v>
      </c>
      <c r="S667" s="10" t="s">
        <v>410</v>
      </c>
      <c r="T667" s="10" t="s">
        <v>410</v>
      </c>
    </row>
    <row r="668" spans="1:20" hidden="1" outlineLevel="1" x14ac:dyDescent="0.3">
      <c r="A668" s="583" t="s">
        <v>1937</v>
      </c>
      <c r="B668" s="591">
        <v>1</v>
      </c>
      <c r="C668" s="583" t="s">
        <v>1256</v>
      </c>
      <c r="D668" s="588" t="s">
        <v>5570</v>
      </c>
      <c r="E668" s="592" t="s">
        <v>410</v>
      </c>
      <c r="F668" s="593" t="s">
        <v>67</v>
      </c>
      <c r="G668" s="593" t="s">
        <v>68</v>
      </c>
      <c r="H668" s="593" t="s">
        <v>70</v>
      </c>
      <c r="I668" s="593" t="s">
        <v>72</v>
      </c>
      <c r="J668" s="237" t="s">
        <v>410</v>
      </c>
      <c r="K668" s="237" t="s">
        <v>410</v>
      </c>
      <c r="L668" s="237" t="s">
        <v>410</v>
      </c>
      <c r="M668" s="237" t="s">
        <v>410</v>
      </c>
      <c r="N668" s="237" t="s">
        <v>410</v>
      </c>
      <c r="O668" s="237" t="s">
        <v>410</v>
      </c>
      <c r="P668" s="237" t="s">
        <v>410</v>
      </c>
      <c r="Q668" s="237" t="s">
        <v>410</v>
      </c>
      <c r="R668" s="237" t="s">
        <v>410</v>
      </c>
      <c r="S668" s="10" t="s">
        <v>410</v>
      </c>
      <c r="T668" s="10" t="s">
        <v>410</v>
      </c>
    </row>
    <row r="669" spans="1:20" hidden="1" outlineLevel="1" x14ac:dyDescent="0.3">
      <c r="A669" s="583" t="s">
        <v>1949</v>
      </c>
      <c r="B669" s="591">
        <v>1</v>
      </c>
      <c r="C669" s="583" t="s">
        <v>1256</v>
      </c>
      <c r="D669" s="588" t="s">
        <v>5570</v>
      </c>
      <c r="E669" s="594" t="str">
        <f>CONCATENATE(TEXT(sSms,"0")," %")</f>
        <v>5 %</v>
      </c>
      <c r="F669" s="594" t="str">
        <f>CONCATENATE(TEXT(sSms+10,"0")," %")</f>
        <v>15 %</v>
      </c>
      <c r="G669" s="594" t="str">
        <f>CONCATENATE(TEXT(sSms+20,"0")," %")</f>
        <v>25 %</v>
      </c>
      <c r="H669" s="594" t="str">
        <f>CONCATENATE(TEXT(sSms+30,"0")," %")</f>
        <v>35 %</v>
      </c>
      <c r="I669" s="594" t="str">
        <f>CONCATENATE(TEXT(sSms+40,"0")," %")</f>
        <v>45 %</v>
      </c>
      <c r="J669" s="594" t="str">
        <f>CONCATENATE(TEXT(sSms+50,"0")," %")</f>
        <v>55 %</v>
      </c>
      <c r="K669" s="237" t="s">
        <v>410</v>
      </c>
      <c r="L669" s="237" t="s">
        <v>410</v>
      </c>
      <c r="M669" s="237" t="s">
        <v>410</v>
      </c>
      <c r="N669" s="237" t="s">
        <v>410</v>
      </c>
      <c r="O669" s="237" t="s">
        <v>410</v>
      </c>
      <c r="P669" s="237" t="s">
        <v>410</v>
      </c>
      <c r="Q669" s="237" t="s">
        <v>410</v>
      </c>
      <c r="R669" s="237" t="s">
        <v>410</v>
      </c>
      <c r="S669" s="237" t="s">
        <v>410</v>
      </c>
      <c r="T669" s="237" t="s">
        <v>410</v>
      </c>
    </row>
    <row r="670" spans="1:20" hidden="1" outlineLevel="1" x14ac:dyDescent="0.3">
      <c r="A670" s="583" t="s">
        <v>1477</v>
      </c>
      <c r="B670" s="591">
        <v>2</v>
      </c>
      <c r="C670" s="583" t="s">
        <v>1256</v>
      </c>
      <c r="D670" s="588" t="s">
        <v>5570</v>
      </c>
      <c r="E670" s="589" t="s">
        <v>410</v>
      </c>
      <c r="F670" s="590" t="s">
        <v>1525</v>
      </c>
      <c r="G670" s="590" t="s">
        <v>3316</v>
      </c>
      <c r="H670" s="590" t="s">
        <v>4233</v>
      </c>
      <c r="I670" s="590" t="s">
        <v>4234</v>
      </c>
      <c r="J670" s="441" t="s">
        <v>410</v>
      </c>
      <c r="K670" s="441" t="s">
        <v>410</v>
      </c>
      <c r="L670" s="441" t="s">
        <v>410</v>
      </c>
      <c r="M670" s="441" t="s">
        <v>410</v>
      </c>
      <c r="N670" s="441" t="s">
        <v>410</v>
      </c>
      <c r="O670" s="441" t="s">
        <v>410</v>
      </c>
      <c r="P670" s="441" t="s">
        <v>410</v>
      </c>
      <c r="Q670" s="441" t="s">
        <v>410</v>
      </c>
      <c r="R670" s="441" t="s">
        <v>410</v>
      </c>
      <c r="S670" s="441" t="s">
        <v>410</v>
      </c>
      <c r="T670" s="441" t="s">
        <v>410</v>
      </c>
    </row>
    <row r="671" spans="1:20" hidden="1" outlineLevel="1" x14ac:dyDescent="0.3">
      <c r="A671" s="583" t="s">
        <v>5571</v>
      </c>
      <c r="B671" s="591">
        <v>3</v>
      </c>
      <c r="C671" s="583" t="s">
        <v>1256</v>
      </c>
      <c r="D671" s="588" t="s">
        <v>5570</v>
      </c>
      <c r="E671" s="592" t="s">
        <v>410</v>
      </c>
      <c r="F671" s="593" t="s">
        <v>4300</v>
      </c>
      <c r="G671" s="593" t="s">
        <v>2168</v>
      </c>
      <c r="H671" s="593" t="s">
        <v>4301</v>
      </c>
      <c r="I671" s="593" t="s">
        <v>3531</v>
      </c>
      <c r="J671" s="593" t="s">
        <v>4302</v>
      </c>
      <c r="K671" s="237" t="s">
        <v>410</v>
      </c>
      <c r="L671" s="237" t="s">
        <v>410</v>
      </c>
      <c r="M671" s="237" t="s">
        <v>410</v>
      </c>
      <c r="N671" s="237" t="s">
        <v>410</v>
      </c>
      <c r="O671" s="237" t="s">
        <v>410</v>
      </c>
      <c r="P671" s="237" t="s">
        <v>410</v>
      </c>
      <c r="Q671" s="237" t="s">
        <v>410</v>
      </c>
      <c r="R671" s="237" t="s">
        <v>410</v>
      </c>
      <c r="S671" s="10" t="s">
        <v>410</v>
      </c>
      <c r="T671" s="10" t="s">
        <v>410</v>
      </c>
    </row>
    <row r="672" spans="1:20" hidden="1" outlineLevel="1" x14ac:dyDescent="0.3">
      <c r="A672" s="583" t="s">
        <v>1872</v>
      </c>
      <c r="B672" s="591">
        <v>4</v>
      </c>
      <c r="C672" s="583" t="s">
        <v>1256</v>
      </c>
      <c r="D672" s="588" t="s">
        <v>5570</v>
      </c>
      <c r="E672" s="855" t="s">
        <v>410</v>
      </c>
      <c r="F672" s="593" t="s">
        <v>4449</v>
      </c>
      <c r="G672" s="593" t="s">
        <v>4213</v>
      </c>
      <c r="H672" s="593" t="s">
        <v>4214</v>
      </c>
      <c r="I672" s="237" t="s">
        <v>410</v>
      </c>
      <c r="J672" s="237" t="s">
        <v>410</v>
      </c>
      <c r="K672" s="237" t="s">
        <v>410</v>
      </c>
      <c r="L672" s="237" t="s">
        <v>410</v>
      </c>
      <c r="M672" s="237" t="s">
        <v>410</v>
      </c>
      <c r="N672" s="237" t="s">
        <v>410</v>
      </c>
      <c r="O672" s="237" t="s">
        <v>410</v>
      </c>
      <c r="P672" s="237" t="s">
        <v>410</v>
      </c>
      <c r="Q672" s="237" t="s">
        <v>410</v>
      </c>
      <c r="R672" s="237" t="s">
        <v>410</v>
      </c>
      <c r="S672" s="10" t="s">
        <v>410</v>
      </c>
      <c r="T672" s="10" t="s">
        <v>410</v>
      </c>
    </row>
    <row r="673" spans="1:20" hidden="1" outlineLevel="1" x14ac:dyDescent="0.3">
      <c r="A673" s="583" t="s">
        <v>5485</v>
      </c>
      <c r="B673" s="591">
        <v>5</v>
      </c>
      <c r="C673" s="583" t="s">
        <v>1256</v>
      </c>
      <c r="D673" s="588" t="s">
        <v>5570</v>
      </c>
      <c r="E673" s="592" t="s">
        <v>410</v>
      </c>
      <c r="F673" s="593" t="s">
        <v>3269</v>
      </c>
      <c r="G673" s="593" t="s">
        <v>3270</v>
      </c>
      <c r="H673" s="593" t="s">
        <v>3271</v>
      </c>
      <c r="I673" s="593" t="s">
        <v>3272</v>
      </c>
      <c r="J673" s="593" t="s">
        <v>3273</v>
      </c>
      <c r="K673" s="237" t="s">
        <v>410</v>
      </c>
      <c r="L673" s="237" t="s">
        <v>410</v>
      </c>
      <c r="M673" s="237" t="s">
        <v>410</v>
      </c>
      <c r="N673" s="237" t="s">
        <v>410</v>
      </c>
      <c r="O673" s="237" t="s">
        <v>410</v>
      </c>
      <c r="P673" s="237" t="s">
        <v>410</v>
      </c>
      <c r="Q673" s="237" t="s">
        <v>410</v>
      </c>
      <c r="R673" s="237" t="s">
        <v>410</v>
      </c>
      <c r="S673" s="10" t="s">
        <v>410</v>
      </c>
      <c r="T673" s="10" t="s">
        <v>410</v>
      </c>
    </row>
    <row r="674" spans="1:20" hidden="1" outlineLevel="1" x14ac:dyDescent="0.3">
      <c r="A674" s="583" t="s">
        <v>1623</v>
      </c>
      <c r="B674" s="591">
        <v>6</v>
      </c>
      <c r="C674" s="583" t="s">
        <v>1256</v>
      </c>
      <c r="D674" s="588" t="s">
        <v>5570</v>
      </c>
      <c r="E674" s="592" t="s">
        <v>410</v>
      </c>
      <c r="F674" s="589" t="s">
        <v>67</v>
      </c>
      <c r="G674" s="592" t="s">
        <v>68</v>
      </c>
      <c r="H674" s="592" t="s">
        <v>70</v>
      </c>
      <c r="I674" s="614" t="str">
        <f>CONCATENATE("+",TEXT(IF(ZRČ&gt;4,ZRČ,4),0))</f>
        <v>+4</v>
      </c>
      <c r="J674" s="441" t="s">
        <v>410</v>
      </c>
      <c r="K674" s="441" t="s">
        <v>410</v>
      </c>
      <c r="L674" s="441" t="s">
        <v>410</v>
      </c>
      <c r="M674" s="441" t="s">
        <v>410</v>
      </c>
      <c r="N674" s="441" t="s">
        <v>410</v>
      </c>
      <c r="O674" s="441" t="s">
        <v>410</v>
      </c>
      <c r="P674" s="441" t="s">
        <v>410</v>
      </c>
      <c r="Q674" s="441" t="s">
        <v>410</v>
      </c>
      <c r="R674" s="441" t="s">
        <v>410</v>
      </c>
      <c r="S674" s="441" t="s">
        <v>410</v>
      </c>
      <c r="T674" s="441" t="s">
        <v>410</v>
      </c>
    </row>
    <row r="675" spans="1:20" hidden="1" outlineLevel="1" x14ac:dyDescent="0.3">
      <c r="A675" s="583" t="s">
        <v>1771</v>
      </c>
      <c r="B675" s="591">
        <v>6</v>
      </c>
      <c r="C675" s="583" t="s">
        <v>1256</v>
      </c>
      <c r="D675" s="588" t="s">
        <v>5570</v>
      </c>
      <c r="E675" s="592" t="s">
        <v>410</v>
      </c>
      <c r="F675" s="593" t="s">
        <v>3369</v>
      </c>
      <c r="G675" s="593" t="s">
        <v>68</v>
      </c>
      <c r="H675" s="593" t="s">
        <v>72</v>
      </c>
      <c r="I675" s="593" t="s">
        <v>75</v>
      </c>
      <c r="J675" s="593" t="s">
        <v>77</v>
      </c>
      <c r="K675" s="237" t="s">
        <v>410</v>
      </c>
      <c r="L675" s="237" t="s">
        <v>410</v>
      </c>
      <c r="M675" s="237" t="s">
        <v>410</v>
      </c>
      <c r="N675" s="237" t="s">
        <v>410</v>
      </c>
      <c r="O675" s="237" t="s">
        <v>410</v>
      </c>
      <c r="P675" s="237" t="s">
        <v>410</v>
      </c>
      <c r="Q675" s="237" t="s">
        <v>410</v>
      </c>
      <c r="R675" s="237" t="s">
        <v>410</v>
      </c>
      <c r="S675" s="10" t="s">
        <v>410</v>
      </c>
      <c r="T675" s="10" t="s">
        <v>410</v>
      </c>
    </row>
    <row r="676" spans="1:20" hidden="1" outlineLevel="1" x14ac:dyDescent="0.3">
      <c r="A676" s="583" t="s">
        <v>1774</v>
      </c>
      <c r="B676" s="591">
        <v>6</v>
      </c>
      <c r="C676" s="583" t="s">
        <v>1256</v>
      </c>
      <c r="D676" s="588" t="s">
        <v>5570</v>
      </c>
      <c r="E676" s="592" t="s">
        <v>410</v>
      </c>
      <c r="F676" s="593" t="s">
        <v>67</v>
      </c>
      <c r="G676" s="593" t="s">
        <v>3159</v>
      </c>
      <c r="H676" s="593" t="s">
        <v>3160</v>
      </c>
      <c r="I676" s="593" t="s">
        <v>3274</v>
      </c>
      <c r="J676" s="237" t="s">
        <v>410</v>
      </c>
      <c r="K676" s="237" t="s">
        <v>410</v>
      </c>
      <c r="L676" s="237" t="s">
        <v>410</v>
      </c>
      <c r="M676" s="237" t="s">
        <v>410</v>
      </c>
      <c r="N676" s="237" t="s">
        <v>410</v>
      </c>
      <c r="O676" s="237" t="s">
        <v>410</v>
      </c>
      <c r="P676" s="237" t="s">
        <v>410</v>
      </c>
      <c r="Q676" s="237" t="s">
        <v>410</v>
      </c>
      <c r="R676" s="237" t="s">
        <v>410</v>
      </c>
      <c r="S676" s="10" t="s">
        <v>410</v>
      </c>
      <c r="T676" s="10" t="s">
        <v>410</v>
      </c>
    </row>
    <row r="677" spans="1:20" hidden="1" outlineLevel="1" x14ac:dyDescent="0.3">
      <c r="A677" s="583" t="s">
        <v>1920</v>
      </c>
      <c r="B677" s="591">
        <v>6</v>
      </c>
      <c r="C677" s="583" t="s">
        <v>1256</v>
      </c>
      <c r="D677" s="588" t="s">
        <v>5570</v>
      </c>
      <c r="E677" s="10" t="s">
        <v>410</v>
      </c>
      <c r="F677" s="593" t="s">
        <v>67</v>
      </c>
      <c r="G677" s="593" t="s">
        <v>68</v>
      </c>
      <c r="H677" s="593" t="s">
        <v>70</v>
      </c>
      <c r="I677" s="593" t="s">
        <v>72</v>
      </c>
      <c r="J677" s="237" t="s">
        <v>410</v>
      </c>
      <c r="K677" s="237" t="s">
        <v>410</v>
      </c>
      <c r="L677" s="237" t="s">
        <v>410</v>
      </c>
      <c r="M677" s="237" t="s">
        <v>410</v>
      </c>
      <c r="N677" s="237" t="s">
        <v>410</v>
      </c>
      <c r="O677" s="237" t="s">
        <v>410</v>
      </c>
      <c r="P677" s="237" t="s">
        <v>410</v>
      </c>
      <c r="Q677" s="237" t="s">
        <v>410</v>
      </c>
      <c r="R677" s="237" t="s">
        <v>410</v>
      </c>
      <c r="S677" s="10" t="s">
        <v>410</v>
      </c>
      <c r="T677" s="10" t="s">
        <v>410</v>
      </c>
    </row>
    <row r="678" spans="1:20" hidden="1" outlineLevel="1" x14ac:dyDescent="0.3">
      <c r="A678" s="583" t="s">
        <v>1824</v>
      </c>
      <c r="B678" s="591">
        <v>11</v>
      </c>
      <c r="C678" s="583" t="s">
        <v>1256</v>
      </c>
      <c r="D678" s="588" t="s">
        <v>5570</v>
      </c>
      <c r="E678" s="592" t="s">
        <v>410</v>
      </c>
      <c r="F678" s="593" t="s">
        <v>3353</v>
      </c>
      <c r="G678" s="593" t="s">
        <v>3353</v>
      </c>
      <c r="H678" s="593" t="s">
        <v>3353</v>
      </c>
      <c r="I678" s="593" t="s">
        <v>3353</v>
      </c>
      <c r="J678" s="593" t="s">
        <v>3353</v>
      </c>
      <c r="K678" s="593" t="s">
        <v>3353</v>
      </c>
      <c r="L678" s="237" t="s">
        <v>410</v>
      </c>
      <c r="M678" s="237" t="s">
        <v>410</v>
      </c>
      <c r="N678" s="237" t="s">
        <v>410</v>
      </c>
      <c r="O678" s="237" t="s">
        <v>410</v>
      </c>
      <c r="P678" s="237" t="s">
        <v>410</v>
      </c>
      <c r="Q678" s="237" t="s">
        <v>410</v>
      </c>
      <c r="R678" s="237" t="s">
        <v>410</v>
      </c>
      <c r="S678" s="10" t="s">
        <v>410</v>
      </c>
      <c r="T678" s="10" t="s">
        <v>410</v>
      </c>
    </row>
    <row r="679" spans="1:20" hidden="1" outlineLevel="1" x14ac:dyDescent="0.3">
      <c r="A679" s="583" t="s">
        <v>1915</v>
      </c>
      <c r="B679" s="591">
        <v>11</v>
      </c>
      <c r="C679" s="583" t="s">
        <v>1256</v>
      </c>
      <c r="D679" s="588" t="s">
        <v>5570</v>
      </c>
      <c r="E679" s="592" t="s">
        <v>410</v>
      </c>
      <c r="F679" s="593" t="s">
        <v>1916</v>
      </c>
      <c r="G679" s="593" t="s">
        <v>1917</v>
      </c>
      <c r="H679" s="593" t="s">
        <v>3202</v>
      </c>
      <c r="I679" s="237" t="s">
        <v>410</v>
      </c>
      <c r="J679" s="237" t="s">
        <v>410</v>
      </c>
      <c r="K679" s="237" t="s">
        <v>410</v>
      </c>
      <c r="L679" s="237" t="s">
        <v>410</v>
      </c>
      <c r="M679" s="237" t="s">
        <v>410</v>
      </c>
      <c r="N679" s="237" t="s">
        <v>410</v>
      </c>
      <c r="O679" s="237" t="s">
        <v>410</v>
      </c>
      <c r="P679" s="237" t="s">
        <v>410</v>
      </c>
      <c r="Q679" s="237" t="s">
        <v>410</v>
      </c>
      <c r="R679" s="237" t="s">
        <v>410</v>
      </c>
      <c r="S679" s="10" t="s">
        <v>410</v>
      </c>
      <c r="T679" s="10" t="s">
        <v>410</v>
      </c>
    </row>
    <row r="680" spans="1:20" hidden="1" outlineLevel="1" x14ac:dyDescent="0.3">
      <c r="A680" s="583" t="s">
        <v>1918</v>
      </c>
      <c r="B680" s="591">
        <v>11</v>
      </c>
      <c r="C680" s="583" t="s">
        <v>1256</v>
      </c>
      <c r="D680" s="588" t="s">
        <v>5570</v>
      </c>
      <c r="E680" s="592" t="s">
        <v>410</v>
      </c>
      <c r="F680" s="593" t="s">
        <v>3376</v>
      </c>
      <c r="G680" s="593" t="s">
        <v>3377</v>
      </c>
      <c r="H680" s="593" t="s">
        <v>3378</v>
      </c>
      <c r="I680" s="237" t="s">
        <v>410</v>
      </c>
      <c r="J680" s="237" t="s">
        <v>410</v>
      </c>
      <c r="K680" s="237" t="s">
        <v>410</v>
      </c>
      <c r="L680" s="237" t="s">
        <v>410</v>
      </c>
      <c r="M680" s="237" t="s">
        <v>410</v>
      </c>
      <c r="N680" s="237" t="s">
        <v>410</v>
      </c>
      <c r="O680" s="237" t="s">
        <v>410</v>
      </c>
      <c r="P680" s="237" t="s">
        <v>410</v>
      </c>
      <c r="Q680" s="237" t="s">
        <v>410</v>
      </c>
      <c r="R680" s="237" t="s">
        <v>410</v>
      </c>
      <c r="S680" s="10" t="s">
        <v>410</v>
      </c>
      <c r="T680" s="10" t="s">
        <v>410</v>
      </c>
    </row>
    <row r="681" spans="1:20" hidden="1" outlineLevel="1" x14ac:dyDescent="0.3">
      <c r="A681" s="583" t="s">
        <v>1676</v>
      </c>
      <c r="B681" s="591">
        <v>16</v>
      </c>
      <c r="C681" s="583" t="s">
        <v>1256</v>
      </c>
      <c r="D681" s="588" t="s">
        <v>5570</v>
      </c>
      <c r="E681" s="10" t="s">
        <v>410</v>
      </c>
      <c r="F681" s="237"/>
      <c r="G681" s="237"/>
      <c r="H681" s="237"/>
      <c r="I681" s="237"/>
      <c r="J681" s="237"/>
      <c r="K681" s="237"/>
      <c r="L681" s="237"/>
      <c r="M681" s="237"/>
      <c r="N681" s="237"/>
      <c r="O681" s="237" t="s">
        <v>410</v>
      </c>
      <c r="P681" s="237" t="s">
        <v>410</v>
      </c>
      <c r="Q681" s="237" t="s">
        <v>410</v>
      </c>
      <c r="R681" s="237" t="s">
        <v>410</v>
      </c>
      <c r="S681" s="10" t="s">
        <v>410</v>
      </c>
      <c r="T681" s="10" t="s">
        <v>410</v>
      </c>
    </row>
    <row r="682" spans="1:20" hidden="1" outlineLevel="1" x14ac:dyDescent="0.3">
      <c r="A682" s="583" t="s">
        <v>3348</v>
      </c>
      <c r="B682" s="591">
        <v>16</v>
      </c>
      <c r="C682" s="583" t="s">
        <v>1256</v>
      </c>
      <c r="D682" s="588" t="s">
        <v>5570</v>
      </c>
      <c r="E682" s="592" t="s">
        <v>410</v>
      </c>
      <c r="F682" s="593" t="s">
        <v>3352</v>
      </c>
      <c r="G682" s="593" t="s">
        <v>3349</v>
      </c>
      <c r="H682" s="593" t="s">
        <v>3194</v>
      </c>
      <c r="I682" s="593" t="s">
        <v>3350</v>
      </c>
      <c r="J682" s="593" t="s">
        <v>3351</v>
      </c>
      <c r="K682" s="237" t="s">
        <v>410</v>
      </c>
      <c r="L682" s="237" t="s">
        <v>410</v>
      </c>
      <c r="M682" s="237" t="s">
        <v>410</v>
      </c>
      <c r="N682" s="237" t="s">
        <v>410</v>
      </c>
      <c r="O682" s="237" t="s">
        <v>410</v>
      </c>
      <c r="P682" s="237" t="s">
        <v>410</v>
      </c>
      <c r="Q682" s="237" t="s">
        <v>410</v>
      </c>
      <c r="R682" s="237" t="s">
        <v>410</v>
      </c>
      <c r="S682" s="10" t="s">
        <v>410</v>
      </c>
      <c r="T682" s="10" t="s">
        <v>410</v>
      </c>
    </row>
    <row r="683" spans="1:20" hidden="1" outlineLevel="1" x14ac:dyDescent="0.3">
      <c r="A683" s="583" t="s">
        <v>1822</v>
      </c>
      <c r="B683" s="591">
        <v>16</v>
      </c>
      <c r="C683" s="583" t="s">
        <v>1256</v>
      </c>
      <c r="D683" s="588" t="s">
        <v>5570</v>
      </c>
      <c r="E683" s="592" t="s">
        <v>410</v>
      </c>
      <c r="F683" s="593" t="s">
        <v>72</v>
      </c>
      <c r="G683" s="593" t="s">
        <v>74</v>
      </c>
      <c r="H683" s="593" t="s">
        <v>75</v>
      </c>
      <c r="I683" s="593" t="s">
        <v>76</v>
      </c>
      <c r="J683" s="237" t="s">
        <v>410</v>
      </c>
      <c r="K683" s="237" t="s">
        <v>410</v>
      </c>
      <c r="L683" s="237" t="s">
        <v>410</v>
      </c>
      <c r="M683" s="237" t="s">
        <v>410</v>
      </c>
      <c r="N683" s="237" t="s">
        <v>410</v>
      </c>
      <c r="O683" s="237" t="s">
        <v>410</v>
      </c>
      <c r="P683" s="237" t="s">
        <v>410</v>
      </c>
      <c r="Q683" s="237" t="s">
        <v>410</v>
      </c>
      <c r="R683" s="237" t="s">
        <v>410</v>
      </c>
      <c r="S683" s="10" t="s">
        <v>410</v>
      </c>
      <c r="T683" s="10" t="s">
        <v>410</v>
      </c>
    </row>
    <row r="684" spans="1:20" hidden="1" outlineLevel="1" x14ac:dyDescent="0.3">
      <c r="A684" s="583" t="s">
        <v>1866</v>
      </c>
      <c r="B684" s="591">
        <v>16</v>
      </c>
      <c r="C684" s="583" t="s">
        <v>1256</v>
      </c>
      <c r="D684" s="588" t="s">
        <v>5570</v>
      </c>
      <c r="E684" s="592" t="s">
        <v>410</v>
      </c>
      <c r="F684" s="593" t="s">
        <v>67</v>
      </c>
      <c r="G684" s="593" t="s">
        <v>68</v>
      </c>
      <c r="H684" s="593" t="s">
        <v>70</v>
      </c>
      <c r="I684" s="593" t="s">
        <v>72</v>
      </c>
      <c r="J684" s="593" t="s">
        <v>74</v>
      </c>
      <c r="K684" s="237" t="s">
        <v>410</v>
      </c>
      <c r="L684" s="237" t="s">
        <v>410</v>
      </c>
      <c r="M684" s="237" t="s">
        <v>410</v>
      </c>
      <c r="N684" s="237" t="s">
        <v>410</v>
      </c>
      <c r="O684" s="237" t="s">
        <v>410</v>
      </c>
      <c r="P684" s="237" t="s">
        <v>410</v>
      </c>
      <c r="Q684" s="237" t="s">
        <v>410</v>
      </c>
      <c r="R684" s="237" t="s">
        <v>410</v>
      </c>
      <c r="S684" s="10" t="s">
        <v>410</v>
      </c>
      <c r="T684" s="10" t="s">
        <v>410</v>
      </c>
    </row>
    <row r="685" spans="1:20" hidden="1" outlineLevel="1" x14ac:dyDescent="0.3">
      <c r="A685" s="583" t="s">
        <v>3331</v>
      </c>
      <c r="B685" s="591">
        <v>16</v>
      </c>
      <c r="C685" s="583" t="s">
        <v>1256</v>
      </c>
      <c r="D685" s="588" t="s">
        <v>5570</v>
      </c>
      <c r="E685" s="592" t="s">
        <v>410</v>
      </c>
      <c r="F685" s="592" t="s">
        <v>5533</v>
      </c>
      <c r="G685" s="592" t="s">
        <v>5534</v>
      </c>
      <c r="H685" s="592" t="s">
        <v>5535</v>
      </c>
      <c r="I685" t="s">
        <v>410</v>
      </c>
      <c r="J685" t="s">
        <v>410</v>
      </c>
      <c r="K685" t="s">
        <v>410</v>
      </c>
      <c r="L685" t="s">
        <v>410</v>
      </c>
      <c r="M685" t="s">
        <v>410</v>
      </c>
      <c r="N685" t="s">
        <v>410</v>
      </c>
      <c r="O685" t="s">
        <v>410</v>
      </c>
      <c r="P685" t="s">
        <v>410</v>
      </c>
      <c r="Q685" t="s">
        <v>410</v>
      </c>
      <c r="R685" t="s">
        <v>410</v>
      </c>
      <c r="S685" t="s">
        <v>410</v>
      </c>
      <c r="T685" t="s">
        <v>410</v>
      </c>
    </row>
    <row r="686" spans="1:20" hidden="1" outlineLevel="1" x14ac:dyDescent="0.3">
      <c r="A686" s="583" t="s">
        <v>2910</v>
      </c>
      <c r="B686" s="591">
        <v>0</v>
      </c>
      <c r="C686" s="588" t="s">
        <v>1564</v>
      </c>
      <c r="D686" s="588" t="s">
        <v>5570</v>
      </c>
      <c r="E686" s="615" t="s">
        <v>2950</v>
      </c>
      <c r="F686" s="9" t="s">
        <v>410</v>
      </c>
      <c r="G686" s="9" t="s">
        <v>410</v>
      </c>
      <c r="H686" s="9" t="s">
        <v>410</v>
      </c>
      <c r="I686" s="9" t="s">
        <v>410</v>
      </c>
      <c r="J686" s="9" t="s">
        <v>410</v>
      </c>
      <c r="K686" s="9" t="s">
        <v>410</v>
      </c>
      <c r="L686" s="9" t="s">
        <v>410</v>
      </c>
      <c r="M686" s="9" t="s">
        <v>410</v>
      </c>
      <c r="N686" s="9" t="s">
        <v>410</v>
      </c>
      <c r="O686" s="9" t="s">
        <v>410</v>
      </c>
      <c r="P686" s="9" t="s">
        <v>410</v>
      </c>
      <c r="Q686" s="9" t="s">
        <v>410</v>
      </c>
      <c r="R686" s="9" t="s">
        <v>410</v>
      </c>
      <c r="S686" s="9" t="s">
        <v>410</v>
      </c>
      <c r="T686" s="9" t="s">
        <v>410</v>
      </c>
    </row>
    <row r="687" spans="1:20" hidden="1" outlineLevel="1" x14ac:dyDescent="0.3">
      <c r="A687" s="583" t="s">
        <v>3286</v>
      </c>
      <c r="B687" s="591">
        <v>0</v>
      </c>
      <c r="C687" s="588" t="s">
        <v>1564</v>
      </c>
      <c r="D687" s="588" t="s">
        <v>5570</v>
      </c>
      <c r="E687" s="615" t="s">
        <v>3287</v>
      </c>
      <c r="F687" s="9" t="s">
        <v>410</v>
      </c>
      <c r="G687" s="9" t="s">
        <v>410</v>
      </c>
      <c r="H687" s="9" t="s">
        <v>410</v>
      </c>
      <c r="I687" s="9" t="s">
        <v>410</v>
      </c>
      <c r="J687" s="9" t="s">
        <v>410</v>
      </c>
      <c r="K687" s="9" t="s">
        <v>410</v>
      </c>
      <c r="L687" s="9" t="s">
        <v>410</v>
      </c>
      <c r="M687" s="9" t="s">
        <v>410</v>
      </c>
      <c r="N687" s="9" t="s">
        <v>410</v>
      </c>
      <c r="O687" s="9" t="s">
        <v>410</v>
      </c>
      <c r="P687" s="9" t="s">
        <v>410</v>
      </c>
      <c r="Q687" s="9" t="s">
        <v>410</v>
      </c>
      <c r="R687" s="9" t="s">
        <v>410</v>
      </c>
      <c r="S687" s="9" t="s">
        <v>410</v>
      </c>
      <c r="T687" s="9" t="s">
        <v>410</v>
      </c>
    </row>
    <row r="688" spans="1:20" hidden="1" outlineLevel="1" x14ac:dyDescent="0.3">
      <c r="A688" s="583" t="s">
        <v>2067</v>
      </c>
      <c r="B688" s="591">
        <v>0</v>
      </c>
      <c r="C688" s="588" t="s">
        <v>1564</v>
      </c>
      <c r="D688" s="588" t="s">
        <v>5570</v>
      </c>
      <c r="E688" s="595"/>
      <c r="F688" s="9" t="s">
        <v>410</v>
      </c>
      <c r="G688" s="9" t="s">
        <v>410</v>
      </c>
      <c r="H688" s="9" t="s">
        <v>410</v>
      </c>
      <c r="I688" s="9" t="s">
        <v>410</v>
      </c>
      <c r="J688" s="9" t="s">
        <v>410</v>
      </c>
      <c r="K688" s="9" t="s">
        <v>410</v>
      </c>
      <c r="L688" s="9" t="s">
        <v>410</v>
      </c>
      <c r="M688" s="9" t="s">
        <v>410</v>
      </c>
      <c r="N688" s="9" t="s">
        <v>410</v>
      </c>
      <c r="O688" s="9" t="s">
        <v>410</v>
      </c>
      <c r="P688" s="9" t="s">
        <v>410</v>
      </c>
      <c r="Q688" s="9" t="s">
        <v>410</v>
      </c>
      <c r="R688" s="9" t="s">
        <v>410</v>
      </c>
      <c r="S688" s="9" t="s">
        <v>410</v>
      </c>
      <c r="T688" s="9" t="s">
        <v>410</v>
      </c>
    </row>
    <row r="689" spans="1:20" hidden="1" outlineLevel="1" x14ac:dyDescent="0.3">
      <c r="A689" s="583" t="s">
        <v>1687</v>
      </c>
      <c r="B689" s="591">
        <v>1</v>
      </c>
      <c r="C689" s="583" t="s">
        <v>1564</v>
      </c>
      <c r="D689" s="588" t="s">
        <v>5570</v>
      </c>
      <c r="E689" s="592" t="s">
        <v>410</v>
      </c>
      <c r="F689" s="593" t="s">
        <v>5521</v>
      </c>
      <c r="G689" s="237" t="s">
        <v>410</v>
      </c>
      <c r="H689" s="237" t="s">
        <v>410</v>
      </c>
      <c r="I689" s="237" t="s">
        <v>410</v>
      </c>
      <c r="J689" s="237" t="s">
        <v>410</v>
      </c>
      <c r="K689" s="237" t="s">
        <v>410</v>
      </c>
      <c r="L689" s="237" t="s">
        <v>410</v>
      </c>
      <c r="M689" s="237" t="s">
        <v>410</v>
      </c>
      <c r="N689" s="237" t="s">
        <v>410</v>
      </c>
      <c r="O689" s="237" t="s">
        <v>410</v>
      </c>
      <c r="P689" s="237" t="s">
        <v>410</v>
      </c>
      <c r="Q689" s="237" t="s">
        <v>410</v>
      </c>
      <c r="R689" s="237" t="s">
        <v>410</v>
      </c>
      <c r="S689" s="10" t="s">
        <v>410</v>
      </c>
      <c r="T689" s="10" t="s">
        <v>410</v>
      </c>
    </row>
    <row r="690" spans="1:20" hidden="1" outlineLevel="1" x14ac:dyDescent="0.3">
      <c r="A690" s="583" t="s">
        <v>1695</v>
      </c>
      <c r="B690" s="591">
        <v>1</v>
      </c>
      <c r="C690" s="583" t="s">
        <v>1564</v>
      </c>
      <c r="D690" s="588" t="s">
        <v>5570</v>
      </c>
      <c r="E690" s="592" t="s">
        <v>410</v>
      </c>
      <c r="F690" s="593" t="s">
        <v>5520</v>
      </c>
      <c r="G690" s="237" t="s">
        <v>410</v>
      </c>
      <c r="H690" s="237" t="s">
        <v>410</v>
      </c>
      <c r="I690" s="237" t="s">
        <v>410</v>
      </c>
      <c r="J690" s="237" t="s">
        <v>410</v>
      </c>
      <c r="K690" s="237" t="s">
        <v>410</v>
      </c>
      <c r="L690" s="237" t="s">
        <v>410</v>
      </c>
      <c r="M690" s="237" t="s">
        <v>410</v>
      </c>
      <c r="N690" s="237" t="s">
        <v>410</v>
      </c>
      <c r="O690" s="237" t="s">
        <v>410</v>
      </c>
      <c r="P690" s="237" t="s">
        <v>410</v>
      </c>
      <c r="Q690" s="237" t="s">
        <v>410</v>
      </c>
      <c r="R690" s="237" t="s">
        <v>410</v>
      </c>
      <c r="S690" s="10" t="s">
        <v>410</v>
      </c>
      <c r="T690" s="10" t="s">
        <v>410</v>
      </c>
    </row>
    <row r="691" spans="1:20" hidden="1" outlineLevel="1" x14ac:dyDescent="0.3">
      <c r="A691" s="583" t="s">
        <v>1705</v>
      </c>
      <c r="B691" s="591">
        <v>1</v>
      </c>
      <c r="C691" s="583" t="s">
        <v>1564</v>
      </c>
      <c r="D691" s="588" t="s">
        <v>5570</v>
      </c>
      <c r="E691" s="592" t="s">
        <v>410</v>
      </c>
      <c r="F691" s="237"/>
      <c r="G691" s="237" t="s">
        <v>410</v>
      </c>
      <c r="H691" s="237" t="s">
        <v>410</v>
      </c>
      <c r="I691" s="237" t="s">
        <v>410</v>
      </c>
      <c r="J691" s="237" t="s">
        <v>410</v>
      </c>
      <c r="K691" s="237" t="s">
        <v>410</v>
      </c>
      <c r="L691" s="237" t="s">
        <v>410</v>
      </c>
      <c r="M691" s="237" t="s">
        <v>410</v>
      </c>
      <c r="N691" s="237" t="s">
        <v>410</v>
      </c>
      <c r="O691" s="237" t="s">
        <v>410</v>
      </c>
      <c r="P691" s="237" t="s">
        <v>410</v>
      </c>
      <c r="Q691" s="237" t="s">
        <v>410</v>
      </c>
      <c r="R691" s="237" t="s">
        <v>410</v>
      </c>
      <c r="S691" s="10" t="s">
        <v>410</v>
      </c>
      <c r="T691" s="10" t="s">
        <v>410</v>
      </c>
    </row>
    <row r="692" spans="1:20" hidden="1" outlineLevel="1" x14ac:dyDescent="0.3">
      <c r="A692" s="583" t="s">
        <v>5159</v>
      </c>
      <c r="B692" s="591">
        <v>2</v>
      </c>
      <c r="C692" s="583" t="s">
        <v>1564</v>
      </c>
      <c r="D692" s="588" t="s">
        <v>5570</v>
      </c>
      <c r="E692" s="592" t="s">
        <v>410</v>
      </c>
      <c r="F692" s="593" t="s">
        <v>5172</v>
      </c>
      <c r="G692" s="237" t="s">
        <v>410</v>
      </c>
      <c r="H692" s="237" t="s">
        <v>410</v>
      </c>
      <c r="I692" s="237" t="s">
        <v>410</v>
      </c>
      <c r="J692" s="237" t="s">
        <v>410</v>
      </c>
      <c r="K692" s="237" t="s">
        <v>410</v>
      </c>
      <c r="L692" s="237" t="s">
        <v>410</v>
      </c>
      <c r="M692" s="237" t="s">
        <v>410</v>
      </c>
      <c r="N692" s="237" t="s">
        <v>410</v>
      </c>
      <c r="O692" s="237" t="s">
        <v>410</v>
      </c>
      <c r="P692" s="237" t="s">
        <v>410</v>
      </c>
      <c r="Q692" s="237" t="s">
        <v>410</v>
      </c>
      <c r="R692" s="237" t="s">
        <v>410</v>
      </c>
      <c r="S692" s="10" t="s">
        <v>410</v>
      </c>
      <c r="T692" s="10" t="s">
        <v>410</v>
      </c>
    </row>
    <row r="693" spans="1:20" hidden="1" outlineLevel="1" x14ac:dyDescent="0.3">
      <c r="A693" s="583" t="s">
        <v>5162</v>
      </c>
      <c r="B693" s="591">
        <v>2</v>
      </c>
      <c r="C693" s="583" t="s">
        <v>1564</v>
      </c>
      <c r="D693" s="588" t="s">
        <v>5570</v>
      </c>
      <c r="E693" s="592" t="s">
        <v>410</v>
      </c>
      <c r="F693" s="593" t="s">
        <v>4326</v>
      </c>
      <c r="G693" s="237" t="s">
        <v>410</v>
      </c>
      <c r="H693" s="237" t="s">
        <v>410</v>
      </c>
      <c r="I693" s="237" t="s">
        <v>410</v>
      </c>
      <c r="J693" s="237" t="s">
        <v>410</v>
      </c>
      <c r="K693" s="237" t="s">
        <v>410</v>
      </c>
      <c r="L693" s="237" t="s">
        <v>410</v>
      </c>
      <c r="M693" s="237" t="s">
        <v>410</v>
      </c>
      <c r="N693" s="237" t="s">
        <v>410</v>
      </c>
      <c r="O693" s="237" t="s">
        <v>410</v>
      </c>
      <c r="P693" s="237" t="s">
        <v>410</v>
      </c>
      <c r="Q693" s="237" t="s">
        <v>410</v>
      </c>
      <c r="R693" s="237" t="s">
        <v>410</v>
      </c>
      <c r="S693" s="10" t="s">
        <v>410</v>
      </c>
      <c r="T693" s="10" t="s">
        <v>410</v>
      </c>
    </row>
    <row r="694" spans="1:20" hidden="1" outlineLevel="1" x14ac:dyDescent="0.3">
      <c r="A694" s="583" t="s">
        <v>5176</v>
      </c>
      <c r="B694" s="591">
        <v>2</v>
      </c>
      <c r="C694" s="583" t="s">
        <v>1564</v>
      </c>
      <c r="D694" s="588" t="s">
        <v>5570</v>
      </c>
      <c r="E694" s="592" t="s">
        <v>410</v>
      </c>
      <c r="F694" s="593" t="s">
        <v>4326</v>
      </c>
      <c r="G694" s="237" t="s">
        <v>410</v>
      </c>
      <c r="H694" s="237" t="s">
        <v>410</v>
      </c>
      <c r="I694" s="237" t="s">
        <v>410</v>
      </c>
      <c r="J694" s="237" t="s">
        <v>410</v>
      </c>
      <c r="K694" s="237" t="s">
        <v>410</v>
      </c>
      <c r="L694" s="237" t="s">
        <v>410</v>
      </c>
      <c r="M694" s="237" t="s">
        <v>410</v>
      </c>
      <c r="N694" s="237" t="s">
        <v>410</v>
      </c>
      <c r="O694" s="237" t="s">
        <v>410</v>
      </c>
      <c r="P694" s="237" t="s">
        <v>410</v>
      </c>
      <c r="Q694" s="237" t="s">
        <v>410</v>
      </c>
      <c r="R694" s="237" t="s">
        <v>410</v>
      </c>
      <c r="S694" s="10" t="s">
        <v>410</v>
      </c>
      <c r="T694" s="10" t="s">
        <v>410</v>
      </c>
    </row>
    <row r="695" spans="1:20" hidden="1" outlineLevel="1" x14ac:dyDescent="0.3">
      <c r="A695" s="583" t="s">
        <v>1688</v>
      </c>
      <c r="B695" s="591">
        <v>2</v>
      </c>
      <c r="C695" s="583" t="s">
        <v>1564</v>
      </c>
      <c r="D695" s="588" t="s">
        <v>5570</v>
      </c>
      <c r="E695" s="592" t="s">
        <v>410</v>
      </c>
      <c r="F695" s="593" t="s">
        <v>3622</v>
      </c>
      <c r="G695" s="237" t="s">
        <v>410</v>
      </c>
      <c r="H695" s="237" t="s">
        <v>410</v>
      </c>
      <c r="I695" s="237" t="s">
        <v>410</v>
      </c>
      <c r="J695" s="237" t="s">
        <v>410</v>
      </c>
      <c r="K695" s="237" t="s">
        <v>410</v>
      </c>
      <c r="L695" s="237" t="s">
        <v>410</v>
      </c>
      <c r="M695" s="237" t="s">
        <v>410</v>
      </c>
      <c r="N695" s="237" t="s">
        <v>410</v>
      </c>
      <c r="O695" s="237" t="s">
        <v>410</v>
      </c>
      <c r="P695" s="237" t="s">
        <v>410</v>
      </c>
      <c r="Q695" s="237" t="s">
        <v>410</v>
      </c>
      <c r="R695" s="237" t="s">
        <v>410</v>
      </c>
      <c r="S695" s="10" t="s">
        <v>410</v>
      </c>
      <c r="T695" s="10" t="s">
        <v>410</v>
      </c>
    </row>
    <row r="696" spans="1:20" hidden="1" outlineLevel="1" x14ac:dyDescent="0.3">
      <c r="A696" s="583" t="s">
        <v>1678</v>
      </c>
      <c r="B696" s="591">
        <v>3</v>
      </c>
      <c r="C696" s="583" t="s">
        <v>1564</v>
      </c>
      <c r="D696" s="588" t="s">
        <v>5570</v>
      </c>
      <c r="E696" s="592" t="s">
        <v>410</v>
      </c>
      <c r="F696" s="593" t="s">
        <v>3624</v>
      </c>
      <c r="G696" s="237" t="s">
        <v>410</v>
      </c>
      <c r="H696" s="237" t="s">
        <v>410</v>
      </c>
      <c r="I696" s="237" t="s">
        <v>410</v>
      </c>
      <c r="J696" s="237" t="s">
        <v>410</v>
      </c>
      <c r="K696" s="237" t="s">
        <v>410</v>
      </c>
      <c r="L696" s="237" t="s">
        <v>410</v>
      </c>
      <c r="M696" s="237" t="s">
        <v>410</v>
      </c>
      <c r="N696" s="237" t="s">
        <v>410</v>
      </c>
      <c r="O696" s="237" t="s">
        <v>410</v>
      </c>
      <c r="P696" s="237" t="s">
        <v>410</v>
      </c>
      <c r="Q696" s="237" t="s">
        <v>410</v>
      </c>
      <c r="R696" s="237" t="s">
        <v>410</v>
      </c>
      <c r="S696" s="10" t="s">
        <v>410</v>
      </c>
      <c r="T696" s="10" t="s">
        <v>410</v>
      </c>
    </row>
    <row r="697" spans="1:20" hidden="1" outlineLevel="1" x14ac:dyDescent="0.3">
      <c r="A697" s="583" t="s">
        <v>5163</v>
      </c>
      <c r="B697" s="591">
        <v>3</v>
      </c>
      <c r="C697" s="583" t="s">
        <v>1564</v>
      </c>
      <c r="D697" s="588" t="s">
        <v>5570</v>
      </c>
      <c r="E697" s="592" t="s">
        <v>410</v>
      </c>
      <c r="F697" s="593" t="s">
        <v>5164</v>
      </c>
      <c r="G697" s="237" t="s">
        <v>410</v>
      </c>
      <c r="H697" s="237" t="s">
        <v>410</v>
      </c>
      <c r="I697" s="237" t="s">
        <v>410</v>
      </c>
      <c r="J697" s="237" t="s">
        <v>410</v>
      </c>
      <c r="K697" s="237" t="s">
        <v>410</v>
      </c>
      <c r="L697" s="237" t="s">
        <v>410</v>
      </c>
      <c r="M697" s="237" t="s">
        <v>410</v>
      </c>
      <c r="N697" s="237" t="s">
        <v>410</v>
      </c>
      <c r="O697" s="237" t="s">
        <v>410</v>
      </c>
      <c r="P697" s="237" t="s">
        <v>410</v>
      </c>
      <c r="Q697" s="237" t="s">
        <v>410</v>
      </c>
      <c r="R697" s="237" t="s">
        <v>410</v>
      </c>
      <c r="S697" s="10" t="s">
        <v>410</v>
      </c>
      <c r="T697" s="10" t="s">
        <v>410</v>
      </c>
    </row>
    <row r="698" spans="1:20" hidden="1" outlineLevel="1" x14ac:dyDescent="0.3">
      <c r="A698" s="583" t="s">
        <v>5177</v>
      </c>
      <c r="B698" s="591">
        <v>3</v>
      </c>
      <c r="C698" s="583" t="s">
        <v>1564</v>
      </c>
      <c r="D698" s="588" t="s">
        <v>5570</v>
      </c>
      <c r="E698" s="592" t="s">
        <v>410</v>
      </c>
      <c r="F698" s="593" t="s">
        <v>5178</v>
      </c>
      <c r="G698" s="237" t="s">
        <v>410</v>
      </c>
      <c r="H698" s="237" t="s">
        <v>410</v>
      </c>
      <c r="I698" s="237" t="s">
        <v>410</v>
      </c>
      <c r="J698" s="237" t="s">
        <v>410</v>
      </c>
      <c r="K698" s="237" t="s">
        <v>410</v>
      </c>
      <c r="L698" s="237" t="s">
        <v>410</v>
      </c>
      <c r="M698" s="237" t="s">
        <v>410</v>
      </c>
      <c r="N698" s="237" t="s">
        <v>410</v>
      </c>
      <c r="O698" s="237" t="s">
        <v>410</v>
      </c>
      <c r="P698" s="237" t="s">
        <v>410</v>
      </c>
      <c r="Q698" s="237" t="s">
        <v>410</v>
      </c>
      <c r="R698" s="237" t="s">
        <v>410</v>
      </c>
      <c r="S698" s="10" t="s">
        <v>410</v>
      </c>
      <c r="T698" s="10" t="s">
        <v>410</v>
      </c>
    </row>
    <row r="699" spans="1:20" hidden="1" outlineLevel="1" x14ac:dyDescent="0.3">
      <c r="A699" s="583" t="s">
        <v>1684</v>
      </c>
      <c r="B699" s="591">
        <v>4</v>
      </c>
      <c r="C699" s="583" t="s">
        <v>1564</v>
      </c>
      <c r="D699" s="588" t="s">
        <v>5570</v>
      </c>
      <c r="E699" s="592" t="s">
        <v>410</v>
      </c>
      <c r="F699" s="593" t="s">
        <v>3629</v>
      </c>
      <c r="G699" s="237" t="s">
        <v>410</v>
      </c>
      <c r="H699" s="237" t="s">
        <v>410</v>
      </c>
      <c r="I699" s="237" t="s">
        <v>410</v>
      </c>
      <c r="J699" s="237" t="s">
        <v>410</v>
      </c>
      <c r="K699" s="237" t="s">
        <v>410</v>
      </c>
      <c r="L699" s="237" t="s">
        <v>410</v>
      </c>
      <c r="M699" s="237" t="s">
        <v>410</v>
      </c>
      <c r="N699" s="237" t="s">
        <v>410</v>
      </c>
      <c r="O699" s="237" t="s">
        <v>410</v>
      </c>
      <c r="P699" s="237" t="s">
        <v>410</v>
      </c>
      <c r="Q699" s="237" t="s">
        <v>410</v>
      </c>
      <c r="R699" s="237" t="s">
        <v>410</v>
      </c>
      <c r="S699" s="10" t="s">
        <v>410</v>
      </c>
      <c r="T699" s="10" t="s">
        <v>410</v>
      </c>
    </row>
    <row r="700" spans="1:20" hidden="1" outlineLevel="1" x14ac:dyDescent="0.3">
      <c r="A700" s="583" t="s">
        <v>1682</v>
      </c>
      <c r="B700" s="591">
        <v>4</v>
      </c>
      <c r="C700" s="583" t="s">
        <v>1564</v>
      </c>
      <c r="D700" s="588" t="s">
        <v>5570</v>
      </c>
      <c r="E700" s="592" t="s">
        <v>410</v>
      </c>
      <c r="F700" s="593" t="s">
        <v>3629</v>
      </c>
      <c r="G700" s="237" t="s">
        <v>410</v>
      </c>
      <c r="H700" s="237" t="s">
        <v>410</v>
      </c>
      <c r="I700" s="237" t="s">
        <v>410</v>
      </c>
      <c r="J700" s="237" t="s">
        <v>410</v>
      </c>
      <c r="K700" s="237" t="s">
        <v>410</v>
      </c>
      <c r="L700" s="237" t="s">
        <v>410</v>
      </c>
      <c r="M700" s="237" t="s">
        <v>410</v>
      </c>
      <c r="N700" s="237" t="s">
        <v>410</v>
      </c>
      <c r="O700" s="237" t="s">
        <v>410</v>
      </c>
      <c r="P700" s="237" t="s">
        <v>410</v>
      </c>
      <c r="Q700" s="237" t="s">
        <v>410</v>
      </c>
      <c r="R700" s="237" t="s">
        <v>410</v>
      </c>
      <c r="S700" s="10" t="s">
        <v>410</v>
      </c>
      <c r="T700" s="10" t="s">
        <v>410</v>
      </c>
    </row>
    <row r="701" spans="1:20" hidden="1" outlineLevel="1" x14ac:dyDescent="0.3">
      <c r="A701" s="583" t="s">
        <v>5550</v>
      </c>
      <c r="B701" s="591">
        <v>4</v>
      </c>
      <c r="C701" s="583" t="s">
        <v>1564</v>
      </c>
      <c r="D701" s="588" t="s">
        <v>5570</v>
      </c>
      <c r="E701" s="592" t="s">
        <v>410</v>
      </c>
      <c r="F701" s="593" t="s">
        <v>5179</v>
      </c>
      <c r="G701" s="237" t="s">
        <v>410</v>
      </c>
      <c r="H701" s="237" t="s">
        <v>410</v>
      </c>
      <c r="I701" s="237" t="s">
        <v>410</v>
      </c>
      <c r="J701" s="237" t="s">
        <v>410</v>
      </c>
      <c r="K701" s="237" t="s">
        <v>410</v>
      </c>
      <c r="L701" s="237" t="s">
        <v>410</v>
      </c>
      <c r="M701" s="237" t="s">
        <v>410</v>
      </c>
      <c r="N701" s="237" t="s">
        <v>410</v>
      </c>
      <c r="O701" s="237" t="s">
        <v>410</v>
      </c>
      <c r="P701" s="237" t="s">
        <v>410</v>
      </c>
      <c r="Q701" s="237" t="s">
        <v>410</v>
      </c>
      <c r="R701" s="237" t="s">
        <v>410</v>
      </c>
      <c r="S701" s="10" t="s">
        <v>410</v>
      </c>
      <c r="T701" s="10" t="s">
        <v>410</v>
      </c>
    </row>
    <row r="702" spans="1:20" hidden="1" outlineLevel="1" x14ac:dyDescent="0.3">
      <c r="A702" s="583" t="s">
        <v>4327</v>
      </c>
      <c r="B702" s="591">
        <v>4</v>
      </c>
      <c r="C702" s="583" t="s">
        <v>1564</v>
      </c>
      <c r="D702" s="588" t="s">
        <v>5570</v>
      </c>
      <c r="E702" s="592" t="s">
        <v>410</v>
      </c>
      <c r="F702" s="593" t="s">
        <v>5181</v>
      </c>
      <c r="G702" s="237" t="s">
        <v>410</v>
      </c>
      <c r="H702" s="237" t="s">
        <v>410</v>
      </c>
      <c r="I702" s="237" t="s">
        <v>410</v>
      </c>
      <c r="J702" s="237" t="s">
        <v>410</v>
      </c>
      <c r="K702" s="237" t="s">
        <v>410</v>
      </c>
      <c r="L702" s="237" t="s">
        <v>410</v>
      </c>
      <c r="M702" s="237" t="s">
        <v>410</v>
      </c>
      <c r="N702" s="237" t="s">
        <v>410</v>
      </c>
      <c r="O702" s="237" t="s">
        <v>410</v>
      </c>
      <c r="P702" s="237" t="s">
        <v>410</v>
      </c>
      <c r="Q702" s="237" t="s">
        <v>410</v>
      </c>
      <c r="R702" s="237" t="s">
        <v>410</v>
      </c>
      <c r="S702" s="10" t="s">
        <v>410</v>
      </c>
      <c r="T702" s="10" t="s">
        <v>410</v>
      </c>
    </row>
    <row r="703" spans="1:20" hidden="1" outlineLevel="1" x14ac:dyDescent="0.3">
      <c r="A703" s="583" t="s">
        <v>3594</v>
      </c>
      <c r="B703" s="591">
        <v>16</v>
      </c>
      <c r="C703" s="583" t="s">
        <v>1564</v>
      </c>
      <c r="D703" s="588" t="s">
        <v>5570</v>
      </c>
      <c r="E703" s="592" t="s">
        <v>410</v>
      </c>
      <c r="F703" s="593" t="s">
        <v>5160</v>
      </c>
      <c r="G703" s="237" t="s">
        <v>410</v>
      </c>
      <c r="H703" s="237" t="s">
        <v>410</v>
      </c>
      <c r="I703" s="237" t="s">
        <v>410</v>
      </c>
      <c r="J703" s="237" t="s">
        <v>410</v>
      </c>
      <c r="K703" s="237" t="s">
        <v>410</v>
      </c>
      <c r="L703" s="237" t="s">
        <v>410</v>
      </c>
      <c r="M703" s="237" t="s">
        <v>410</v>
      </c>
      <c r="N703" s="237" t="s">
        <v>410</v>
      </c>
      <c r="O703" s="237" t="s">
        <v>410</v>
      </c>
      <c r="P703" s="237" t="s">
        <v>410</v>
      </c>
      <c r="Q703" s="237" t="s">
        <v>410</v>
      </c>
      <c r="R703" s="237" t="s">
        <v>410</v>
      </c>
      <c r="S703" s="10" t="s">
        <v>410</v>
      </c>
      <c r="T703" s="10" t="s">
        <v>410</v>
      </c>
    </row>
    <row r="704" spans="1:20" hidden="1" outlineLevel="1" x14ac:dyDescent="0.3">
      <c r="A704" s="583" t="s">
        <v>5175</v>
      </c>
      <c r="B704" s="591">
        <v>16</v>
      </c>
      <c r="C704" s="583" t="s">
        <v>1564</v>
      </c>
      <c r="D704" s="588" t="s">
        <v>5570</v>
      </c>
      <c r="E704" s="592" t="s">
        <v>410</v>
      </c>
      <c r="F704" s="593" t="s">
        <v>3622</v>
      </c>
      <c r="G704" s="237" t="s">
        <v>410</v>
      </c>
      <c r="H704" s="237" t="s">
        <v>410</v>
      </c>
      <c r="I704" s="237" t="s">
        <v>410</v>
      </c>
      <c r="J704" s="237" t="s">
        <v>410</v>
      </c>
      <c r="K704" s="237" t="s">
        <v>410</v>
      </c>
      <c r="L704" s="237" t="s">
        <v>410</v>
      </c>
      <c r="M704" s="237" t="s">
        <v>410</v>
      </c>
      <c r="N704" s="237" t="s">
        <v>410</v>
      </c>
      <c r="O704" s="237" t="s">
        <v>410</v>
      </c>
      <c r="P704" s="237" t="s">
        <v>410</v>
      </c>
      <c r="Q704" s="237" t="s">
        <v>410</v>
      </c>
      <c r="R704" s="237" t="s">
        <v>410</v>
      </c>
      <c r="S704" s="10" t="s">
        <v>410</v>
      </c>
      <c r="T704" s="10" t="s">
        <v>410</v>
      </c>
    </row>
    <row r="705" spans="1:20" hidden="1" outlineLevel="1" x14ac:dyDescent="0.3">
      <c r="A705" s="583" t="s">
        <v>1686</v>
      </c>
      <c r="B705" s="591">
        <v>16</v>
      </c>
      <c r="C705" s="583" t="s">
        <v>1564</v>
      </c>
      <c r="D705" s="588" t="s">
        <v>5570</v>
      </c>
      <c r="E705" s="592" t="s">
        <v>410</v>
      </c>
      <c r="F705" s="593" t="s">
        <v>5160</v>
      </c>
      <c r="G705" s="237" t="s">
        <v>410</v>
      </c>
      <c r="H705" s="237" t="s">
        <v>410</v>
      </c>
      <c r="I705" s="237" t="s">
        <v>410</v>
      </c>
      <c r="J705" s="237" t="s">
        <v>410</v>
      </c>
      <c r="K705" s="237" t="s">
        <v>410</v>
      </c>
      <c r="L705" s="237" t="s">
        <v>410</v>
      </c>
      <c r="M705" s="237" t="s">
        <v>410</v>
      </c>
      <c r="N705" s="237" t="s">
        <v>410</v>
      </c>
      <c r="O705" s="237" t="s">
        <v>410</v>
      </c>
      <c r="P705" s="237" t="s">
        <v>410</v>
      </c>
      <c r="Q705" s="237" t="s">
        <v>410</v>
      </c>
      <c r="R705" s="237" t="s">
        <v>410</v>
      </c>
      <c r="S705" s="10" t="s">
        <v>410</v>
      </c>
      <c r="T705" s="10" t="s">
        <v>410</v>
      </c>
    </row>
    <row r="706" spans="1:20" hidden="1" outlineLevel="1" x14ac:dyDescent="0.3">
      <c r="A706" s="583" t="s">
        <v>1691</v>
      </c>
      <c r="B706" s="591">
        <v>16</v>
      </c>
      <c r="C706" s="583" t="s">
        <v>1564</v>
      </c>
      <c r="D706" s="588" t="s">
        <v>5570</v>
      </c>
      <c r="E706" s="592" t="s">
        <v>410</v>
      </c>
      <c r="F706" s="593" t="s">
        <v>4332</v>
      </c>
      <c r="G706" s="237" t="s">
        <v>410</v>
      </c>
      <c r="H706" s="237" t="s">
        <v>410</v>
      </c>
      <c r="I706" s="237" t="s">
        <v>410</v>
      </c>
      <c r="J706" s="237" t="s">
        <v>410</v>
      </c>
      <c r="K706" s="237" t="s">
        <v>410</v>
      </c>
      <c r="L706" s="237" t="s">
        <v>410</v>
      </c>
      <c r="M706" s="237" t="s">
        <v>410</v>
      </c>
      <c r="N706" s="237" t="s">
        <v>410</v>
      </c>
      <c r="O706" s="237" t="s">
        <v>410</v>
      </c>
      <c r="P706" s="237" t="s">
        <v>410</v>
      </c>
      <c r="Q706" s="237" t="s">
        <v>410</v>
      </c>
      <c r="R706" s="237" t="s">
        <v>410</v>
      </c>
      <c r="S706" s="10" t="s">
        <v>410</v>
      </c>
      <c r="T706" s="10" t="s">
        <v>410</v>
      </c>
    </row>
    <row r="707" spans="1:20" hidden="1" outlineLevel="1" x14ac:dyDescent="0.3">
      <c r="A707" s="583" t="s">
        <v>1706</v>
      </c>
      <c r="B707" s="591">
        <v>16</v>
      </c>
      <c r="C707" s="583" t="s">
        <v>1564</v>
      </c>
      <c r="D707" s="588" t="s">
        <v>5570</v>
      </c>
      <c r="E707" s="592" t="s">
        <v>410</v>
      </c>
      <c r="F707" s="593" t="s">
        <v>5172</v>
      </c>
      <c r="G707" s="237" t="s">
        <v>410</v>
      </c>
      <c r="H707" s="237" t="s">
        <v>410</v>
      </c>
      <c r="I707" s="237" t="s">
        <v>410</v>
      </c>
      <c r="J707" s="237" t="s">
        <v>410</v>
      </c>
      <c r="K707" s="237" t="s">
        <v>410</v>
      </c>
      <c r="L707" s="237" t="s">
        <v>410</v>
      </c>
      <c r="M707" s="237" t="s">
        <v>410</v>
      </c>
      <c r="N707" s="237" t="s">
        <v>410</v>
      </c>
      <c r="O707" s="237" t="s">
        <v>410</v>
      </c>
      <c r="P707" s="237" t="s">
        <v>410</v>
      </c>
      <c r="Q707" s="237" t="s">
        <v>410</v>
      </c>
      <c r="R707" s="237" t="s">
        <v>410</v>
      </c>
      <c r="S707" s="10" t="s">
        <v>410</v>
      </c>
      <c r="T707" s="10" t="s">
        <v>410</v>
      </c>
    </row>
    <row r="708" spans="1:20" hidden="1" outlineLevel="1" x14ac:dyDescent="0.3">
      <c r="A708" s="583" t="s">
        <v>1709</v>
      </c>
      <c r="B708" s="591">
        <v>16</v>
      </c>
      <c r="C708" s="583" t="s">
        <v>1564</v>
      </c>
      <c r="D708" s="588" t="s">
        <v>5570</v>
      </c>
      <c r="E708" s="592" t="s">
        <v>410</v>
      </c>
      <c r="F708" s="593" t="s">
        <v>5170</v>
      </c>
      <c r="G708" s="237" t="s">
        <v>410</v>
      </c>
      <c r="H708" s="237" t="s">
        <v>410</v>
      </c>
      <c r="I708" s="237" t="s">
        <v>410</v>
      </c>
      <c r="J708" s="237" t="s">
        <v>410</v>
      </c>
      <c r="K708" s="237" t="s">
        <v>410</v>
      </c>
      <c r="L708" s="237" t="s">
        <v>410</v>
      </c>
      <c r="M708" s="237" t="s">
        <v>410</v>
      </c>
      <c r="N708" s="237" t="s">
        <v>410</v>
      </c>
      <c r="O708" s="237" t="s">
        <v>410</v>
      </c>
      <c r="P708" s="237" t="s">
        <v>410</v>
      </c>
      <c r="Q708" s="237" t="s">
        <v>410</v>
      </c>
      <c r="R708" s="237" t="s">
        <v>410</v>
      </c>
      <c r="S708" s="10" t="s">
        <v>410</v>
      </c>
      <c r="T708" s="10" t="s">
        <v>410</v>
      </c>
    </row>
    <row r="709" spans="1:20" hidden="1" outlineLevel="1" x14ac:dyDescent="0.3">
      <c r="A709" s="583" t="s">
        <v>5173</v>
      </c>
      <c r="B709" s="591">
        <v>17</v>
      </c>
      <c r="C709" s="583" t="s">
        <v>1564</v>
      </c>
      <c r="D709" s="588" t="s">
        <v>5570</v>
      </c>
      <c r="E709" s="592" t="s">
        <v>410</v>
      </c>
      <c r="F709" s="593" t="s">
        <v>5174</v>
      </c>
      <c r="G709" s="237" t="s">
        <v>410</v>
      </c>
      <c r="H709" s="237" t="s">
        <v>410</v>
      </c>
      <c r="I709" s="237" t="s">
        <v>410</v>
      </c>
      <c r="J709" s="237" t="s">
        <v>410</v>
      </c>
      <c r="K709" s="237" t="s">
        <v>410</v>
      </c>
      <c r="L709" s="237" t="s">
        <v>410</v>
      </c>
      <c r="M709" s="237" t="s">
        <v>410</v>
      </c>
      <c r="N709" s="237" t="s">
        <v>410</v>
      </c>
      <c r="O709" s="237" t="s">
        <v>410</v>
      </c>
      <c r="P709" s="237" t="s">
        <v>410</v>
      </c>
      <c r="Q709" s="237" t="s">
        <v>410</v>
      </c>
      <c r="R709" s="237" t="s">
        <v>410</v>
      </c>
      <c r="S709" s="10" t="s">
        <v>410</v>
      </c>
      <c r="T709" s="10" t="s">
        <v>410</v>
      </c>
    </row>
    <row r="710" spans="1:20" hidden="1" outlineLevel="1" x14ac:dyDescent="0.3">
      <c r="A710" s="583" t="s">
        <v>1707</v>
      </c>
      <c r="B710" s="591">
        <v>17</v>
      </c>
      <c r="C710" s="583" t="s">
        <v>1564</v>
      </c>
      <c r="D710" s="588" t="s">
        <v>5570</v>
      </c>
      <c r="E710" s="592" t="s">
        <v>410</v>
      </c>
      <c r="F710" s="593" t="s">
        <v>5180</v>
      </c>
      <c r="G710" s="237" t="s">
        <v>410</v>
      </c>
      <c r="H710" s="237" t="s">
        <v>410</v>
      </c>
      <c r="I710" s="237" t="s">
        <v>410</v>
      </c>
      <c r="J710" s="237" t="s">
        <v>410</v>
      </c>
      <c r="K710" s="237" t="s">
        <v>410</v>
      </c>
      <c r="L710" s="237" t="s">
        <v>410</v>
      </c>
      <c r="M710" s="237" t="s">
        <v>410</v>
      </c>
      <c r="N710" s="237" t="s">
        <v>410</v>
      </c>
      <c r="O710" s="237" t="s">
        <v>410</v>
      </c>
      <c r="P710" s="237" t="s">
        <v>410</v>
      </c>
      <c r="Q710" s="237" t="s">
        <v>410</v>
      </c>
      <c r="R710" s="237" t="s">
        <v>410</v>
      </c>
      <c r="S710" s="10" t="s">
        <v>410</v>
      </c>
      <c r="T710" s="10" t="s">
        <v>410</v>
      </c>
    </row>
    <row r="711" spans="1:20" hidden="1" outlineLevel="1" x14ac:dyDescent="0.3">
      <c r="A711" s="583" t="s">
        <v>1711</v>
      </c>
      <c r="B711" s="591">
        <v>17</v>
      </c>
      <c r="C711" s="583" t="s">
        <v>1564</v>
      </c>
      <c r="D711" s="588" t="s">
        <v>5570</v>
      </c>
      <c r="E711" s="592" t="s">
        <v>410</v>
      </c>
      <c r="F711" s="593" t="s">
        <v>3628</v>
      </c>
      <c r="G711" s="237" t="s">
        <v>410</v>
      </c>
      <c r="H711" s="237" t="s">
        <v>410</v>
      </c>
      <c r="I711" s="237" t="s">
        <v>410</v>
      </c>
      <c r="J711" s="237" t="s">
        <v>410</v>
      </c>
      <c r="K711" s="237" t="s">
        <v>410</v>
      </c>
      <c r="L711" s="237" t="s">
        <v>410</v>
      </c>
      <c r="M711" s="237" t="s">
        <v>410</v>
      </c>
      <c r="N711" s="237" t="s">
        <v>410</v>
      </c>
      <c r="O711" s="237" t="s">
        <v>410</v>
      </c>
      <c r="P711" s="237" t="s">
        <v>410</v>
      </c>
      <c r="Q711" s="237" t="s">
        <v>410</v>
      </c>
      <c r="R711" s="237" t="s">
        <v>410</v>
      </c>
      <c r="S711" s="10" t="s">
        <v>410</v>
      </c>
      <c r="T711" s="10" t="s">
        <v>410</v>
      </c>
    </row>
    <row r="712" spans="1:20" collapsed="1" x14ac:dyDescent="0.3">
      <c r="A712" s="583" t="s">
        <v>1478</v>
      </c>
      <c r="B712" s="591">
        <v>1</v>
      </c>
      <c r="C712" s="588" t="s">
        <v>1256</v>
      </c>
      <c r="D712" s="588" t="s">
        <v>1461</v>
      </c>
      <c r="E712" s="589" t="s">
        <v>410</v>
      </c>
      <c r="F712" s="590" t="s">
        <v>2117</v>
      </c>
      <c r="G712" s="590" t="s">
        <v>2118</v>
      </c>
      <c r="H712" s="590" t="s">
        <v>2119</v>
      </c>
      <c r="I712" s="590" t="s">
        <v>2120</v>
      </c>
      <c r="J712" s="590" t="s">
        <v>2121</v>
      </c>
      <c r="K712" s="590" t="s">
        <v>2122</v>
      </c>
      <c r="L712" s="441" t="s">
        <v>410</v>
      </c>
      <c r="M712" s="441" t="s">
        <v>410</v>
      </c>
      <c r="N712" s="441" t="s">
        <v>410</v>
      </c>
      <c r="O712" s="441" t="s">
        <v>410</v>
      </c>
      <c r="P712" s="441" t="s">
        <v>410</v>
      </c>
      <c r="Q712" s="441" t="s">
        <v>410</v>
      </c>
      <c r="R712" s="441" t="s">
        <v>410</v>
      </c>
      <c r="S712" s="441" t="s">
        <v>410</v>
      </c>
      <c r="T712" s="441" t="s">
        <v>410</v>
      </c>
    </row>
    <row r="713" spans="1:20" hidden="1" outlineLevel="1" x14ac:dyDescent="0.3">
      <c r="A713" s="583" t="s">
        <v>5054</v>
      </c>
      <c r="B713" s="591">
        <v>1</v>
      </c>
      <c r="C713" s="583" t="s">
        <v>1256</v>
      </c>
      <c r="D713" s="583" t="s">
        <v>1461</v>
      </c>
      <c r="E713" s="592" t="s">
        <v>410</v>
      </c>
      <c r="F713" s="593" t="s">
        <v>5205</v>
      </c>
      <c r="G713" s="593" t="s">
        <v>5188</v>
      </c>
      <c r="H713" s="593" t="s">
        <v>5222</v>
      </c>
      <c r="I713" s="593" t="s">
        <v>5190</v>
      </c>
      <c r="J713" s="237" t="s">
        <v>410</v>
      </c>
      <c r="K713" s="237" t="s">
        <v>410</v>
      </c>
      <c r="L713" s="237" t="s">
        <v>410</v>
      </c>
      <c r="M713" s="237" t="s">
        <v>410</v>
      </c>
      <c r="N713" s="237" t="s">
        <v>410</v>
      </c>
      <c r="O713" s="237" t="s">
        <v>410</v>
      </c>
      <c r="P713" s="237" t="s">
        <v>410</v>
      </c>
      <c r="Q713" s="237" t="s">
        <v>410</v>
      </c>
      <c r="R713" s="237" t="s">
        <v>410</v>
      </c>
      <c r="S713" s="10" t="s">
        <v>410</v>
      </c>
      <c r="T713" s="10" t="s">
        <v>410</v>
      </c>
    </row>
    <row r="714" spans="1:20" hidden="1" outlineLevel="1" x14ac:dyDescent="0.3">
      <c r="A714" s="583" t="s">
        <v>1631</v>
      </c>
      <c r="B714" s="591">
        <v>1</v>
      </c>
      <c r="C714" s="583" t="s">
        <v>1256</v>
      </c>
      <c r="D714" s="583" t="s">
        <v>1461</v>
      </c>
      <c r="E714" s="592" t="s">
        <v>410</v>
      </c>
      <c r="F714" s="593" t="s">
        <v>66</v>
      </c>
      <c r="G714" s="593" t="s">
        <v>67</v>
      </c>
      <c r="H714" s="593" t="s">
        <v>68</v>
      </c>
      <c r="I714" s="593" t="s">
        <v>70</v>
      </c>
      <c r="J714" s="593" t="s">
        <v>72</v>
      </c>
      <c r="K714" s="594">
        <f>IF(ZRČ&gt;5,ZRČ,5)</f>
        <v>5</v>
      </c>
      <c r="L714" s="237" t="s">
        <v>410</v>
      </c>
      <c r="M714" s="237" t="s">
        <v>410</v>
      </c>
      <c r="N714" s="237" t="s">
        <v>410</v>
      </c>
      <c r="O714" s="237" t="s">
        <v>410</v>
      </c>
      <c r="P714" s="237" t="s">
        <v>410</v>
      </c>
      <c r="Q714" s="237" t="s">
        <v>410</v>
      </c>
      <c r="R714" s="237" t="s">
        <v>410</v>
      </c>
      <c r="S714" s="10" t="s">
        <v>410</v>
      </c>
      <c r="T714" s="10" t="s">
        <v>410</v>
      </c>
    </row>
    <row r="715" spans="1:20" hidden="1" outlineLevel="1" x14ac:dyDescent="0.3">
      <c r="A715" s="583" t="s">
        <v>3368</v>
      </c>
      <c r="B715" s="591">
        <v>1</v>
      </c>
      <c r="C715" s="583" t="s">
        <v>1256</v>
      </c>
      <c r="D715" s="583" t="s">
        <v>1461</v>
      </c>
      <c r="E715" s="592" t="s">
        <v>410</v>
      </c>
      <c r="F715" s="593" t="s">
        <v>5581</v>
      </c>
      <c r="G715" s="593" t="s">
        <v>68</v>
      </c>
      <c r="H715" s="593" t="s">
        <v>70</v>
      </c>
      <c r="I715" s="593" t="s">
        <v>72</v>
      </c>
      <c r="J715" s="593" t="s">
        <v>74</v>
      </c>
      <c r="K715" s="237" t="s">
        <v>410</v>
      </c>
      <c r="L715" s="237" t="s">
        <v>410</v>
      </c>
      <c r="M715" s="237" t="s">
        <v>410</v>
      </c>
      <c r="N715" s="237" t="s">
        <v>410</v>
      </c>
      <c r="O715" s="237" t="s">
        <v>410</v>
      </c>
      <c r="P715" s="237" t="s">
        <v>410</v>
      </c>
      <c r="Q715" s="237" t="s">
        <v>410</v>
      </c>
      <c r="R715" s="237" t="s">
        <v>410</v>
      </c>
      <c r="S715" s="10" t="s">
        <v>410</v>
      </c>
      <c r="T715" s="10" t="s">
        <v>410</v>
      </c>
    </row>
    <row r="716" spans="1:20" hidden="1" outlineLevel="1" x14ac:dyDescent="0.3">
      <c r="A716" s="583" t="s">
        <v>1673</v>
      </c>
      <c r="B716" s="591">
        <v>1</v>
      </c>
      <c r="C716" s="583" t="s">
        <v>1256</v>
      </c>
      <c r="D716" s="583" t="s">
        <v>1461</v>
      </c>
      <c r="E716" s="592" t="s">
        <v>66</v>
      </c>
      <c r="F716" s="593" t="s">
        <v>67</v>
      </c>
      <c r="G716" s="593" t="s">
        <v>68</v>
      </c>
      <c r="H716" s="593" t="s">
        <v>70</v>
      </c>
      <c r="I716" s="593" t="s">
        <v>72</v>
      </c>
      <c r="J716" s="593" t="s">
        <v>74</v>
      </c>
      <c r="K716" s="593" t="s">
        <v>75</v>
      </c>
      <c r="L716" s="237" t="s">
        <v>410</v>
      </c>
      <c r="M716" s="237" t="s">
        <v>410</v>
      </c>
      <c r="N716" s="237" t="s">
        <v>410</v>
      </c>
      <c r="O716" s="237" t="s">
        <v>410</v>
      </c>
      <c r="P716" s="237" t="s">
        <v>410</v>
      </c>
      <c r="Q716" s="237" t="s">
        <v>410</v>
      </c>
      <c r="R716" s="237" t="s">
        <v>410</v>
      </c>
      <c r="S716" s="10" t="s">
        <v>410</v>
      </c>
      <c r="T716" s="10" t="s">
        <v>410</v>
      </c>
    </row>
    <row r="717" spans="1:20" hidden="1" outlineLevel="1" x14ac:dyDescent="0.3">
      <c r="A717" s="583" t="s">
        <v>1759</v>
      </c>
      <c r="B717" s="591">
        <v>1</v>
      </c>
      <c r="C717" s="583" t="s">
        <v>1256</v>
      </c>
      <c r="D717" s="583" t="s">
        <v>1461</v>
      </c>
      <c r="E717" s="592" t="s">
        <v>410</v>
      </c>
      <c r="F717" s="593" t="s">
        <v>1760</v>
      </c>
      <c r="G717" s="593" t="s">
        <v>1761</v>
      </c>
      <c r="H717" s="593" t="s">
        <v>1762</v>
      </c>
      <c r="I717" s="594" t="str">
        <f>CONCATENATE("NBZ - ",TEXT(IF(CHR&lt;4,4,CHR),0))</f>
        <v>NBZ - 4</v>
      </c>
      <c r="J717" s="237" t="s">
        <v>410</v>
      </c>
      <c r="K717" s="237" t="s">
        <v>410</v>
      </c>
      <c r="L717" s="237" t="s">
        <v>410</v>
      </c>
      <c r="M717" s="237" t="s">
        <v>410</v>
      </c>
      <c r="N717" s="237" t="s">
        <v>410</v>
      </c>
      <c r="O717" s="237" t="s">
        <v>410</v>
      </c>
      <c r="P717" s="237" t="s">
        <v>410</v>
      </c>
      <c r="Q717" s="237" t="s">
        <v>410</v>
      </c>
      <c r="R717" s="237" t="s">
        <v>410</v>
      </c>
      <c r="S717" s="10" t="s">
        <v>410</v>
      </c>
      <c r="T717" s="10" t="s">
        <v>410</v>
      </c>
    </row>
    <row r="718" spans="1:20" hidden="1" outlineLevel="1" x14ac:dyDescent="0.3">
      <c r="A718" s="583" t="s">
        <v>1766</v>
      </c>
      <c r="B718" s="591">
        <v>1</v>
      </c>
      <c r="C718" s="583" t="s">
        <v>1256</v>
      </c>
      <c r="D718" s="583" t="s">
        <v>1461</v>
      </c>
      <c r="E718" s="592" t="s">
        <v>410</v>
      </c>
      <c r="F718" s="593" t="s">
        <v>5523</v>
      </c>
      <c r="G718" s="593" t="s">
        <v>68</v>
      </c>
      <c r="H718" s="593" t="s">
        <v>72</v>
      </c>
      <c r="I718" s="593" t="s">
        <v>75</v>
      </c>
      <c r="J718" s="593" t="s">
        <v>77</v>
      </c>
      <c r="K718" s="237" t="s">
        <v>410</v>
      </c>
      <c r="L718" s="237" t="s">
        <v>410</v>
      </c>
      <c r="M718" s="237" t="s">
        <v>410</v>
      </c>
      <c r="N718" s="237" t="s">
        <v>410</v>
      </c>
      <c r="O718" s="237" t="s">
        <v>410</v>
      </c>
      <c r="P718" s="237" t="s">
        <v>410</v>
      </c>
      <c r="Q718" s="237" t="s">
        <v>410</v>
      </c>
      <c r="R718" s="237" t="s">
        <v>410</v>
      </c>
      <c r="S718" s="10" t="s">
        <v>410</v>
      </c>
      <c r="T718" s="10" t="s">
        <v>410</v>
      </c>
    </row>
    <row r="719" spans="1:20" hidden="1" outlineLevel="1" x14ac:dyDescent="0.3">
      <c r="A719" s="583" t="s">
        <v>1821</v>
      </c>
      <c r="B719" s="591">
        <v>1</v>
      </c>
      <c r="C719" s="583" t="s">
        <v>1256</v>
      </c>
      <c r="D719" s="583" t="s">
        <v>1461</v>
      </c>
      <c r="E719" s="592" t="s">
        <v>65</v>
      </c>
      <c r="F719" s="593" t="s">
        <v>66</v>
      </c>
      <c r="G719" s="593" t="s">
        <v>67</v>
      </c>
      <c r="H719" s="593" t="s">
        <v>68</v>
      </c>
      <c r="I719" s="593" t="s">
        <v>70</v>
      </c>
      <c r="J719" s="237" t="s">
        <v>410</v>
      </c>
      <c r="K719" s="237" t="s">
        <v>410</v>
      </c>
      <c r="L719" s="237" t="s">
        <v>410</v>
      </c>
      <c r="M719" s="237" t="s">
        <v>410</v>
      </c>
      <c r="N719" s="237" t="s">
        <v>410</v>
      </c>
      <c r="O719" s="237" t="s">
        <v>410</v>
      </c>
      <c r="P719" s="237" t="s">
        <v>410</v>
      </c>
      <c r="Q719" s="237" t="s">
        <v>410</v>
      </c>
      <c r="R719" s="237" t="s">
        <v>410</v>
      </c>
      <c r="S719" s="10" t="s">
        <v>410</v>
      </c>
      <c r="T719" s="10" t="s">
        <v>410</v>
      </c>
    </row>
    <row r="720" spans="1:20" hidden="1" outlineLevel="1" x14ac:dyDescent="0.3">
      <c r="A720" s="583" t="s">
        <v>1867</v>
      </c>
      <c r="B720" s="591">
        <v>1</v>
      </c>
      <c r="C720" s="583" t="s">
        <v>1256</v>
      </c>
      <c r="D720" s="583" t="s">
        <v>1461</v>
      </c>
      <c r="E720" s="592" t="s">
        <v>410</v>
      </c>
      <c r="F720" s="593" t="s">
        <v>2243</v>
      </c>
      <c r="G720" s="593" t="s">
        <v>2244</v>
      </c>
      <c r="H720" s="593" t="s">
        <v>2245</v>
      </c>
      <c r="I720" s="593" t="s">
        <v>2246</v>
      </c>
      <c r="J720" s="237" t="s">
        <v>410</v>
      </c>
      <c r="K720" s="237" t="s">
        <v>410</v>
      </c>
      <c r="L720" s="237" t="s">
        <v>410</v>
      </c>
      <c r="M720" s="237" t="s">
        <v>410</v>
      </c>
      <c r="N720" s="237" t="s">
        <v>410</v>
      </c>
      <c r="O720" s="237" t="s">
        <v>410</v>
      </c>
      <c r="P720" s="237" t="s">
        <v>410</v>
      </c>
      <c r="Q720" s="237" t="s">
        <v>410</v>
      </c>
      <c r="R720" s="237" t="s">
        <v>410</v>
      </c>
      <c r="S720" s="10" t="s">
        <v>410</v>
      </c>
      <c r="T720" s="10" t="s">
        <v>410</v>
      </c>
    </row>
    <row r="721" spans="1:20" hidden="1" outlineLevel="1" x14ac:dyDescent="0.3">
      <c r="A721" s="583" t="s">
        <v>1892</v>
      </c>
      <c r="B721" s="591">
        <v>1</v>
      </c>
      <c r="C721" s="583" t="s">
        <v>1256</v>
      </c>
      <c r="D721" s="583" t="s">
        <v>1461</v>
      </c>
      <c r="E721" s="592" t="s">
        <v>410</v>
      </c>
      <c r="F721" s="593" t="s">
        <v>67</v>
      </c>
      <c r="G721" s="593" t="s">
        <v>68</v>
      </c>
      <c r="H721" s="593" t="s">
        <v>70</v>
      </c>
      <c r="I721" s="594">
        <f>IF(CHR&lt;4,4,CHR)</f>
        <v>4</v>
      </c>
      <c r="J721" s="237" t="s">
        <v>410</v>
      </c>
      <c r="K721" s="237" t="s">
        <v>410</v>
      </c>
      <c r="L721" s="237" t="s">
        <v>410</v>
      </c>
      <c r="M721" s="237" t="s">
        <v>410</v>
      </c>
      <c r="N721" s="237" t="s">
        <v>410</v>
      </c>
      <c r="O721" s="237" t="s">
        <v>410</v>
      </c>
      <c r="P721" s="237" t="s">
        <v>410</v>
      </c>
      <c r="Q721" s="237" t="s">
        <v>410</v>
      </c>
      <c r="R721" s="237" t="s">
        <v>410</v>
      </c>
      <c r="S721" s="10" t="s">
        <v>410</v>
      </c>
      <c r="T721" s="10" t="s">
        <v>410</v>
      </c>
    </row>
    <row r="722" spans="1:20" hidden="1" outlineLevel="1" x14ac:dyDescent="0.3">
      <c r="A722" s="583" t="s">
        <v>1929</v>
      </c>
      <c r="B722" s="591">
        <v>1</v>
      </c>
      <c r="C722" s="583" t="s">
        <v>1256</v>
      </c>
      <c r="D722" s="583" t="s">
        <v>1461</v>
      </c>
      <c r="E722" s="592" t="s">
        <v>410</v>
      </c>
      <c r="F722" s="593" t="s">
        <v>67</v>
      </c>
      <c r="G722" s="593" t="s">
        <v>68</v>
      </c>
      <c r="H722" s="593" t="s">
        <v>70</v>
      </c>
      <c r="I722" s="593" t="s">
        <v>72</v>
      </c>
      <c r="J722" s="237" t="s">
        <v>410</v>
      </c>
      <c r="K722" s="237" t="s">
        <v>410</v>
      </c>
      <c r="L722" s="237" t="s">
        <v>410</v>
      </c>
      <c r="M722" s="237" t="s">
        <v>410</v>
      </c>
      <c r="N722" s="237" t="s">
        <v>410</v>
      </c>
      <c r="O722" s="237" t="s">
        <v>410</v>
      </c>
      <c r="P722" s="237" t="s">
        <v>410</v>
      </c>
      <c r="Q722" s="237" t="s">
        <v>410</v>
      </c>
      <c r="R722" s="237" t="s">
        <v>410</v>
      </c>
      <c r="S722" s="10" t="s">
        <v>410</v>
      </c>
      <c r="T722" s="10" t="s">
        <v>410</v>
      </c>
    </row>
    <row r="723" spans="1:20" hidden="1" outlineLevel="1" x14ac:dyDescent="0.3">
      <c r="A723" s="583" t="s">
        <v>1937</v>
      </c>
      <c r="B723" s="591">
        <v>1</v>
      </c>
      <c r="C723" s="583" t="s">
        <v>1256</v>
      </c>
      <c r="D723" s="583" t="s">
        <v>1461</v>
      </c>
      <c r="E723" s="592" t="s">
        <v>410</v>
      </c>
      <c r="F723" s="593" t="s">
        <v>67</v>
      </c>
      <c r="G723" s="593" t="s">
        <v>68</v>
      </c>
      <c r="H723" s="593" t="s">
        <v>70</v>
      </c>
      <c r="I723" s="593" t="s">
        <v>72</v>
      </c>
      <c r="J723" s="237" t="s">
        <v>410</v>
      </c>
      <c r="K723" s="237" t="s">
        <v>410</v>
      </c>
      <c r="L723" s="237" t="s">
        <v>410</v>
      </c>
      <c r="M723" s="237" t="s">
        <v>410</v>
      </c>
      <c r="N723" s="237" t="s">
        <v>410</v>
      </c>
      <c r="O723" s="237" t="s">
        <v>410</v>
      </c>
      <c r="P723" s="237" t="s">
        <v>410</v>
      </c>
      <c r="Q723" s="237" t="s">
        <v>410</v>
      </c>
      <c r="R723" s="237" t="s">
        <v>410</v>
      </c>
      <c r="S723" s="10" t="s">
        <v>410</v>
      </c>
      <c r="T723" s="10" t="s">
        <v>410</v>
      </c>
    </row>
    <row r="724" spans="1:20" hidden="1" outlineLevel="1" x14ac:dyDescent="0.3">
      <c r="A724" s="583" t="s">
        <v>5124</v>
      </c>
      <c r="B724" s="591">
        <v>1</v>
      </c>
      <c r="C724" s="583" t="s">
        <v>1256</v>
      </c>
      <c r="D724" s="583" t="s">
        <v>1461</v>
      </c>
      <c r="E724" s="592" t="s">
        <v>410</v>
      </c>
      <c r="F724" s="593" t="s">
        <v>2176</v>
      </c>
      <c r="G724" s="237" t="s">
        <v>410</v>
      </c>
      <c r="H724" s="237" t="s">
        <v>410</v>
      </c>
      <c r="I724" s="237" t="s">
        <v>410</v>
      </c>
      <c r="J724" s="237" t="s">
        <v>410</v>
      </c>
      <c r="K724" s="237" t="s">
        <v>410</v>
      </c>
      <c r="L724" s="237" t="s">
        <v>410</v>
      </c>
      <c r="M724" s="237" t="s">
        <v>410</v>
      </c>
      <c r="N724" s="237" t="s">
        <v>410</v>
      </c>
      <c r="O724" s="237" t="s">
        <v>410</v>
      </c>
      <c r="P724" s="237" t="s">
        <v>410</v>
      </c>
      <c r="Q724" s="237" t="s">
        <v>410</v>
      </c>
      <c r="R724" s="237" t="s">
        <v>410</v>
      </c>
      <c r="S724" s="10" t="s">
        <v>410</v>
      </c>
      <c r="T724" s="10" t="s">
        <v>410</v>
      </c>
    </row>
    <row r="725" spans="1:20" hidden="1" outlineLevel="1" x14ac:dyDescent="0.3">
      <c r="A725" s="583" t="s">
        <v>5203</v>
      </c>
      <c r="B725" s="591">
        <v>1</v>
      </c>
      <c r="C725" s="583" t="s">
        <v>1256</v>
      </c>
      <c r="D725" s="583" t="s">
        <v>1461</v>
      </c>
      <c r="E725" s="593" t="s">
        <v>410</v>
      </c>
      <c r="F725" s="593" t="s">
        <v>68</v>
      </c>
      <c r="G725" s="593" t="s">
        <v>72</v>
      </c>
      <c r="H725" s="593" t="s">
        <v>75</v>
      </c>
      <c r="I725" s="593" t="s">
        <v>77</v>
      </c>
      <c r="J725" s="593" t="s">
        <v>111</v>
      </c>
      <c r="K725" s="237" t="s">
        <v>410</v>
      </c>
      <c r="L725" s="237" t="s">
        <v>410</v>
      </c>
      <c r="M725" s="237" t="s">
        <v>410</v>
      </c>
      <c r="N725" s="237" t="s">
        <v>410</v>
      </c>
      <c r="O725" s="237" t="s">
        <v>410</v>
      </c>
      <c r="P725" s="237" t="s">
        <v>410</v>
      </c>
      <c r="Q725" s="237" t="s">
        <v>410</v>
      </c>
      <c r="R725" s="237" t="s">
        <v>410</v>
      </c>
      <c r="S725" s="237" t="s">
        <v>410</v>
      </c>
      <c r="T725" s="237" t="s">
        <v>410</v>
      </c>
    </row>
    <row r="726" spans="1:20" hidden="1" outlineLevel="1" x14ac:dyDescent="0.3">
      <c r="A726" s="583" t="s">
        <v>1477</v>
      </c>
      <c r="B726" s="591">
        <v>2</v>
      </c>
      <c r="C726" s="588" t="s">
        <v>1256</v>
      </c>
      <c r="D726" s="588" t="s">
        <v>1461</v>
      </c>
      <c r="E726" s="589" t="s">
        <v>410</v>
      </c>
      <c r="F726" s="590" t="s">
        <v>1525</v>
      </c>
      <c r="G726" s="590" t="s">
        <v>3316</v>
      </c>
      <c r="H726" s="590" t="s">
        <v>4233</v>
      </c>
      <c r="I726" s="590" t="s">
        <v>4234</v>
      </c>
      <c r="J726" s="441" t="s">
        <v>410</v>
      </c>
      <c r="K726" s="441" t="s">
        <v>410</v>
      </c>
      <c r="L726" s="441" t="s">
        <v>410</v>
      </c>
      <c r="M726" s="441" t="s">
        <v>410</v>
      </c>
      <c r="N726" s="441" t="s">
        <v>410</v>
      </c>
      <c r="O726" s="441" t="s">
        <v>410</v>
      </c>
      <c r="P726" s="441" t="s">
        <v>410</v>
      </c>
      <c r="Q726" s="441" t="s">
        <v>410</v>
      </c>
      <c r="R726" s="441" t="s">
        <v>410</v>
      </c>
      <c r="S726" s="441" t="s">
        <v>410</v>
      </c>
      <c r="T726" s="441" t="s">
        <v>410</v>
      </c>
    </row>
    <row r="727" spans="1:20" hidden="1" outlineLevel="1" x14ac:dyDescent="0.3">
      <c r="A727" s="583" t="s">
        <v>1844</v>
      </c>
      <c r="B727" s="591">
        <v>2</v>
      </c>
      <c r="C727" s="583" t="s">
        <v>1256</v>
      </c>
      <c r="D727" s="583" t="s">
        <v>1461</v>
      </c>
      <c r="E727" s="592" t="s">
        <v>410</v>
      </c>
      <c r="F727" s="593" t="s">
        <v>5492</v>
      </c>
      <c r="G727" s="593" t="s">
        <v>5493</v>
      </c>
      <c r="H727" s="593" t="s">
        <v>5494</v>
      </c>
      <c r="I727" s="593" t="s">
        <v>5490</v>
      </c>
      <c r="J727" s="593" t="s">
        <v>5491</v>
      </c>
      <c r="K727" s="237" t="s">
        <v>410</v>
      </c>
      <c r="L727" s="237" t="s">
        <v>410</v>
      </c>
      <c r="M727" s="237" t="s">
        <v>410</v>
      </c>
      <c r="N727" s="237" t="s">
        <v>410</v>
      </c>
      <c r="O727" s="237" t="s">
        <v>410</v>
      </c>
      <c r="P727" s="237" t="s">
        <v>410</v>
      </c>
      <c r="Q727" s="237" t="s">
        <v>410</v>
      </c>
      <c r="R727" s="237" t="s">
        <v>410</v>
      </c>
      <c r="S727" s="10" t="s">
        <v>410</v>
      </c>
      <c r="T727" s="10" t="s">
        <v>410</v>
      </c>
    </row>
    <row r="728" spans="1:20" hidden="1" outlineLevel="1" x14ac:dyDescent="0.3">
      <c r="A728" s="583" t="s">
        <v>1838</v>
      </c>
      <c r="B728" s="591">
        <v>3</v>
      </c>
      <c r="C728" s="583" t="s">
        <v>1256</v>
      </c>
      <c r="D728" s="583" t="s">
        <v>1461</v>
      </c>
      <c r="E728" s="592" t="s">
        <v>410</v>
      </c>
      <c r="F728" s="593" t="s">
        <v>1839</v>
      </c>
      <c r="G728" s="593" t="s">
        <v>1840</v>
      </c>
      <c r="H728" s="593" t="s">
        <v>3198</v>
      </c>
      <c r="I728" s="593" t="s">
        <v>1841</v>
      </c>
      <c r="J728" s="593" t="s">
        <v>1842</v>
      </c>
      <c r="K728" s="237" t="s">
        <v>410</v>
      </c>
      <c r="L728" s="237" t="s">
        <v>410</v>
      </c>
      <c r="M728" s="237" t="s">
        <v>410</v>
      </c>
      <c r="N728" s="237" t="s">
        <v>410</v>
      </c>
      <c r="O728" s="237" t="s">
        <v>410</v>
      </c>
      <c r="P728" s="237" t="s">
        <v>410</v>
      </c>
      <c r="Q728" s="237" t="s">
        <v>410</v>
      </c>
      <c r="R728" s="237" t="s">
        <v>410</v>
      </c>
      <c r="S728" s="10" t="s">
        <v>410</v>
      </c>
      <c r="T728" s="10" t="s">
        <v>410</v>
      </c>
    </row>
    <row r="729" spans="1:20" hidden="1" outlineLevel="1" x14ac:dyDescent="0.3">
      <c r="A729" s="583" t="s">
        <v>1851</v>
      </c>
      <c r="B729" s="591">
        <v>5</v>
      </c>
      <c r="C729" s="583" t="s">
        <v>1256</v>
      </c>
      <c r="D729" s="583" t="s">
        <v>1461</v>
      </c>
      <c r="E729" s="592" t="s">
        <v>410</v>
      </c>
      <c r="F729" s="593" t="s">
        <v>3269</v>
      </c>
      <c r="G729" s="593" t="s">
        <v>3270</v>
      </c>
      <c r="H729" s="593" t="s">
        <v>3271</v>
      </c>
      <c r="I729" s="593" t="s">
        <v>3272</v>
      </c>
      <c r="J729" s="593" t="s">
        <v>4303</v>
      </c>
      <c r="K729" s="237" t="s">
        <v>410</v>
      </c>
      <c r="L729" s="237" t="s">
        <v>410</v>
      </c>
      <c r="M729" s="237" t="s">
        <v>410</v>
      </c>
      <c r="N729" s="237" t="s">
        <v>410</v>
      </c>
      <c r="O729" s="237" t="s">
        <v>410</v>
      </c>
      <c r="P729" s="237" t="s">
        <v>410</v>
      </c>
      <c r="Q729" s="237" t="s">
        <v>410</v>
      </c>
      <c r="R729" s="237" t="s">
        <v>410</v>
      </c>
      <c r="S729" s="10" t="s">
        <v>410</v>
      </c>
      <c r="T729" s="10" t="s">
        <v>410</v>
      </c>
    </row>
    <row r="730" spans="1:20" hidden="1" outlineLevel="1" x14ac:dyDescent="0.3">
      <c r="A730" s="583" t="s">
        <v>1623</v>
      </c>
      <c r="B730" s="591">
        <v>6</v>
      </c>
      <c r="C730" s="588" t="s">
        <v>1256</v>
      </c>
      <c r="D730" s="588" t="s">
        <v>1461</v>
      </c>
      <c r="E730" s="592" t="s">
        <v>410</v>
      </c>
      <c r="F730" s="589" t="s">
        <v>67</v>
      </c>
      <c r="G730" s="592" t="s">
        <v>68</v>
      </c>
      <c r="H730" s="592" t="s">
        <v>70</v>
      </c>
      <c r="I730" s="614" t="str">
        <f>CONCATENATE("+",TEXT(IF(ZRČ&gt;4,ZRČ,4),0))</f>
        <v>+4</v>
      </c>
      <c r="J730" s="441" t="s">
        <v>410</v>
      </c>
      <c r="K730" s="441" t="s">
        <v>410</v>
      </c>
      <c r="L730" s="441" t="s">
        <v>410</v>
      </c>
      <c r="M730" s="441" t="s">
        <v>410</v>
      </c>
      <c r="N730" s="441" t="s">
        <v>410</v>
      </c>
      <c r="O730" s="441" t="s">
        <v>410</v>
      </c>
      <c r="P730" s="441" t="s">
        <v>410</v>
      </c>
      <c r="Q730" s="441" t="s">
        <v>410</v>
      </c>
      <c r="R730" s="441" t="s">
        <v>410</v>
      </c>
      <c r="S730" s="441" t="s">
        <v>410</v>
      </c>
      <c r="T730" s="441" t="s">
        <v>410</v>
      </c>
    </row>
    <row r="731" spans="1:20" hidden="1" outlineLevel="1" x14ac:dyDescent="0.3">
      <c r="A731" s="583" t="s">
        <v>1771</v>
      </c>
      <c r="B731" s="591">
        <v>6</v>
      </c>
      <c r="C731" s="583" t="s">
        <v>1256</v>
      </c>
      <c r="D731" s="583" t="s">
        <v>1461</v>
      </c>
      <c r="E731" s="592" t="s">
        <v>410</v>
      </c>
      <c r="F731" s="593" t="s">
        <v>3369</v>
      </c>
      <c r="G731" s="593" t="s">
        <v>68</v>
      </c>
      <c r="H731" s="593" t="s">
        <v>72</v>
      </c>
      <c r="I731" s="593" t="s">
        <v>75</v>
      </c>
      <c r="J731" s="593" t="s">
        <v>77</v>
      </c>
      <c r="K731" s="237" t="s">
        <v>410</v>
      </c>
      <c r="L731" s="237" t="s">
        <v>410</v>
      </c>
      <c r="M731" s="237" t="s">
        <v>410</v>
      </c>
      <c r="N731" s="237" t="s">
        <v>410</v>
      </c>
      <c r="O731" s="237" t="s">
        <v>410</v>
      </c>
      <c r="P731" s="237" t="s">
        <v>410</v>
      </c>
      <c r="Q731" s="237" t="s">
        <v>410</v>
      </c>
      <c r="R731" s="237" t="s">
        <v>410</v>
      </c>
      <c r="S731" s="10" t="s">
        <v>410</v>
      </c>
      <c r="T731" s="10" t="s">
        <v>410</v>
      </c>
    </row>
    <row r="732" spans="1:20" hidden="1" outlineLevel="1" x14ac:dyDescent="0.3">
      <c r="A732" s="583" t="s">
        <v>1772</v>
      </c>
      <c r="B732" s="591">
        <v>6</v>
      </c>
      <c r="C732" s="583" t="s">
        <v>1256</v>
      </c>
      <c r="D732" s="583" t="s">
        <v>1461</v>
      </c>
      <c r="E732" s="592" t="s">
        <v>410</v>
      </c>
      <c r="F732" s="593" t="s">
        <v>3370</v>
      </c>
      <c r="G732" s="593" t="s">
        <v>70</v>
      </c>
      <c r="H732" s="593" t="s">
        <v>74</v>
      </c>
      <c r="I732" s="593" t="s">
        <v>76</v>
      </c>
      <c r="J732" s="237" t="s">
        <v>410</v>
      </c>
      <c r="K732" s="237" t="s">
        <v>410</v>
      </c>
      <c r="L732" s="237" t="s">
        <v>410</v>
      </c>
      <c r="M732" s="237" t="s">
        <v>410</v>
      </c>
      <c r="N732" s="237" t="s">
        <v>410</v>
      </c>
      <c r="O732" s="237" t="s">
        <v>410</v>
      </c>
      <c r="P732" s="237" t="s">
        <v>410</v>
      </c>
      <c r="Q732" s="237" t="s">
        <v>410</v>
      </c>
      <c r="R732" s="237" t="s">
        <v>410</v>
      </c>
      <c r="S732" s="10" t="s">
        <v>410</v>
      </c>
      <c r="T732" s="10" t="s">
        <v>410</v>
      </c>
    </row>
    <row r="733" spans="1:20" hidden="1" outlineLevel="1" x14ac:dyDescent="0.3">
      <c r="A733" s="583" t="s">
        <v>1789</v>
      </c>
      <c r="B733" s="591">
        <v>6</v>
      </c>
      <c r="C733" s="583" t="s">
        <v>1256</v>
      </c>
      <c r="D733" s="583" t="s">
        <v>1461</v>
      </c>
      <c r="E733" s="592" t="s">
        <v>410</v>
      </c>
      <c r="F733" s="593" t="s">
        <v>66</v>
      </c>
      <c r="G733" s="593" t="s">
        <v>67</v>
      </c>
      <c r="H733" s="593" t="s">
        <v>68</v>
      </c>
      <c r="I733" s="593" t="s">
        <v>70</v>
      </c>
      <c r="J733" s="593" t="s">
        <v>72</v>
      </c>
      <c r="K733" s="593" t="s">
        <v>74</v>
      </c>
      <c r="L733" s="237" t="s">
        <v>410</v>
      </c>
      <c r="M733" s="237" t="s">
        <v>410</v>
      </c>
      <c r="N733" s="237" t="s">
        <v>410</v>
      </c>
      <c r="O733" s="237" t="s">
        <v>410</v>
      </c>
      <c r="P733" s="237" t="s">
        <v>410</v>
      </c>
      <c r="Q733" s="237" t="s">
        <v>410</v>
      </c>
      <c r="R733" s="237" t="s">
        <v>410</v>
      </c>
      <c r="S733" s="10" t="s">
        <v>410</v>
      </c>
      <c r="T733" s="10" t="s">
        <v>410</v>
      </c>
    </row>
    <row r="734" spans="1:20" hidden="1" outlineLevel="1" x14ac:dyDescent="0.3">
      <c r="A734" s="583" t="s">
        <v>4315</v>
      </c>
      <c r="B734" s="591">
        <v>6</v>
      </c>
      <c r="C734" s="583" t="s">
        <v>1256</v>
      </c>
      <c r="D734" s="583" t="s">
        <v>1461</v>
      </c>
      <c r="E734" s="592" t="s">
        <v>410</v>
      </c>
      <c r="F734" s="593" t="s">
        <v>4316</v>
      </c>
      <c r="G734" s="593" t="s">
        <v>4317</v>
      </c>
      <c r="H734" s="593" t="s">
        <v>4318</v>
      </c>
      <c r="I734" s="593" t="s">
        <v>4319</v>
      </c>
      <c r="J734" s="593" t="s">
        <v>4320</v>
      </c>
      <c r="K734" s="237" t="s">
        <v>410</v>
      </c>
      <c r="L734" s="237" t="s">
        <v>410</v>
      </c>
      <c r="M734" s="237" t="s">
        <v>410</v>
      </c>
      <c r="N734" s="237" t="s">
        <v>410</v>
      </c>
      <c r="O734" s="237" t="s">
        <v>410</v>
      </c>
      <c r="P734" s="237" t="s">
        <v>410</v>
      </c>
      <c r="Q734" s="237" t="s">
        <v>410</v>
      </c>
      <c r="R734" s="237" t="s">
        <v>410</v>
      </c>
      <c r="S734" s="10" t="s">
        <v>410</v>
      </c>
      <c r="T734" s="10" t="s">
        <v>410</v>
      </c>
    </row>
    <row r="735" spans="1:20" hidden="1" outlineLevel="1" x14ac:dyDescent="0.3">
      <c r="A735" s="583" t="s">
        <v>4315</v>
      </c>
      <c r="B735" s="591">
        <v>6</v>
      </c>
      <c r="C735" s="583" t="s">
        <v>1256</v>
      </c>
      <c r="D735" s="583" t="s">
        <v>1461</v>
      </c>
      <c r="E735" s="592" t="s">
        <v>410</v>
      </c>
      <c r="F735" s="593" t="s">
        <v>4316</v>
      </c>
      <c r="G735" s="593" t="s">
        <v>4317</v>
      </c>
      <c r="H735" s="593" t="s">
        <v>4318</v>
      </c>
      <c r="I735" s="593" t="s">
        <v>4319</v>
      </c>
      <c r="J735" s="593" t="s">
        <v>4320</v>
      </c>
      <c r="K735" s="237" t="s">
        <v>410</v>
      </c>
      <c r="L735" s="237" t="s">
        <v>410</v>
      </c>
      <c r="M735" s="237" t="s">
        <v>410</v>
      </c>
      <c r="N735" s="237" t="s">
        <v>410</v>
      </c>
      <c r="O735" s="237" t="s">
        <v>410</v>
      </c>
      <c r="P735" s="237" t="s">
        <v>410</v>
      </c>
      <c r="Q735" s="237" t="s">
        <v>410</v>
      </c>
      <c r="R735" s="237" t="s">
        <v>410</v>
      </c>
      <c r="S735" s="10" t="s">
        <v>410</v>
      </c>
      <c r="T735" s="10" t="s">
        <v>410</v>
      </c>
    </row>
    <row r="736" spans="1:20" hidden="1" outlineLevel="1" x14ac:dyDescent="0.3">
      <c r="A736" s="583" t="s">
        <v>1907</v>
      </c>
      <c r="B736" s="591">
        <v>6</v>
      </c>
      <c r="C736" s="583" t="s">
        <v>1256</v>
      </c>
      <c r="D736" s="583" t="s">
        <v>1461</v>
      </c>
      <c r="E736" s="592" t="s">
        <v>410</v>
      </c>
      <c r="F736" s="593" t="s">
        <v>2265</v>
      </c>
      <c r="G736" s="593" t="s">
        <v>2266</v>
      </c>
      <c r="H736" s="593" t="s">
        <v>2267</v>
      </c>
      <c r="I736" s="593" t="s">
        <v>2268</v>
      </c>
      <c r="J736" s="237" t="s">
        <v>410</v>
      </c>
      <c r="K736" s="237" t="s">
        <v>410</v>
      </c>
      <c r="L736" s="237" t="s">
        <v>410</v>
      </c>
      <c r="M736" s="237" t="s">
        <v>410</v>
      </c>
      <c r="N736" s="237" t="s">
        <v>410</v>
      </c>
      <c r="O736" s="237" t="s">
        <v>410</v>
      </c>
      <c r="P736" s="237" t="s">
        <v>410</v>
      </c>
      <c r="Q736" s="237" t="s">
        <v>410</v>
      </c>
      <c r="R736" s="237" t="s">
        <v>410</v>
      </c>
      <c r="S736" s="10" t="s">
        <v>410</v>
      </c>
      <c r="T736" s="10" t="s">
        <v>410</v>
      </c>
    </row>
    <row r="737" spans="1:20" hidden="1" outlineLevel="1" x14ac:dyDescent="0.3">
      <c r="A737" s="583" t="s">
        <v>1920</v>
      </c>
      <c r="B737" s="591">
        <v>6</v>
      </c>
      <c r="C737" s="583" t="s">
        <v>1256</v>
      </c>
      <c r="D737" s="583" t="s">
        <v>1461</v>
      </c>
      <c r="E737" s="10" t="s">
        <v>410</v>
      </c>
      <c r="F737" s="593" t="s">
        <v>67</v>
      </c>
      <c r="G737" s="593" t="s">
        <v>68</v>
      </c>
      <c r="H737" s="593" t="s">
        <v>70</v>
      </c>
      <c r="I737" s="593" t="s">
        <v>72</v>
      </c>
      <c r="J737" s="237" t="s">
        <v>410</v>
      </c>
      <c r="K737" s="237" t="s">
        <v>410</v>
      </c>
      <c r="L737" s="237" t="s">
        <v>410</v>
      </c>
      <c r="M737" s="237" t="s">
        <v>410</v>
      </c>
      <c r="N737" s="237" t="s">
        <v>410</v>
      </c>
      <c r="O737" s="237" t="s">
        <v>410</v>
      </c>
      <c r="P737" s="237" t="s">
        <v>410</v>
      </c>
      <c r="Q737" s="237" t="s">
        <v>410</v>
      </c>
      <c r="R737" s="237" t="s">
        <v>410</v>
      </c>
      <c r="S737" s="10" t="s">
        <v>410</v>
      </c>
      <c r="T737" s="10" t="s">
        <v>410</v>
      </c>
    </row>
    <row r="738" spans="1:20" hidden="1" outlineLevel="1" x14ac:dyDescent="0.3">
      <c r="A738" s="583" t="s">
        <v>4189</v>
      </c>
      <c r="B738" s="591">
        <v>6</v>
      </c>
      <c r="C738" s="583" t="s">
        <v>1256</v>
      </c>
      <c r="D738" s="583" t="s">
        <v>1461</v>
      </c>
      <c r="E738" s="592" t="s">
        <v>410</v>
      </c>
      <c r="F738" s="593" t="s">
        <v>4304</v>
      </c>
      <c r="G738" s="593" t="s">
        <v>4305</v>
      </c>
      <c r="H738" s="593" t="s">
        <v>4306</v>
      </c>
      <c r="I738" s="593" t="s">
        <v>4307</v>
      </c>
      <c r="J738" s="593" t="s">
        <v>4308</v>
      </c>
      <c r="K738" s="593" t="s">
        <v>4309</v>
      </c>
      <c r="L738" s="593" t="s">
        <v>4310</v>
      </c>
      <c r="M738" s="593" t="s">
        <v>4311</v>
      </c>
      <c r="N738" s="237" t="s">
        <v>410</v>
      </c>
      <c r="O738" s="237" t="s">
        <v>410</v>
      </c>
      <c r="P738" s="237" t="s">
        <v>410</v>
      </c>
      <c r="Q738" s="237" t="s">
        <v>410</v>
      </c>
      <c r="R738" s="237" t="s">
        <v>410</v>
      </c>
      <c r="S738" s="10" t="s">
        <v>410</v>
      </c>
      <c r="T738" s="10" t="s">
        <v>410</v>
      </c>
    </row>
    <row r="739" spans="1:20" hidden="1" outlineLevel="1" x14ac:dyDescent="0.3">
      <c r="A739" s="583" t="s">
        <v>1939</v>
      </c>
      <c r="B739" s="591">
        <v>6</v>
      </c>
      <c r="C739" s="583" t="s">
        <v>1256</v>
      </c>
      <c r="D739" s="583" t="s">
        <v>1461</v>
      </c>
      <c r="E739" s="592" t="s">
        <v>410</v>
      </c>
      <c r="F739" s="593" t="s">
        <v>67</v>
      </c>
      <c r="G739" s="593" t="s">
        <v>68</v>
      </c>
      <c r="H739" s="593" t="s">
        <v>70</v>
      </c>
      <c r="I739" s="593" t="s">
        <v>72</v>
      </c>
      <c r="J739" s="593" t="s">
        <v>74</v>
      </c>
      <c r="K739" s="237" t="s">
        <v>410</v>
      </c>
      <c r="L739" s="237" t="s">
        <v>410</v>
      </c>
      <c r="M739" s="237" t="s">
        <v>410</v>
      </c>
      <c r="N739" s="237" t="s">
        <v>410</v>
      </c>
      <c r="O739" s="237" t="s">
        <v>410</v>
      </c>
      <c r="P739" s="237" t="s">
        <v>410</v>
      </c>
      <c r="Q739" s="237" t="s">
        <v>410</v>
      </c>
      <c r="R739" s="237" t="s">
        <v>410</v>
      </c>
      <c r="S739" s="10" t="s">
        <v>410</v>
      </c>
      <c r="T739" s="10" t="s">
        <v>410</v>
      </c>
    </row>
    <row r="740" spans="1:20" hidden="1" outlineLevel="1" x14ac:dyDescent="0.3">
      <c r="A740" s="583" t="s">
        <v>1994</v>
      </c>
      <c r="B740" s="591">
        <v>6</v>
      </c>
      <c r="C740" s="583" t="s">
        <v>1256</v>
      </c>
      <c r="D740" s="583" t="s">
        <v>1461</v>
      </c>
      <c r="E740" s="593" t="s">
        <v>410</v>
      </c>
      <c r="F740" s="593" t="s">
        <v>67</v>
      </c>
      <c r="G740" s="593" t="s">
        <v>3159</v>
      </c>
      <c r="H740" s="593" t="s">
        <v>3160</v>
      </c>
      <c r="I740" s="237" t="s">
        <v>410</v>
      </c>
      <c r="J740" s="237" t="s">
        <v>410</v>
      </c>
      <c r="K740" s="237" t="s">
        <v>410</v>
      </c>
      <c r="L740" s="237" t="s">
        <v>410</v>
      </c>
      <c r="M740" s="237" t="s">
        <v>410</v>
      </c>
      <c r="N740" s="237" t="s">
        <v>410</v>
      </c>
      <c r="O740" s="237" t="s">
        <v>410</v>
      </c>
      <c r="P740" s="237" t="s">
        <v>410</v>
      </c>
      <c r="Q740" s="237" t="s">
        <v>410</v>
      </c>
      <c r="R740" s="237" t="s">
        <v>410</v>
      </c>
      <c r="S740" s="237" t="s">
        <v>410</v>
      </c>
      <c r="T740" s="237" t="s">
        <v>410</v>
      </c>
    </row>
    <row r="741" spans="1:20" hidden="1" outlineLevel="1" x14ac:dyDescent="0.3">
      <c r="A741" s="583" t="s">
        <v>5060</v>
      </c>
      <c r="B741" s="591">
        <v>8</v>
      </c>
      <c r="C741" s="583" t="s">
        <v>1256</v>
      </c>
      <c r="D741" s="583" t="s">
        <v>1461</v>
      </c>
      <c r="E741" s="592" t="s">
        <v>410</v>
      </c>
      <c r="F741" s="593"/>
      <c r="G741" s="237" t="s">
        <v>410</v>
      </c>
      <c r="H741" s="237" t="s">
        <v>410</v>
      </c>
      <c r="I741" s="237" t="s">
        <v>410</v>
      </c>
      <c r="J741" s="237" t="s">
        <v>410</v>
      </c>
      <c r="K741" s="237" t="s">
        <v>410</v>
      </c>
      <c r="L741" s="237" t="s">
        <v>410</v>
      </c>
      <c r="M741" s="237" t="s">
        <v>410</v>
      </c>
      <c r="N741" s="237" t="s">
        <v>410</v>
      </c>
      <c r="O741" s="237" t="s">
        <v>410</v>
      </c>
      <c r="P741" s="237" t="s">
        <v>410</v>
      </c>
      <c r="Q741" s="237" t="s">
        <v>410</v>
      </c>
      <c r="R741" s="237" t="s">
        <v>410</v>
      </c>
      <c r="S741" s="10" t="s">
        <v>410</v>
      </c>
      <c r="T741" s="10" t="s">
        <v>410</v>
      </c>
    </row>
    <row r="742" spans="1:20" hidden="1" outlineLevel="1" x14ac:dyDescent="0.3">
      <c r="A742" s="583" t="s">
        <v>5226</v>
      </c>
      <c r="B742" s="591">
        <v>8</v>
      </c>
      <c r="C742" s="583" t="s">
        <v>1256</v>
      </c>
      <c r="D742" s="583" t="s">
        <v>1461</v>
      </c>
      <c r="E742" s="592" t="s">
        <v>410</v>
      </c>
      <c r="F742" s="593"/>
      <c r="G742" s="237" t="s">
        <v>410</v>
      </c>
      <c r="H742" s="237" t="s">
        <v>410</v>
      </c>
      <c r="I742" s="237" t="s">
        <v>410</v>
      </c>
      <c r="J742" s="237" t="s">
        <v>410</v>
      </c>
      <c r="K742" s="237" t="s">
        <v>410</v>
      </c>
      <c r="L742" s="237" t="s">
        <v>410</v>
      </c>
      <c r="M742" s="237" t="s">
        <v>410</v>
      </c>
      <c r="N742" s="237" t="s">
        <v>410</v>
      </c>
      <c r="O742" s="237" t="s">
        <v>410</v>
      </c>
      <c r="P742" s="237" t="s">
        <v>410</v>
      </c>
      <c r="Q742" s="237" t="s">
        <v>410</v>
      </c>
      <c r="R742" s="237" t="s">
        <v>410</v>
      </c>
      <c r="S742" s="10" t="s">
        <v>410</v>
      </c>
      <c r="T742" s="10" t="s">
        <v>410</v>
      </c>
    </row>
    <row r="743" spans="1:20" hidden="1" outlineLevel="1" x14ac:dyDescent="0.3">
      <c r="A743" s="583" t="s">
        <v>5225</v>
      </c>
      <c r="B743" s="591">
        <v>8</v>
      </c>
      <c r="C743" s="583" t="s">
        <v>1256</v>
      </c>
      <c r="D743" s="583" t="s">
        <v>1461</v>
      </c>
      <c r="E743" s="592" t="s">
        <v>410</v>
      </c>
      <c r="F743" s="593"/>
      <c r="G743" s="237" t="s">
        <v>410</v>
      </c>
      <c r="H743" s="237" t="s">
        <v>410</v>
      </c>
      <c r="I743" s="237" t="s">
        <v>410</v>
      </c>
      <c r="J743" s="237" t="s">
        <v>410</v>
      </c>
      <c r="K743" s="237" t="s">
        <v>410</v>
      </c>
      <c r="L743" s="237" t="s">
        <v>410</v>
      </c>
      <c r="M743" s="237" t="s">
        <v>410</v>
      </c>
      <c r="N743" s="237" t="s">
        <v>410</v>
      </c>
      <c r="O743" s="237" t="s">
        <v>410</v>
      </c>
      <c r="P743" s="237" t="s">
        <v>410</v>
      </c>
      <c r="Q743" s="237" t="s">
        <v>410</v>
      </c>
      <c r="R743" s="237" t="s">
        <v>410</v>
      </c>
      <c r="S743" s="10" t="s">
        <v>410</v>
      </c>
      <c r="T743" s="10" t="s">
        <v>410</v>
      </c>
    </row>
    <row r="744" spans="1:20" hidden="1" outlineLevel="1" x14ac:dyDescent="0.3">
      <c r="A744" s="583" t="s">
        <v>5061</v>
      </c>
      <c r="B744" s="591">
        <v>8</v>
      </c>
      <c r="C744" s="583" t="s">
        <v>1256</v>
      </c>
      <c r="D744" s="583" t="s">
        <v>1461</v>
      </c>
      <c r="E744" s="592" t="s">
        <v>410</v>
      </c>
      <c r="F744" s="593"/>
      <c r="G744" s="237" t="s">
        <v>410</v>
      </c>
      <c r="H744" s="237" t="s">
        <v>410</v>
      </c>
      <c r="I744" s="237" t="s">
        <v>410</v>
      </c>
      <c r="J744" s="237" t="s">
        <v>410</v>
      </c>
      <c r="K744" s="237" t="s">
        <v>410</v>
      </c>
      <c r="L744" s="237" t="s">
        <v>410</v>
      </c>
      <c r="M744" s="237" t="s">
        <v>410</v>
      </c>
      <c r="N744" s="237" t="s">
        <v>410</v>
      </c>
      <c r="O744" s="237" t="s">
        <v>410</v>
      </c>
      <c r="P744" s="237" t="s">
        <v>410</v>
      </c>
      <c r="Q744" s="237" t="s">
        <v>410</v>
      </c>
      <c r="R744" s="237" t="s">
        <v>410</v>
      </c>
      <c r="S744" s="10" t="s">
        <v>410</v>
      </c>
      <c r="T744" s="10" t="s">
        <v>410</v>
      </c>
    </row>
    <row r="745" spans="1:20" hidden="1" outlineLevel="1" x14ac:dyDescent="0.3">
      <c r="A745" s="583" t="s">
        <v>5065</v>
      </c>
      <c r="B745" s="591">
        <v>8</v>
      </c>
      <c r="C745" s="583" t="s">
        <v>1256</v>
      </c>
      <c r="D745" s="583" t="s">
        <v>1461</v>
      </c>
      <c r="E745" s="592" t="s">
        <v>410</v>
      </c>
      <c r="F745" s="593"/>
      <c r="G745" s="237" t="s">
        <v>410</v>
      </c>
      <c r="H745" s="237" t="s">
        <v>410</v>
      </c>
      <c r="I745" s="237" t="s">
        <v>410</v>
      </c>
      <c r="J745" s="237" t="s">
        <v>410</v>
      </c>
      <c r="K745" s="237" t="s">
        <v>410</v>
      </c>
      <c r="L745" s="237" t="s">
        <v>410</v>
      </c>
      <c r="M745" s="237" t="s">
        <v>410</v>
      </c>
      <c r="N745" s="237" t="s">
        <v>410</v>
      </c>
      <c r="O745" s="237" t="s">
        <v>410</v>
      </c>
      <c r="P745" s="237" t="s">
        <v>410</v>
      </c>
      <c r="Q745" s="237" t="s">
        <v>410</v>
      </c>
      <c r="R745" s="237" t="s">
        <v>410</v>
      </c>
      <c r="S745" s="10" t="s">
        <v>410</v>
      </c>
      <c r="T745" s="10" t="s">
        <v>410</v>
      </c>
    </row>
    <row r="746" spans="1:20" hidden="1" outlineLevel="1" x14ac:dyDescent="0.3">
      <c r="A746" s="583" t="s">
        <v>5147</v>
      </c>
      <c r="B746" s="591">
        <v>8</v>
      </c>
      <c r="C746" s="583" t="s">
        <v>1256</v>
      </c>
      <c r="D746" s="583" t="s">
        <v>1461</v>
      </c>
      <c r="E746" s="592" t="s">
        <v>410</v>
      </c>
      <c r="F746" s="593"/>
      <c r="G746" s="237" t="s">
        <v>410</v>
      </c>
      <c r="H746" s="237" t="s">
        <v>410</v>
      </c>
      <c r="I746" s="237" t="s">
        <v>410</v>
      </c>
      <c r="J746" s="237" t="s">
        <v>410</v>
      </c>
      <c r="K746" s="237" t="s">
        <v>410</v>
      </c>
      <c r="L746" s="237" t="s">
        <v>410</v>
      </c>
      <c r="M746" s="237" t="s">
        <v>410</v>
      </c>
      <c r="N746" s="237" t="s">
        <v>410</v>
      </c>
      <c r="O746" s="237" t="s">
        <v>410</v>
      </c>
      <c r="P746" s="237" t="s">
        <v>410</v>
      </c>
      <c r="Q746" s="237" t="s">
        <v>410</v>
      </c>
      <c r="R746" s="237" t="s">
        <v>410</v>
      </c>
      <c r="S746" s="10" t="s">
        <v>410</v>
      </c>
      <c r="T746" s="10" t="s">
        <v>410</v>
      </c>
    </row>
    <row r="747" spans="1:20" hidden="1" outlineLevel="1" x14ac:dyDescent="0.3">
      <c r="A747" s="583" t="s">
        <v>5068</v>
      </c>
      <c r="B747" s="591">
        <v>8</v>
      </c>
      <c r="C747" s="583" t="s">
        <v>1256</v>
      </c>
      <c r="D747" s="583" t="s">
        <v>1461</v>
      </c>
      <c r="E747" s="592" t="s">
        <v>410</v>
      </c>
      <c r="F747" s="593"/>
      <c r="G747" s="237" t="s">
        <v>410</v>
      </c>
      <c r="H747" s="237" t="s">
        <v>410</v>
      </c>
      <c r="I747" s="237" t="s">
        <v>410</v>
      </c>
      <c r="J747" s="237" t="s">
        <v>410</v>
      </c>
      <c r="K747" s="237" t="s">
        <v>410</v>
      </c>
      <c r="L747" s="237" t="s">
        <v>410</v>
      </c>
      <c r="M747" s="237" t="s">
        <v>410</v>
      </c>
      <c r="N747" s="237" t="s">
        <v>410</v>
      </c>
      <c r="O747" s="237" t="s">
        <v>410</v>
      </c>
      <c r="P747" s="237" t="s">
        <v>410</v>
      </c>
      <c r="Q747" s="237" t="s">
        <v>410</v>
      </c>
      <c r="R747" s="237" t="s">
        <v>410</v>
      </c>
      <c r="S747" s="10" t="s">
        <v>410</v>
      </c>
      <c r="T747" s="10" t="s">
        <v>410</v>
      </c>
    </row>
    <row r="748" spans="1:20" hidden="1" outlineLevel="1" x14ac:dyDescent="0.3">
      <c r="A748" s="583" t="s">
        <v>5227</v>
      </c>
      <c r="B748" s="591">
        <v>8</v>
      </c>
      <c r="C748" s="583" t="s">
        <v>1256</v>
      </c>
      <c r="D748" s="583" t="s">
        <v>1461</v>
      </c>
      <c r="E748" s="592" t="s">
        <v>410</v>
      </c>
      <c r="F748" s="593"/>
      <c r="G748" s="237" t="s">
        <v>410</v>
      </c>
      <c r="H748" s="237" t="s">
        <v>410</v>
      </c>
      <c r="I748" s="237" t="s">
        <v>410</v>
      </c>
      <c r="J748" s="237" t="s">
        <v>410</v>
      </c>
      <c r="K748" s="237" t="s">
        <v>410</v>
      </c>
      <c r="L748" s="237" t="s">
        <v>410</v>
      </c>
      <c r="M748" s="237" t="s">
        <v>410</v>
      </c>
      <c r="N748" s="237" t="s">
        <v>410</v>
      </c>
      <c r="O748" s="237" t="s">
        <v>410</v>
      </c>
      <c r="P748" s="237" t="s">
        <v>410</v>
      </c>
      <c r="Q748" s="237" t="s">
        <v>410</v>
      </c>
      <c r="R748" s="237" t="s">
        <v>410</v>
      </c>
      <c r="S748" s="10" t="s">
        <v>410</v>
      </c>
      <c r="T748" s="10" t="s">
        <v>410</v>
      </c>
    </row>
    <row r="749" spans="1:20" hidden="1" outlineLevel="1" x14ac:dyDescent="0.3">
      <c r="A749" s="583" t="s">
        <v>1553</v>
      </c>
      <c r="B749" s="591">
        <v>11</v>
      </c>
      <c r="C749" s="588" t="s">
        <v>1256</v>
      </c>
      <c r="D749" s="588" t="s">
        <v>1461</v>
      </c>
      <c r="E749" s="589" t="s">
        <v>410</v>
      </c>
      <c r="F749" s="590" t="s">
        <v>3356</v>
      </c>
      <c r="G749" s="590" t="s">
        <v>3357</v>
      </c>
      <c r="H749" s="590" t="s">
        <v>3358</v>
      </c>
      <c r="I749" s="590" t="s">
        <v>3359</v>
      </c>
      <c r="J749" s="590" t="s">
        <v>3360</v>
      </c>
      <c r="K749" s="590" t="s">
        <v>3361</v>
      </c>
      <c r="L749" s="590" t="s">
        <v>3362</v>
      </c>
      <c r="M749" s="590" t="s">
        <v>3363</v>
      </c>
      <c r="N749" s="590" t="s">
        <v>3364</v>
      </c>
      <c r="O749" s="590" t="s">
        <v>3365</v>
      </c>
      <c r="P749" s="590" t="s">
        <v>3366</v>
      </c>
      <c r="Q749" s="590" t="s">
        <v>3367</v>
      </c>
      <c r="R749" s="441" t="s">
        <v>410</v>
      </c>
      <c r="S749" s="441" t="s">
        <v>410</v>
      </c>
      <c r="T749" s="441" t="s">
        <v>410</v>
      </c>
    </row>
    <row r="750" spans="1:20" hidden="1" outlineLevel="1" x14ac:dyDescent="0.3">
      <c r="A750" s="583" t="s">
        <v>1656</v>
      </c>
      <c r="B750" s="591">
        <v>11</v>
      </c>
      <c r="C750" s="583" t="s">
        <v>1256</v>
      </c>
      <c r="D750" s="583" t="s">
        <v>1461</v>
      </c>
      <c r="E750" s="592" t="s">
        <v>410</v>
      </c>
      <c r="F750" s="593" t="s">
        <v>3293</v>
      </c>
      <c r="G750" s="593" t="s">
        <v>3294</v>
      </c>
      <c r="H750" s="593" t="s">
        <v>3295</v>
      </c>
      <c r="I750" s="593" t="s">
        <v>3296</v>
      </c>
      <c r="J750" s="593" t="s">
        <v>3297</v>
      </c>
      <c r="K750" s="237" t="s">
        <v>410</v>
      </c>
      <c r="L750" s="237" t="s">
        <v>410</v>
      </c>
      <c r="M750" s="237" t="s">
        <v>410</v>
      </c>
      <c r="N750" s="237" t="s">
        <v>410</v>
      </c>
      <c r="O750" s="237" t="s">
        <v>410</v>
      </c>
      <c r="P750" s="237" t="s">
        <v>410</v>
      </c>
      <c r="Q750" s="237" t="s">
        <v>410</v>
      </c>
      <c r="R750" s="237" t="s">
        <v>410</v>
      </c>
      <c r="S750" s="10" t="s">
        <v>410</v>
      </c>
      <c r="T750" s="10" t="s">
        <v>410</v>
      </c>
    </row>
    <row r="751" spans="1:20" hidden="1" outlineLevel="1" x14ac:dyDescent="0.3">
      <c r="A751" s="583" t="s">
        <v>1824</v>
      </c>
      <c r="B751" s="591">
        <v>11</v>
      </c>
      <c r="C751" s="583" t="s">
        <v>1256</v>
      </c>
      <c r="D751" s="583" t="s">
        <v>1461</v>
      </c>
      <c r="E751" s="592" t="s">
        <v>410</v>
      </c>
      <c r="F751" s="593" t="s">
        <v>3353</v>
      </c>
      <c r="G751" s="593" t="s">
        <v>3353</v>
      </c>
      <c r="H751" s="593" t="s">
        <v>3353</v>
      </c>
      <c r="I751" s="593" t="s">
        <v>3353</v>
      </c>
      <c r="J751" s="593" t="s">
        <v>3353</v>
      </c>
      <c r="K751" s="593" t="s">
        <v>3353</v>
      </c>
      <c r="L751" s="237" t="s">
        <v>410</v>
      </c>
      <c r="M751" s="237" t="s">
        <v>410</v>
      </c>
      <c r="N751" s="237" t="s">
        <v>410</v>
      </c>
      <c r="O751" s="237" t="s">
        <v>410</v>
      </c>
      <c r="P751" s="237" t="s">
        <v>410</v>
      </c>
      <c r="Q751" s="237" t="s">
        <v>410</v>
      </c>
      <c r="R751" s="237" t="s">
        <v>410</v>
      </c>
      <c r="S751" s="10" t="s">
        <v>410</v>
      </c>
      <c r="T751" s="10" t="s">
        <v>410</v>
      </c>
    </row>
    <row r="752" spans="1:20" hidden="1" outlineLevel="1" x14ac:dyDescent="0.3">
      <c r="A752" s="583" t="s">
        <v>1915</v>
      </c>
      <c r="B752" s="591">
        <v>11</v>
      </c>
      <c r="C752" s="583" t="s">
        <v>1256</v>
      </c>
      <c r="D752" s="583" t="s">
        <v>1461</v>
      </c>
      <c r="E752" s="592" t="s">
        <v>410</v>
      </c>
      <c r="F752" s="593" t="s">
        <v>1916</v>
      </c>
      <c r="G752" s="593" t="s">
        <v>1917</v>
      </c>
      <c r="H752" s="593" t="s">
        <v>3202</v>
      </c>
      <c r="I752" s="237" t="s">
        <v>410</v>
      </c>
      <c r="J752" s="237" t="s">
        <v>410</v>
      </c>
      <c r="K752" s="237" t="s">
        <v>410</v>
      </c>
      <c r="L752" s="237" t="s">
        <v>410</v>
      </c>
      <c r="M752" s="237" t="s">
        <v>410</v>
      </c>
      <c r="N752" s="237" t="s">
        <v>410</v>
      </c>
      <c r="O752" s="237" t="s">
        <v>410</v>
      </c>
      <c r="P752" s="237" t="s">
        <v>410</v>
      </c>
      <c r="Q752" s="237" t="s">
        <v>410</v>
      </c>
      <c r="R752" s="237" t="s">
        <v>410</v>
      </c>
      <c r="S752" s="10" t="s">
        <v>410</v>
      </c>
      <c r="T752" s="10" t="s">
        <v>410</v>
      </c>
    </row>
    <row r="753" spans="1:20" hidden="1" outlineLevel="1" x14ac:dyDescent="0.3">
      <c r="A753" s="583" t="s">
        <v>1918</v>
      </c>
      <c r="B753" s="591">
        <v>11</v>
      </c>
      <c r="C753" s="583" t="s">
        <v>1256</v>
      </c>
      <c r="D753" s="583" t="s">
        <v>1461</v>
      </c>
      <c r="E753" s="592" t="s">
        <v>410</v>
      </c>
      <c r="F753" s="593" t="s">
        <v>3376</v>
      </c>
      <c r="G753" s="593" t="s">
        <v>3377</v>
      </c>
      <c r="H753" s="593" t="s">
        <v>3378</v>
      </c>
      <c r="I753" s="237" t="s">
        <v>410</v>
      </c>
      <c r="J753" s="237" t="s">
        <v>410</v>
      </c>
      <c r="K753" s="237" t="s">
        <v>410</v>
      </c>
      <c r="L753" s="237" t="s">
        <v>410</v>
      </c>
      <c r="M753" s="237" t="s">
        <v>410</v>
      </c>
      <c r="N753" s="237" t="s">
        <v>410</v>
      </c>
      <c r="O753" s="237" t="s">
        <v>410</v>
      </c>
      <c r="P753" s="237" t="s">
        <v>410</v>
      </c>
      <c r="Q753" s="237" t="s">
        <v>410</v>
      </c>
      <c r="R753" s="237" t="s">
        <v>410</v>
      </c>
      <c r="S753" s="10" t="s">
        <v>410</v>
      </c>
      <c r="T753" s="10" t="s">
        <v>410</v>
      </c>
    </row>
    <row r="754" spans="1:20" hidden="1" outlineLevel="1" x14ac:dyDescent="0.3">
      <c r="A754" s="583" t="s">
        <v>3348</v>
      </c>
      <c r="B754" s="591">
        <v>16</v>
      </c>
      <c r="C754" s="583" t="s">
        <v>1256</v>
      </c>
      <c r="D754" s="583" t="s">
        <v>1461</v>
      </c>
      <c r="E754" s="592" t="s">
        <v>410</v>
      </c>
      <c r="F754" s="593" t="s">
        <v>3352</v>
      </c>
      <c r="G754" s="593" t="s">
        <v>3349</v>
      </c>
      <c r="H754" s="593" t="s">
        <v>3194</v>
      </c>
      <c r="I754" s="593" t="s">
        <v>3350</v>
      </c>
      <c r="J754" s="593" t="s">
        <v>3351</v>
      </c>
      <c r="K754" s="237" t="s">
        <v>410</v>
      </c>
      <c r="L754" s="237" t="s">
        <v>410</v>
      </c>
      <c r="M754" s="237" t="s">
        <v>410</v>
      </c>
      <c r="N754" s="237" t="s">
        <v>410</v>
      </c>
      <c r="O754" s="237" t="s">
        <v>410</v>
      </c>
      <c r="P754" s="237" t="s">
        <v>410</v>
      </c>
      <c r="Q754" s="237" t="s">
        <v>410</v>
      </c>
      <c r="R754" s="237" t="s">
        <v>410</v>
      </c>
      <c r="S754" s="10" t="s">
        <v>410</v>
      </c>
      <c r="T754" s="10" t="s">
        <v>410</v>
      </c>
    </row>
    <row r="755" spans="1:20" hidden="1" outlineLevel="1" x14ac:dyDescent="0.3">
      <c r="A755" s="583" t="s">
        <v>1764</v>
      </c>
      <c r="B755" s="591">
        <v>16</v>
      </c>
      <c r="C755" s="583" t="s">
        <v>1256</v>
      </c>
      <c r="D755" s="583" t="s">
        <v>1461</v>
      </c>
      <c r="E755" s="592" t="s">
        <v>410</v>
      </c>
      <c r="F755" s="593" t="s">
        <v>68</v>
      </c>
      <c r="G755" s="593" t="s">
        <v>70</v>
      </c>
      <c r="H755" s="594">
        <f>IF(ZRČ&lt;4,4,ZRČ)</f>
        <v>4</v>
      </c>
      <c r="I755" s="237" t="s">
        <v>410</v>
      </c>
      <c r="J755" s="237" t="s">
        <v>410</v>
      </c>
      <c r="K755" s="237" t="s">
        <v>410</v>
      </c>
      <c r="L755" s="237" t="s">
        <v>410</v>
      </c>
      <c r="M755" s="237" t="s">
        <v>410</v>
      </c>
      <c r="N755" s="237" t="s">
        <v>410</v>
      </c>
      <c r="O755" s="237" t="s">
        <v>410</v>
      </c>
      <c r="P755" s="237" t="s">
        <v>410</v>
      </c>
      <c r="Q755" s="237" t="s">
        <v>410</v>
      </c>
      <c r="R755" s="237" t="s">
        <v>410</v>
      </c>
      <c r="S755" s="10" t="s">
        <v>410</v>
      </c>
      <c r="T755" s="10" t="s">
        <v>410</v>
      </c>
    </row>
    <row r="756" spans="1:20" hidden="1" outlineLevel="1" x14ac:dyDescent="0.3">
      <c r="A756" s="583" t="s">
        <v>1814</v>
      </c>
      <c r="B756" s="591">
        <v>16</v>
      </c>
      <c r="C756" s="583" t="s">
        <v>1256</v>
      </c>
      <c r="D756" s="583" t="s">
        <v>1461</v>
      </c>
      <c r="E756" s="592" t="s">
        <v>410</v>
      </c>
      <c r="F756" s="593" t="s">
        <v>68</v>
      </c>
      <c r="G756" s="593" t="s">
        <v>72</v>
      </c>
      <c r="H756" s="593" t="s">
        <v>75</v>
      </c>
      <c r="I756" s="593" t="s">
        <v>77</v>
      </c>
      <c r="J756" s="593" t="s">
        <v>111</v>
      </c>
      <c r="K756" s="237" t="s">
        <v>410</v>
      </c>
      <c r="L756" s="237" t="s">
        <v>410</v>
      </c>
      <c r="M756" s="237" t="s">
        <v>410</v>
      </c>
      <c r="N756" s="237" t="s">
        <v>410</v>
      </c>
      <c r="O756" s="237" t="s">
        <v>410</v>
      </c>
      <c r="P756" s="237" t="s">
        <v>410</v>
      </c>
      <c r="Q756" s="237" t="s">
        <v>410</v>
      </c>
      <c r="R756" s="237" t="s">
        <v>410</v>
      </c>
      <c r="S756" s="10" t="s">
        <v>410</v>
      </c>
      <c r="T756" s="10" t="s">
        <v>410</v>
      </c>
    </row>
    <row r="757" spans="1:20" hidden="1" outlineLevel="1" x14ac:dyDescent="0.3">
      <c r="A757" s="583" t="s">
        <v>1822</v>
      </c>
      <c r="B757" s="591">
        <v>16</v>
      </c>
      <c r="C757" s="583" t="s">
        <v>1256</v>
      </c>
      <c r="D757" s="583" t="s">
        <v>1461</v>
      </c>
      <c r="E757" s="592" t="s">
        <v>410</v>
      </c>
      <c r="F757" s="593" t="s">
        <v>72</v>
      </c>
      <c r="G757" s="593" t="s">
        <v>74</v>
      </c>
      <c r="H757" s="593" t="s">
        <v>75</v>
      </c>
      <c r="I757" s="593" t="s">
        <v>76</v>
      </c>
      <c r="J757" s="237" t="s">
        <v>410</v>
      </c>
      <c r="K757" s="237" t="s">
        <v>410</v>
      </c>
      <c r="L757" s="237" t="s">
        <v>410</v>
      </c>
      <c r="M757" s="237" t="s">
        <v>410</v>
      </c>
      <c r="N757" s="237" t="s">
        <v>410</v>
      </c>
      <c r="O757" s="237" t="s">
        <v>410</v>
      </c>
      <c r="P757" s="237" t="s">
        <v>410</v>
      </c>
      <c r="Q757" s="237" t="s">
        <v>410</v>
      </c>
      <c r="R757" s="237" t="s">
        <v>410</v>
      </c>
      <c r="S757" s="10" t="s">
        <v>410</v>
      </c>
      <c r="T757" s="10" t="s">
        <v>410</v>
      </c>
    </row>
    <row r="758" spans="1:20" hidden="1" outlineLevel="1" x14ac:dyDescent="0.3">
      <c r="A758" s="583" t="s">
        <v>1825</v>
      </c>
      <c r="B758" s="591">
        <v>16</v>
      </c>
      <c r="C758" s="583" t="s">
        <v>1256</v>
      </c>
      <c r="D758" s="583" t="s">
        <v>1461</v>
      </c>
      <c r="E758" s="592" t="s">
        <v>410</v>
      </c>
      <c r="F758" s="593" t="s">
        <v>3353</v>
      </c>
      <c r="G758" s="593" t="s">
        <v>3353</v>
      </c>
      <c r="H758" s="593" t="s">
        <v>3353</v>
      </c>
      <c r="I758" s="593" t="s">
        <v>3353</v>
      </c>
      <c r="J758" s="593" t="s">
        <v>3353</v>
      </c>
      <c r="K758" s="593" t="s">
        <v>3353</v>
      </c>
      <c r="L758" s="237" t="s">
        <v>410</v>
      </c>
      <c r="M758" s="237" t="s">
        <v>410</v>
      </c>
      <c r="N758" s="237" t="s">
        <v>410</v>
      </c>
      <c r="O758" s="237" t="s">
        <v>410</v>
      </c>
      <c r="P758" s="237" t="s">
        <v>410</v>
      </c>
      <c r="Q758" s="237" t="s">
        <v>410</v>
      </c>
      <c r="R758" s="237" t="s">
        <v>410</v>
      </c>
      <c r="S758" s="10" t="s">
        <v>410</v>
      </c>
      <c r="T758" s="10" t="s">
        <v>410</v>
      </c>
    </row>
    <row r="759" spans="1:20" hidden="1" outlineLevel="1" x14ac:dyDescent="0.3">
      <c r="A759" s="583" t="s">
        <v>1828</v>
      </c>
      <c r="B759" s="591">
        <v>16</v>
      </c>
      <c r="C759" s="583" t="s">
        <v>1256</v>
      </c>
      <c r="D759" s="583" t="s">
        <v>1461</v>
      </c>
      <c r="E759" s="592" t="s">
        <v>410</v>
      </c>
      <c r="F759" s="593" t="s">
        <v>3374</v>
      </c>
      <c r="G759" s="593" t="s">
        <v>3371</v>
      </c>
      <c r="H759" s="593" t="s">
        <v>3372</v>
      </c>
      <c r="I759" s="593" t="s">
        <v>3373</v>
      </c>
      <c r="J759" s="237" t="s">
        <v>410</v>
      </c>
      <c r="K759" s="237" t="s">
        <v>410</v>
      </c>
      <c r="L759" s="237" t="s">
        <v>410</v>
      </c>
      <c r="M759" s="237" t="s">
        <v>410</v>
      </c>
      <c r="N759" s="237" t="s">
        <v>410</v>
      </c>
      <c r="O759" s="237" t="s">
        <v>410</v>
      </c>
      <c r="P759" s="237" t="s">
        <v>410</v>
      </c>
      <c r="Q759" s="237" t="s">
        <v>410</v>
      </c>
      <c r="R759" s="237" t="s">
        <v>410</v>
      </c>
      <c r="S759" s="10" t="s">
        <v>410</v>
      </c>
      <c r="T759" s="10" t="s">
        <v>410</v>
      </c>
    </row>
    <row r="760" spans="1:20" hidden="1" outlineLevel="1" x14ac:dyDescent="0.3">
      <c r="A760" s="583" t="s">
        <v>1828</v>
      </c>
      <c r="B760" s="591">
        <v>16</v>
      </c>
      <c r="C760" s="583" t="s">
        <v>1256</v>
      </c>
      <c r="D760" s="583" t="s">
        <v>1461</v>
      </c>
      <c r="E760" s="592" t="s">
        <v>410</v>
      </c>
      <c r="F760" s="593" t="s">
        <v>3374</v>
      </c>
      <c r="G760" s="593" t="s">
        <v>3371</v>
      </c>
      <c r="H760" s="593" t="s">
        <v>3372</v>
      </c>
      <c r="I760" s="593" t="s">
        <v>3373</v>
      </c>
      <c r="J760" s="237" t="s">
        <v>410</v>
      </c>
      <c r="K760" s="237" t="s">
        <v>410</v>
      </c>
      <c r="L760" s="237" t="s">
        <v>410</v>
      </c>
      <c r="M760" s="237" t="s">
        <v>410</v>
      </c>
      <c r="N760" s="237" t="s">
        <v>410</v>
      </c>
      <c r="O760" s="237" t="s">
        <v>410</v>
      </c>
      <c r="P760" s="237" t="s">
        <v>410</v>
      </c>
      <c r="Q760" s="237" t="s">
        <v>410</v>
      </c>
      <c r="R760" s="237" t="s">
        <v>410</v>
      </c>
      <c r="S760" s="10" t="s">
        <v>410</v>
      </c>
      <c r="T760" s="10" t="s">
        <v>410</v>
      </c>
    </row>
    <row r="761" spans="1:20" hidden="1" outlineLevel="1" x14ac:dyDescent="0.3">
      <c r="A761" s="583" t="s">
        <v>1866</v>
      </c>
      <c r="B761" s="591">
        <v>16</v>
      </c>
      <c r="C761" s="583" t="s">
        <v>1256</v>
      </c>
      <c r="D761" s="583" t="s">
        <v>1461</v>
      </c>
      <c r="E761" s="592" t="s">
        <v>410</v>
      </c>
      <c r="F761" s="593" t="s">
        <v>67</v>
      </c>
      <c r="G761" s="593" t="s">
        <v>68</v>
      </c>
      <c r="H761" s="593" t="s">
        <v>70</v>
      </c>
      <c r="I761" s="593" t="s">
        <v>72</v>
      </c>
      <c r="J761" s="593" t="s">
        <v>74</v>
      </c>
      <c r="K761" s="237" t="s">
        <v>410</v>
      </c>
      <c r="L761" s="237" t="s">
        <v>410</v>
      </c>
      <c r="M761" s="237" t="s">
        <v>410</v>
      </c>
      <c r="N761" s="237" t="s">
        <v>410</v>
      </c>
      <c r="O761" s="237" t="s">
        <v>410</v>
      </c>
      <c r="P761" s="237" t="s">
        <v>410</v>
      </c>
      <c r="Q761" s="237" t="s">
        <v>410</v>
      </c>
      <c r="R761" s="237" t="s">
        <v>410</v>
      </c>
      <c r="S761" s="10" t="s">
        <v>410</v>
      </c>
      <c r="T761" s="10" t="s">
        <v>410</v>
      </c>
    </row>
    <row r="762" spans="1:20" hidden="1" outlineLevel="1" x14ac:dyDescent="0.3">
      <c r="A762" s="583" t="s">
        <v>4190</v>
      </c>
      <c r="B762" s="591">
        <v>16</v>
      </c>
      <c r="C762" s="583" t="s">
        <v>1256</v>
      </c>
      <c r="D762" s="583" t="s">
        <v>1461</v>
      </c>
      <c r="E762" s="592" t="s">
        <v>410</v>
      </c>
      <c r="F762" s="593" t="s">
        <v>4191</v>
      </c>
      <c r="G762" s="593" t="s">
        <v>4192</v>
      </c>
      <c r="H762" s="593" t="s">
        <v>4193</v>
      </c>
      <c r="I762" s="593" t="s">
        <v>4194</v>
      </c>
      <c r="J762" t="s">
        <v>410</v>
      </c>
      <c r="K762" t="s">
        <v>410</v>
      </c>
      <c r="L762" t="s">
        <v>410</v>
      </c>
      <c r="M762" t="s">
        <v>410</v>
      </c>
      <c r="N762" t="s">
        <v>410</v>
      </c>
      <c r="O762" t="s">
        <v>410</v>
      </c>
      <c r="P762" t="s">
        <v>410</v>
      </c>
      <c r="Q762" t="s">
        <v>410</v>
      </c>
      <c r="R762" t="s">
        <v>410</v>
      </c>
      <c r="S762" t="s">
        <v>410</v>
      </c>
      <c r="T762" t="s">
        <v>410</v>
      </c>
    </row>
    <row r="763" spans="1:20" hidden="1" outlineLevel="1" x14ac:dyDescent="0.3">
      <c r="A763" s="583" t="s">
        <v>5141</v>
      </c>
      <c r="B763" s="591">
        <v>16</v>
      </c>
      <c r="C763" s="583" t="s">
        <v>1256</v>
      </c>
      <c r="D763" s="583" t="s">
        <v>1461</v>
      </c>
      <c r="E763" s="593" t="s">
        <v>410</v>
      </c>
      <c r="F763" s="593" t="s">
        <v>1481</v>
      </c>
      <c r="G763" s="593" t="s">
        <v>3553</v>
      </c>
      <c r="H763" s="593" t="s">
        <v>5142</v>
      </c>
      <c r="I763" s="593" t="s">
        <v>5143</v>
      </c>
      <c r="J763" s="593" t="s">
        <v>5144</v>
      </c>
      <c r="K763" s="237" t="s">
        <v>410</v>
      </c>
      <c r="L763" s="237" t="s">
        <v>410</v>
      </c>
      <c r="M763" s="237" t="s">
        <v>410</v>
      </c>
      <c r="N763" s="237" t="s">
        <v>410</v>
      </c>
      <c r="O763" s="237" t="s">
        <v>410</v>
      </c>
      <c r="P763" s="237" t="s">
        <v>410</v>
      </c>
      <c r="Q763" s="237" t="s">
        <v>410</v>
      </c>
      <c r="R763" s="237" t="s">
        <v>410</v>
      </c>
      <c r="S763" s="237" t="s">
        <v>410</v>
      </c>
      <c r="T763" s="237" t="s">
        <v>410</v>
      </c>
    </row>
    <row r="764" spans="1:20" hidden="1" outlineLevel="1" x14ac:dyDescent="0.3">
      <c r="A764" s="583" t="s">
        <v>5204</v>
      </c>
      <c r="B764" s="591">
        <v>16</v>
      </c>
      <c r="C764" s="583" t="s">
        <v>1256</v>
      </c>
      <c r="D764" s="583" t="s">
        <v>1461</v>
      </c>
      <c r="E764" s="593" t="s">
        <v>410</v>
      </c>
      <c r="F764" s="593" t="s">
        <v>3355</v>
      </c>
      <c r="G764" s="593" t="s">
        <v>1975</v>
      </c>
      <c r="H764" s="593" t="s">
        <v>1976</v>
      </c>
      <c r="I764" s="593" t="s">
        <v>1977</v>
      </c>
      <c r="J764" s="593" t="s">
        <v>3354</v>
      </c>
      <c r="K764" s="237" t="s">
        <v>410</v>
      </c>
      <c r="L764" s="237" t="s">
        <v>410</v>
      </c>
      <c r="M764" s="237" t="s">
        <v>410</v>
      </c>
      <c r="N764" s="237" t="s">
        <v>410</v>
      </c>
      <c r="O764" s="237" t="s">
        <v>410</v>
      </c>
      <c r="P764" s="237" t="s">
        <v>410</v>
      </c>
      <c r="Q764" s="237" t="s">
        <v>410</v>
      </c>
      <c r="R764" s="237" t="s">
        <v>410</v>
      </c>
      <c r="S764" s="237" t="s">
        <v>410</v>
      </c>
      <c r="T764" s="237" t="s">
        <v>410</v>
      </c>
    </row>
    <row r="765" spans="1:20" hidden="1" outlineLevel="1" x14ac:dyDescent="0.3">
      <c r="A765" s="583" t="s">
        <v>1861</v>
      </c>
      <c r="B765" s="591">
        <v>21</v>
      </c>
      <c r="C765" s="583" t="s">
        <v>1256</v>
      </c>
      <c r="D765" s="583" t="s">
        <v>1461</v>
      </c>
      <c r="E765" s="592" t="s">
        <v>410</v>
      </c>
      <c r="F765" s="593" t="s">
        <v>3375</v>
      </c>
      <c r="G765" s="593" t="s">
        <v>3353</v>
      </c>
      <c r="H765" s="593" t="s">
        <v>3353</v>
      </c>
      <c r="I765" s="593" t="s">
        <v>3353</v>
      </c>
      <c r="J765" s="593" t="s">
        <v>3353</v>
      </c>
      <c r="K765" s="593" t="s">
        <v>3353</v>
      </c>
      <c r="L765" s="593" t="s">
        <v>3353</v>
      </c>
      <c r="M765" s="593" t="s">
        <v>3353</v>
      </c>
      <c r="N765" s="593" t="s">
        <v>3353</v>
      </c>
      <c r="O765" s="237" t="s">
        <v>410</v>
      </c>
      <c r="P765" s="237" t="s">
        <v>410</v>
      </c>
      <c r="Q765" s="237" t="s">
        <v>410</v>
      </c>
      <c r="R765" s="237" t="s">
        <v>410</v>
      </c>
      <c r="S765" s="10" t="s">
        <v>410</v>
      </c>
      <c r="T765" s="10" t="s">
        <v>410</v>
      </c>
    </row>
    <row r="766" spans="1:20" hidden="1" outlineLevel="1" x14ac:dyDescent="0.3">
      <c r="A766" s="583" t="s">
        <v>2066</v>
      </c>
      <c r="B766" s="591">
        <v>0</v>
      </c>
      <c r="C766" s="583" t="s">
        <v>1564</v>
      </c>
      <c r="D766" s="583" t="s">
        <v>1461</v>
      </c>
      <c r="F766" t="s">
        <v>410</v>
      </c>
      <c r="G766" t="s">
        <v>410</v>
      </c>
      <c r="H766" t="s">
        <v>410</v>
      </c>
      <c r="I766" t="s">
        <v>410</v>
      </c>
      <c r="J766" t="s">
        <v>410</v>
      </c>
      <c r="K766" t="s">
        <v>410</v>
      </c>
      <c r="L766" t="s">
        <v>410</v>
      </c>
      <c r="M766" t="s">
        <v>410</v>
      </c>
      <c r="N766" t="s">
        <v>410</v>
      </c>
      <c r="O766" t="s">
        <v>410</v>
      </c>
      <c r="P766" t="s">
        <v>410</v>
      </c>
      <c r="Q766" t="s">
        <v>410</v>
      </c>
      <c r="R766" t="s">
        <v>410</v>
      </c>
      <c r="S766" t="s">
        <v>410</v>
      </c>
      <c r="T766" t="s">
        <v>410</v>
      </c>
    </row>
    <row r="767" spans="1:20" hidden="1" outlineLevel="1" x14ac:dyDescent="0.3">
      <c r="A767" s="583" t="s">
        <v>2269</v>
      </c>
      <c r="B767" s="591">
        <v>6</v>
      </c>
      <c r="C767" s="583" t="s">
        <v>1564</v>
      </c>
      <c r="D767" s="583" t="s">
        <v>1461</v>
      </c>
      <c r="E767" s="592" t="s">
        <v>2273</v>
      </c>
      <c r="F767" t="s">
        <v>410</v>
      </c>
      <c r="G767" t="s">
        <v>410</v>
      </c>
      <c r="H767" t="s">
        <v>410</v>
      </c>
      <c r="I767" t="s">
        <v>410</v>
      </c>
      <c r="J767" t="s">
        <v>410</v>
      </c>
      <c r="K767" t="s">
        <v>410</v>
      </c>
      <c r="L767" t="s">
        <v>410</v>
      </c>
      <c r="M767" t="s">
        <v>410</v>
      </c>
      <c r="N767" t="s">
        <v>410</v>
      </c>
      <c r="O767" t="s">
        <v>410</v>
      </c>
      <c r="P767" t="s">
        <v>410</v>
      </c>
      <c r="Q767" t="s">
        <v>410</v>
      </c>
      <c r="R767" t="s">
        <v>410</v>
      </c>
      <c r="S767" t="s">
        <v>410</v>
      </c>
      <c r="T767" t="s">
        <v>410</v>
      </c>
    </row>
    <row r="768" spans="1:20" hidden="1" outlineLevel="1" x14ac:dyDescent="0.3">
      <c r="A768" s="583" t="s">
        <v>2270</v>
      </c>
      <c r="B768" s="591">
        <v>7</v>
      </c>
      <c r="C768" s="583" t="s">
        <v>1564</v>
      </c>
      <c r="D768" s="583" t="s">
        <v>1461</v>
      </c>
      <c r="E768" s="592" t="s">
        <v>2274</v>
      </c>
      <c r="F768" t="s">
        <v>410</v>
      </c>
      <c r="G768" t="s">
        <v>410</v>
      </c>
      <c r="H768" t="s">
        <v>410</v>
      </c>
      <c r="I768" t="s">
        <v>410</v>
      </c>
      <c r="J768" t="s">
        <v>410</v>
      </c>
      <c r="K768" t="s">
        <v>410</v>
      </c>
      <c r="L768" t="s">
        <v>410</v>
      </c>
      <c r="M768" t="s">
        <v>410</v>
      </c>
      <c r="N768" t="s">
        <v>410</v>
      </c>
      <c r="O768" t="s">
        <v>410</v>
      </c>
      <c r="P768" t="s">
        <v>410</v>
      </c>
      <c r="Q768" t="s">
        <v>410</v>
      </c>
      <c r="R768" t="s">
        <v>410</v>
      </c>
      <c r="S768" t="s">
        <v>410</v>
      </c>
      <c r="T768" t="s">
        <v>410</v>
      </c>
    </row>
    <row r="769" spans="1:20" hidden="1" outlineLevel="1" x14ac:dyDescent="0.3">
      <c r="A769" s="583" t="s">
        <v>2271</v>
      </c>
      <c r="B769" s="591">
        <v>8</v>
      </c>
      <c r="C769" s="583" t="s">
        <v>1564</v>
      </c>
      <c r="D769" s="583" t="s">
        <v>1461</v>
      </c>
      <c r="E769" s="614" t="str">
        <f>CONCATENATE(CONCATENATE(TEXT(36+7*'1-Vlastnosti'!$U$2,0))," %")</f>
        <v>43 %</v>
      </c>
      <c r="F769" t="s">
        <v>410</v>
      </c>
      <c r="G769" t="s">
        <v>410</v>
      </c>
      <c r="H769" t="s">
        <v>410</v>
      </c>
      <c r="I769" t="s">
        <v>410</v>
      </c>
      <c r="J769" t="s">
        <v>410</v>
      </c>
      <c r="K769" t="s">
        <v>410</v>
      </c>
      <c r="L769" t="s">
        <v>410</v>
      </c>
      <c r="M769" t="s">
        <v>410</v>
      </c>
      <c r="N769" t="s">
        <v>410</v>
      </c>
      <c r="O769" t="s">
        <v>410</v>
      </c>
      <c r="P769" t="s">
        <v>410</v>
      </c>
      <c r="Q769" t="s">
        <v>410</v>
      </c>
      <c r="R769" t="s">
        <v>410</v>
      </c>
      <c r="S769" t="s">
        <v>410</v>
      </c>
      <c r="T769" t="s">
        <v>410</v>
      </c>
    </row>
    <row r="770" spans="1:20" hidden="1" outlineLevel="1" x14ac:dyDescent="0.3">
      <c r="A770" s="583" t="s">
        <v>2272</v>
      </c>
      <c r="B770" s="591">
        <v>9</v>
      </c>
      <c r="C770" s="583" t="s">
        <v>1564</v>
      </c>
      <c r="D770" s="583" t="s">
        <v>1461</v>
      </c>
      <c r="E770" s="592" t="s">
        <v>2275</v>
      </c>
      <c r="F770" t="s">
        <v>410</v>
      </c>
      <c r="G770" t="s">
        <v>410</v>
      </c>
      <c r="H770" t="s">
        <v>410</v>
      </c>
      <c r="I770" t="s">
        <v>410</v>
      </c>
      <c r="J770" t="s">
        <v>410</v>
      </c>
      <c r="K770" t="s">
        <v>410</v>
      </c>
      <c r="L770" t="s">
        <v>410</v>
      </c>
      <c r="M770" t="s">
        <v>410</v>
      </c>
      <c r="N770" t="s">
        <v>410</v>
      </c>
      <c r="O770" t="s">
        <v>410</v>
      </c>
      <c r="P770" t="s">
        <v>410</v>
      </c>
      <c r="Q770" t="s">
        <v>410</v>
      </c>
      <c r="R770" t="s">
        <v>410</v>
      </c>
      <c r="S770" t="s">
        <v>410</v>
      </c>
      <c r="T770" t="s">
        <v>410</v>
      </c>
    </row>
    <row r="771" spans="1:20" collapsed="1" x14ac:dyDescent="0.3">
      <c r="A771" s="583" t="s">
        <v>3333</v>
      </c>
      <c r="B771" s="591">
        <v>1</v>
      </c>
      <c r="C771" s="588" t="s">
        <v>1256</v>
      </c>
      <c r="D771" s="588" t="s">
        <v>1474</v>
      </c>
      <c r="E771" s="589" t="s">
        <v>66</v>
      </c>
      <c r="F771" s="590" t="s">
        <v>5503</v>
      </c>
      <c r="G771" s="590" t="s">
        <v>3159</v>
      </c>
      <c r="H771" s="590" t="s">
        <v>3160</v>
      </c>
      <c r="I771" s="590" t="s">
        <v>3274</v>
      </c>
      <c r="J771" s="441" t="s">
        <v>410</v>
      </c>
      <c r="K771" s="441" t="s">
        <v>410</v>
      </c>
      <c r="L771" s="441" t="s">
        <v>410</v>
      </c>
      <c r="M771" s="441" t="s">
        <v>410</v>
      </c>
      <c r="N771" s="441" t="s">
        <v>410</v>
      </c>
      <c r="O771" s="441" t="s">
        <v>410</v>
      </c>
      <c r="P771" s="441" t="s">
        <v>410</v>
      </c>
      <c r="Q771" s="441" t="s">
        <v>410</v>
      </c>
      <c r="R771" s="441" t="s">
        <v>410</v>
      </c>
      <c r="S771" s="441" t="s">
        <v>410</v>
      </c>
      <c r="T771" s="441" t="s">
        <v>410</v>
      </c>
    </row>
    <row r="772" spans="1:20" hidden="1" outlineLevel="1" x14ac:dyDescent="0.3">
      <c r="A772" s="583" t="s">
        <v>3610</v>
      </c>
      <c r="B772" s="591">
        <v>1</v>
      </c>
      <c r="C772" s="588" t="s">
        <v>1256</v>
      </c>
      <c r="D772" s="588" t="s">
        <v>1474</v>
      </c>
      <c r="E772" s="589" t="s">
        <v>410</v>
      </c>
      <c r="F772" s="594" t="str">
        <f>CONCATENATE(TEXT(4+IF(ZRČ&lt;0,0,ZRČ)*1,"0")," mg")</f>
        <v>4 mg</v>
      </c>
      <c r="G772" s="594" t="str">
        <f>CONCATENATE(TEXT(5+IF(ZRČ&lt;0,0,ZRČ)*2,"0")," mg")</f>
        <v>5 mg</v>
      </c>
      <c r="H772" s="594" t="str">
        <f>CONCATENATE(TEXT(7+IF(ZRČ&lt;0,0,ZRČ)*2,"0")," mg")</f>
        <v>7 mg</v>
      </c>
      <c r="I772" s="594" t="str">
        <f>CONCATENATE(TEXT(9+IF(ZRČ&lt;0,0,ZRČ)*2,"0")," mg")</f>
        <v>9 mg</v>
      </c>
      <c r="J772" s="594" t="str">
        <f>CONCATENATE(TEXT(9+IF(ZRČ&lt;0,0,ZRČ)*3,"0")," mg")</f>
        <v>9 mg</v>
      </c>
      <c r="K772" s="594" t="str">
        <f>CONCATENATE(TEXT(10+IF(ZRČ&lt;0,0,ZRČ)*4,"0")," mg")</f>
        <v>10 mg</v>
      </c>
      <c r="L772" s="594" t="str">
        <f>CONCATENATE(TEXT(13+IF(ZRČ&lt;0,0,ZRČ)*4,"0")," mg")</f>
        <v>13 mg</v>
      </c>
      <c r="M772" s="594" t="str">
        <f>CONCATENATE(TEXT(16+IF(ZRČ&lt;0,0,ZRČ)*4,"0")," mg")</f>
        <v>16 mg</v>
      </c>
      <c r="N772" s="594" t="str">
        <f>CONCATENATE(TEXT(19+IF(ZRČ&lt;0,0,ZRČ)*4,"0")," mg")</f>
        <v>19 mg</v>
      </c>
      <c r="O772" s="594" t="str">
        <f>CONCATENATE(TEXT(21+IF(ZRČ&lt;0,0,ZRČ)*5,"0")," mg")</f>
        <v>21 mg</v>
      </c>
      <c r="P772" s="441" t="s">
        <v>410</v>
      </c>
      <c r="Q772" s="441" t="s">
        <v>410</v>
      </c>
      <c r="R772" s="441" t="s">
        <v>410</v>
      </c>
      <c r="S772" s="441" t="s">
        <v>410</v>
      </c>
      <c r="T772" s="441" t="s">
        <v>410</v>
      </c>
    </row>
    <row r="773" spans="1:20" hidden="1" outlineLevel="1" x14ac:dyDescent="0.3">
      <c r="A773" s="583" t="s">
        <v>3611</v>
      </c>
      <c r="B773" s="591">
        <v>1</v>
      </c>
      <c r="C773" s="588" t="s">
        <v>1256</v>
      </c>
      <c r="D773" s="588" t="s">
        <v>1474</v>
      </c>
      <c r="E773" s="589" t="s">
        <v>410</v>
      </c>
      <c r="F773" s="594" t="str">
        <f>CONCATENATE(TEXT(4+IF(VOL&lt;0,0,VOL)*1,"0")," mg")</f>
        <v>4 mg</v>
      </c>
      <c r="G773" s="594" t="str">
        <f>CONCATENATE(TEXT(5+IF(VOL&lt;0,0,VOL)*2,"0")," mg")</f>
        <v>5 mg</v>
      </c>
      <c r="H773" s="594" t="str">
        <f>CONCATENATE(TEXT(7+IF(VOL&lt;0,0,VOL)*2,"0")," mg")</f>
        <v>7 mg</v>
      </c>
      <c r="I773" s="594" t="str">
        <f>CONCATENATE(TEXT(9+IF(VOL&lt;0,0,VOL)*2,"0")," mg")</f>
        <v>9 mg</v>
      </c>
      <c r="J773" s="594" t="str">
        <f>CONCATENATE(TEXT(9+IF(VOL&lt;0,0,VOL)*3,"0")," mg")</f>
        <v>9 mg</v>
      </c>
      <c r="K773" s="594" t="str">
        <f>CONCATENATE(TEXT(10+IF(VOL&lt;0,0,VOL)*4,"0")," mg")</f>
        <v>10 mg</v>
      </c>
      <c r="L773" s="594" t="str">
        <f>CONCATENATE(TEXT(13+IF(VOL&lt;0,0,VOL)*4,"0")," mg")</f>
        <v>13 mg</v>
      </c>
      <c r="M773" s="594" t="str">
        <f>CONCATENATE(TEXT(16+IF(VOL&lt;0,0,VOL)*4,"0")," mg")</f>
        <v>16 mg</v>
      </c>
      <c r="N773" s="594" t="str">
        <f>CONCATENATE(TEXT(19+IF(VOL&lt;0,0,VOL)*4,"0")," mg")</f>
        <v>19 mg</v>
      </c>
      <c r="O773" s="594" t="str">
        <f>CONCATENATE(TEXT(21+IF(VOL&lt;0,0,VOL)*5,"0")," mg")</f>
        <v>21 mg</v>
      </c>
      <c r="P773" s="441" t="s">
        <v>410</v>
      </c>
      <c r="Q773" s="441" t="s">
        <v>410</v>
      </c>
      <c r="R773" s="441" t="s">
        <v>410</v>
      </c>
      <c r="S773" s="441" t="s">
        <v>410</v>
      </c>
      <c r="T773" s="441" t="s">
        <v>410</v>
      </c>
    </row>
    <row r="774" spans="1:20" hidden="1" outlineLevel="1" x14ac:dyDescent="0.3">
      <c r="A774" s="583" t="s">
        <v>3612</v>
      </c>
      <c r="B774" s="591">
        <v>1</v>
      </c>
      <c r="C774" s="588" t="s">
        <v>1256</v>
      </c>
      <c r="D774" s="588" t="s">
        <v>1474</v>
      </c>
      <c r="E774" s="589" t="s">
        <v>410</v>
      </c>
      <c r="F774" s="594" t="str">
        <f>CONCATENATE(TEXT(4+IF(SIL&lt;0,0,SIL)*1,"0")," mg")</f>
        <v>4 mg</v>
      </c>
      <c r="G774" s="594" t="str">
        <f>CONCATENATE(TEXT(5+IF(SIL&lt;0,0,SIL)*2,"0")," mg")</f>
        <v>5 mg</v>
      </c>
      <c r="H774" s="594" t="str">
        <f>CONCATENATE(TEXT(7+IF(SIL&lt;0,0,SIL)*2,"0")," mg")</f>
        <v>7 mg</v>
      </c>
      <c r="I774" s="594" t="str">
        <f>CONCATENATE(TEXT(9+IF(SIL&lt;0,0,SIL)*2,"0")," mg")</f>
        <v>9 mg</v>
      </c>
      <c r="J774" s="594" t="str">
        <f>CONCATENATE(TEXT(9+IF(SIL&lt;0,0,SIL)*3,"0")," mg")</f>
        <v>9 mg</v>
      </c>
      <c r="K774" s="594" t="str">
        <f>CONCATENATE(TEXT(10+IF(SIL&lt;0,0,SIL)*4,"0")," mg")</f>
        <v>10 mg</v>
      </c>
      <c r="L774" s="594" t="str">
        <f>CONCATENATE(TEXT(13+IF(SIL&lt;0,0,SIL)*4,"0")," mg")</f>
        <v>13 mg</v>
      </c>
      <c r="M774" s="594" t="str">
        <f>CONCATENATE(TEXT(16+IF(SIL&lt;0,0,SIL)*4,"0")," mg")</f>
        <v>16 mg</v>
      </c>
      <c r="N774" s="594" t="str">
        <f>CONCATENATE(TEXT(19+IF(SIL&lt;0,0,SIL)*4,"0")," mg")</f>
        <v>19 mg</v>
      </c>
      <c r="O774" s="594" t="str">
        <f>CONCATENATE(TEXT(21+IF(SIL&lt;0,0,SIL)*5,"0")," mg")</f>
        <v>21 mg</v>
      </c>
      <c r="P774" s="441" t="s">
        <v>410</v>
      </c>
      <c r="Q774" s="441" t="s">
        <v>410</v>
      </c>
      <c r="R774" s="441" t="s">
        <v>410</v>
      </c>
      <c r="S774" s="441" t="s">
        <v>410</v>
      </c>
      <c r="T774" s="441" t="s">
        <v>410</v>
      </c>
    </row>
    <row r="775" spans="1:20" hidden="1" outlineLevel="1" x14ac:dyDescent="0.3">
      <c r="A775" s="583" t="s">
        <v>3613</v>
      </c>
      <c r="B775" s="591">
        <v>1</v>
      </c>
      <c r="C775" s="588" t="s">
        <v>1256</v>
      </c>
      <c r="D775" s="588" t="s">
        <v>1474</v>
      </c>
      <c r="E775" s="589" t="s">
        <v>410</v>
      </c>
      <c r="F775" s="594" t="str">
        <f>CONCATENATE(TEXT(4+IF(INT&lt;0,0,INT)*1,"0")," mg")</f>
        <v>4 mg</v>
      </c>
      <c r="G775" s="594" t="str">
        <f>CONCATENATE(TEXT(5+IF(INT&lt;0,0,INT)*2,"0")," mg")</f>
        <v>5 mg</v>
      </c>
      <c r="H775" s="594" t="str">
        <f>CONCATENATE(TEXT(7+IF(INT&lt;0,0,INT)*2,"0")," mg")</f>
        <v>7 mg</v>
      </c>
      <c r="I775" s="594" t="str">
        <f>CONCATENATE(TEXT(9+IF(INT&lt;0,0,INT)*2,"0")," mg")</f>
        <v>9 mg</v>
      </c>
      <c r="J775" s="594" t="str">
        <f>CONCATENATE(TEXT(9+IF(INT&lt;0,0,INT)*3,"0")," mg")</f>
        <v>9 mg</v>
      </c>
      <c r="K775" s="594" t="str">
        <f>CONCATENATE(TEXT(10+IF(INT&lt;0,0,INT)*4,"0")," mg")</f>
        <v>10 mg</v>
      </c>
      <c r="L775" s="594" t="str">
        <f>CONCATENATE(TEXT(13+IF(INT&lt;0,0,INT)*4,"0")," mg")</f>
        <v>13 mg</v>
      </c>
      <c r="M775" s="594" t="str">
        <f>CONCATENATE(TEXT(16+IF(INT&lt;0,0,INT)*4,"0")," mg")</f>
        <v>16 mg</v>
      </c>
      <c r="N775" s="594" t="str">
        <f>CONCATENATE(TEXT(19+IF(INT&lt;0,0,INT)*4,"0")," mg")</f>
        <v>19 mg</v>
      </c>
      <c r="O775" s="594" t="str">
        <f>CONCATENATE(TEXT(21+IF(INT&lt;0,0,INT)*5,"0")," mg")</f>
        <v>21 mg</v>
      </c>
      <c r="P775" s="441" t="s">
        <v>410</v>
      </c>
      <c r="Q775" s="441" t="s">
        <v>410</v>
      </c>
      <c r="R775" s="441" t="s">
        <v>410</v>
      </c>
      <c r="S775" s="441" t="s">
        <v>410</v>
      </c>
      <c r="T775" s="441" t="s">
        <v>410</v>
      </c>
    </row>
    <row r="776" spans="1:20" hidden="1" outlineLevel="1" x14ac:dyDescent="0.3">
      <c r="A776" s="583" t="s">
        <v>2190</v>
      </c>
      <c r="B776" s="591">
        <v>1</v>
      </c>
      <c r="C776" s="583" t="s">
        <v>1256</v>
      </c>
      <c r="D776" s="583" t="s">
        <v>1474</v>
      </c>
      <c r="E776" s="593" t="s">
        <v>4363</v>
      </c>
      <c r="F776" s="593" t="s">
        <v>4364</v>
      </c>
      <c r="G776" s="593" t="s">
        <v>4365</v>
      </c>
      <c r="H776" s="593" t="s">
        <v>4362</v>
      </c>
      <c r="I776" s="593" t="s">
        <v>4366</v>
      </c>
      <c r="J776" s="593" t="s">
        <v>4367</v>
      </c>
      <c r="K776" s="593" t="s">
        <v>4368</v>
      </c>
      <c r="L776" s="237" t="s">
        <v>410</v>
      </c>
      <c r="M776" s="237" t="s">
        <v>410</v>
      </c>
      <c r="N776" s="237" t="s">
        <v>410</v>
      </c>
      <c r="O776" s="237" t="s">
        <v>410</v>
      </c>
      <c r="P776" s="237" t="s">
        <v>410</v>
      </c>
      <c r="Q776" s="237" t="s">
        <v>410</v>
      </c>
      <c r="R776" s="237" t="s">
        <v>410</v>
      </c>
      <c r="S776" s="237" t="s">
        <v>410</v>
      </c>
      <c r="T776" s="237" t="s">
        <v>410</v>
      </c>
    </row>
    <row r="777" spans="1:20" hidden="1" outlineLevel="1" x14ac:dyDescent="0.3">
      <c r="A777" s="583" t="s">
        <v>1637</v>
      </c>
      <c r="B777" s="591">
        <v>1</v>
      </c>
      <c r="C777" s="583" t="s">
        <v>1256</v>
      </c>
      <c r="D777" s="583" t="s">
        <v>1474</v>
      </c>
      <c r="E777" s="592" t="s">
        <v>410</v>
      </c>
      <c r="F777" s="593" t="s">
        <v>3320</v>
      </c>
      <c r="G777" s="593" t="s">
        <v>1543</v>
      </c>
      <c r="H777" s="593" t="s">
        <v>3321</v>
      </c>
      <c r="I777" s="593" t="s">
        <v>3322</v>
      </c>
      <c r="J777" s="593" t="s">
        <v>3323</v>
      </c>
      <c r="K777" s="593" t="s">
        <v>3324</v>
      </c>
      <c r="L777" s="593" t="s">
        <v>3325</v>
      </c>
      <c r="M777" s="593" t="s">
        <v>3326</v>
      </c>
      <c r="N777" s="237" t="s">
        <v>410</v>
      </c>
      <c r="O777" s="237" t="s">
        <v>410</v>
      </c>
      <c r="P777" s="237" t="s">
        <v>410</v>
      </c>
      <c r="Q777" s="237" t="s">
        <v>410</v>
      </c>
      <c r="R777" s="237" t="s">
        <v>410</v>
      </c>
      <c r="S777" s="10" t="s">
        <v>410</v>
      </c>
      <c r="T777" s="10" t="s">
        <v>410</v>
      </c>
    </row>
    <row r="778" spans="1:20" hidden="1" outlineLevel="1" x14ac:dyDescent="0.3">
      <c r="A778" s="583" t="s">
        <v>1720</v>
      </c>
      <c r="B778" s="591">
        <v>1</v>
      </c>
      <c r="C778" s="583" t="s">
        <v>1256</v>
      </c>
      <c r="D778" s="583" t="s">
        <v>1474</v>
      </c>
      <c r="E778" s="592" t="s">
        <v>410</v>
      </c>
      <c r="F778" s="593"/>
      <c r="G778" s="593"/>
      <c r="H778" s="593"/>
      <c r="I778" s="593"/>
      <c r="J778" s="593"/>
      <c r="K778" s="593"/>
      <c r="L778" s="237" t="s">
        <v>410</v>
      </c>
      <c r="M778" s="237" t="s">
        <v>410</v>
      </c>
      <c r="N778" s="237" t="s">
        <v>410</v>
      </c>
      <c r="O778" s="237" t="s">
        <v>410</v>
      </c>
      <c r="P778" s="237" t="s">
        <v>410</v>
      </c>
      <c r="Q778" s="237" t="s">
        <v>410</v>
      </c>
      <c r="R778" s="237" t="s">
        <v>410</v>
      </c>
      <c r="S778" s="10" t="s">
        <v>410</v>
      </c>
      <c r="T778" s="10" t="s">
        <v>410</v>
      </c>
    </row>
    <row r="779" spans="1:20" hidden="1" outlineLevel="1" x14ac:dyDescent="0.3">
      <c r="A779" s="583" t="s">
        <v>1785</v>
      </c>
      <c r="B779" s="591">
        <v>1</v>
      </c>
      <c r="C779" s="583" t="s">
        <v>1256</v>
      </c>
      <c r="D779" s="583" t="s">
        <v>1474</v>
      </c>
      <c r="E779" s="592">
        <v>0</v>
      </c>
      <c r="F779" s="592" t="s">
        <v>4324</v>
      </c>
      <c r="G779" s="592" t="s">
        <v>68</v>
      </c>
      <c r="H779" s="592" t="s">
        <v>70</v>
      </c>
      <c r="I779" s="592" t="s">
        <v>72</v>
      </c>
      <c r="J779" s="237" t="s">
        <v>410</v>
      </c>
      <c r="K779" s="237" t="s">
        <v>410</v>
      </c>
      <c r="L779" s="237" t="s">
        <v>410</v>
      </c>
      <c r="M779" s="237" t="s">
        <v>410</v>
      </c>
      <c r="N779" s="237" t="s">
        <v>410</v>
      </c>
      <c r="O779" s="237" t="s">
        <v>410</v>
      </c>
      <c r="P779" s="237" t="s">
        <v>410</v>
      </c>
      <c r="Q779" s="237" t="s">
        <v>410</v>
      </c>
      <c r="R779" s="237" t="s">
        <v>410</v>
      </c>
      <c r="S779" s="10" t="s">
        <v>410</v>
      </c>
      <c r="T779" s="10" t="s">
        <v>410</v>
      </c>
    </row>
    <row r="780" spans="1:20" hidden="1" outlineLevel="1" x14ac:dyDescent="0.3">
      <c r="A780" s="583" t="s">
        <v>1780</v>
      </c>
      <c r="B780" s="591">
        <v>1</v>
      </c>
      <c r="C780" s="583" t="s">
        <v>1256</v>
      </c>
      <c r="D780" s="583" t="s">
        <v>1474</v>
      </c>
      <c r="E780" s="592" t="s">
        <v>410</v>
      </c>
      <c r="F780" s="593" t="s">
        <v>4335</v>
      </c>
      <c r="G780" s="593" t="s">
        <v>4340</v>
      </c>
      <c r="H780" s="593" t="s">
        <v>4339</v>
      </c>
      <c r="I780" s="593" t="s">
        <v>4338</v>
      </c>
      <c r="J780" s="593" t="s">
        <v>4337</v>
      </c>
      <c r="K780" s="593" t="s">
        <v>4336</v>
      </c>
      <c r="L780" s="10" t="s">
        <v>410</v>
      </c>
      <c r="M780" s="10" t="s">
        <v>410</v>
      </c>
      <c r="N780" s="10" t="s">
        <v>410</v>
      </c>
      <c r="O780" s="10" t="s">
        <v>410</v>
      </c>
      <c r="P780" s="10" t="s">
        <v>410</v>
      </c>
      <c r="Q780" s="10" t="s">
        <v>410</v>
      </c>
      <c r="R780" s="10" t="s">
        <v>410</v>
      </c>
      <c r="S780" s="10" t="s">
        <v>410</v>
      </c>
      <c r="T780" s="10" t="s">
        <v>410</v>
      </c>
    </row>
    <row r="781" spans="1:20" hidden="1" outlineLevel="1" x14ac:dyDescent="0.3">
      <c r="A781" s="583" t="s">
        <v>1826</v>
      </c>
      <c r="B781" s="591">
        <v>1</v>
      </c>
      <c r="C781" s="583" t="s">
        <v>1256</v>
      </c>
      <c r="D781" s="583" t="s">
        <v>1474</v>
      </c>
      <c r="E781" s="592" t="s">
        <v>1827</v>
      </c>
      <c r="F781" s="593" t="s">
        <v>4433</v>
      </c>
      <c r="G781" s="593" t="s">
        <v>1370</v>
      </c>
      <c r="H781" s="593" t="s">
        <v>1371</v>
      </c>
      <c r="I781" s="593" t="s">
        <v>1373</v>
      </c>
      <c r="J781" s="593" t="s">
        <v>1375</v>
      </c>
      <c r="K781" s="593" t="s">
        <v>3471</v>
      </c>
      <c r="L781" s="237" t="s">
        <v>410</v>
      </c>
      <c r="M781" s="237" t="s">
        <v>410</v>
      </c>
      <c r="N781" s="237" t="s">
        <v>410</v>
      </c>
      <c r="O781" s="237" t="s">
        <v>410</v>
      </c>
      <c r="P781" s="237" t="s">
        <v>410</v>
      </c>
      <c r="Q781" s="237" t="s">
        <v>410</v>
      </c>
      <c r="R781" s="237" t="s">
        <v>410</v>
      </c>
      <c r="S781" s="10" t="s">
        <v>410</v>
      </c>
      <c r="T781" s="10" t="s">
        <v>410</v>
      </c>
    </row>
    <row r="782" spans="1:20" hidden="1" outlineLevel="1" x14ac:dyDescent="0.3">
      <c r="A782" s="583" t="s">
        <v>4621</v>
      </c>
      <c r="B782" s="591">
        <v>1</v>
      </c>
      <c r="C782" s="583" t="s">
        <v>1256</v>
      </c>
      <c r="D782" s="583" t="s">
        <v>1474</v>
      </c>
      <c r="E782" s="594" t="str">
        <f>CONCATENATE("['Mag. spol. I] ",TEXT(Úr,0)," m")</f>
        <v>['Mag. spol. I] 4 m</v>
      </c>
      <c r="F782" s="594" t="str">
        <f>CONCATENATE(TEXT(Úr*10,0)," m")</f>
        <v>40 m</v>
      </c>
      <c r="G782" s="594" t="str">
        <f>CONCATENATE(TEXT(Úr*50,0)," m")</f>
        <v>200 m</v>
      </c>
      <c r="H782" s="594" t="str">
        <f>CONCATENATE(TEXT(Úr*200,0)," m")</f>
        <v>800 m</v>
      </c>
      <c r="I782" t="s">
        <v>410</v>
      </c>
      <c r="J782" t="s">
        <v>410</v>
      </c>
      <c r="K782" t="s">
        <v>410</v>
      </c>
      <c r="L782" t="s">
        <v>410</v>
      </c>
      <c r="M782" t="s">
        <v>410</v>
      </c>
      <c r="N782" t="s">
        <v>410</v>
      </c>
      <c r="O782" t="s">
        <v>410</v>
      </c>
      <c r="P782" t="s">
        <v>410</v>
      </c>
      <c r="Q782" t="s">
        <v>410</v>
      </c>
      <c r="R782" t="s">
        <v>410</v>
      </c>
      <c r="S782" t="s">
        <v>410</v>
      </c>
      <c r="T782" t="s">
        <v>410</v>
      </c>
    </row>
    <row r="783" spans="1:20" hidden="1" outlineLevel="1" x14ac:dyDescent="0.3">
      <c r="A783" s="583" t="s">
        <v>1935</v>
      </c>
      <c r="B783" s="591">
        <v>1</v>
      </c>
      <c r="C783" s="583" t="s">
        <v>1256</v>
      </c>
      <c r="D783" s="583" t="s">
        <v>1474</v>
      </c>
      <c r="E783" s="592" t="s">
        <v>90</v>
      </c>
      <c r="F783" s="593" t="s">
        <v>3340</v>
      </c>
      <c r="G783" s="593" t="s">
        <v>3341</v>
      </c>
      <c r="H783" s="593" t="s">
        <v>3342</v>
      </c>
      <c r="I783" s="593" t="s">
        <v>3343</v>
      </c>
      <c r="J783" s="237" t="s">
        <v>410</v>
      </c>
      <c r="K783" s="237" t="s">
        <v>410</v>
      </c>
      <c r="L783" s="237" t="s">
        <v>410</v>
      </c>
      <c r="M783" s="237" t="s">
        <v>410</v>
      </c>
      <c r="N783" s="237" t="s">
        <v>410</v>
      </c>
      <c r="O783" s="237" t="s">
        <v>410</v>
      </c>
      <c r="P783" s="237" t="s">
        <v>410</v>
      </c>
      <c r="Q783" s="237" t="s">
        <v>410</v>
      </c>
      <c r="R783" s="237" t="s">
        <v>410</v>
      </c>
      <c r="S783" s="10" t="s">
        <v>410</v>
      </c>
      <c r="T783" s="10" t="s">
        <v>410</v>
      </c>
    </row>
    <row r="784" spans="1:20" hidden="1" outlineLevel="1" x14ac:dyDescent="0.3">
      <c r="A784" s="583" t="s">
        <v>3614</v>
      </c>
      <c r="B784" s="591">
        <v>1</v>
      </c>
      <c r="C784" s="583" t="s">
        <v>1256</v>
      </c>
      <c r="D784" s="583" t="s">
        <v>1474</v>
      </c>
      <c r="E784" s="593" t="s">
        <v>410</v>
      </c>
      <c r="F784" s="594" t="str">
        <f>CONCATENATE(TEXT(4+IF(CHR&lt;0,0,CHR)*1,"0")," mg")</f>
        <v>4 mg</v>
      </c>
      <c r="G784" s="594" t="str">
        <f>CONCATENATE(TEXT(5+IF(CHR&lt;0,0,CHR)*2,"0")," mg")</f>
        <v>5 mg</v>
      </c>
      <c r="H784" s="594" t="str">
        <f>CONCATENATE(TEXT(7+IF(CHR&lt;0,0,CHR)*2,"0")," mg")</f>
        <v>7 mg</v>
      </c>
      <c r="I784" s="594" t="str">
        <f>CONCATENATE(TEXT(9+IF(CHR&lt;0,0,CHR)*2,"0")," mg")</f>
        <v>9 mg</v>
      </c>
      <c r="J784" s="594" t="str">
        <f>CONCATENATE(TEXT(9+IF(CHR&lt;0,0,CHR)*3,"0")," mg")</f>
        <v>9 mg</v>
      </c>
      <c r="K784" s="594" t="str">
        <f>CONCATENATE(TEXT(10+IF(CHR&lt;0,0,CHR)*4,"0")," mg")</f>
        <v>10 mg</v>
      </c>
      <c r="L784" s="594" t="str">
        <f>CONCATENATE(TEXT(13+IF(CHR&lt;0,0,CHR)*4,"0")," mg")</f>
        <v>13 mg</v>
      </c>
      <c r="M784" s="594" t="str">
        <f>CONCATENATE(TEXT(16+IF(CHR&lt;0,0,CHR)*4,"0")," mg")</f>
        <v>16 mg</v>
      </c>
      <c r="N784" s="594" t="str">
        <f>CONCATENATE(TEXT(19+IF(CHR&lt;0,0,CHR)*4,"0")," mg")</f>
        <v>19 mg</v>
      </c>
      <c r="O784" s="594" t="str">
        <f>CONCATENATE(TEXT(21+IF(CHR&lt;0,0,CHR)*5,"0")," mg")</f>
        <v>21 mg</v>
      </c>
      <c r="P784" s="237" t="s">
        <v>410</v>
      </c>
      <c r="Q784" s="237" t="s">
        <v>410</v>
      </c>
      <c r="R784" s="237" t="s">
        <v>410</v>
      </c>
      <c r="S784" s="237" t="s">
        <v>410</v>
      </c>
      <c r="T784" s="237" t="s">
        <v>410</v>
      </c>
    </row>
    <row r="785" spans="1:20" hidden="1" outlineLevel="1" x14ac:dyDescent="0.3">
      <c r="A785" s="583" t="s">
        <v>1752</v>
      </c>
      <c r="B785" s="591">
        <v>2</v>
      </c>
      <c r="C785" s="583" t="s">
        <v>1256</v>
      </c>
      <c r="D785" s="583" t="s">
        <v>1474</v>
      </c>
      <c r="E785" s="592" t="s">
        <v>3073</v>
      </c>
      <c r="F785" s="593" t="s">
        <v>4377</v>
      </c>
      <c r="G785" s="593" t="s">
        <v>3335</v>
      </c>
      <c r="H785" s="593" t="s">
        <v>3336</v>
      </c>
      <c r="I785" s="593" t="s">
        <v>3337</v>
      </c>
      <c r="J785" s="593" t="s">
        <v>3338</v>
      </c>
      <c r="K785" s="237" t="s">
        <v>410</v>
      </c>
      <c r="L785" s="237" t="s">
        <v>410</v>
      </c>
      <c r="M785" s="237" t="s">
        <v>410</v>
      </c>
      <c r="N785" s="237" t="s">
        <v>410</v>
      </c>
      <c r="O785" s="237" t="s">
        <v>410</v>
      </c>
      <c r="P785" s="237" t="s">
        <v>410</v>
      </c>
      <c r="Q785" s="237" t="s">
        <v>410</v>
      </c>
      <c r="R785" s="237" t="s">
        <v>410</v>
      </c>
      <c r="S785" s="10" t="s">
        <v>410</v>
      </c>
      <c r="T785" s="10" t="s">
        <v>410</v>
      </c>
    </row>
    <row r="786" spans="1:20" hidden="1" outlineLevel="1" x14ac:dyDescent="0.3">
      <c r="A786" s="583" t="s">
        <v>1815</v>
      </c>
      <c r="B786" s="591">
        <v>2</v>
      </c>
      <c r="C786" s="583" t="s">
        <v>1256</v>
      </c>
      <c r="D786" s="583" t="s">
        <v>1474</v>
      </c>
      <c r="E786" s="592" t="s">
        <v>410</v>
      </c>
      <c r="F786" s="593" t="s">
        <v>1816</v>
      </c>
      <c r="G786" s="593" t="s">
        <v>1817</v>
      </c>
      <c r="H786" s="593" t="s">
        <v>1818</v>
      </c>
      <c r="I786" s="593" t="s">
        <v>1819</v>
      </c>
      <c r="J786" s="593" t="s">
        <v>1820</v>
      </c>
      <c r="K786" s="237" t="s">
        <v>410</v>
      </c>
      <c r="L786" s="237" t="s">
        <v>410</v>
      </c>
      <c r="M786" s="237" t="s">
        <v>410</v>
      </c>
      <c r="N786" s="237" t="s">
        <v>410</v>
      </c>
      <c r="O786" s="237" t="s">
        <v>410</v>
      </c>
      <c r="P786" s="237" t="s">
        <v>410</v>
      </c>
      <c r="Q786" s="237" t="s">
        <v>410</v>
      </c>
      <c r="R786" s="237" t="s">
        <v>410</v>
      </c>
      <c r="S786" s="10" t="s">
        <v>410</v>
      </c>
      <c r="T786" s="10" t="s">
        <v>410</v>
      </c>
    </row>
    <row r="787" spans="1:20" hidden="1" outlineLevel="1" x14ac:dyDescent="0.3">
      <c r="A787" s="583" t="s">
        <v>3033</v>
      </c>
      <c r="B787" s="591">
        <v>2</v>
      </c>
      <c r="C787" s="583" t="s">
        <v>1256</v>
      </c>
      <c r="D787" s="583" t="s">
        <v>1474</v>
      </c>
      <c r="E787" s="593" t="s">
        <v>3034</v>
      </c>
      <c r="F787" s="593" t="s">
        <v>3035</v>
      </c>
      <c r="G787" s="593" t="s">
        <v>3036</v>
      </c>
      <c r="H787" s="593" t="s">
        <v>3038</v>
      </c>
      <c r="I787" s="593" t="s">
        <v>3037</v>
      </c>
      <c r="J787" s="237" t="s">
        <v>410</v>
      </c>
      <c r="K787" s="237" t="s">
        <v>410</v>
      </c>
      <c r="L787" s="237" t="s">
        <v>410</v>
      </c>
      <c r="M787" s="237" t="s">
        <v>410</v>
      </c>
      <c r="N787" s="237" t="s">
        <v>410</v>
      </c>
      <c r="O787" s="237" t="s">
        <v>410</v>
      </c>
      <c r="P787" s="237" t="s">
        <v>410</v>
      </c>
      <c r="Q787" s="237" t="s">
        <v>410</v>
      </c>
      <c r="R787" s="237" t="s">
        <v>410</v>
      </c>
      <c r="S787" s="10" t="s">
        <v>410</v>
      </c>
      <c r="T787" s="10" t="s">
        <v>410</v>
      </c>
    </row>
    <row r="788" spans="1:20" hidden="1" outlineLevel="1" x14ac:dyDescent="0.3">
      <c r="A788" s="583" t="s">
        <v>1995</v>
      </c>
      <c r="B788" s="591">
        <v>3</v>
      </c>
      <c r="C788" s="583" t="s">
        <v>1256</v>
      </c>
      <c r="D788" s="583" t="s">
        <v>1474</v>
      </c>
      <c r="E788" s="237" t="s">
        <v>410</v>
      </c>
      <c r="F788" s="593" t="s">
        <v>1525</v>
      </c>
      <c r="G788" s="593" t="s">
        <v>3316</v>
      </c>
      <c r="H788" s="593" t="s">
        <v>3317</v>
      </c>
      <c r="I788" s="593" t="s">
        <v>3318</v>
      </c>
      <c r="J788" s="593" t="s">
        <v>3319</v>
      </c>
      <c r="K788" s="237" t="s">
        <v>410</v>
      </c>
      <c r="L788" s="237" t="s">
        <v>410</v>
      </c>
      <c r="M788" s="237" t="s">
        <v>410</v>
      </c>
      <c r="N788" s="237" t="s">
        <v>410</v>
      </c>
      <c r="O788" s="237" t="s">
        <v>410</v>
      </c>
      <c r="P788" s="237" t="s">
        <v>410</v>
      </c>
      <c r="Q788" s="237" t="s">
        <v>410</v>
      </c>
      <c r="R788" s="237" t="s">
        <v>410</v>
      </c>
      <c r="S788" s="237" t="s">
        <v>410</v>
      </c>
      <c r="T788" s="237" t="s">
        <v>410</v>
      </c>
    </row>
    <row r="789" spans="1:20" hidden="1" outlineLevel="1" x14ac:dyDescent="0.3">
      <c r="A789" s="583" t="s">
        <v>1845</v>
      </c>
      <c r="B789" s="591">
        <v>5</v>
      </c>
      <c r="C789" s="583" t="s">
        <v>1256</v>
      </c>
      <c r="D789" s="583" t="s">
        <v>1474</v>
      </c>
      <c r="E789" s="10" t="s">
        <v>410</v>
      </c>
      <c r="F789" s="593" t="s">
        <v>3311</v>
      </c>
      <c r="G789" s="593" t="s">
        <v>3312</v>
      </c>
      <c r="H789" s="593" t="s">
        <v>3313</v>
      </c>
      <c r="I789" s="593" t="s">
        <v>3314</v>
      </c>
      <c r="J789" s="593" t="s">
        <v>3315</v>
      </c>
      <c r="K789" s="237" t="s">
        <v>410</v>
      </c>
      <c r="L789" s="237" t="s">
        <v>410</v>
      </c>
      <c r="M789" s="237" t="s">
        <v>410</v>
      </c>
      <c r="N789" s="237" t="s">
        <v>410</v>
      </c>
      <c r="O789" s="237" t="s">
        <v>410</v>
      </c>
      <c r="P789" s="237" t="s">
        <v>410</v>
      </c>
      <c r="Q789" s="237" t="s">
        <v>410</v>
      </c>
      <c r="R789" s="237" t="s">
        <v>410</v>
      </c>
      <c r="S789" s="10" t="s">
        <v>410</v>
      </c>
      <c r="T789" s="10" t="s">
        <v>410</v>
      </c>
    </row>
    <row r="790" spans="1:20" hidden="1" outlineLevel="1" x14ac:dyDescent="0.3">
      <c r="A790" s="583" t="s">
        <v>1484</v>
      </c>
      <c r="B790" s="591">
        <v>6</v>
      </c>
      <c r="C790" s="588" t="s">
        <v>1256</v>
      </c>
      <c r="D790" s="588" t="s">
        <v>1474</v>
      </c>
      <c r="E790" s="589" t="s">
        <v>410</v>
      </c>
      <c r="F790" s="590" t="s">
        <v>3465</v>
      </c>
      <c r="G790" s="590" t="s">
        <v>3466</v>
      </c>
      <c r="H790" s="590" t="s">
        <v>3467</v>
      </c>
      <c r="I790" s="590" t="s">
        <v>3468</v>
      </c>
      <c r="J790" s="590" t="s">
        <v>3469</v>
      </c>
      <c r="K790" s="589" t="s">
        <v>410</v>
      </c>
      <c r="L790" s="441" t="s">
        <v>410</v>
      </c>
      <c r="M790" s="441" t="s">
        <v>410</v>
      </c>
      <c r="N790" s="441" t="s">
        <v>410</v>
      </c>
      <c r="O790" s="441" t="s">
        <v>410</v>
      </c>
      <c r="P790" s="441" t="s">
        <v>410</v>
      </c>
      <c r="Q790" s="441" t="s">
        <v>410</v>
      </c>
      <c r="R790" s="441" t="s">
        <v>410</v>
      </c>
      <c r="S790" s="441" t="s">
        <v>410</v>
      </c>
      <c r="T790" s="441" t="s">
        <v>410</v>
      </c>
    </row>
    <row r="791" spans="1:20" hidden="1" outlineLevel="1" x14ac:dyDescent="0.3">
      <c r="A791" s="583" t="s">
        <v>1628</v>
      </c>
      <c r="B791" s="591">
        <v>6</v>
      </c>
      <c r="C791" s="588" t="s">
        <v>1256</v>
      </c>
      <c r="D791" s="588" t="s">
        <v>1474</v>
      </c>
      <c r="E791" s="592" t="s">
        <v>410</v>
      </c>
      <c r="F791" s="593" t="s">
        <v>2188</v>
      </c>
      <c r="G791" s="593" t="s">
        <v>2189</v>
      </c>
      <c r="H791" s="593" t="s">
        <v>3470</v>
      </c>
      <c r="I791" s="593" t="s">
        <v>410</v>
      </c>
      <c r="J791" s="237" t="s">
        <v>410</v>
      </c>
      <c r="K791" s="237" t="s">
        <v>410</v>
      </c>
      <c r="L791" s="237" t="s">
        <v>410</v>
      </c>
      <c r="M791" s="237" t="s">
        <v>410</v>
      </c>
      <c r="N791" s="237" t="s">
        <v>410</v>
      </c>
      <c r="O791" s="237" t="s">
        <v>410</v>
      </c>
      <c r="P791" s="237" t="s">
        <v>410</v>
      </c>
      <c r="Q791" s="237" t="s">
        <v>410</v>
      </c>
      <c r="R791" s="237" t="s">
        <v>410</v>
      </c>
      <c r="S791" s="10" t="s">
        <v>410</v>
      </c>
      <c r="T791" s="10" t="s">
        <v>410</v>
      </c>
    </row>
    <row r="792" spans="1:20" hidden="1" outlineLevel="1" x14ac:dyDescent="0.3">
      <c r="A792" s="583" t="s">
        <v>4379</v>
      </c>
      <c r="B792" s="591">
        <v>6</v>
      </c>
      <c r="C792" s="583" t="s">
        <v>1256</v>
      </c>
      <c r="D792" s="583" t="s">
        <v>1474</v>
      </c>
      <c r="E792" s="592" t="s">
        <v>410</v>
      </c>
      <c r="F792" s="593" t="s">
        <v>67</v>
      </c>
      <c r="G792" s="593" t="s">
        <v>4382</v>
      </c>
      <c r="H792" s="593" t="s">
        <v>4383</v>
      </c>
      <c r="I792" s="593" t="s">
        <v>4384</v>
      </c>
      <c r="J792" s="237" t="s">
        <v>410</v>
      </c>
      <c r="K792" s="237" t="s">
        <v>410</v>
      </c>
      <c r="L792" s="237" t="s">
        <v>410</v>
      </c>
      <c r="M792" s="237" t="s">
        <v>410</v>
      </c>
      <c r="N792" s="237" t="s">
        <v>410</v>
      </c>
      <c r="O792" s="237" t="s">
        <v>410</v>
      </c>
      <c r="P792" s="237" t="s">
        <v>410</v>
      </c>
      <c r="Q792" s="237" t="s">
        <v>410</v>
      </c>
      <c r="R792" s="237" t="s">
        <v>410</v>
      </c>
      <c r="S792" s="10" t="s">
        <v>410</v>
      </c>
      <c r="T792" s="10" t="s">
        <v>410</v>
      </c>
    </row>
    <row r="793" spans="1:20" hidden="1" outlineLevel="1" x14ac:dyDescent="0.3">
      <c r="A793" s="583" t="s">
        <v>1988</v>
      </c>
      <c r="B793" s="591">
        <v>6</v>
      </c>
      <c r="C793" s="583" t="s">
        <v>1256</v>
      </c>
      <c r="D793" s="583" t="s">
        <v>1474</v>
      </c>
      <c r="E793" s="593" t="s">
        <v>1989</v>
      </c>
      <c r="F793" s="593" t="s">
        <v>1816</v>
      </c>
      <c r="G793" s="593" t="s">
        <v>1817</v>
      </c>
      <c r="H793" s="593" t="s">
        <v>1818</v>
      </c>
      <c r="I793" s="593" t="s">
        <v>3332</v>
      </c>
      <c r="J793" s="237" t="s">
        <v>410</v>
      </c>
      <c r="K793" s="237" t="s">
        <v>410</v>
      </c>
      <c r="L793" s="237" t="s">
        <v>410</v>
      </c>
      <c r="M793" s="237" t="s">
        <v>410</v>
      </c>
      <c r="N793" s="237" t="s">
        <v>410</v>
      </c>
      <c r="O793" s="237" t="s">
        <v>410</v>
      </c>
      <c r="P793" s="237" t="s">
        <v>410</v>
      </c>
      <c r="Q793" s="237" t="s">
        <v>410</v>
      </c>
      <c r="R793" s="237" t="s">
        <v>410</v>
      </c>
      <c r="S793" s="237" t="s">
        <v>410</v>
      </c>
      <c r="T793" s="237" t="s">
        <v>410</v>
      </c>
    </row>
    <row r="794" spans="1:20" hidden="1" outlineLevel="1" x14ac:dyDescent="0.3">
      <c r="A794" s="583" t="s">
        <v>1860</v>
      </c>
      <c r="B794" s="591">
        <v>11</v>
      </c>
      <c r="C794" s="583" t="s">
        <v>1256</v>
      </c>
      <c r="D794" s="583" t="s">
        <v>1474</v>
      </c>
      <c r="E794" s="592" t="s">
        <v>410</v>
      </c>
      <c r="F794" s="593"/>
      <c r="G794" s="593"/>
      <c r="H794" s="593"/>
      <c r="I794" s="593"/>
      <c r="J794" s="593" t="s">
        <v>410</v>
      </c>
      <c r="K794" s="237" t="s">
        <v>410</v>
      </c>
      <c r="L794" s="237" t="s">
        <v>410</v>
      </c>
      <c r="M794" s="237" t="s">
        <v>410</v>
      </c>
      <c r="N794" s="237" t="s">
        <v>410</v>
      </c>
      <c r="O794" s="237" t="s">
        <v>410</v>
      </c>
      <c r="P794" s="237" t="s">
        <v>410</v>
      </c>
      <c r="Q794" s="237" t="s">
        <v>410</v>
      </c>
      <c r="R794" s="237" t="s">
        <v>410</v>
      </c>
      <c r="S794" s="10" t="s">
        <v>410</v>
      </c>
      <c r="T794" s="10" t="s">
        <v>410</v>
      </c>
    </row>
    <row r="795" spans="1:20" hidden="1" outlineLevel="1" x14ac:dyDescent="0.3">
      <c r="A795" s="583" t="s">
        <v>1889</v>
      </c>
      <c r="B795" s="591">
        <v>11</v>
      </c>
      <c r="C795" s="583" t="s">
        <v>1256</v>
      </c>
      <c r="D795" s="583" t="s">
        <v>1474</v>
      </c>
      <c r="E795" s="592" t="s">
        <v>410</v>
      </c>
      <c r="F795" s="593" t="s">
        <v>3461</v>
      </c>
      <c r="G795" s="593" t="s">
        <v>3462</v>
      </c>
      <c r="H795" s="593" t="s">
        <v>1753</v>
      </c>
      <c r="I795" s="237" t="s">
        <v>410</v>
      </c>
      <c r="J795" s="237" t="s">
        <v>410</v>
      </c>
      <c r="K795" s="237" t="s">
        <v>410</v>
      </c>
      <c r="L795" s="237" t="s">
        <v>410</v>
      </c>
      <c r="M795" s="237" t="s">
        <v>410</v>
      </c>
      <c r="N795" s="237" t="s">
        <v>410</v>
      </c>
      <c r="O795" s="237" t="s">
        <v>410</v>
      </c>
      <c r="P795" s="237" t="s">
        <v>410</v>
      </c>
      <c r="Q795" s="237" t="s">
        <v>410</v>
      </c>
      <c r="R795" s="237" t="s">
        <v>410</v>
      </c>
      <c r="S795" s="10" t="s">
        <v>410</v>
      </c>
      <c r="T795" s="10" t="s">
        <v>410</v>
      </c>
    </row>
    <row r="796" spans="1:20" hidden="1" outlineLevel="1" x14ac:dyDescent="0.3">
      <c r="A796" s="583" t="s">
        <v>1958</v>
      </c>
      <c r="B796" s="591">
        <v>11</v>
      </c>
      <c r="C796" s="583" t="s">
        <v>1256</v>
      </c>
      <c r="D796" s="583" t="s">
        <v>1474</v>
      </c>
      <c r="E796" s="593" t="s">
        <v>410</v>
      </c>
      <c r="F796" s="593"/>
      <c r="G796" s="593"/>
      <c r="H796" s="593"/>
      <c r="I796" s="593"/>
      <c r="J796" s="237" t="s">
        <v>410</v>
      </c>
      <c r="K796" s="237" t="s">
        <v>410</v>
      </c>
      <c r="L796" s="237" t="s">
        <v>410</v>
      </c>
      <c r="M796" s="237" t="s">
        <v>410</v>
      </c>
      <c r="N796" s="237" t="s">
        <v>410</v>
      </c>
      <c r="O796" s="237" t="s">
        <v>410</v>
      </c>
      <c r="P796" s="237" t="s">
        <v>410</v>
      </c>
      <c r="Q796" s="237" t="s">
        <v>410</v>
      </c>
      <c r="R796" s="237" t="s">
        <v>410</v>
      </c>
      <c r="S796" s="237" t="s">
        <v>410</v>
      </c>
      <c r="T796" s="237" t="s">
        <v>410</v>
      </c>
    </row>
    <row r="797" spans="1:20" hidden="1" outlineLevel="1" x14ac:dyDescent="0.3">
      <c r="A797" s="583" t="s">
        <v>4380</v>
      </c>
      <c r="B797" s="591">
        <v>13</v>
      </c>
      <c r="C797" s="583" t="s">
        <v>1256</v>
      </c>
      <c r="D797" s="583" t="s">
        <v>1474</v>
      </c>
      <c r="E797" s="592" t="s">
        <v>410</v>
      </c>
      <c r="F797" s="593" t="s">
        <v>67</v>
      </c>
      <c r="G797" s="593" t="s">
        <v>4385</v>
      </c>
      <c r="H797" s="593" t="s">
        <v>4386</v>
      </c>
      <c r="I797" s="237" t="s">
        <v>410</v>
      </c>
      <c r="J797" s="593" t="s">
        <v>410</v>
      </c>
      <c r="K797" s="237" t="s">
        <v>410</v>
      </c>
      <c r="L797" s="237" t="s">
        <v>410</v>
      </c>
      <c r="M797" s="237" t="s">
        <v>410</v>
      </c>
      <c r="N797" s="237" t="s">
        <v>410</v>
      </c>
      <c r="O797" s="237" t="s">
        <v>410</v>
      </c>
      <c r="P797" s="237" t="s">
        <v>410</v>
      </c>
      <c r="Q797" s="237" t="s">
        <v>410</v>
      </c>
      <c r="R797" s="237" t="s">
        <v>410</v>
      </c>
      <c r="S797" s="10" t="s">
        <v>410</v>
      </c>
      <c r="T797" s="10" t="s">
        <v>410</v>
      </c>
    </row>
    <row r="798" spans="1:20" hidden="1" outlineLevel="1" x14ac:dyDescent="0.3">
      <c r="A798" s="583" t="s">
        <v>1473</v>
      </c>
      <c r="B798" s="591">
        <v>16</v>
      </c>
      <c r="C798" s="588" t="s">
        <v>1256</v>
      </c>
      <c r="D798" s="588" t="s">
        <v>1474</v>
      </c>
      <c r="E798" s="589" t="s">
        <v>410</v>
      </c>
      <c r="F798" s="590"/>
      <c r="G798" s="590"/>
      <c r="H798" s="590"/>
      <c r="I798" s="590"/>
      <c r="J798" s="441" t="s">
        <v>410</v>
      </c>
      <c r="K798" s="441" t="s">
        <v>410</v>
      </c>
      <c r="L798" s="441" t="s">
        <v>410</v>
      </c>
      <c r="M798" s="441" t="s">
        <v>410</v>
      </c>
      <c r="N798" s="441" t="s">
        <v>410</v>
      </c>
      <c r="O798" s="441" t="s">
        <v>410</v>
      </c>
      <c r="P798" s="441" t="s">
        <v>410</v>
      </c>
      <c r="Q798" s="441" t="s">
        <v>410</v>
      </c>
      <c r="R798" s="441" t="s">
        <v>410</v>
      </c>
      <c r="S798" s="441" t="s">
        <v>410</v>
      </c>
      <c r="T798" s="441" t="s">
        <v>410</v>
      </c>
    </row>
    <row r="799" spans="1:20" hidden="1" outlineLevel="1" x14ac:dyDescent="0.3">
      <c r="A799" s="583" t="s">
        <v>1721</v>
      </c>
      <c r="B799" s="591">
        <v>16</v>
      </c>
      <c r="C799" s="583" t="s">
        <v>1256</v>
      </c>
      <c r="D799" s="583" t="s">
        <v>1474</v>
      </c>
      <c r="E799" s="592" t="s">
        <v>410</v>
      </c>
      <c r="F799" s="593"/>
      <c r="G799" s="593"/>
      <c r="H799" s="593"/>
      <c r="I799" s="593"/>
      <c r="J799" s="593"/>
      <c r="K799" s="593"/>
      <c r="L799" s="237" t="s">
        <v>410</v>
      </c>
      <c r="M799" s="237" t="s">
        <v>410</v>
      </c>
      <c r="N799" s="237" t="s">
        <v>410</v>
      </c>
      <c r="O799" s="237" t="s">
        <v>410</v>
      </c>
      <c r="P799" s="237" t="s">
        <v>410</v>
      </c>
      <c r="Q799" s="237" t="s">
        <v>410</v>
      </c>
      <c r="R799" s="237" t="s">
        <v>410</v>
      </c>
      <c r="S799" s="10" t="s">
        <v>410</v>
      </c>
      <c r="T799" s="10" t="s">
        <v>410</v>
      </c>
    </row>
    <row r="800" spans="1:20" hidden="1" outlineLevel="1" x14ac:dyDescent="0.3">
      <c r="A800" s="583" t="s">
        <v>1734</v>
      </c>
      <c r="B800" s="591">
        <v>16</v>
      </c>
      <c r="C800" s="583" t="s">
        <v>1256</v>
      </c>
      <c r="D800" s="583" t="s">
        <v>1474</v>
      </c>
      <c r="E800" s="592" t="s">
        <v>410</v>
      </c>
      <c r="F800" s="593" t="s">
        <v>3309</v>
      </c>
      <c r="G800" s="593" t="s">
        <v>2232</v>
      </c>
      <c r="H800" s="593" t="s">
        <v>2206</v>
      </c>
      <c r="I800" s="593" t="s">
        <v>2207</v>
      </c>
      <c r="J800" s="593" t="s">
        <v>3310</v>
      </c>
      <c r="K800" s="237" t="s">
        <v>410</v>
      </c>
      <c r="L800" s="237" t="s">
        <v>410</v>
      </c>
      <c r="M800" s="237" t="s">
        <v>410</v>
      </c>
      <c r="N800" s="237" t="s">
        <v>410</v>
      </c>
      <c r="O800" s="237" t="s">
        <v>410</v>
      </c>
      <c r="P800" s="237" t="s">
        <v>410</v>
      </c>
      <c r="Q800" s="237" t="s">
        <v>410</v>
      </c>
      <c r="R800" s="237" t="s">
        <v>410</v>
      </c>
      <c r="S800" s="10" t="s">
        <v>410</v>
      </c>
      <c r="T800" s="10" t="s">
        <v>410</v>
      </c>
    </row>
    <row r="801" spans="1:20" hidden="1" outlineLevel="1" x14ac:dyDescent="0.3">
      <c r="A801" s="583" t="s">
        <v>1835</v>
      </c>
      <c r="B801" s="591">
        <v>16</v>
      </c>
      <c r="C801" s="583" t="s">
        <v>1256</v>
      </c>
      <c r="D801" s="583" t="s">
        <v>1474</v>
      </c>
      <c r="E801" s="592" t="s">
        <v>410</v>
      </c>
      <c r="F801" s="592" t="s">
        <v>1829</v>
      </c>
      <c r="G801" s="593" t="s">
        <v>1830</v>
      </c>
      <c r="H801" s="593" t="s">
        <v>1831</v>
      </c>
      <c r="I801" s="593" t="s">
        <v>1832</v>
      </c>
      <c r="J801" s="593" t="s">
        <v>1833</v>
      </c>
      <c r="K801" t="s">
        <v>410</v>
      </c>
      <c r="L801" t="s">
        <v>410</v>
      </c>
      <c r="M801" t="s">
        <v>410</v>
      </c>
      <c r="N801" t="s">
        <v>410</v>
      </c>
      <c r="O801" t="s">
        <v>410</v>
      </c>
      <c r="P801" t="s">
        <v>410</v>
      </c>
      <c r="Q801" t="s">
        <v>410</v>
      </c>
      <c r="R801" t="s">
        <v>410</v>
      </c>
      <c r="S801" t="s">
        <v>410</v>
      </c>
      <c r="T801" t="s">
        <v>410</v>
      </c>
    </row>
    <row r="802" spans="1:20" hidden="1" outlineLevel="1" x14ac:dyDescent="0.3">
      <c r="A802" s="583" t="s">
        <v>1940</v>
      </c>
      <c r="B802" s="591">
        <v>16</v>
      </c>
      <c r="C802" s="583" t="s">
        <v>1256</v>
      </c>
      <c r="D802" s="583" t="s">
        <v>1474</v>
      </c>
      <c r="E802" s="593" t="s">
        <v>410</v>
      </c>
      <c r="F802" s="593" t="s">
        <v>4434</v>
      </c>
      <c r="G802" s="593" t="s">
        <v>4434</v>
      </c>
      <c r="H802" s="593" t="s">
        <v>4434</v>
      </c>
      <c r="I802" s="593" t="s">
        <v>4434</v>
      </c>
      <c r="J802" s="593" t="s">
        <v>4434</v>
      </c>
      <c r="K802" s="593" t="s">
        <v>4434</v>
      </c>
      <c r="L802" s="593" t="s">
        <v>410</v>
      </c>
      <c r="M802" s="237" t="s">
        <v>410</v>
      </c>
      <c r="N802" s="237" t="s">
        <v>410</v>
      </c>
      <c r="O802" s="237" t="s">
        <v>410</v>
      </c>
      <c r="P802" s="237" t="s">
        <v>410</v>
      </c>
      <c r="Q802" s="237" t="s">
        <v>410</v>
      </c>
      <c r="R802" s="237" t="s">
        <v>410</v>
      </c>
      <c r="S802" s="237" t="s">
        <v>410</v>
      </c>
      <c r="T802" s="237" t="s">
        <v>410</v>
      </c>
    </row>
    <row r="803" spans="1:20" hidden="1" outlineLevel="1" x14ac:dyDescent="0.3">
      <c r="A803" s="583" t="s">
        <v>1990</v>
      </c>
      <c r="B803" s="591">
        <v>16</v>
      </c>
      <c r="C803" s="583" t="s">
        <v>1256</v>
      </c>
      <c r="D803" s="583" t="s">
        <v>1474</v>
      </c>
      <c r="E803" s="593" t="s">
        <v>410</v>
      </c>
      <c r="F803" s="593" t="s">
        <v>66</v>
      </c>
      <c r="G803" s="593" t="s">
        <v>67</v>
      </c>
      <c r="H803" s="593" t="s">
        <v>68</v>
      </c>
      <c r="I803" s="593" t="s">
        <v>70</v>
      </c>
      <c r="J803" s="237" t="s">
        <v>410</v>
      </c>
      <c r="K803" s="237" t="s">
        <v>410</v>
      </c>
      <c r="L803" s="237" t="s">
        <v>410</v>
      </c>
      <c r="M803" s="237" t="s">
        <v>410</v>
      </c>
      <c r="N803" s="237" t="s">
        <v>410</v>
      </c>
      <c r="O803" s="237" t="s">
        <v>410</v>
      </c>
      <c r="P803" s="237" t="s">
        <v>410</v>
      </c>
      <c r="Q803" s="237" t="s">
        <v>410</v>
      </c>
      <c r="R803" s="237" t="s">
        <v>410</v>
      </c>
      <c r="S803" s="237" t="s">
        <v>410</v>
      </c>
      <c r="T803" s="237" t="s">
        <v>410</v>
      </c>
    </row>
    <row r="804" spans="1:20" hidden="1" outlineLevel="1" x14ac:dyDescent="0.3">
      <c r="A804" s="583" t="s">
        <v>2215</v>
      </c>
      <c r="B804" s="591">
        <v>0</v>
      </c>
      <c r="C804" s="583" t="s">
        <v>1564</v>
      </c>
      <c r="D804" s="583" t="s">
        <v>1474</v>
      </c>
      <c r="E804" s="592"/>
      <c r="F804" t="s">
        <v>410</v>
      </c>
      <c r="G804" t="s">
        <v>410</v>
      </c>
      <c r="H804" t="s">
        <v>410</v>
      </c>
      <c r="I804" t="s">
        <v>410</v>
      </c>
      <c r="J804" t="s">
        <v>410</v>
      </c>
      <c r="K804" t="s">
        <v>410</v>
      </c>
      <c r="L804" t="s">
        <v>410</v>
      </c>
      <c r="M804" t="s">
        <v>410</v>
      </c>
      <c r="N804" t="s">
        <v>410</v>
      </c>
      <c r="O804" t="s">
        <v>410</v>
      </c>
      <c r="P804" t="s">
        <v>410</v>
      </c>
      <c r="Q804" t="s">
        <v>410</v>
      </c>
      <c r="R804" t="s">
        <v>410</v>
      </c>
      <c r="S804" t="s">
        <v>410</v>
      </c>
      <c r="T804" t="s">
        <v>410</v>
      </c>
    </row>
    <row r="805" spans="1:20" hidden="1" outlineLevel="1" x14ac:dyDescent="0.3">
      <c r="A805" s="583" t="s">
        <v>3472</v>
      </c>
      <c r="B805" s="591">
        <v>0</v>
      </c>
      <c r="C805" s="583" t="s">
        <v>1564</v>
      </c>
      <c r="D805" s="583" t="s">
        <v>1474</v>
      </c>
      <c r="E805" s="592"/>
      <c r="F805" s="593" t="s">
        <v>410</v>
      </c>
      <c r="G805" s="237" t="s">
        <v>410</v>
      </c>
      <c r="H805" s="237" t="s">
        <v>410</v>
      </c>
      <c r="I805" s="237" t="s">
        <v>410</v>
      </c>
      <c r="J805" s="237" t="s">
        <v>410</v>
      </c>
      <c r="K805" s="237" t="s">
        <v>410</v>
      </c>
      <c r="L805" s="237" t="s">
        <v>410</v>
      </c>
      <c r="M805" s="237" t="s">
        <v>410</v>
      </c>
      <c r="N805" s="237" t="s">
        <v>410</v>
      </c>
      <c r="O805" s="237" t="s">
        <v>410</v>
      </c>
      <c r="P805" s="237" t="s">
        <v>410</v>
      </c>
      <c r="Q805" s="237" t="s">
        <v>410</v>
      </c>
      <c r="R805" s="237" t="s">
        <v>410</v>
      </c>
      <c r="S805" s="237" t="s">
        <v>410</v>
      </c>
      <c r="T805" s="237" t="s">
        <v>410</v>
      </c>
    </row>
    <row r="806" spans="1:20" hidden="1" outlineLevel="1" x14ac:dyDescent="0.3">
      <c r="A806" s="583" t="s">
        <v>584</v>
      </c>
      <c r="B806" s="591">
        <v>0</v>
      </c>
      <c r="C806" s="583" t="s">
        <v>1564</v>
      </c>
      <c r="D806" s="583" t="s">
        <v>1474</v>
      </c>
      <c r="E806" s="592"/>
      <c r="F806" t="s">
        <v>410</v>
      </c>
      <c r="G806" t="s">
        <v>410</v>
      </c>
      <c r="H806" t="s">
        <v>410</v>
      </c>
      <c r="I806" t="s">
        <v>410</v>
      </c>
      <c r="J806" t="s">
        <v>410</v>
      </c>
      <c r="K806" t="s">
        <v>410</v>
      </c>
      <c r="L806" t="s">
        <v>410</v>
      </c>
      <c r="M806" t="s">
        <v>410</v>
      </c>
      <c r="N806" t="s">
        <v>410</v>
      </c>
      <c r="O806" t="s">
        <v>410</v>
      </c>
      <c r="P806" t="s">
        <v>410</v>
      </c>
      <c r="Q806" t="s">
        <v>410</v>
      </c>
      <c r="R806" t="s">
        <v>410</v>
      </c>
      <c r="S806" t="s">
        <v>410</v>
      </c>
      <c r="T806" t="s">
        <v>410</v>
      </c>
    </row>
    <row r="807" spans="1:20" hidden="1" outlineLevel="1" x14ac:dyDescent="0.3">
      <c r="A807" s="583" t="s">
        <v>4378</v>
      </c>
      <c r="B807" s="591">
        <v>0</v>
      </c>
      <c r="C807" s="583" t="s">
        <v>1564</v>
      </c>
      <c r="D807" s="583" t="s">
        <v>1474</v>
      </c>
      <c r="E807" s="592"/>
      <c r="F807" s="237" t="s">
        <v>410</v>
      </c>
      <c r="G807" s="237" t="s">
        <v>410</v>
      </c>
      <c r="H807" s="237" t="s">
        <v>410</v>
      </c>
      <c r="I807" s="237" t="s">
        <v>410</v>
      </c>
      <c r="J807" s="237" t="s">
        <v>410</v>
      </c>
      <c r="K807" s="237" t="s">
        <v>410</v>
      </c>
      <c r="L807" s="237" t="s">
        <v>410</v>
      </c>
      <c r="M807" s="237" t="s">
        <v>410</v>
      </c>
      <c r="N807" s="237" t="s">
        <v>410</v>
      </c>
      <c r="O807" s="237" t="s">
        <v>410</v>
      </c>
      <c r="P807" s="237" t="s">
        <v>410</v>
      </c>
      <c r="Q807" s="237" t="s">
        <v>410</v>
      </c>
      <c r="R807" s="237" t="s">
        <v>410</v>
      </c>
      <c r="S807" s="10" t="s">
        <v>410</v>
      </c>
      <c r="T807" s="10" t="s">
        <v>410</v>
      </c>
    </row>
    <row r="808" spans="1:20" hidden="1" outlineLevel="1" x14ac:dyDescent="0.3">
      <c r="A808" s="583" t="s">
        <v>2316</v>
      </c>
      <c r="B808" s="591">
        <v>0</v>
      </c>
      <c r="C808" s="583" t="s">
        <v>1564</v>
      </c>
      <c r="D808" s="583" t="s">
        <v>1474</v>
      </c>
      <c r="E808" s="593" t="s">
        <v>2317</v>
      </c>
      <c r="F808" t="s">
        <v>410</v>
      </c>
      <c r="G808" t="s">
        <v>410</v>
      </c>
      <c r="H808" t="s">
        <v>410</v>
      </c>
      <c r="I808" t="s">
        <v>410</v>
      </c>
      <c r="J808" t="s">
        <v>410</v>
      </c>
      <c r="K808" t="s">
        <v>410</v>
      </c>
      <c r="L808" t="s">
        <v>410</v>
      </c>
      <c r="M808" t="s">
        <v>410</v>
      </c>
      <c r="N808" t="s">
        <v>410</v>
      </c>
      <c r="O808" t="s">
        <v>410</v>
      </c>
      <c r="P808" t="s">
        <v>410</v>
      </c>
      <c r="Q808" t="s">
        <v>410</v>
      </c>
      <c r="R808" t="s">
        <v>410</v>
      </c>
      <c r="S808" t="s">
        <v>410</v>
      </c>
      <c r="T808" t="s">
        <v>410</v>
      </c>
    </row>
    <row r="809" spans="1:20" hidden="1" outlineLevel="1" x14ac:dyDescent="0.3">
      <c r="A809" s="583" t="s">
        <v>5512</v>
      </c>
      <c r="B809" s="591">
        <v>6</v>
      </c>
      <c r="C809" s="588" t="s">
        <v>1564</v>
      </c>
      <c r="D809" s="588" t="s">
        <v>1474</v>
      </c>
      <c r="E809" s="589" t="s">
        <v>410</v>
      </c>
      <c r="F809" s="594" t="str">
        <f>CONCATENATE(TEXT(4+IF(OBR&lt;0,0,OBR)*1,"0")," mg [TN!]")</f>
        <v>4 mg [TN!]</v>
      </c>
      <c r="G809" s="594" t="str">
        <f>CONCATENATE(TEXT(5+IF(OBR&lt;0,0,OBR)*2,"0")," mg")</f>
        <v>5 mg</v>
      </c>
      <c r="H809" s="594" t="str">
        <f>CONCATENATE(TEXT(7+IF(OBR&lt;0,0,OBR)*2,"0")," mg")</f>
        <v>7 mg</v>
      </c>
      <c r="I809" s="594" t="str">
        <f>CONCATENATE(TEXT(9+IF(OBR&lt;0,0,OBR)*2,"0")," mg")</f>
        <v>9 mg</v>
      </c>
      <c r="J809" s="594" t="str">
        <f>CONCATENATE(TEXT(9+IF(OBR&lt;0,0,OBR)*3,"0")," mg")</f>
        <v>9 mg</v>
      </c>
      <c r="K809" s="594" t="str">
        <f>CONCATENATE(TEXT(10+IF(OBR&lt;0,0,OBR)*4,"0")," mg")</f>
        <v>10 mg</v>
      </c>
      <c r="L809" s="594" t="str">
        <f>CONCATENATE(TEXT(13+IF(OBR&lt;0,0,OBR)*4,"0")," mg")</f>
        <v>13 mg</v>
      </c>
      <c r="M809" s="594" t="str">
        <f>CONCATENATE(TEXT(16+IF(OBR&lt;0,0,OBR)*4,"0")," mg")</f>
        <v>16 mg</v>
      </c>
      <c r="N809" s="594" t="str">
        <f>CONCATENATE(TEXT(19+IF(OBR&lt;0,0,OBR)*4,"0")," mg")</f>
        <v>19 mg</v>
      </c>
      <c r="O809" s="594" t="str">
        <f>CONCATENATE(TEXT(21+IF(OBR&lt;0,0,OBR)*5,"0")," mg")</f>
        <v>21 mg</v>
      </c>
      <c r="P809" s="441" t="s">
        <v>410</v>
      </c>
      <c r="Q809" s="441" t="s">
        <v>410</v>
      </c>
      <c r="R809" s="441" t="s">
        <v>410</v>
      </c>
      <c r="S809" s="441" t="s">
        <v>410</v>
      </c>
      <c r="T809" s="441" t="s">
        <v>410</v>
      </c>
    </row>
    <row r="810" spans="1:20" hidden="1" outlineLevel="1" x14ac:dyDescent="0.3">
      <c r="A810" s="583" t="s">
        <v>2231</v>
      </c>
      <c r="B810" s="591">
        <v>16</v>
      </c>
      <c r="C810" s="583" t="s">
        <v>1564</v>
      </c>
      <c r="D810" s="583" t="s">
        <v>1474</v>
      </c>
      <c r="E810" s="592"/>
      <c r="F810" s="583" t="s">
        <v>410</v>
      </c>
      <c r="G810" t="s">
        <v>410</v>
      </c>
      <c r="H810" t="s">
        <v>410</v>
      </c>
      <c r="I810" t="s">
        <v>410</v>
      </c>
      <c r="J810" t="s">
        <v>410</v>
      </c>
      <c r="K810" t="s">
        <v>410</v>
      </c>
      <c r="L810" t="s">
        <v>410</v>
      </c>
      <c r="M810" t="s">
        <v>410</v>
      </c>
      <c r="N810" t="s">
        <v>410</v>
      </c>
      <c r="O810" t="s">
        <v>410</v>
      </c>
      <c r="P810" t="s">
        <v>410</v>
      </c>
      <c r="Q810" t="s">
        <v>410</v>
      </c>
      <c r="R810" t="s">
        <v>410</v>
      </c>
      <c r="S810" t="s">
        <v>410</v>
      </c>
      <c r="T810" t="s">
        <v>410</v>
      </c>
    </row>
    <row r="811" spans="1:20" collapsed="1" x14ac:dyDescent="0.3">
      <c r="A811" s="583" t="s">
        <v>1478</v>
      </c>
      <c r="B811" s="591">
        <v>1</v>
      </c>
      <c r="C811" s="588" t="s">
        <v>1256</v>
      </c>
      <c r="D811" s="588" t="s">
        <v>4754</v>
      </c>
      <c r="E811" s="589" t="s">
        <v>410</v>
      </c>
      <c r="F811" s="590" t="s">
        <v>2117</v>
      </c>
      <c r="G811" s="590" t="s">
        <v>2118</v>
      </c>
      <c r="H811" s="590" t="s">
        <v>2119</v>
      </c>
      <c r="I811" s="590" t="s">
        <v>2120</v>
      </c>
      <c r="J811" s="590" t="s">
        <v>2121</v>
      </c>
      <c r="K811" s="590" t="s">
        <v>2122</v>
      </c>
      <c r="L811" s="441" t="s">
        <v>410</v>
      </c>
      <c r="M811" s="441" t="s">
        <v>410</v>
      </c>
      <c r="N811" s="441" t="s">
        <v>410</v>
      </c>
      <c r="O811" s="441" t="s">
        <v>410</v>
      </c>
      <c r="P811" s="441" t="s">
        <v>410</v>
      </c>
      <c r="Q811" s="441" t="s">
        <v>410</v>
      </c>
      <c r="R811" s="441" t="s">
        <v>410</v>
      </c>
      <c r="S811" s="441" t="s">
        <v>410</v>
      </c>
      <c r="T811" s="441" t="s">
        <v>410</v>
      </c>
    </row>
    <row r="812" spans="1:20" hidden="1" outlineLevel="1" x14ac:dyDescent="0.3">
      <c r="A812" s="583" t="s">
        <v>4742</v>
      </c>
      <c r="B812" s="591">
        <v>1</v>
      </c>
      <c r="C812" s="588" t="s">
        <v>1256</v>
      </c>
      <c r="D812" s="588" t="s">
        <v>4754</v>
      </c>
      <c r="E812" s="1076" t="s">
        <v>410</v>
      </c>
      <c r="F812" s="594" t="str">
        <f>CONCATENATE(TEXT(2+IF(VOL&lt;0,0,VOL)*1,"0")," mg")</f>
        <v>2 mg</v>
      </c>
      <c r="G812" s="594" t="str">
        <f>CONCATENATE(TEXT(5+IF(VOL&lt;0,0,VOL)*1,"0")," mg")</f>
        <v>5 mg</v>
      </c>
      <c r="H812" s="594" t="str">
        <f>CONCATENATE(TEXT(7+IF(VOL&lt;0,0,VOL)*1,"0")," mg")</f>
        <v>7 mg</v>
      </c>
      <c r="I812" s="594" t="str">
        <f>CONCATENATE(TEXT(7+IF(VOL&lt;0,0,VOL)*2,"0")," mg")</f>
        <v>7 mg</v>
      </c>
      <c r="J812" s="594" t="str">
        <f>CONCATENATE(TEXT(9+IF(VOL&lt;0,0,VOL)*2,"0")," mg")</f>
        <v>9 mg</v>
      </c>
      <c r="K812" s="594" t="str">
        <f>CONCATENATE(TEXT(12+IF(VOL&lt;0,0,VOL)*2,"0")," mg")</f>
        <v>12 mg</v>
      </c>
      <c r="L812" s="594" t="str">
        <f>CONCATENATE(TEXT(13+IF(VOL&lt;0,0,VOL)*3,"0")," mg")</f>
        <v>13 mg</v>
      </c>
      <c r="M812" s="594" t="str">
        <f>CONCATENATE(TEXT(15+IF(VOL&lt;0,0,VOL)*3,"0")," mg")</f>
        <v>15 mg</v>
      </c>
      <c r="N812" s="594" t="str">
        <f>CONCATENATE(TEXT(17+IF(VOL&lt;0,0,VOL)*3,"0")," mg")</f>
        <v>17 mg</v>
      </c>
      <c r="O812" s="594" t="str">
        <f>CONCATENATE(TEXT(18+IF(VOL&lt;0,0,VOL)*4,"0")," mg")</f>
        <v>18 mg</v>
      </c>
      <c r="P812" s="441" t="s">
        <v>410</v>
      </c>
      <c r="Q812" s="441" t="s">
        <v>410</v>
      </c>
      <c r="R812" s="441" t="s">
        <v>410</v>
      </c>
      <c r="S812" s="441" t="s">
        <v>410</v>
      </c>
      <c r="T812" s="441" t="s">
        <v>410</v>
      </c>
    </row>
    <row r="813" spans="1:20" hidden="1" outlineLevel="1" x14ac:dyDescent="0.3">
      <c r="A813" s="583" t="s">
        <v>1569</v>
      </c>
      <c r="B813" s="591">
        <v>1</v>
      </c>
      <c r="C813" s="588" t="s">
        <v>1256</v>
      </c>
      <c r="D813" s="588" t="s">
        <v>4754</v>
      </c>
      <c r="E813" s="1076" t="s">
        <v>410</v>
      </c>
      <c r="F813" s="594" t="str">
        <f>CONCATENATE(TEXT(2+IF(SIL&lt;0,0,SIL)*1,"0")," mg")</f>
        <v>2 mg</v>
      </c>
      <c r="G813" s="594" t="str">
        <f>CONCATENATE(TEXT(5+IF(SIL&lt;0,0,SIL)*1,"0")," mg")</f>
        <v>5 mg</v>
      </c>
      <c r="H813" s="594" t="str">
        <f>CONCATENATE(TEXT(7+IF(SIL&lt;0,0,SIL)*1,"0")," mg")</f>
        <v>7 mg</v>
      </c>
      <c r="I813" s="594" t="str">
        <f>CONCATENATE(TEXT(7+IF(SIL&lt;0,0,SIL)*2,"0")," mg")</f>
        <v>7 mg</v>
      </c>
      <c r="J813" s="594" t="str">
        <f>CONCATENATE(TEXT(9+IF(SIL&lt;0,0,SIL)*2,"0")," mg")</f>
        <v>9 mg</v>
      </c>
      <c r="K813" s="594" t="str">
        <f>CONCATENATE(TEXT(12+IF(SIL&lt;0,0,SIL)*2,"0")," mg")</f>
        <v>12 mg</v>
      </c>
      <c r="L813" s="594" t="str">
        <f>CONCATENATE(TEXT(13+IF(SIL&lt;0,0,SIL)*3,"0")," mg")</f>
        <v>13 mg</v>
      </c>
      <c r="M813" s="594" t="str">
        <f>CONCATENATE(TEXT(15+IF(SIL&lt;0,0,SIL)*3,"0")," mg")</f>
        <v>15 mg</v>
      </c>
      <c r="N813" s="594" t="str">
        <f>CONCATENATE(TEXT(17+IF(SIL&lt;0,0,SIL)*3,"0")," mg")</f>
        <v>17 mg</v>
      </c>
      <c r="O813" s="594" t="str">
        <f>CONCATENATE(TEXT(18+IF(SIL&lt;0,0,SIL)*4,"0")," mg")</f>
        <v>18 mg</v>
      </c>
      <c r="P813" s="589" t="s">
        <v>410</v>
      </c>
      <c r="Q813" s="589" t="s">
        <v>410</v>
      </c>
      <c r="R813" s="589" t="s">
        <v>410</v>
      </c>
      <c r="S813" s="589" t="s">
        <v>410</v>
      </c>
      <c r="T813" s="589" t="s">
        <v>410</v>
      </c>
    </row>
    <row r="814" spans="1:20" hidden="1" outlineLevel="1" x14ac:dyDescent="0.3">
      <c r="A814" s="583" t="s">
        <v>1570</v>
      </c>
      <c r="B814" s="591">
        <v>1</v>
      </c>
      <c r="C814" s="588" t="s">
        <v>1256</v>
      </c>
      <c r="D814" s="588" t="s">
        <v>4754</v>
      </c>
      <c r="E814" s="1076" t="s">
        <v>410</v>
      </c>
      <c r="F814" s="594" t="str">
        <f>CONCATENATE(TEXT(2+IF(ZRČ&lt;0,0,ZRČ)*1,"0")," mg")</f>
        <v>2 mg</v>
      </c>
      <c r="G814" s="594" t="str">
        <f>CONCATENATE(TEXT(5+IF(ZRČ&lt;0,0,ZRČ)*1,"0")," mg")</f>
        <v>5 mg</v>
      </c>
      <c r="H814" s="594" t="str">
        <f>CONCATENATE(TEXT(7+IF(ZRČ&lt;0,0,ZRČ)*1,"0")," mg")</f>
        <v>7 mg</v>
      </c>
      <c r="I814" s="594" t="str">
        <f>CONCATENATE(TEXT(7+IF(ZRČ&lt;0,0,ZRČ)*2,"0")," mg")</f>
        <v>7 mg</v>
      </c>
      <c r="J814" s="594" t="str">
        <f>CONCATENATE(TEXT(9+IF(ZRČ&lt;0,0,ZRČ)*2,"0")," mg")</f>
        <v>9 mg</v>
      </c>
      <c r="K814" s="594" t="str">
        <f>CONCATENATE(TEXT(12+IF(ZRČ&lt;0,0,ZRČ)*2,"0")," mg")</f>
        <v>12 mg</v>
      </c>
      <c r="L814" s="594" t="str">
        <f>CONCATENATE(TEXT(13+IF(ZRČ&lt;0,0,ZRČ)*3,"0")," mg")</f>
        <v>13 mg</v>
      </c>
      <c r="M814" s="594" t="str">
        <f>CONCATENATE(TEXT(15+IF(ZRČ&lt;0,0,ZRČ)*3,"0")," mg")</f>
        <v>15 mg</v>
      </c>
      <c r="N814" s="594" t="str">
        <f>CONCATENATE(TEXT(17+IF(ZRČ&lt;0,0,ZRČ)*3,"0")," mg")</f>
        <v>17 mg</v>
      </c>
      <c r="O814" s="594" t="str">
        <f>CONCATENATE(TEXT(18+IF(ZRČ&lt;0,0,ZRČ)*4,"0")," mg")</f>
        <v>18 mg</v>
      </c>
      <c r="P814" s="589" t="s">
        <v>410</v>
      </c>
      <c r="Q814" s="589" t="s">
        <v>410</v>
      </c>
      <c r="R814" s="589" t="s">
        <v>410</v>
      </c>
      <c r="S814" s="589" t="s">
        <v>410</v>
      </c>
      <c r="T814" s="589" t="s">
        <v>410</v>
      </c>
    </row>
    <row r="815" spans="1:20" hidden="1" outlineLevel="1" x14ac:dyDescent="0.3">
      <c r="A815" s="583" t="s">
        <v>3092</v>
      </c>
      <c r="B815" s="591">
        <v>1</v>
      </c>
      <c r="C815" s="588" t="s">
        <v>1256</v>
      </c>
      <c r="D815" s="588" t="s">
        <v>4754</v>
      </c>
      <c r="E815" s="1076" t="s">
        <v>410</v>
      </c>
      <c r="F815" s="594" t="str">
        <f>CONCATENATE(TEXT(2+IF(CHR&lt;0,0,CHR)*1,"0")," mg")</f>
        <v>2 mg</v>
      </c>
      <c r="G815" s="594" t="str">
        <f>CONCATENATE(TEXT(5+IF(CHR&lt;0,0,CHR)*1,"0")," mg")</f>
        <v>5 mg</v>
      </c>
      <c r="H815" s="594" t="str">
        <f>CONCATENATE(TEXT(7+IF(CHR&lt;0,0,CHR)*1,"0")," mg")</f>
        <v>7 mg</v>
      </c>
      <c r="I815" s="594" t="str">
        <f>CONCATENATE(TEXT(7+IF(CHR&lt;0,0,CHR)*2,"0")," mg")</f>
        <v>7 mg</v>
      </c>
      <c r="J815" s="594" t="str">
        <f>CONCATENATE(TEXT(9+IF(CHR&lt;0,0,CHR)*2,"0")," mg")</f>
        <v>9 mg</v>
      </c>
      <c r="K815" s="594" t="str">
        <f>CONCATENATE(TEXT(12+IF(CHR&lt;0,0,CHR)*2,"0")," mg")</f>
        <v>12 mg</v>
      </c>
      <c r="L815" s="594" t="str">
        <f>CONCATENATE(TEXT(13+IF(CHR&lt;0,0,CHR)*3,"0")," mg")</f>
        <v>13 mg</v>
      </c>
      <c r="M815" s="594" t="str">
        <f>CONCATENATE(TEXT(15+IF(CHR&lt;0,0,CHR)*3,"0")," mg")</f>
        <v>15 mg</v>
      </c>
      <c r="N815" s="594" t="str">
        <f>CONCATENATE(TEXT(17+IF(CHR&lt;0,0,CHR)*3,"0")," mg")</f>
        <v>17 mg</v>
      </c>
      <c r="O815" s="594" t="str">
        <f>CONCATENATE(TEXT(18+IF(CHR&lt;0,0,CHR)*4,"0")," mg")</f>
        <v>18 mg</v>
      </c>
      <c r="P815" s="441" t="s">
        <v>410</v>
      </c>
      <c r="Q815" s="441" t="s">
        <v>410</v>
      </c>
      <c r="R815" s="441" t="s">
        <v>410</v>
      </c>
      <c r="S815" s="441" t="s">
        <v>410</v>
      </c>
      <c r="T815" s="441" t="s">
        <v>410</v>
      </c>
    </row>
    <row r="816" spans="1:20" hidden="1" outlineLevel="1" x14ac:dyDescent="0.3">
      <c r="A816" s="583" t="s">
        <v>1622</v>
      </c>
      <c r="B816" s="591">
        <v>1</v>
      </c>
      <c r="C816" s="588" t="s">
        <v>1256</v>
      </c>
      <c r="D816" s="588" t="s">
        <v>4754</v>
      </c>
      <c r="E816" s="855" t="s">
        <v>410</v>
      </c>
      <c r="F816" s="592" t="s">
        <v>5565</v>
      </c>
      <c r="G816" s="592" t="s">
        <v>5566</v>
      </c>
      <c r="H816" s="592" t="s">
        <v>5567</v>
      </c>
      <c r="I816" s="441" t="s">
        <v>410</v>
      </c>
      <c r="J816" s="441" t="s">
        <v>410</v>
      </c>
      <c r="K816" s="441" t="s">
        <v>410</v>
      </c>
      <c r="L816" s="441" t="s">
        <v>410</v>
      </c>
      <c r="M816" s="441" t="s">
        <v>410</v>
      </c>
      <c r="N816" s="441" t="s">
        <v>410</v>
      </c>
      <c r="O816" s="441" t="s">
        <v>410</v>
      </c>
      <c r="P816" s="441" t="s">
        <v>410</v>
      </c>
      <c r="Q816" s="441" t="s">
        <v>410</v>
      </c>
      <c r="R816" s="441" t="s">
        <v>410</v>
      </c>
      <c r="S816" s="441" t="s">
        <v>410</v>
      </c>
      <c r="T816" s="441" t="s">
        <v>410</v>
      </c>
    </row>
    <row r="817" spans="1:20" hidden="1" outlineLevel="1" x14ac:dyDescent="0.3">
      <c r="A817" s="583" t="s">
        <v>1751</v>
      </c>
      <c r="B817" s="591">
        <v>1</v>
      </c>
      <c r="C817" s="583" t="s">
        <v>1256</v>
      </c>
      <c r="D817" s="583" t="s">
        <v>4754</v>
      </c>
      <c r="E817" s="855" t="s">
        <v>410</v>
      </c>
      <c r="F817" s="237"/>
      <c r="G817" s="237"/>
      <c r="H817" s="237"/>
      <c r="I817" s="237"/>
      <c r="J817" s="237"/>
      <c r="K817" s="237"/>
      <c r="L817" s="237"/>
      <c r="M817" s="237"/>
      <c r="N817" s="237"/>
      <c r="O817" s="237" t="s">
        <v>410</v>
      </c>
      <c r="P817" s="237" t="s">
        <v>410</v>
      </c>
      <c r="Q817" s="237" t="s">
        <v>410</v>
      </c>
      <c r="R817" s="237" t="s">
        <v>410</v>
      </c>
      <c r="S817" s="10" t="s">
        <v>410</v>
      </c>
      <c r="T817" s="10" t="s">
        <v>410</v>
      </c>
    </row>
    <row r="818" spans="1:20" hidden="1" outlineLevel="1" x14ac:dyDescent="0.3">
      <c r="A818" s="583" t="s">
        <v>1765</v>
      </c>
      <c r="B818" s="591">
        <v>1</v>
      </c>
      <c r="C818" s="583" t="s">
        <v>1256</v>
      </c>
      <c r="D818" s="583" t="s">
        <v>4754</v>
      </c>
      <c r="E818" s="592" t="s">
        <v>410</v>
      </c>
      <c r="F818" s="594" t="str">
        <f>CONCATENATE(TEXT(2+IF(INT&lt;0,0,INT)*1,"0")," mg")</f>
        <v>2 mg</v>
      </c>
      <c r="G818" s="594" t="str">
        <f>CONCATENATE(TEXT(5+IF(INT&lt;0,0,INT)*1,"0")," mg")</f>
        <v>5 mg</v>
      </c>
      <c r="H818" s="594" t="str">
        <f>CONCATENATE(TEXT(7+IF(INT&lt;0,0,INT)*1,"0")," mg")</f>
        <v>7 mg</v>
      </c>
      <c r="I818" s="594" t="str">
        <f>CONCATENATE(TEXT(7+IF(INT&lt;0,0,INT)*2,"0")," mg")</f>
        <v>7 mg</v>
      </c>
      <c r="J818" s="594" t="str">
        <f>CONCATENATE(TEXT(9+IF(INT&lt;0,0,INT)*2,"0")," mg")</f>
        <v>9 mg</v>
      </c>
      <c r="K818" s="594" t="str">
        <f>CONCATENATE(TEXT(12+IF(INT&lt;0,0,INT)*2,"0")," mg")</f>
        <v>12 mg</v>
      </c>
      <c r="L818" s="594" t="str">
        <f>CONCATENATE(TEXT(13+IF(INT&lt;0,0,INT)*3,"0")," mg")</f>
        <v>13 mg</v>
      </c>
      <c r="M818" s="594" t="str">
        <f>CONCATENATE(TEXT(15+IF(INT&lt;0,0,INT)*3,"0")," mg")</f>
        <v>15 mg</v>
      </c>
      <c r="N818" s="594" t="str">
        <f>CONCATENATE(TEXT(17+IF(INT&lt;0,0,INT)*3,"0")," mg")</f>
        <v>17 mg</v>
      </c>
      <c r="O818" s="594" t="str">
        <f>CONCATENATE(TEXT(18+IF(INT&lt;0,0,INT)*4,"0")," mg")</f>
        <v>18 mg</v>
      </c>
      <c r="P818" s="593" t="s">
        <v>410</v>
      </c>
      <c r="Q818" s="593" t="s">
        <v>410</v>
      </c>
      <c r="R818" s="593" t="s">
        <v>410</v>
      </c>
      <c r="S818" s="592" t="s">
        <v>410</v>
      </c>
      <c r="T818" s="592" t="s">
        <v>410</v>
      </c>
    </row>
    <row r="819" spans="1:20" hidden="1" outlineLevel="1" x14ac:dyDescent="0.3">
      <c r="A819" s="583" t="s">
        <v>1778</v>
      </c>
      <c r="B819" s="591">
        <v>1</v>
      </c>
      <c r="C819" s="583" t="s">
        <v>1256</v>
      </c>
      <c r="D819" s="583" t="s">
        <v>4754</v>
      </c>
      <c r="E819" s="583" t="s">
        <v>410</v>
      </c>
      <c r="F819" s="593" t="s">
        <v>2222</v>
      </c>
      <c r="G819" s="593" t="s">
        <v>2223</v>
      </c>
      <c r="H819" s="593" t="s">
        <v>2224</v>
      </c>
      <c r="I819" s="593" t="s">
        <v>2225</v>
      </c>
      <c r="J819" s="593" t="s">
        <v>2226</v>
      </c>
      <c r="K819" s="593" t="s">
        <v>2227</v>
      </c>
      <c r="L819" s="237" t="s">
        <v>410</v>
      </c>
      <c r="M819" s="237" t="s">
        <v>410</v>
      </c>
      <c r="N819" s="237" t="s">
        <v>410</v>
      </c>
      <c r="O819" s="237" t="s">
        <v>410</v>
      </c>
      <c r="P819" s="237" t="s">
        <v>410</v>
      </c>
      <c r="Q819" t="s">
        <v>410</v>
      </c>
      <c r="R819" t="s">
        <v>410</v>
      </c>
      <c r="S819" t="s">
        <v>410</v>
      </c>
      <c r="T819" t="s">
        <v>410</v>
      </c>
    </row>
    <row r="820" spans="1:20" hidden="1" outlineLevel="1" x14ac:dyDescent="0.3">
      <c r="A820" s="583" t="s">
        <v>4999</v>
      </c>
      <c r="B820" s="591">
        <v>1</v>
      </c>
      <c r="C820" s="583" t="s">
        <v>1256</v>
      </c>
      <c r="D820" s="583" t="s">
        <v>4754</v>
      </c>
      <c r="E820" s="592" t="s">
        <v>410</v>
      </c>
      <c r="F820" s="593" t="s">
        <v>5000</v>
      </c>
      <c r="G820" s="593" t="s">
        <v>5001</v>
      </c>
      <c r="H820" s="593" t="s">
        <v>5002</v>
      </c>
      <c r="I820" s="593" t="s">
        <v>5003</v>
      </c>
      <c r="J820" s="593" t="s">
        <v>5004</v>
      </c>
      <c r="K820" s="593" t="s">
        <v>5005</v>
      </c>
      <c r="L820" s="593" t="s">
        <v>410</v>
      </c>
      <c r="M820" s="593" t="s">
        <v>410</v>
      </c>
      <c r="N820" s="593" t="s">
        <v>410</v>
      </c>
      <c r="O820" s="593" t="s">
        <v>410</v>
      </c>
      <c r="P820" s="593" t="s">
        <v>410</v>
      </c>
      <c r="Q820" s="593" t="s">
        <v>410</v>
      </c>
      <c r="R820" s="593" t="s">
        <v>410</v>
      </c>
      <c r="S820" s="593" t="s">
        <v>410</v>
      </c>
      <c r="T820" s="593" t="s">
        <v>410</v>
      </c>
    </row>
    <row r="821" spans="1:20" hidden="1" outlineLevel="1" x14ac:dyDescent="0.3">
      <c r="A821" s="583" t="s">
        <v>1892</v>
      </c>
      <c r="B821" s="591">
        <v>1</v>
      </c>
      <c r="C821" s="583" t="s">
        <v>1256</v>
      </c>
      <c r="D821" s="583" t="s">
        <v>4754</v>
      </c>
      <c r="E821" s="592" t="s">
        <v>410</v>
      </c>
      <c r="F821" s="593" t="s">
        <v>67</v>
      </c>
      <c r="G821" s="593" t="s">
        <v>68</v>
      </c>
      <c r="H821" s="593" t="s">
        <v>70</v>
      </c>
      <c r="I821" s="594">
        <f>IF(CHR&lt;4,4,CHR)</f>
        <v>4</v>
      </c>
      <c r="J821" s="237" t="s">
        <v>410</v>
      </c>
      <c r="K821" s="237" t="s">
        <v>410</v>
      </c>
      <c r="L821" s="237" t="s">
        <v>410</v>
      </c>
      <c r="M821" s="237" t="s">
        <v>410</v>
      </c>
      <c r="N821" s="237" t="s">
        <v>410</v>
      </c>
      <c r="O821" s="237" t="s">
        <v>410</v>
      </c>
      <c r="P821" s="237" t="s">
        <v>410</v>
      </c>
      <c r="Q821" s="237" t="s">
        <v>410</v>
      </c>
      <c r="R821" s="237" t="s">
        <v>410</v>
      </c>
      <c r="S821" s="10" t="s">
        <v>410</v>
      </c>
      <c r="T821" s="10" t="s">
        <v>410</v>
      </c>
    </row>
    <row r="822" spans="1:20" hidden="1" outlineLevel="1" x14ac:dyDescent="0.3">
      <c r="A822" s="583" t="s">
        <v>1913</v>
      </c>
      <c r="B822" s="591">
        <v>1</v>
      </c>
      <c r="C822" s="583" t="s">
        <v>1256</v>
      </c>
      <c r="D822" s="583" t="s">
        <v>4754</v>
      </c>
      <c r="E822" s="592" t="s">
        <v>410</v>
      </c>
      <c r="F822" s="593" t="s">
        <v>1540</v>
      </c>
      <c r="G822" s="593" t="s">
        <v>1548</v>
      </c>
      <c r="H822" s="593" t="s">
        <v>1543</v>
      </c>
      <c r="I822" s="593" t="s">
        <v>1544</v>
      </c>
      <c r="J822" s="593" t="s">
        <v>1549</v>
      </c>
      <c r="K822" s="593" t="s">
        <v>1547</v>
      </c>
      <c r="L822" s="593" t="s">
        <v>1550</v>
      </c>
      <c r="M822" s="593" t="s">
        <v>1551</v>
      </c>
      <c r="N822" s="237" t="s">
        <v>410</v>
      </c>
      <c r="O822" s="237" t="s">
        <v>410</v>
      </c>
      <c r="P822" s="237" t="s">
        <v>410</v>
      </c>
      <c r="Q822" s="237" t="s">
        <v>410</v>
      </c>
      <c r="R822" s="237" t="s">
        <v>410</v>
      </c>
      <c r="S822" s="10" t="s">
        <v>410</v>
      </c>
      <c r="T822" s="10" t="s">
        <v>410</v>
      </c>
    </row>
    <row r="823" spans="1:20" hidden="1" outlineLevel="1" x14ac:dyDescent="0.3">
      <c r="A823" s="583" t="s">
        <v>1654</v>
      </c>
      <c r="B823" s="591">
        <v>2</v>
      </c>
      <c r="C823" s="583" t="s">
        <v>1256</v>
      </c>
      <c r="D823" s="583" t="s">
        <v>4754</v>
      </c>
      <c r="E823" s="855" t="s">
        <v>410</v>
      </c>
      <c r="F823" s="593" t="s">
        <v>318</v>
      </c>
      <c r="G823" s="593" t="s">
        <v>2191</v>
      </c>
      <c r="H823" s="593" t="s">
        <v>2192</v>
      </c>
      <c r="I823" s="593" t="s">
        <v>2193</v>
      </c>
      <c r="J823" s="593" t="s">
        <v>2194</v>
      </c>
      <c r="K823" s="237" t="s">
        <v>410</v>
      </c>
      <c r="L823" s="237" t="s">
        <v>410</v>
      </c>
      <c r="M823" s="237" t="s">
        <v>410</v>
      </c>
      <c r="N823" s="237" t="s">
        <v>410</v>
      </c>
      <c r="O823" s="237" t="s">
        <v>410</v>
      </c>
      <c r="P823" s="237" t="s">
        <v>410</v>
      </c>
      <c r="Q823" s="237" t="s">
        <v>410</v>
      </c>
      <c r="R823" s="237" t="s">
        <v>410</v>
      </c>
      <c r="S823" s="10" t="s">
        <v>410</v>
      </c>
      <c r="T823" s="10" t="s">
        <v>410</v>
      </c>
    </row>
    <row r="824" spans="1:20" hidden="1" outlineLevel="1" x14ac:dyDescent="0.3">
      <c r="A824" s="583" t="s">
        <v>1844</v>
      </c>
      <c r="B824" s="591">
        <v>2</v>
      </c>
      <c r="C824" s="583" t="s">
        <v>1256</v>
      </c>
      <c r="D824" s="583" t="s">
        <v>4754</v>
      </c>
      <c r="E824" s="592" t="s">
        <v>410</v>
      </c>
      <c r="F824" s="593" t="s">
        <v>5492</v>
      </c>
      <c r="G824" s="593" t="s">
        <v>5493</v>
      </c>
      <c r="H824" s="593" t="s">
        <v>5494</v>
      </c>
      <c r="I824" s="593" t="s">
        <v>5490</v>
      </c>
      <c r="J824" s="593" t="s">
        <v>5491</v>
      </c>
      <c r="K824" s="237" t="s">
        <v>410</v>
      </c>
      <c r="L824" s="237" t="s">
        <v>410</v>
      </c>
      <c r="M824" s="237" t="s">
        <v>410</v>
      </c>
      <c r="N824" s="237" t="s">
        <v>410</v>
      </c>
      <c r="O824" s="237" t="s">
        <v>410</v>
      </c>
      <c r="P824" s="237" t="s">
        <v>410</v>
      </c>
      <c r="Q824" s="237" t="s">
        <v>410</v>
      </c>
      <c r="R824" s="237" t="s">
        <v>410</v>
      </c>
      <c r="S824" s="10" t="s">
        <v>410</v>
      </c>
      <c r="T824" s="10" t="s">
        <v>410</v>
      </c>
    </row>
    <row r="825" spans="1:20" hidden="1" outlineLevel="1" x14ac:dyDescent="0.3">
      <c r="A825" s="583" t="s">
        <v>3033</v>
      </c>
      <c r="B825" s="591">
        <v>2</v>
      </c>
      <c r="C825" s="583" t="s">
        <v>1256</v>
      </c>
      <c r="D825" s="583" t="s">
        <v>4754</v>
      </c>
      <c r="E825" s="593" t="s">
        <v>3034</v>
      </c>
      <c r="F825" s="593" t="s">
        <v>3035</v>
      </c>
      <c r="G825" s="593" t="s">
        <v>3036</v>
      </c>
      <c r="H825" s="593" t="s">
        <v>3038</v>
      </c>
      <c r="I825" s="593" t="s">
        <v>3037</v>
      </c>
      <c r="J825" s="237" t="s">
        <v>410</v>
      </c>
      <c r="K825" s="237" t="s">
        <v>410</v>
      </c>
      <c r="L825" s="237" t="s">
        <v>410</v>
      </c>
      <c r="M825" s="237" t="s">
        <v>410</v>
      </c>
      <c r="N825" s="237" t="s">
        <v>410</v>
      </c>
      <c r="O825" s="237" t="s">
        <v>410</v>
      </c>
      <c r="P825" s="237" t="s">
        <v>410</v>
      </c>
      <c r="Q825" s="237" t="s">
        <v>410</v>
      </c>
      <c r="R825" s="237" t="s">
        <v>410</v>
      </c>
      <c r="S825" s="10" t="s">
        <v>410</v>
      </c>
      <c r="T825" s="10" t="s">
        <v>410</v>
      </c>
    </row>
    <row r="826" spans="1:20" hidden="1" outlineLevel="1" x14ac:dyDescent="0.3">
      <c r="A826" s="583" t="s">
        <v>3604</v>
      </c>
      <c r="B826" s="591">
        <v>3</v>
      </c>
      <c r="C826" s="583" t="s">
        <v>1256</v>
      </c>
      <c r="D826" s="583" t="s">
        <v>4754</v>
      </c>
      <c r="E826" s="583" t="s">
        <v>410</v>
      </c>
      <c r="F826" s="583" t="s">
        <v>3605</v>
      </c>
      <c r="G826" s="583" t="s">
        <v>3606</v>
      </c>
      <c r="H826" s="583" t="s">
        <v>3607</v>
      </c>
      <c r="I826" s="583" t="s">
        <v>410</v>
      </c>
      <c r="J826" t="s">
        <v>410</v>
      </c>
      <c r="K826" t="s">
        <v>410</v>
      </c>
      <c r="L826" t="s">
        <v>410</v>
      </c>
      <c r="M826" t="s">
        <v>410</v>
      </c>
      <c r="N826" t="s">
        <v>410</v>
      </c>
      <c r="O826" t="s">
        <v>410</v>
      </c>
      <c r="P826" t="s">
        <v>410</v>
      </c>
      <c r="Q826" t="s">
        <v>410</v>
      </c>
      <c r="R826" t="s">
        <v>410</v>
      </c>
      <c r="S826" t="s">
        <v>410</v>
      </c>
      <c r="T826" t="s">
        <v>410</v>
      </c>
    </row>
    <row r="827" spans="1:20" hidden="1" outlineLevel="1" x14ac:dyDescent="0.3">
      <c r="A827" s="583" t="s">
        <v>1995</v>
      </c>
      <c r="B827" s="591">
        <v>3</v>
      </c>
      <c r="C827" s="583" t="s">
        <v>1256</v>
      </c>
      <c r="D827" s="583" t="s">
        <v>4754</v>
      </c>
      <c r="E827" s="237" t="s">
        <v>410</v>
      </c>
      <c r="F827" s="593" t="s">
        <v>1525</v>
      </c>
      <c r="G827" s="593" t="s">
        <v>3316</v>
      </c>
      <c r="H827" s="593" t="s">
        <v>3317</v>
      </c>
      <c r="I827" s="593" t="s">
        <v>3318</v>
      </c>
      <c r="J827" s="593" t="s">
        <v>3319</v>
      </c>
      <c r="K827" s="237" t="s">
        <v>410</v>
      </c>
      <c r="L827" s="237" t="s">
        <v>410</v>
      </c>
      <c r="M827" s="237" t="s">
        <v>410</v>
      </c>
      <c r="N827" s="237" t="s">
        <v>410</v>
      </c>
      <c r="O827" s="237" t="s">
        <v>410</v>
      </c>
      <c r="P827" s="237" t="s">
        <v>410</v>
      </c>
      <c r="Q827" s="237" t="s">
        <v>410</v>
      </c>
      <c r="R827" s="237" t="s">
        <v>410</v>
      </c>
      <c r="S827" s="237" t="s">
        <v>410</v>
      </c>
      <c r="T827" s="237" t="s">
        <v>410</v>
      </c>
    </row>
    <row r="828" spans="1:20" hidden="1" outlineLevel="1" x14ac:dyDescent="0.3">
      <c r="A828" s="583" t="s">
        <v>5485</v>
      </c>
      <c r="B828" s="591">
        <v>5</v>
      </c>
      <c r="C828" s="583" t="s">
        <v>1256</v>
      </c>
      <c r="D828" s="583" t="s">
        <v>4754</v>
      </c>
      <c r="E828" s="592" t="s">
        <v>410</v>
      </c>
      <c r="F828" s="593" t="s">
        <v>3269</v>
      </c>
      <c r="G828" s="593" t="s">
        <v>3270</v>
      </c>
      <c r="H828" s="593" t="s">
        <v>3271</v>
      </c>
      <c r="I828" s="593" t="s">
        <v>3272</v>
      </c>
      <c r="J828" s="593" t="s">
        <v>3273</v>
      </c>
      <c r="K828" s="237" t="s">
        <v>410</v>
      </c>
      <c r="L828" s="237" t="s">
        <v>410</v>
      </c>
      <c r="M828" s="237" t="s">
        <v>410</v>
      </c>
      <c r="N828" s="237" t="s">
        <v>410</v>
      </c>
      <c r="O828" s="237" t="s">
        <v>410</v>
      </c>
      <c r="P828" s="237" t="s">
        <v>410</v>
      </c>
      <c r="Q828" s="237" t="s">
        <v>410</v>
      </c>
      <c r="R828" s="237" t="s">
        <v>410</v>
      </c>
      <c r="S828" s="10" t="s">
        <v>410</v>
      </c>
      <c r="T828" s="10" t="s">
        <v>410</v>
      </c>
    </row>
    <row r="829" spans="1:20" hidden="1" outlineLevel="1" x14ac:dyDescent="0.3">
      <c r="A829" s="583" t="s">
        <v>919</v>
      </c>
      <c r="B829" s="591">
        <v>6</v>
      </c>
      <c r="C829" s="583" t="s">
        <v>1256</v>
      </c>
      <c r="D829" s="583" t="s">
        <v>4754</v>
      </c>
      <c r="E829" s="592" t="s">
        <v>2011</v>
      </c>
      <c r="F829" s="593" t="s">
        <v>3462</v>
      </c>
      <c r="G829" s="593" t="s">
        <v>1783</v>
      </c>
      <c r="H829" s="593" t="s">
        <v>1753</v>
      </c>
      <c r="I829" s="593" t="s">
        <v>1784</v>
      </c>
      <c r="J829" s="593" t="s">
        <v>1754</v>
      </c>
      <c r="K829" s="237" t="s">
        <v>410</v>
      </c>
      <c r="L829" s="237" t="s">
        <v>410</v>
      </c>
      <c r="M829" s="237" t="s">
        <v>410</v>
      </c>
      <c r="N829" s="237" t="s">
        <v>410</v>
      </c>
      <c r="O829" s="237" t="s">
        <v>410</v>
      </c>
      <c r="P829" s="237" t="s">
        <v>410</v>
      </c>
      <c r="Q829" s="237" t="s">
        <v>410</v>
      </c>
      <c r="R829" s="237" t="s">
        <v>410</v>
      </c>
      <c r="S829" s="10" t="s">
        <v>410</v>
      </c>
      <c r="T829" s="10" t="s">
        <v>410</v>
      </c>
    </row>
    <row r="830" spans="1:20" hidden="1" outlineLevel="1" x14ac:dyDescent="0.3">
      <c r="A830" s="583" t="s">
        <v>1786</v>
      </c>
      <c r="B830" s="591">
        <v>6</v>
      </c>
      <c r="C830" s="583" t="s">
        <v>1256</v>
      </c>
      <c r="D830" s="583" t="s">
        <v>4754</v>
      </c>
      <c r="E830" s="592" t="s">
        <v>410</v>
      </c>
      <c r="F830" s="593" t="s">
        <v>715</v>
      </c>
      <c r="G830" s="593" t="s">
        <v>5509</v>
      </c>
      <c r="H830" s="593" t="s">
        <v>5510</v>
      </c>
      <c r="I830" s="593" t="s">
        <v>5511</v>
      </c>
      <c r="J830" s="237" t="s">
        <v>410</v>
      </c>
      <c r="K830" s="237" t="s">
        <v>410</v>
      </c>
      <c r="L830" s="237" t="s">
        <v>410</v>
      </c>
      <c r="M830" s="237" t="s">
        <v>410</v>
      </c>
      <c r="N830" s="237" t="s">
        <v>410</v>
      </c>
      <c r="O830" s="237" t="s">
        <v>410</v>
      </c>
      <c r="P830" s="237" t="s">
        <v>410</v>
      </c>
      <c r="Q830" s="237" t="s">
        <v>410</v>
      </c>
      <c r="R830" s="237" t="s">
        <v>410</v>
      </c>
      <c r="S830" s="10" t="s">
        <v>410</v>
      </c>
      <c r="T830" s="10" t="s">
        <v>410</v>
      </c>
    </row>
    <row r="831" spans="1:20" hidden="1" outlineLevel="1" x14ac:dyDescent="0.3">
      <c r="A831" s="583" t="s">
        <v>1887</v>
      </c>
      <c r="B831" s="591">
        <v>6</v>
      </c>
      <c r="C831" s="583" t="s">
        <v>1256</v>
      </c>
      <c r="D831" s="583" t="s">
        <v>4754</v>
      </c>
      <c r="E831" s="592" t="s">
        <v>410</v>
      </c>
      <c r="F831" s="593" t="s">
        <v>1954</v>
      </c>
      <c r="G831" s="593" t="s">
        <v>5519</v>
      </c>
      <c r="H831" s="237" t="s">
        <v>410</v>
      </c>
      <c r="I831" s="237" t="s">
        <v>410</v>
      </c>
      <c r="J831" s="237" t="s">
        <v>410</v>
      </c>
      <c r="K831" s="237" t="s">
        <v>410</v>
      </c>
      <c r="L831" s="237" t="s">
        <v>410</v>
      </c>
      <c r="M831" s="237" t="s">
        <v>410</v>
      </c>
      <c r="N831" s="237" t="s">
        <v>410</v>
      </c>
      <c r="O831" s="237" t="s">
        <v>410</v>
      </c>
      <c r="P831" s="237" t="s">
        <v>410</v>
      </c>
      <c r="Q831" s="237" t="s">
        <v>410</v>
      </c>
      <c r="R831" s="237" t="s">
        <v>410</v>
      </c>
      <c r="S831" s="10" t="s">
        <v>410</v>
      </c>
      <c r="T831" s="10" t="s">
        <v>410</v>
      </c>
    </row>
    <row r="832" spans="1:20" hidden="1" outlineLevel="1" x14ac:dyDescent="0.3">
      <c r="A832" s="583" t="s">
        <v>1920</v>
      </c>
      <c r="B832" s="591">
        <v>6</v>
      </c>
      <c r="C832" s="583" t="s">
        <v>1256</v>
      </c>
      <c r="D832" s="583" t="s">
        <v>4754</v>
      </c>
      <c r="E832" s="10" t="s">
        <v>410</v>
      </c>
      <c r="F832" s="593" t="s">
        <v>67</v>
      </c>
      <c r="G832" s="593" t="s">
        <v>68</v>
      </c>
      <c r="H832" s="593" t="s">
        <v>70</v>
      </c>
      <c r="I832" s="593" t="s">
        <v>72</v>
      </c>
      <c r="J832" s="237" t="s">
        <v>410</v>
      </c>
      <c r="K832" s="237" t="s">
        <v>410</v>
      </c>
      <c r="L832" s="237" t="s">
        <v>410</v>
      </c>
      <c r="M832" s="237" t="s">
        <v>410</v>
      </c>
      <c r="N832" s="237" t="s">
        <v>410</v>
      </c>
      <c r="O832" s="237" t="s">
        <v>410</v>
      </c>
      <c r="P832" s="237" t="s">
        <v>410</v>
      </c>
      <c r="Q832" s="237" t="s">
        <v>410</v>
      </c>
      <c r="R832" s="237" t="s">
        <v>410</v>
      </c>
      <c r="S832" s="10" t="s">
        <v>410</v>
      </c>
      <c r="T832" s="10" t="s">
        <v>410</v>
      </c>
    </row>
    <row r="833" spans="1:20" hidden="1" outlineLevel="1" x14ac:dyDescent="0.3">
      <c r="A833" s="583" t="s">
        <v>1926</v>
      </c>
      <c r="B833" s="591">
        <v>6</v>
      </c>
      <c r="C833" s="583" t="s">
        <v>1256</v>
      </c>
      <c r="D833" s="583" t="s">
        <v>4754</v>
      </c>
      <c r="E833" s="10" t="s">
        <v>410</v>
      </c>
      <c r="F833" s="593" t="s">
        <v>1829</v>
      </c>
      <c r="G833" s="593" t="s">
        <v>3156</v>
      </c>
      <c r="H833" s="593" t="s">
        <v>1927</v>
      </c>
      <c r="I833" s="593" t="s">
        <v>3157</v>
      </c>
      <c r="J833" s="593" t="s">
        <v>3158</v>
      </c>
      <c r="K833" s="237" t="s">
        <v>410</v>
      </c>
      <c r="L833" s="237" t="s">
        <v>410</v>
      </c>
      <c r="M833" s="237" t="s">
        <v>410</v>
      </c>
      <c r="N833" s="237" t="s">
        <v>410</v>
      </c>
      <c r="O833" s="237" t="s">
        <v>410</v>
      </c>
      <c r="P833" s="237" t="s">
        <v>410</v>
      </c>
      <c r="Q833" s="237" t="s">
        <v>410</v>
      </c>
      <c r="R833" s="237" t="s">
        <v>410</v>
      </c>
      <c r="S833" s="10" t="s">
        <v>410</v>
      </c>
      <c r="T833" s="10" t="s">
        <v>410</v>
      </c>
    </row>
    <row r="834" spans="1:20" hidden="1" outlineLevel="1" x14ac:dyDescent="0.3">
      <c r="A834" s="583" t="s">
        <v>1952</v>
      </c>
      <c r="B834" s="591">
        <v>6</v>
      </c>
      <c r="C834" s="583" t="s">
        <v>1256</v>
      </c>
      <c r="D834" s="583" t="s">
        <v>4754</v>
      </c>
      <c r="E834" s="237" t="s">
        <v>410</v>
      </c>
      <c r="F834" s="593" t="s">
        <v>66</v>
      </c>
      <c r="G834" s="593" t="s">
        <v>68</v>
      </c>
      <c r="H834" s="594" t="str">
        <f>CONCATENATE("+",TEXT(IF(CHR&gt;3,CHR,3),0))</f>
        <v>+3</v>
      </c>
      <c r="I834" s="237" t="s">
        <v>410</v>
      </c>
      <c r="J834" s="237" t="s">
        <v>410</v>
      </c>
      <c r="K834" s="237" t="s">
        <v>410</v>
      </c>
      <c r="L834" s="237" t="s">
        <v>410</v>
      </c>
      <c r="M834" s="237" t="s">
        <v>410</v>
      </c>
      <c r="N834" s="237" t="s">
        <v>410</v>
      </c>
      <c r="O834" s="237" t="s">
        <v>410</v>
      </c>
      <c r="P834" s="237" t="s">
        <v>410</v>
      </c>
      <c r="Q834" s="237" t="s">
        <v>410</v>
      </c>
      <c r="R834" s="237" t="s">
        <v>410</v>
      </c>
      <c r="S834" s="237" t="s">
        <v>410</v>
      </c>
      <c r="T834" s="237" t="s">
        <v>410</v>
      </c>
    </row>
    <row r="835" spans="1:20" hidden="1" outlineLevel="1" x14ac:dyDescent="0.3">
      <c r="A835" s="583" t="s">
        <v>1768</v>
      </c>
      <c r="B835" s="591">
        <v>11</v>
      </c>
      <c r="C835" s="583" t="s">
        <v>1256</v>
      </c>
      <c r="D835" s="583" t="s">
        <v>4754</v>
      </c>
      <c r="E835" s="592" t="s">
        <v>410</v>
      </c>
      <c r="F835" s="593" t="s">
        <v>67</v>
      </c>
      <c r="G835" s="593" t="s">
        <v>68</v>
      </c>
      <c r="H835" s="593" t="s">
        <v>70</v>
      </c>
      <c r="I835" s="593" t="s">
        <v>72</v>
      </c>
      <c r="J835" s="593" t="s">
        <v>74</v>
      </c>
      <c r="K835" s="237" t="s">
        <v>410</v>
      </c>
      <c r="L835" s="237" t="s">
        <v>410</v>
      </c>
      <c r="M835" s="237" t="s">
        <v>410</v>
      </c>
      <c r="N835" s="237" t="s">
        <v>410</v>
      </c>
      <c r="O835" s="237" t="s">
        <v>410</v>
      </c>
      <c r="P835" s="237" t="s">
        <v>410</v>
      </c>
      <c r="Q835" s="237" t="s">
        <v>410</v>
      </c>
      <c r="R835" s="237" t="s">
        <v>410</v>
      </c>
      <c r="S835" s="10" t="s">
        <v>410</v>
      </c>
      <c r="T835" s="10" t="s">
        <v>410</v>
      </c>
    </row>
    <row r="836" spans="1:20" hidden="1" outlineLevel="1" x14ac:dyDescent="0.3">
      <c r="A836" s="583" t="s">
        <v>1773</v>
      </c>
      <c r="B836" s="591">
        <v>11</v>
      </c>
      <c r="C836" s="583" t="s">
        <v>1256</v>
      </c>
      <c r="D836" s="583" t="s">
        <v>4754</v>
      </c>
      <c r="E836" s="592" t="s">
        <v>410</v>
      </c>
      <c r="F836" s="593" t="s">
        <v>68</v>
      </c>
      <c r="G836" s="593" t="s">
        <v>3298</v>
      </c>
      <c r="H836" s="593" t="s">
        <v>3299</v>
      </c>
      <c r="I836" s="237" t="s">
        <v>410</v>
      </c>
      <c r="J836" s="237" t="s">
        <v>410</v>
      </c>
      <c r="K836" s="237" t="s">
        <v>410</v>
      </c>
      <c r="L836" s="237" t="s">
        <v>410</v>
      </c>
      <c r="M836" s="237" t="s">
        <v>410</v>
      </c>
      <c r="N836" s="237" t="s">
        <v>410</v>
      </c>
      <c r="O836" s="237" t="s">
        <v>410</v>
      </c>
      <c r="P836" s="237" t="s">
        <v>410</v>
      </c>
      <c r="Q836" s="237" t="s">
        <v>410</v>
      </c>
      <c r="R836" s="237" t="s">
        <v>410</v>
      </c>
      <c r="S836" s="10" t="s">
        <v>410</v>
      </c>
      <c r="T836" s="10" t="s">
        <v>410</v>
      </c>
    </row>
    <row r="837" spans="1:20" hidden="1" outlineLevel="1" x14ac:dyDescent="0.3">
      <c r="A837" s="583" t="s">
        <v>1757</v>
      </c>
      <c r="B837" s="591">
        <v>16</v>
      </c>
      <c r="C837" s="583" t="s">
        <v>1256</v>
      </c>
      <c r="D837" s="583" t="s">
        <v>4754</v>
      </c>
      <c r="E837" s="592" t="s">
        <v>410</v>
      </c>
      <c r="F837" s="593" t="s">
        <v>3305</v>
      </c>
      <c r="G837" s="593" t="s">
        <v>3306</v>
      </c>
      <c r="H837" s="593" t="s">
        <v>3307</v>
      </c>
      <c r="I837" s="237" t="s">
        <v>410</v>
      </c>
      <c r="J837" s="237" t="s">
        <v>410</v>
      </c>
      <c r="K837" s="237" t="s">
        <v>410</v>
      </c>
      <c r="L837" s="237" t="s">
        <v>410</v>
      </c>
      <c r="M837" s="237" t="s">
        <v>410</v>
      </c>
      <c r="N837" s="237" t="s">
        <v>410</v>
      </c>
      <c r="O837" s="237" t="s">
        <v>410</v>
      </c>
      <c r="P837" s="237" t="s">
        <v>410</v>
      </c>
      <c r="Q837" s="237" t="s">
        <v>410</v>
      </c>
      <c r="R837" s="237" t="s">
        <v>410</v>
      </c>
      <c r="S837" s="10" t="s">
        <v>410</v>
      </c>
      <c r="T837" s="10" t="s">
        <v>410</v>
      </c>
    </row>
    <row r="838" spans="1:20" hidden="1" outlineLevel="1" x14ac:dyDescent="0.3">
      <c r="A838" s="583" t="s">
        <v>1758</v>
      </c>
      <c r="B838" s="591">
        <v>16</v>
      </c>
      <c r="C838" s="583" t="s">
        <v>1256</v>
      </c>
      <c r="D838" s="583" t="s">
        <v>4754</v>
      </c>
      <c r="E838" s="592" t="s">
        <v>410</v>
      </c>
      <c r="F838" s="593" t="s">
        <v>67</v>
      </c>
      <c r="G838" s="593" t="s">
        <v>68</v>
      </c>
      <c r="H838" s="593" t="s">
        <v>70</v>
      </c>
      <c r="I838" s="593" t="s">
        <v>74</v>
      </c>
      <c r="J838" s="593" t="s">
        <v>410</v>
      </c>
      <c r="K838" s="237" t="s">
        <v>410</v>
      </c>
      <c r="L838" s="237" t="s">
        <v>410</v>
      </c>
      <c r="M838" s="237" t="s">
        <v>410</v>
      </c>
      <c r="N838" s="237" t="s">
        <v>410</v>
      </c>
      <c r="O838" s="237" t="s">
        <v>410</v>
      </c>
      <c r="P838" s="237" t="s">
        <v>410</v>
      </c>
      <c r="Q838" s="237" t="s">
        <v>410</v>
      </c>
      <c r="R838" s="237" t="s">
        <v>410</v>
      </c>
      <c r="S838" s="10" t="s">
        <v>410</v>
      </c>
      <c r="T838" s="10" t="s">
        <v>410</v>
      </c>
    </row>
    <row r="839" spans="1:20" hidden="1" outlineLevel="1" x14ac:dyDescent="0.3">
      <c r="A839" s="583" t="s">
        <v>3602</v>
      </c>
      <c r="B839" s="591">
        <v>16</v>
      </c>
      <c r="C839" s="583" t="s">
        <v>1256</v>
      </c>
      <c r="D839" s="583" t="s">
        <v>4754</v>
      </c>
      <c r="E839" s="583" t="s">
        <v>410</v>
      </c>
      <c r="F839" s="594" t="str">
        <f>CONCATENATE(TEXT(IF('1-Vlastnosti'!$D$7&lt;1,1,'1-Vlastnosti'!$D$7)*2+5,0),"%")</f>
        <v>7%</v>
      </c>
      <c r="G839" s="594" t="str">
        <f>CONCATENATE(TEXT(15+IF('1-Vlastnosti'!$D$7&lt;1,1,'1-Vlastnosti'!$D$7)*3,0),"%")</f>
        <v>18%</v>
      </c>
      <c r="H839" s="594" t="str">
        <f>CONCATENATE(TEXT(25+IF('1-Vlastnosti'!$D$7&lt;1,1,'1-Vlastnosti'!$D$7)*4,0),"%")</f>
        <v>29%</v>
      </c>
      <c r="I839" s="594" t="str">
        <f>CONCATENATE(TEXT(35+IF('1-Vlastnosti'!$D$7&lt;1,1,'1-Vlastnosti'!$D$7)*5,0),"%")</f>
        <v>40%</v>
      </c>
      <c r="J839" s="237" t="s">
        <v>410</v>
      </c>
      <c r="K839" s="237" t="s">
        <v>410</v>
      </c>
      <c r="L839" s="237" t="s">
        <v>410</v>
      </c>
      <c r="M839" s="237" t="s">
        <v>410</v>
      </c>
      <c r="N839" s="237" t="s">
        <v>410</v>
      </c>
      <c r="O839" s="237" t="s">
        <v>410</v>
      </c>
      <c r="P839" s="237" t="s">
        <v>410</v>
      </c>
      <c r="Q839" t="s">
        <v>410</v>
      </c>
      <c r="R839" t="s">
        <v>410</v>
      </c>
      <c r="S839" t="s">
        <v>410</v>
      </c>
      <c r="T839" t="s">
        <v>410</v>
      </c>
    </row>
    <row r="840" spans="1:20" hidden="1" outlineLevel="1" x14ac:dyDescent="0.3">
      <c r="A840" s="583" t="s">
        <v>3603</v>
      </c>
      <c r="B840" s="591">
        <v>16</v>
      </c>
      <c r="C840" s="583" t="s">
        <v>1256</v>
      </c>
      <c r="D840" s="583" t="s">
        <v>4754</v>
      </c>
      <c r="E840" s="583" t="s">
        <v>410</v>
      </c>
      <c r="F840" s="594" t="str">
        <f>CONCATENATE(TEXT(IF('1-Vlastnosti'!$D$7&lt;1,1,'1-Vlastnosti'!$D$7)*2+5,0),"%")</f>
        <v>7%</v>
      </c>
      <c r="G840" s="594" t="str">
        <f>CONCATENATE(TEXT(15+IF('1-Vlastnosti'!$D$7&lt;1,1,'1-Vlastnosti'!$D$7)*3,0),"%")</f>
        <v>18%</v>
      </c>
      <c r="H840" s="594" t="str">
        <f>CONCATENATE(TEXT(25+IF('1-Vlastnosti'!$D$7&lt;1,1,'1-Vlastnosti'!$D$7)*4,0),"%")</f>
        <v>29%</v>
      </c>
      <c r="I840" s="594" t="str">
        <f>CONCATENATE(TEXT(35+IF('1-Vlastnosti'!$D$7&lt;1,1,'1-Vlastnosti'!$D$7)*5,0),"%")</f>
        <v>40%</v>
      </c>
      <c r="J840" s="237" t="s">
        <v>410</v>
      </c>
      <c r="K840" s="237" t="s">
        <v>410</v>
      </c>
      <c r="L840" s="237" t="s">
        <v>410</v>
      </c>
      <c r="M840" s="237" t="s">
        <v>410</v>
      </c>
      <c r="N840" s="237" t="s">
        <v>410</v>
      </c>
      <c r="O840" s="237" t="s">
        <v>410</v>
      </c>
      <c r="P840" s="237" t="s">
        <v>410</v>
      </c>
      <c r="Q840" t="s">
        <v>410</v>
      </c>
      <c r="R840" t="s">
        <v>410</v>
      </c>
      <c r="S840" t="s">
        <v>410</v>
      </c>
      <c r="T840" t="s">
        <v>410</v>
      </c>
    </row>
    <row r="841" spans="1:20" hidden="1" outlineLevel="1" x14ac:dyDescent="0.3">
      <c r="A841" s="583" t="s">
        <v>1968</v>
      </c>
      <c r="B841" s="591">
        <v>16</v>
      </c>
      <c r="C841" s="583" t="s">
        <v>1256</v>
      </c>
      <c r="D841" s="583" t="s">
        <v>4754</v>
      </c>
      <c r="E841" s="593" t="s">
        <v>410</v>
      </c>
      <c r="F841" s="593" t="s">
        <v>3300</v>
      </c>
      <c r="G841" s="593" t="s">
        <v>3301</v>
      </c>
      <c r="H841" s="593" t="s">
        <v>3302</v>
      </c>
      <c r="I841" s="593" t="s">
        <v>3303</v>
      </c>
      <c r="J841" s="593" t="s">
        <v>3304</v>
      </c>
      <c r="K841" s="237" t="s">
        <v>410</v>
      </c>
      <c r="L841" s="237" t="s">
        <v>410</v>
      </c>
      <c r="M841" s="237" t="s">
        <v>410</v>
      </c>
      <c r="N841" s="237" t="s">
        <v>410</v>
      </c>
      <c r="O841" s="237" t="s">
        <v>410</v>
      </c>
      <c r="P841" s="237" t="s">
        <v>410</v>
      </c>
      <c r="Q841" s="237" t="s">
        <v>410</v>
      </c>
      <c r="R841" s="237" t="s">
        <v>410</v>
      </c>
      <c r="S841" s="237" t="s">
        <v>410</v>
      </c>
      <c r="T841" s="237" t="s">
        <v>410</v>
      </c>
    </row>
    <row r="842" spans="1:20" hidden="1" outlineLevel="1" x14ac:dyDescent="0.3">
      <c r="A842" s="583" t="s">
        <v>1971</v>
      </c>
      <c r="B842" s="591">
        <v>16</v>
      </c>
      <c r="C842" s="583" t="s">
        <v>1256</v>
      </c>
      <c r="D842" s="583" t="s">
        <v>4754</v>
      </c>
      <c r="E842" s="593" t="s">
        <v>410</v>
      </c>
      <c r="F842" s="593"/>
      <c r="G842" s="593"/>
      <c r="H842" s="593"/>
      <c r="I842" s="593"/>
      <c r="J842" s="593"/>
      <c r="K842" s="237" t="s">
        <v>410</v>
      </c>
      <c r="L842" s="237" t="s">
        <v>410</v>
      </c>
      <c r="M842" s="237" t="s">
        <v>410</v>
      </c>
      <c r="N842" s="237" t="s">
        <v>410</v>
      </c>
      <c r="O842" s="237" t="s">
        <v>410</v>
      </c>
      <c r="P842" s="237" t="s">
        <v>410</v>
      </c>
      <c r="Q842" s="237" t="s">
        <v>410</v>
      </c>
      <c r="R842" s="237" t="s">
        <v>410</v>
      </c>
      <c r="S842" s="237" t="s">
        <v>410</v>
      </c>
      <c r="T842" s="237" t="s">
        <v>410</v>
      </c>
    </row>
    <row r="843" spans="1:20" hidden="1" outlineLevel="1" x14ac:dyDescent="0.3">
      <c r="A843" s="583" t="s">
        <v>2067</v>
      </c>
      <c r="B843" s="591">
        <v>0</v>
      </c>
      <c r="C843" s="588" t="s">
        <v>1564</v>
      </c>
      <c r="D843" s="588" t="s">
        <v>4754</v>
      </c>
      <c r="E843" s="595"/>
      <c r="F843" s="9" t="s">
        <v>410</v>
      </c>
      <c r="G843" s="9" t="s">
        <v>410</v>
      </c>
      <c r="H843" s="9" t="s">
        <v>410</v>
      </c>
      <c r="I843" s="9" t="s">
        <v>410</v>
      </c>
      <c r="J843" s="9" t="s">
        <v>410</v>
      </c>
      <c r="K843" s="9" t="s">
        <v>410</v>
      </c>
      <c r="L843" s="9" t="s">
        <v>410</v>
      </c>
      <c r="M843" s="9" t="s">
        <v>410</v>
      </c>
      <c r="N843" s="9" t="s">
        <v>410</v>
      </c>
      <c r="O843" s="9" t="s">
        <v>410</v>
      </c>
      <c r="P843" s="9" t="s">
        <v>410</v>
      </c>
      <c r="Q843" s="9" t="s">
        <v>410</v>
      </c>
      <c r="R843" s="9" t="s">
        <v>410</v>
      </c>
      <c r="S843" s="9" t="s">
        <v>410</v>
      </c>
      <c r="T843" s="9" t="s">
        <v>410</v>
      </c>
    </row>
    <row r="844" spans="1:20" hidden="1" outlineLevel="1" x14ac:dyDescent="0.3">
      <c r="A844" s="583" t="s">
        <v>5513</v>
      </c>
      <c r="B844" s="591">
        <v>1</v>
      </c>
      <c r="C844" s="583" t="s">
        <v>1564</v>
      </c>
      <c r="D844" s="583" t="s">
        <v>4754</v>
      </c>
      <c r="E844" s="583" t="s">
        <v>410</v>
      </c>
      <c r="F844"/>
      <c r="G844"/>
      <c r="H844"/>
      <c r="I844"/>
      <c r="J844"/>
      <c r="K844"/>
      <c r="L844"/>
      <c r="M844"/>
      <c r="N844"/>
      <c r="O844"/>
      <c r="P844" t="s">
        <v>410</v>
      </c>
      <c r="Q844" t="s">
        <v>410</v>
      </c>
      <c r="R844" t="s">
        <v>410</v>
      </c>
      <c r="S844" t="s">
        <v>410</v>
      </c>
      <c r="T844" t="s">
        <v>410</v>
      </c>
    </row>
    <row r="845" spans="1:20" hidden="1" outlineLevel="1" x14ac:dyDescent="0.3">
      <c r="A845" s="583" t="s">
        <v>5515</v>
      </c>
      <c r="B845" s="591">
        <v>3</v>
      </c>
      <c r="C845" s="588" t="s">
        <v>1564</v>
      </c>
      <c r="D845" s="588" t="s">
        <v>4754</v>
      </c>
      <c r="E845" s="855" t="s">
        <v>410</v>
      </c>
      <c r="F845" s="593"/>
      <c r="G845" s="593"/>
      <c r="H845" s="593"/>
      <c r="I845" s="593"/>
      <c r="J845" s="593"/>
      <c r="K845" s="589"/>
      <c r="L845" s="589"/>
      <c r="M845" s="589"/>
      <c r="N845" s="441" t="s">
        <v>410</v>
      </c>
      <c r="O845" s="441" t="s">
        <v>410</v>
      </c>
      <c r="P845" s="441" t="s">
        <v>410</v>
      </c>
      <c r="Q845" s="441" t="s">
        <v>410</v>
      </c>
      <c r="R845" s="441" t="s">
        <v>410</v>
      </c>
      <c r="S845" s="441" t="s">
        <v>410</v>
      </c>
      <c r="T845" s="441" t="s">
        <v>410</v>
      </c>
    </row>
    <row r="846" spans="1:20" hidden="1" outlineLevel="1" x14ac:dyDescent="0.3">
      <c r="A846" s="583" t="s">
        <v>3615</v>
      </c>
      <c r="B846" s="591">
        <v>3</v>
      </c>
      <c r="C846" s="583" t="s">
        <v>1564</v>
      </c>
      <c r="D846" s="583" t="s">
        <v>4754</v>
      </c>
      <c r="E846" s="855" t="s">
        <v>410</v>
      </c>
      <c r="F846" s="594" t="str">
        <f>CONCATENATE(TEXT(4+IF(OBR&lt;0,0,OBR)*1,"0")," mg")</f>
        <v>4 mg</v>
      </c>
      <c r="G846" s="594" t="str">
        <f>CONCATENATE(TEXT(5+IF(OBR&lt;0,0,OBR)*2,"0")," mg")</f>
        <v>5 mg</v>
      </c>
      <c r="H846" s="594" t="str">
        <f>CONCATENATE(TEXT(7+IF(OBR&lt;0,0,OBR)*2,"0")," mg")</f>
        <v>7 mg</v>
      </c>
      <c r="I846" s="594" t="str">
        <f>CONCATENATE(TEXT(9+IF(OBR&lt;0,0,OBR)*2,"0")," mg")</f>
        <v>9 mg</v>
      </c>
      <c r="J846" s="594" t="str">
        <f>CONCATENATE(TEXT(9+IF(OBR&lt;0,0,OBR)*3,"0")," mg")</f>
        <v>9 mg</v>
      </c>
      <c r="K846" s="594" t="str">
        <f>CONCATENATE(TEXT(10+IF(OBR&lt;0,0,OBR)*4,"0")," mg")</f>
        <v>10 mg</v>
      </c>
      <c r="L846" s="594" t="str">
        <f>CONCATENATE(TEXT(13+IF(OBR&lt;0,0,OBR)*4,"0")," mg")</f>
        <v>13 mg</v>
      </c>
      <c r="M846" s="594" t="str">
        <f>CONCATENATE(TEXT(16+IF(OBR&lt;0,0,OBR)*4,"0")," mg")</f>
        <v>16 mg</v>
      </c>
      <c r="N846" s="594" t="str">
        <f>CONCATENATE(TEXT(19+IF(OBR&lt;0,0,OBR)*4,"0")," mg")</f>
        <v>19 mg</v>
      </c>
      <c r="O846" s="594" t="str">
        <f>CONCATENATE(TEXT(21+IF(OBR&lt;0,0,OBR)*5,"0")," mg")</f>
        <v>21 mg</v>
      </c>
      <c r="P846" s="237" t="s">
        <v>410</v>
      </c>
      <c r="Q846" s="237" t="s">
        <v>410</v>
      </c>
      <c r="R846" s="237" t="s">
        <v>410</v>
      </c>
      <c r="S846" s="10" t="s">
        <v>410</v>
      </c>
      <c r="T846" s="10" t="s">
        <v>410</v>
      </c>
    </row>
    <row r="847" spans="1:20" hidden="1" outlineLevel="1" x14ac:dyDescent="0.3">
      <c r="A847" s="583" t="s">
        <v>5517</v>
      </c>
      <c r="B847" s="591">
        <v>5</v>
      </c>
      <c r="C847" s="583" t="s">
        <v>1564</v>
      </c>
      <c r="D847" s="583" t="s">
        <v>4754</v>
      </c>
      <c r="E847" s="583" t="s">
        <v>410</v>
      </c>
      <c r="F847"/>
      <c r="G847"/>
      <c r="H847"/>
      <c r="I847"/>
      <c r="J847"/>
      <c r="K847"/>
      <c r="L847"/>
      <c r="M847"/>
      <c r="N847"/>
      <c r="O847"/>
      <c r="P847" t="s">
        <v>410</v>
      </c>
      <c r="Q847" t="s">
        <v>410</v>
      </c>
      <c r="R847" t="s">
        <v>410</v>
      </c>
      <c r="S847" t="s">
        <v>410</v>
      </c>
      <c r="T847" t="s">
        <v>410</v>
      </c>
    </row>
    <row r="848" spans="1:20" hidden="1" outlineLevel="1" x14ac:dyDescent="0.3">
      <c r="A848" s="583" t="s">
        <v>5514</v>
      </c>
      <c r="B848" s="591">
        <v>11</v>
      </c>
      <c r="C848" s="588" t="s">
        <v>1564</v>
      </c>
      <c r="D848" s="588" t="s">
        <v>4754</v>
      </c>
      <c r="E848" s="606" t="s">
        <v>410</v>
      </c>
      <c r="F848" s="593"/>
      <c r="G848" s="593"/>
      <c r="H848" s="593"/>
      <c r="I848" s="593"/>
      <c r="J848" s="593"/>
      <c r="K848" s="589"/>
      <c r="L848" s="589"/>
      <c r="M848" s="589"/>
      <c r="N848" t="s">
        <v>410</v>
      </c>
      <c r="O848" t="s">
        <v>410</v>
      </c>
      <c r="P848" t="s">
        <v>410</v>
      </c>
      <c r="Q848" t="s">
        <v>410</v>
      </c>
      <c r="R848" t="s">
        <v>410</v>
      </c>
      <c r="S848" t="s">
        <v>410</v>
      </c>
      <c r="T848" t="s">
        <v>410</v>
      </c>
    </row>
    <row r="849" spans="1:20" hidden="1" outlineLevel="1" x14ac:dyDescent="0.3">
      <c r="A849" s="583" t="s">
        <v>5516</v>
      </c>
      <c r="B849" s="591">
        <v>16</v>
      </c>
      <c r="C849" s="588" t="s">
        <v>1564</v>
      </c>
      <c r="D849" s="588" t="s">
        <v>4754</v>
      </c>
      <c r="E849" s="855" t="s">
        <v>410</v>
      </c>
      <c r="F849" s="593"/>
      <c r="G849" s="593"/>
      <c r="H849" s="593"/>
      <c r="I849" s="593"/>
      <c r="J849" s="593"/>
      <c r="K849" s="589"/>
      <c r="L849" s="589"/>
      <c r="M849" s="589"/>
      <c r="N849" s="589" t="s">
        <v>410</v>
      </c>
      <c r="O849" s="589" t="s">
        <v>410</v>
      </c>
      <c r="P849" s="589" t="s">
        <v>410</v>
      </c>
      <c r="Q849" s="589" t="s">
        <v>410</v>
      </c>
      <c r="R849" s="589" t="s">
        <v>410</v>
      </c>
      <c r="S849" s="589" t="s">
        <v>410</v>
      </c>
      <c r="T849" s="589" t="s">
        <v>410</v>
      </c>
    </row>
    <row r="850" spans="1:20" hidden="1" outlineLevel="1" x14ac:dyDescent="0.3">
      <c r="A850" s="583" t="s">
        <v>5518</v>
      </c>
      <c r="B850" s="591">
        <v>21</v>
      </c>
      <c r="C850" s="583" t="s">
        <v>1564</v>
      </c>
      <c r="D850" s="583" t="s">
        <v>4754</v>
      </c>
      <c r="E850" s="855" t="s">
        <v>410</v>
      </c>
      <c r="F850" s="594"/>
      <c r="G850" s="594"/>
      <c r="H850" s="594"/>
      <c r="I850" s="594"/>
      <c r="J850" s="594"/>
      <c r="K850" s="594"/>
      <c r="L850" s="594"/>
      <c r="M850" s="594"/>
      <c r="N850" s="237" t="s">
        <v>410</v>
      </c>
      <c r="O850" s="237" t="s">
        <v>410</v>
      </c>
      <c r="P850" s="237" t="s">
        <v>410</v>
      </c>
      <c r="Q850" s="237" t="s">
        <v>410</v>
      </c>
      <c r="R850" s="237" t="s">
        <v>410</v>
      </c>
      <c r="S850" s="10" t="s">
        <v>410</v>
      </c>
      <c r="T850" s="10" t="s">
        <v>410</v>
      </c>
    </row>
    <row r="851" spans="1:20" collapsed="1" x14ac:dyDescent="0.3">
      <c r="A851" s="583" t="s">
        <v>5054</v>
      </c>
      <c r="B851" s="591">
        <v>1</v>
      </c>
      <c r="C851" s="583" t="s">
        <v>1256</v>
      </c>
      <c r="D851" s="583" t="s">
        <v>1506</v>
      </c>
      <c r="E851" s="592" t="s">
        <v>410</v>
      </c>
      <c r="F851" s="593" t="s">
        <v>5187</v>
      </c>
      <c r="G851" s="593" t="s">
        <v>5188</v>
      </c>
      <c r="H851" s="593" t="s">
        <v>5189</v>
      </c>
      <c r="I851" s="593" t="s">
        <v>5190</v>
      </c>
      <c r="J851" s="237" t="s">
        <v>410</v>
      </c>
      <c r="K851" s="237" t="s">
        <v>410</v>
      </c>
      <c r="L851" s="237" t="s">
        <v>410</v>
      </c>
      <c r="M851" s="237" t="s">
        <v>410</v>
      </c>
      <c r="N851" s="237" t="s">
        <v>410</v>
      </c>
      <c r="O851" s="237" t="s">
        <v>410</v>
      </c>
      <c r="P851" s="237" t="s">
        <v>410</v>
      </c>
      <c r="Q851" s="237" t="s">
        <v>410</v>
      </c>
      <c r="R851" s="237" t="s">
        <v>410</v>
      </c>
      <c r="S851" s="10" t="s">
        <v>410</v>
      </c>
      <c r="T851" s="10" t="s">
        <v>410</v>
      </c>
    </row>
    <row r="852" spans="1:20" hidden="1" outlineLevel="1" x14ac:dyDescent="0.3">
      <c r="A852" s="583" t="s">
        <v>1626</v>
      </c>
      <c r="B852" s="591">
        <v>1</v>
      </c>
      <c r="C852" s="588" t="s">
        <v>1256</v>
      </c>
      <c r="D852" s="588" t="s">
        <v>1506</v>
      </c>
      <c r="E852" s="592" t="s">
        <v>410</v>
      </c>
      <c r="F852" s="593" t="s">
        <v>67</v>
      </c>
      <c r="G852" s="593" t="s">
        <v>68</v>
      </c>
      <c r="H852" s="593" t="s">
        <v>70</v>
      </c>
      <c r="I852" s="593" t="s">
        <v>72</v>
      </c>
      <c r="J852" s="237" t="s">
        <v>410</v>
      </c>
      <c r="K852" s="237" t="s">
        <v>410</v>
      </c>
      <c r="L852" s="237" t="s">
        <v>410</v>
      </c>
      <c r="M852" s="237" t="s">
        <v>410</v>
      </c>
      <c r="N852" s="237" t="s">
        <v>410</v>
      </c>
      <c r="O852" s="237" t="s">
        <v>410</v>
      </c>
      <c r="P852" s="237" t="s">
        <v>410</v>
      </c>
      <c r="Q852" s="237" t="s">
        <v>410</v>
      </c>
      <c r="R852" s="237" t="s">
        <v>410</v>
      </c>
      <c r="S852" s="10" t="s">
        <v>410</v>
      </c>
      <c r="T852" s="10" t="s">
        <v>410</v>
      </c>
    </row>
    <row r="853" spans="1:20" hidden="1" outlineLevel="1" x14ac:dyDescent="0.3">
      <c r="A853" s="583" t="s">
        <v>5055</v>
      </c>
      <c r="B853" s="591">
        <v>1</v>
      </c>
      <c r="C853" s="583" t="s">
        <v>1256</v>
      </c>
      <c r="D853" s="583" t="s">
        <v>1506</v>
      </c>
      <c r="E853" s="592" t="s">
        <v>410</v>
      </c>
      <c r="F853" s="593" t="s">
        <v>1591</v>
      </c>
      <c r="G853" s="593" t="s">
        <v>1519</v>
      </c>
      <c r="H853" s="593" t="s">
        <v>1520</v>
      </c>
      <c r="I853" s="593" t="s">
        <v>1521</v>
      </c>
      <c r="J853" s="593" t="s">
        <v>5191</v>
      </c>
      <c r="K853" s="237" t="s">
        <v>410</v>
      </c>
      <c r="L853" s="237" t="s">
        <v>410</v>
      </c>
      <c r="M853" s="237" t="s">
        <v>410</v>
      </c>
      <c r="N853" s="237" t="s">
        <v>410</v>
      </c>
      <c r="O853" s="237" t="s">
        <v>410</v>
      </c>
      <c r="P853" s="237" t="s">
        <v>410</v>
      </c>
      <c r="Q853" s="237" t="s">
        <v>410</v>
      </c>
      <c r="R853" s="237" t="s">
        <v>410</v>
      </c>
      <c r="S853" s="10" t="s">
        <v>410</v>
      </c>
      <c r="T853" s="10" t="s">
        <v>410</v>
      </c>
    </row>
    <row r="854" spans="1:20" hidden="1" outlineLevel="1" x14ac:dyDescent="0.3">
      <c r="A854" s="583" t="s">
        <v>1665</v>
      </c>
      <c r="B854" s="591">
        <v>1</v>
      </c>
      <c r="C854" s="583" t="s">
        <v>1256</v>
      </c>
      <c r="D854" s="583" t="s">
        <v>1506</v>
      </c>
      <c r="E854" s="592" t="s">
        <v>410</v>
      </c>
      <c r="F854" s="593" t="s">
        <v>2500</v>
      </c>
      <c r="G854" s="593" t="s">
        <v>2501</v>
      </c>
      <c r="H854" s="593" t="s">
        <v>2502</v>
      </c>
      <c r="I854" s="593" t="s">
        <v>3162</v>
      </c>
      <c r="J854" s="593" t="s">
        <v>2503</v>
      </c>
      <c r="K854" s="237" t="s">
        <v>410</v>
      </c>
      <c r="L854" s="237" t="s">
        <v>410</v>
      </c>
      <c r="M854" s="237" t="s">
        <v>410</v>
      </c>
      <c r="N854" s="237" t="s">
        <v>410</v>
      </c>
      <c r="O854" s="237" t="s">
        <v>410</v>
      </c>
      <c r="P854" s="237" t="s">
        <v>410</v>
      </c>
      <c r="Q854" s="237" t="s">
        <v>410</v>
      </c>
      <c r="R854" s="237" t="s">
        <v>410</v>
      </c>
      <c r="S854" s="10" t="s">
        <v>410</v>
      </c>
      <c r="T854" s="10" t="s">
        <v>410</v>
      </c>
    </row>
    <row r="855" spans="1:20" hidden="1" outlineLevel="1" x14ac:dyDescent="0.3">
      <c r="A855" s="583" t="s">
        <v>1718</v>
      </c>
      <c r="B855" s="591">
        <v>1</v>
      </c>
      <c r="C855" s="583" t="s">
        <v>1256</v>
      </c>
      <c r="D855" s="583" t="s">
        <v>1506</v>
      </c>
      <c r="E855" s="592" t="s">
        <v>410</v>
      </c>
      <c r="F855" s="593" t="s">
        <v>3380</v>
      </c>
      <c r="G855" s="593" t="s">
        <v>3381</v>
      </c>
      <c r="H855" s="593" t="s">
        <v>3382</v>
      </c>
      <c r="I855" s="593" t="s">
        <v>3383</v>
      </c>
      <c r="J855" s="593" t="s">
        <v>3384</v>
      </c>
      <c r="K855" s="237" t="s">
        <v>410</v>
      </c>
      <c r="L855" s="237" t="s">
        <v>410</v>
      </c>
      <c r="M855" s="237" t="s">
        <v>410</v>
      </c>
      <c r="N855" s="237" t="s">
        <v>410</v>
      </c>
      <c r="O855" s="237" t="s">
        <v>410</v>
      </c>
      <c r="P855" s="237" t="s">
        <v>410</v>
      </c>
      <c r="Q855" s="237" t="s">
        <v>410</v>
      </c>
      <c r="R855" s="237" t="s">
        <v>410</v>
      </c>
      <c r="S855" s="10" t="s">
        <v>410</v>
      </c>
      <c r="T855" s="10" t="s">
        <v>410</v>
      </c>
    </row>
    <row r="856" spans="1:20" hidden="1" outlineLevel="1" x14ac:dyDescent="0.3">
      <c r="A856" s="583" t="s">
        <v>1751</v>
      </c>
      <c r="B856" s="591">
        <v>1</v>
      </c>
      <c r="C856" s="583" t="s">
        <v>1256</v>
      </c>
      <c r="D856" s="583" t="s">
        <v>1506</v>
      </c>
      <c r="E856" s="592" t="s">
        <v>410</v>
      </c>
      <c r="F856" s="237"/>
      <c r="G856" s="237"/>
      <c r="H856" s="237"/>
      <c r="I856" s="237"/>
      <c r="J856" s="237"/>
      <c r="K856" s="237"/>
      <c r="L856" s="237"/>
      <c r="M856" s="237"/>
      <c r="N856" s="237"/>
      <c r="O856" s="237" t="s">
        <v>410</v>
      </c>
      <c r="P856" s="237" t="s">
        <v>410</v>
      </c>
      <c r="Q856" s="237" t="s">
        <v>410</v>
      </c>
      <c r="R856" s="237" t="s">
        <v>410</v>
      </c>
      <c r="S856" s="10" t="s">
        <v>410</v>
      </c>
      <c r="T856" s="10" t="s">
        <v>410</v>
      </c>
    </row>
    <row r="857" spans="1:20" hidden="1" outlineLevel="1" x14ac:dyDescent="0.3">
      <c r="A857" s="583" t="s">
        <v>5100</v>
      </c>
      <c r="B857" s="591">
        <v>1</v>
      </c>
      <c r="C857" s="583" t="s">
        <v>1256</v>
      </c>
      <c r="D857" s="583" t="s">
        <v>1506</v>
      </c>
      <c r="E857" s="592" t="s">
        <v>410</v>
      </c>
      <c r="F857" s="593"/>
      <c r="G857" s="237" t="s">
        <v>410</v>
      </c>
      <c r="H857" s="237" t="s">
        <v>410</v>
      </c>
      <c r="I857" s="237" t="s">
        <v>410</v>
      </c>
      <c r="J857" s="237" t="s">
        <v>410</v>
      </c>
      <c r="K857" s="237" t="s">
        <v>410</v>
      </c>
      <c r="L857" s="237" t="s">
        <v>410</v>
      </c>
      <c r="M857" s="237" t="s">
        <v>410</v>
      </c>
      <c r="N857" s="237" t="s">
        <v>410</v>
      </c>
      <c r="O857" s="237" t="s">
        <v>410</v>
      </c>
      <c r="P857" s="237" t="s">
        <v>410</v>
      </c>
      <c r="Q857" s="237" t="s">
        <v>410</v>
      </c>
      <c r="R857" s="237" t="s">
        <v>410</v>
      </c>
      <c r="S857" s="10" t="s">
        <v>410</v>
      </c>
      <c r="T857" s="10" t="s">
        <v>410</v>
      </c>
    </row>
    <row r="858" spans="1:20" hidden="1" outlineLevel="1" x14ac:dyDescent="0.3">
      <c r="A858" s="583" t="s">
        <v>1779</v>
      </c>
      <c r="B858" s="591">
        <v>1</v>
      </c>
      <c r="C858" s="583" t="s">
        <v>1256</v>
      </c>
      <c r="D858" s="583" t="s">
        <v>1506</v>
      </c>
      <c r="E858" s="592" t="s">
        <v>410</v>
      </c>
      <c r="F858" s="593" t="s">
        <v>4335</v>
      </c>
      <c r="G858" s="593" t="s">
        <v>4340</v>
      </c>
      <c r="H858" s="593" t="s">
        <v>4339</v>
      </c>
      <c r="I858" s="593" t="s">
        <v>4338</v>
      </c>
      <c r="J858" s="593" t="s">
        <v>4337</v>
      </c>
      <c r="K858" s="593" t="s">
        <v>4336</v>
      </c>
      <c r="L858" s="237" t="s">
        <v>410</v>
      </c>
      <c r="M858" s="237" t="s">
        <v>410</v>
      </c>
      <c r="N858" s="237" t="s">
        <v>410</v>
      </c>
      <c r="O858" s="237" t="s">
        <v>410</v>
      </c>
      <c r="P858" s="237" t="s">
        <v>410</v>
      </c>
      <c r="Q858" s="237" t="s">
        <v>410</v>
      </c>
      <c r="R858" s="237" t="s">
        <v>410</v>
      </c>
      <c r="S858" s="10" t="s">
        <v>410</v>
      </c>
      <c r="T858" s="10" t="s">
        <v>410</v>
      </c>
    </row>
    <row r="859" spans="1:20" hidden="1" outlineLevel="1" x14ac:dyDescent="0.3">
      <c r="A859" s="583" t="s">
        <v>5057</v>
      </c>
      <c r="B859" s="591">
        <v>1</v>
      </c>
      <c r="C859" s="583" t="s">
        <v>1256</v>
      </c>
      <c r="D859" s="583" t="s">
        <v>1506</v>
      </c>
      <c r="E859" s="592" t="s">
        <v>410</v>
      </c>
      <c r="F859" s="593"/>
      <c r="G859" s="237" t="s">
        <v>410</v>
      </c>
      <c r="H859" s="237" t="s">
        <v>410</v>
      </c>
      <c r="I859" s="237" t="s">
        <v>410</v>
      </c>
      <c r="J859" s="237" t="s">
        <v>410</v>
      </c>
      <c r="K859" s="237" t="s">
        <v>410</v>
      </c>
      <c r="L859" s="237" t="s">
        <v>410</v>
      </c>
      <c r="M859" s="237" t="s">
        <v>410</v>
      </c>
      <c r="N859" s="237" t="s">
        <v>410</v>
      </c>
      <c r="O859" s="237" t="s">
        <v>410</v>
      </c>
      <c r="P859" s="237" t="s">
        <v>410</v>
      </c>
      <c r="Q859" s="237" t="s">
        <v>410</v>
      </c>
      <c r="R859" s="237" t="s">
        <v>410</v>
      </c>
      <c r="S859" s="10" t="s">
        <v>410</v>
      </c>
      <c r="T859" s="10" t="s">
        <v>410</v>
      </c>
    </row>
    <row r="860" spans="1:20" hidden="1" outlineLevel="1" x14ac:dyDescent="0.3">
      <c r="A860" s="583" t="s">
        <v>1913</v>
      </c>
      <c r="B860" s="591">
        <v>1</v>
      </c>
      <c r="C860" s="583" t="s">
        <v>1256</v>
      </c>
      <c r="D860" s="583" t="s">
        <v>1506</v>
      </c>
      <c r="E860" s="592" t="s">
        <v>410</v>
      </c>
      <c r="F860" s="593" t="s">
        <v>1540</v>
      </c>
      <c r="G860" s="593" t="s">
        <v>1548</v>
      </c>
      <c r="H860" s="593" t="s">
        <v>1543</v>
      </c>
      <c r="I860" s="593" t="s">
        <v>1544</v>
      </c>
      <c r="J860" s="593" t="s">
        <v>1549</v>
      </c>
      <c r="K860" s="593" t="s">
        <v>1547</v>
      </c>
      <c r="L860" s="593" t="s">
        <v>1550</v>
      </c>
      <c r="M860" s="593" t="s">
        <v>1551</v>
      </c>
      <c r="N860" s="237" t="s">
        <v>410</v>
      </c>
      <c r="O860" s="237" t="s">
        <v>410</v>
      </c>
      <c r="P860" s="237" t="s">
        <v>410</v>
      </c>
      <c r="Q860" s="237" t="s">
        <v>410</v>
      </c>
      <c r="R860" s="237" t="s">
        <v>410</v>
      </c>
      <c r="S860" s="10" t="s">
        <v>410</v>
      </c>
      <c r="T860" s="10" t="s">
        <v>410</v>
      </c>
    </row>
    <row r="861" spans="1:20" hidden="1" outlineLevel="1" x14ac:dyDescent="0.3">
      <c r="A861" s="583" t="s">
        <v>1950</v>
      </c>
      <c r="B861" s="591">
        <v>1</v>
      </c>
      <c r="C861" s="583" t="s">
        <v>1256</v>
      </c>
      <c r="D861" s="583" t="s">
        <v>1506</v>
      </c>
      <c r="E861" s="593" t="s">
        <v>66</v>
      </c>
      <c r="F861" s="593" t="s">
        <v>4361</v>
      </c>
      <c r="G861" s="593" t="s">
        <v>68</v>
      </c>
      <c r="H861" s="593" t="s">
        <v>70</v>
      </c>
      <c r="I861" s="593" t="s">
        <v>72</v>
      </c>
      <c r="J861" s="237" t="s">
        <v>410</v>
      </c>
      <c r="K861" s="237" t="s">
        <v>410</v>
      </c>
      <c r="L861" s="237" t="s">
        <v>410</v>
      </c>
      <c r="M861" s="237" t="s">
        <v>410</v>
      </c>
      <c r="N861" s="237" t="s">
        <v>410</v>
      </c>
      <c r="O861" s="237" t="s">
        <v>410</v>
      </c>
      <c r="P861" s="237" t="s">
        <v>410</v>
      </c>
      <c r="Q861" s="237" t="s">
        <v>410</v>
      </c>
      <c r="R861" s="237" t="s">
        <v>410</v>
      </c>
      <c r="S861" s="237" t="s">
        <v>410</v>
      </c>
      <c r="T861" s="237" t="s">
        <v>410</v>
      </c>
    </row>
    <row r="862" spans="1:20" hidden="1" outlineLevel="1" x14ac:dyDescent="0.3">
      <c r="A862" s="583" t="s">
        <v>5058</v>
      </c>
      <c r="B862" s="591">
        <v>1</v>
      </c>
      <c r="C862" s="583" t="s">
        <v>1256</v>
      </c>
      <c r="D862" s="583" t="s">
        <v>1506</v>
      </c>
      <c r="E862" s="592" t="s">
        <v>410</v>
      </c>
      <c r="F862" s="593" t="s">
        <v>1485</v>
      </c>
      <c r="G862" s="593" t="s">
        <v>2176</v>
      </c>
      <c r="H862" s="593" t="s">
        <v>5192</v>
      </c>
      <c r="I862" s="593" t="s">
        <v>5193</v>
      </c>
      <c r="J862" s="593" t="s">
        <v>5194</v>
      </c>
      <c r="K862" s="237" t="s">
        <v>410</v>
      </c>
      <c r="L862" s="237" t="s">
        <v>410</v>
      </c>
      <c r="M862" s="237" t="s">
        <v>410</v>
      </c>
      <c r="N862" s="237" t="s">
        <v>410</v>
      </c>
      <c r="O862" s="237" t="s">
        <v>410</v>
      </c>
      <c r="P862" s="237" t="s">
        <v>410</v>
      </c>
      <c r="Q862" s="237" t="s">
        <v>410</v>
      </c>
      <c r="R862" s="237" t="s">
        <v>410</v>
      </c>
      <c r="S862" s="10" t="s">
        <v>410</v>
      </c>
      <c r="T862" s="10" t="s">
        <v>410</v>
      </c>
    </row>
    <row r="863" spans="1:20" hidden="1" outlineLevel="1" x14ac:dyDescent="0.3">
      <c r="A863" s="583" t="s">
        <v>4210</v>
      </c>
      <c r="B863" s="591">
        <v>1</v>
      </c>
      <c r="C863" s="583" t="s">
        <v>1256</v>
      </c>
      <c r="D863" s="583" t="s">
        <v>1506</v>
      </c>
      <c r="E863" s="593" t="s">
        <v>410</v>
      </c>
      <c r="F863" s="593" t="s">
        <v>4343</v>
      </c>
      <c r="G863" s="593" t="s">
        <v>4344</v>
      </c>
      <c r="H863" s="593" t="s">
        <v>4345</v>
      </c>
      <c r="I863" s="593" t="s">
        <v>4346</v>
      </c>
      <c r="J863" s="593" t="s">
        <v>4347</v>
      </c>
      <c r="K863" s="593" t="s">
        <v>4348</v>
      </c>
      <c r="L863" s="593" t="s">
        <v>410</v>
      </c>
      <c r="M863" s="593" t="s">
        <v>410</v>
      </c>
      <c r="N863" s="593" t="s">
        <v>410</v>
      </c>
      <c r="O863" s="593" t="s">
        <v>410</v>
      </c>
      <c r="P863" s="593" t="s">
        <v>410</v>
      </c>
      <c r="Q863" s="593" t="s">
        <v>410</v>
      </c>
      <c r="R863" s="593" t="s">
        <v>410</v>
      </c>
      <c r="S863" s="593" t="s">
        <v>410</v>
      </c>
      <c r="T863" s="593" t="s">
        <v>410</v>
      </c>
    </row>
    <row r="864" spans="1:20" hidden="1" outlineLevel="1" x14ac:dyDescent="0.3">
      <c r="A864" s="583" t="s">
        <v>5059</v>
      </c>
      <c r="B864" s="591">
        <v>1</v>
      </c>
      <c r="C864" s="583" t="s">
        <v>1256</v>
      </c>
      <c r="D864" s="583" t="s">
        <v>1506</v>
      </c>
      <c r="E864" s="592" t="s">
        <v>410</v>
      </c>
      <c r="F864" s="593" t="s">
        <v>5195</v>
      </c>
      <c r="G864" s="593" t="s">
        <v>5196</v>
      </c>
      <c r="H864" s="593" t="s">
        <v>5197</v>
      </c>
      <c r="I864" s="593" t="s">
        <v>5198</v>
      </c>
      <c r="J864" s="593" t="s">
        <v>5199</v>
      </c>
      <c r="K864" s="237" t="s">
        <v>410</v>
      </c>
      <c r="L864" s="237" t="s">
        <v>410</v>
      </c>
      <c r="M864" s="237" t="s">
        <v>410</v>
      </c>
      <c r="N864" s="237" t="s">
        <v>410</v>
      </c>
      <c r="O864" s="237" t="s">
        <v>410</v>
      </c>
      <c r="P864" s="237" t="s">
        <v>410</v>
      </c>
      <c r="Q864" s="237" t="s">
        <v>410</v>
      </c>
      <c r="R864" s="237" t="s">
        <v>410</v>
      </c>
      <c r="S864" s="10" t="s">
        <v>410</v>
      </c>
      <c r="T864" s="10" t="s">
        <v>410</v>
      </c>
    </row>
    <row r="865" spans="1:20" hidden="1" outlineLevel="1" x14ac:dyDescent="0.3">
      <c r="A865" s="583" t="s">
        <v>1945</v>
      </c>
      <c r="B865" s="591">
        <v>2</v>
      </c>
      <c r="C865" s="583" t="s">
        <v>1256</v>
      </c>
      <c r="D865" s="583" t="s">
        <v>1506</v>
      </c>
      <c r="E865" s="593" t="s">
        <v>410</v>
      </c>
      <c r="F865" s="593" t="s">
        <v>3243</v>
      </c>
      <c r="G865" s="593" t="s">
        <v>4027</v>
      </c>
      <c r="H865" s="593" t="s">
        <v>4028</v>
      </c>
      <c r="I865" s="593" t="s">
        <v>4029</v>
      </c>
      <c r="J865" s="593" t="s">
        <v>4030</v>
      </c>
      <c r="K865" s="593" t="s">
        <v>4031</v>
      </c>
      <c r="L865" s="593" t="s">
        <v>410</v>
      </c>
      <c r="M865" s="593" t="s">
        <v>410</v>
      </c>
      <c r="N865" s="237" t="s">
        <v>410</v>
      </c>
      <c r="O865" s="237" t="s">
        <v>410</v>
      </c>
      <c r="P865" s="237" t="s">
        <v>410</v>
      </c>
      <c r="Q865" s="237" t="s">
        <v>410</v>
      </c>
      <c r="R865" s="237" t="s">
        <v>410</v>
      </c>
      <c r="S865" s="237" t="s">
        <v>410</v>
      </c>
      <c r="T865" s="237" t="s">
        <v>410</v>
      </c>
    </row>
    <row r="866" spans="1:20" hidden="1" outlineLevel="1" x14ac:dyDescent="0.3">
      <c r="A866" s="583" t="s">
        <v>5501</v>
      </c>
      <c r="B866" s="591">
        <v>5</v>
      </c>
      <c r="C866" s="583" t="s">
        <v>1256</v>
      </c>
      <c r="D866" s="583" t="s">
        <v>1506</v>
      </c>
      <c r="E866" s="592" t="s">
        <v>410</v>
      </c>
      <c r="F866" s="593" t="s">
        <v>2167</v>
      </c>
      <c r="G866" s="593" t="s">
        <v>1848</v>
      </c>
      <c r="H866" s="593" t="s">
        <v>3198</v>
      </c>
      <c r="I866" s="593" t="s">
        <v>3505</v>
      </c>
      <c r="J866" s="593" t="s">
        <v>3506</v>
      </c>
      <c r="K866" s="237" t="s">
        <v>410</v>
      </c>
      <c r="L866" s="237" t="s">
        <v>410</v>
      </c>
      <c r="M866" s="237" t="s">
        <v>410</v>
      </c>
      <c r="N866" s="237" t="s">
        <v>410</v>
      </c>
      <c r="O866" s="237" t="s">
        <v>410</v>
      </c>
      <c r="P866" s="237" t="s">
        <v>410</v>
      </c>
      <c r="Q866" s="237" t="s">
        <v>410</v>
      </c>
      <c r="R866" s="237" t="s">
        <v>410</v>
      </c>
      <c r="S866" s="10" t="s">
        <v>410</v>
      </c>
      <c r="T866" s="10" t="s">
        <v>410</v>
      </c>
    </row>
    <row r="867" spans="1:20" hidden="1" outlineLevel="1" x14ac:dyDescent="0.3">
      <c r="A867" s="583" t="s">
        <v>1462</v>
      </c>
      <c r="B867" s="591">
        <v>6</v>
      </c>
      <c r="C867" s="588" t="s">
        <v>1256</v>
      </c>
      <c r="D867" s="588" t="s">
        <v>1506</v>
      </c>
      <c r="E867" s="589" t="s">
        <v>410</v>
      </c>
      <c r="F867" s="590" t="s">
        <v>67</v>
      </c>
      <c r="G867" s="590" t="s">
        <v>68</v>
      </c>
      <c r="H867" s="590" t="s">
        <v>70</v>
      </c>
      <c r="I867" s="590" t="s">
        <v>72</v>
      </c>
      <c r="J867" s="441" t="s">
        <v>410</v>
      </c>
      <c r="K867" s="441" t="s">
        <v>410</v>
      </c>
      <c r="L867" s="441" t="s">
        <v>410</v>
      </c>
      <c r="M867" s="441" t="s">
        <v>410</v>
      </c>
      <c r="N867" s="441" t="s">
        <v>410</v>
      </c>
      <c r="O867" s="441" t="s">
        <v>410</v>
      </c>
      <c r="P867" s="441" t="s">
        <v>410</v>
      </c>
      <c r="Q867" s="441" t="s">
        <v>410</v>
      </c>
      <c r="R867" s="441" t="s">
        <v>410</v>
      </c>
      <c r="S867" s="441" t="s">
        <v>410</v>
      </c>
      <c r="T867" s="441" t="s">
        <v>410</v>
      </c>
    </row>
    <row r="868" spans="1:20" hidden="1" outlineLevel="1" x14ac:dyDescent="0.3">
      <c r="A868" s="583" t="s">
        <v>1484</v>
      </c>
      <c r="B868" s="591">
        <v>6</v>
      </c>
      <c r="C868" s="588" t="s">
        <v>1256</v>
      </c>
      <c r="D868" s="588" t="s">
        <v>1506</v>
      </c>
      <c r="E868" s="589" t="s">
        <v>410</v>
      </c>
      <c r="F868" s="590" t="s">
        <v>4435</v>
      </c>
      <c r="G868" s="590" t="s">
        <v>3466</v>
      </c>
      <c r="H868" s="590" t="s">
        <v>3467</v>
      </c>
      <c r="I868" s="590" t="s">
        <v>3468</v>
      </c>
      <c r="J868" s="590" t="s">
        <v>3469</v>
      </c>
      <c r="K868" s="589" t="s">
        <v>410</v>
      </c>
      <c r="L868" s="441" t="s">
        <v>410</v>
      </c>
      <c r="M868" s="441" t="s">
        <v>410</v>
      </c>
      <c r="N868" s="441" t="s">
        <v>410</v>
      </c>
      <c r="O868" s="441" t="s">
        <v>410</v>
      </c>
      <c r="P868" s="441" t="s">
        <v>410</v>
      </c>
      <c r="Q868" s="441" t="s">
        <v>410</v>
      </c>
      <c r="R868" s="441" t="s">
        <v>410</v>
      </c>
      <c r="S868" s="441" t="s">
        <v>410</v>
      </c>
      <c r="T868" s="441" t="s">
        <v>410</v>
      </c>
    </row>
    <row r="869" spans="1:20" hidden="1" outlineLevel="1" x14ac:dyDescent="0.3">
      <c r="A869" s="583" t="s">
        <v>1786</v>
      </c>
      <c r="B869" s="591">
        <v>6</v>
      </c>
      <c r="C869" s="583" t="s">
        <v>1256</v>
      </c>
      <c r="D869" s="583" t="s">
        <v>1506</v>
      </c>
      <c r="E869" s="592" t="s">
        <v>410</v>
      </c>
      <c r="F869" s="593" t="s">
        <v>715</v>
      </c>
      <c r="G869" s="593" t="s">
        <v>5509</v>
      </c>
      <c r="H869" s="593" t="s">
        <v>5510</v>
      </c>
      <c r="I869" s="593" t="s">
        <v>5511</v>
      </c>
      <c r="J869" s="237" t="s">
        <v>410</v>
      </c>
      <c r="K869" s="237" t="s">
        <v>410</v>
      </c>
      <c r="L869" s="237" t="s">
        <v>410</v>
      </c>
      <c r="M869" s="237" t="s">
        <v>410</v>
      </c>
      <c r="N869" s="237" t="s">
        <v>410</v>
      </c>
      <c r="O869" s="237" t="s">
        <v>410</v>
      </c>
      <c r="P869" s="237" t="s">
        <v>410</v>
      </c>
      <c r="Q869" s="237" t="s">
        <v>410</v>
      </c>
      <c r="R869" s="237" t="s">
        <v>410</v>
      </c>
      <c r="S869" s="10" t="s">
        <v>410</v>
      </c>
      <c r="T869" s="10" t="s">
        <v>410</v>
      </c>
    </row>
    <row r="870" spans="1:20" hidden="1" outlineLevel="1" x14ac:dyDescent="0.3">
      <c r="A870" s="583" t="s">
        <v>1912</v>
      </c>
      <c r="B870" s="591">
        <v>6</v>
      </c>
      <c r="C870" s="583" t="s">
        <v>1256</v>
      </c>
      <c r="D870" s="583" t="s">
        <v>1506</v>
      </c>
      <c r="E870" s="592" t="s">
        <v>410</v>
      </c>
      <c r="F870" s="593" t="s">
        <v>1799</v>
      </c>
      <c r="G870" s="593" t="s">
        <v>1799</v>
      </c>
      <c r="H870" s="593" t="s">
        <v>1800</v>
      </c>
      <c r="I870" s="593" t="s">
        <v>1800</v>
      </c>
      <c r="J870" s="593" t="s">
        <v>1801</v>
      </c>
      <c r="K870" s="237" t="s">
        <v>410</v>
      </c>
      <c r="L870" s="237" t="s">
        <v>410</v>
      </c>
      <c r="M870" s="237" t="s">
        <v>410</v>
      </c>
      <c r="N870" s="237" t="s">
        <v>410</v>
      </c>
      <c r="O870" s="237" t="s">
        <v>410</v>
      </c>
      <c r="P870" s="237" t="s">
        <v>410</v>
      </c>
      <c r="Q870" s="237" t="s">
        <v>410</v>
      </c>
      <c r="R870" s="237" t="s">
        <v>410</v>
      </c>
      <c r="S870" s="10" t="s">
        <v>410</v>
      </c>
      <c r="T870" s="10" t="s">
        <v>410</v>
      </c>
    </row>
    <row r="871" spans="1:20" hidden="1" outlineLevel="1" x14ac:dyDescent="0.3">
      <c r="A871" s="583" t="s">
        <v>1919</v>
      </c>
      <c r="B871" s="591">
        <v>6</v>
      </c>
      <c r="C871" s="583" t="s">
        <v>1256</v>
      </c>
      <c r="D871" s="583" t="s">
        <v>1506</v>
      </c>
      <c r="E871" s="592" t="s">
        <v>410</v>
      </c>
      <c r="F871" s="593" t="s">
        <v>1809</v>
      </c>
      <c r="G871" s="593" t="s">
        <v>1810</v>
      </c>
      <c r="H871" s="593" t="s">
        <v>1811</v>
      </c>
      <c r="I871" s="593" t="s">
        <v>1812</v>
      </c>
      <c r="J871" s="593" t="s">
        <v>1813</v>
      </c>
      <c r="K871" s="237" t="s">
        <v>410</v>
      </c>
      <c r="L871" s="237" t="s">
        <v>410</v>
      </c>
      <c r="M871" s="237" t="s">
        <v>410</v>
      </c>
      <c r="N871" s="237" t="s">
        <v>410</v>
      </c>
      <c r="O871" s="237" t="s">
        <v>410</v>
      </c>
      <c r="P871" s="237" t="s">
        <v>410</v>
      </c>
      <c r="Q871" s="237" t="s">
        <v>410</v>
      </c>
      <c r="R871" s="237" t="s">
        <v>410</v>
      </c>
      <c r="S871" s="10" t="s">
        <v>410</v>
      </c>
      <c r="T871" s="10" t="s">
        <v>410</v>
      </c>
    </row>
    <row r="872" spans="1:20" hidden="1" outlineLevel="1" x14ac:dyDescent="0.3">
      <c r="A872" s="583" t="s">
        <v>1973</v>
      </c>
      <c r="B872" s="591">
        <v>6</v>
      </c>
      <c r="C872" s="583" t="s">
        <v>1256</v>
      </c>
      <c r="D872" s="583" t="s">
        <v>1506</v>
      </c>
      <c r="E872" s="593" t="s">
        <v>410</v>
      </c>
      <c r="F872" s="593" t="s">
        <v>3507</v>
      </c>
      <c r="G872" s="593" t="s">
        <v>3508</v>
      </c>
      <c r="H872" s="593" t="s">
        <v>3509</v>
      </c>
      <c r="I872" s="593" t="s">
        <v>3510</v>
      </c>
      <c r="J872" s="593" t="s">
        <v>3511</v>
      </c>
      <c r="K872" s="593" t="s">
        <v>3512</v>
      </c>
      <c r="L872" s="593" t="s">
        <v>410</v>
      </c>
      <c r="M872" s="237" t="s">
        <v>410</v>
      </c>
      <c r="N872" s="237" t="s">
        <v>410</v>
      </c>
      <c r="O872" s="237" t="s">
        <v>410</v>
      </c>
      <c r="P872" s="237" t="s">
        <v>410</v>
      </c>
      <c r="Q872" s="237" t="s">
        <v>410</v>
      </c>
      <c r="R872" s="237" t="s">
        <v>410</v>
      </c>
      <c r="S872" s="237" t="s">
        <v>410</v>
      </c>
      <c r="T872" s="237" t="s">
        <v>410</v>
      </c>
    </row>
    <row r="873" spans="1:20" hidden="1" outlineLevel="1" x14ac:dyDescent="0.3">
      <c r="A873" s="583" t="s">
        <v>5064</v>
      </c>
      <c r="B873" s="591">
        <v>8</v>
      </c>
      <c r="C873" s="583" t="s">
        <v>1256</v>
      </c>
      <c r="D873" s="583" t="s">
        <v>1506</v>
      </c>
      <c r="E873" s="592" t="s">
        <v>410</v>
      </c>
      <c r="F873" s="593"/>
      <c r="G873" s="237" t="s">
        <v>410</v>
      </c>
      <c r="H873" s="237" t="s">
        <v>410</v>
      </c>
      <c r="I873" s="237" t="s">
        <v>410</v>
      </c>
      <c r="J873" s="237" t="s">
        <v>410</v>
      </c>
      <c r="K873" s="237" t="s">
        <v>410</v>
      </c>
      <c r="L873" s="237" t="s">
        <v>410</v>
      </c>
      <c r="M873" s="237" t="s">
        <v>410</v>
      </c>
      <c r="N873" s="237" t="s">
        <v>410</v>
      </c>
      <c r="O873" s="237" t="s">
        <v>410</v>
      </c>
      <c r="P873" s="237" t="s">
        <v>410</v>
      </c>
      <c r="Q873" s="237" t="s">
        <v>410</v>
      </c>
      <c r="R873" s="237" t="s">
        <v>410</v>
      </c>
      <c r="S873" s="10" t="s">
        <v>410</v>
      </c>
      <c r="T873" s="10" t="s">
        <v>410</v>
      </c>
    </row>
    <row r="874" spans="1:20" hidden="1" outlineLevel="1" x14ac:dyDescent="0.3">
      <c r="A874" s="583" t="s">
        <v>5105</v>
      </c>
      <c r="B874" s="591">
        <v>8</v>
      </c>
      <c r="C874" s="583" t="s">
        <v>1256</v>
      </c>
      <c r="D874" s="583" t="s">
        <v>1506</v>
      </c>
      <c r="E874" s="592" t="s">
        <v>410</v>
      </c>
      <c r="F874" s="593"/>
      <c r="G874" s="237" t="s">
        <v>410</v>
      </c>
      <c r="H874" s="237" t="s">
        <v>410</v>
      </c>
      <c r="I874" s="237" t="s">
        <v>410</v>
      </c>
      <c r="J874" s="237" t="s">
        <v>410</v>
      </c>
      <c r="K874" s="237" t="s">
        <v>410</v>
      </c>
      <c r="L874" s="237" t="s">
        <v>410</v>
      </c>
      <c r="M874" s="237" t="s">
        <v>410</v>
      </c>
      <c r="N874" s="237" t="s">
        <v>410</v>
      </c>
      <c r="O874" s="237" t="s">
        <v>410</v>
      </c>
      <c r="P874" s="237" t="s">
        <v>410</v>
      </c>
      <c r="Q874" s="237" t="s">
        <v>410</v>
      </c>
      <c r="R874" s="237" t="s">
        <v>410</v>
      </c>
      <c r="S874" s="10" t="s">
        <v>410</v>
      </c>
      <c r="T874" s="10" t="s">
        <v>410</v>
      </c>
    </row>
    <row r="875" spans="1:20" hidden="1" outlineLevel="1" x14ac:dyDescent="0.3">
      <c r="A875" s="583" t="s">
        <v>5067</v>
      </c>
      <c r="B875" s="591">
        <v>8</v>
      </c>
      <c r="C875" s="583" t="s">
        <v>1256</v>
      </c>
      <c r="D875" s="583" t="s">
        <v>1506</v>
      </c>
      <c r="E875" s="592" t="s">
        <v>410</v>
      </c>
      <c r="F875" s="593"/>
      <c r="G875" s="237" t="s">
        <v>410</v>
      </c>
      <c r="H875" s="237" t="s">
        <v>410</v>
      </c>
      <c r="I875" s="237" t="s">
        <v>410</v>
      </c>
      <c r="J875" s="237" t="s">
        <v>410</v>
      </c>
      <c r="K875" s="237" t="s">
        <v>410</v>
      </c>
      <c r="L875" s="237" t="s">
        <v>410</v>
      </c>
      <c r="M875" s="237" t="s">
        <v>410</v>
      </c>
      <c r="N875" s="237" t="s">
        <v>410</v>
      </c>
      <c r="O875" s="237" t="s">
        <v>410</v>
      </c>
      <c r="P875" s="237" t="s">
        <v>410</v>
      </c>
      <c r="Q875" s="237" t="s">
        <v>410</v>
      </c>
      <c r="R875" s="237" t="s">
        <v>410</v>
      </c>
      <c r="S875" s="10" t="s">
        <v>410</v>
      </c>
      <c r="T875" s="10" t="s">
        <v>410</v>
      </c>
    </row>
    <row r="876" spans="1:20" hidden="1" outlineLevel="1" x14ac:dyDescent="0.3">
      <c r="A876" s="583" t="s">
        <v>5070</v>
      </c>
      <c r="B876" s="591">
        <v>8</v>
      </c>
      <c r="C876" s="583" t="s">
        <v>1256</v>
      </c>
      <c r="D876" s="583" t="s">
        <v>1506</v>
      </c>
      <c r="E876" s="592" t="s">
        <v>410</v>
      </c>
      <c r="F876" s="593"/>
      <c r="G876" s="237" t="s">
        <v>410</v>
      </c>
      <c r="H876" s="237" t="s">
        <v>410</v>
      </c>
      <c r="I876" s="237" t="s">
        <v>410</v>
      </c>
      <c r="J876" s="237" t="s">
        <v>410</v>
      </c>
      <c r="K876" s="237" t="s">
        <v>410</v>
      </c>
      <c r="L876" s="237" t="s">
        <v>410</v>
      </c>
      <c r="M876" s="237" t="s">
        <v>410</v>
      </c>
      <c r="N876" s="237" t="s">
        <v>410</v>
      </c>
      <c r="O876" s="237" t="s">
        <v>410</v>
      </c>
      <c r="P876" s="237" t="s">
        <v>410</v>
      </c>
      <c r="Q876" s="237" t="s">
        <v>410</v>
      </c>
      <c r="R876" s="237" t="s">
        <v>410</v>
      </c>
      <c r="S876" s="10" t="s">
        <v>410</v>
      </c>
      <c r="T876" s="10" t="s">
        <v>410</v>
      </c>
    </row>
    <row r="877" spans="1:20" hidden="1" outlineLevel="1" x14ac:dyDescent="0.3">
      <c r="A877" s="583" t="s">
        <v>5150</v>
      </c>
      <c r="B877" s="591">
        <v>8</v>
      </c>
      <c r="C877" s="583" t="s">
        <v>1256</v>
      </c>
      <c r="D877" s="583" t="s">
        <v>1506</v>
      </c>
      <c r="E877" s="592" t="s">
        <v>410</v>
      </c>
      <c r="F877" s="593"/>
      <c r="G877" s="237" t="s">
        <v>410</v>
      </c>
      <c r="H877" s="237" t="s">
        <v>410</v>
      </c>
      <c r="I877" s="237" t="s">
        <v>410</v>
      </c>
      <c r="J877" s="237" t="s">
        <v>410</v>
      </c>
      <c r="K877" s="237" t="s">
        <v>410</v>
      </c>
      <c r="L877" s="237" t="s">
        <v>410</v>
      </c>
      <c r="M877" s="237" t="s">
        <v>410</v>
      </c>
      <c r="N877" s="237" t="s">
        <v>410</v>
      </c>
      <c r="O877" s="237" t="s">
        <v>410</v>
      </c>
      <c r="P877" s="237" t="s">
        <v>410</v>
      </c>
      <c r="Q877" s="237" t="s">
        <v>410</v>
      </c>
      <c r="R877" s="237" t="s">
        <v>410</v>
      </c>
      <c r="S877" s="10" t="s">
        <v>410</v>
      </c>
      <c r="T877" s="10" t="s">
        <v>410</v>
      </c>
    </row>
    <row r="878" spans="1:20" hidden="1" outlineLevel="1" x14ac:dyDescent="0.3">
      <c r="A878" s="583" t="s">
        <v>5073</v>
      </c>
      <c r="B878" s="591">
        <v>8</v>
      </c>
      <c r="C878" s="583" t="s">
        <v>1256</v>
      </c>
      <c r="D878" s="583" t="s">
        <v>1506</v>
      </c>
      <c r="E878" s="592" t="s">
        <v>410</v>
      </c>
      <c r="F878" s="593"/>
      <c r="G878" s="237" t="s">
        <v>410</v>
      </c>
      <c r="H878" s="237" t="s">
        <v>410</v>
      </c>
      <c r="I878" s="237" t="s">
        <v>410</v>
      </c>
      <c r="J878" s="237" t="s">
        <v>410</v>
      </c>
      <c r="K878" s="237" t="s">
        <v>410</v>
      </c>
      <c r="L878" s="237" t="s">
        <v>410</v>
      </c>
      <c r="M878" s="237" t="s">
        <v>410</v>
      </c>
      <c r="N878" s="237" t="s">
        <v>410</v>
      </c>
      <c r="O878" s="237" t="s">
        <v>410</v>
      </c>
      <c r="P878" s="237" t="s">
        <v>410</v>
      </c>
      <c r="Q878" s="237" t="s">
        <v>410</v>
      </c>
      <c r="R878" s="237" t="s">
        <v>410</v>
      </c>
      <c r="S878" s="10" t="s">
        <v>410</v>
      </c>
      <c r="T878" s="10" t="s">
        <v>410</v>
      </c>
    </row>
    <row r="879" spans="1:20" hidden="1" outlineLevel="1" x14ac:dyDescent="0.3">
      <c r="A879" s="583" t="s">
        <v>1627</v>
      </c>
      <c r="B879" s="591">
        <v>11</v>
      </c>
      <c r="C879" s="588" t="s">
        <v>1256</v>
      </c>
      <c r="D879" s="588" t="s">
        <v>1506</v>
      </c>
      <c r="E879" s="592" t="s">
        <v>410</v>
      </c>
      <c r="F879" s="237"/>
      <c r="G879" s="237"/>
      <c r="H879" s="237"/>
      <c r="I879" s="237"/>
      <c r="J879" s="237"/>
      <c r="K879" s="237"/>
      <c r="L879" s="237" t="s">
        <v>410</v>
      </c>
      <c r="M879" s="237" t="s">
        <v>410</v>
      </c>
      <c r="N879" s="237" t="s">
        <v>410</v>
      </c>
      <c r="O879" s="237" t="s">
        <v>410</v>
      </c>
      <c r="P879" s="237" t="s">
        <v>410</v>
      </c>
      <c r="Q879" s="237" t="s">
        <v>410</v>
      </c>
      <c r="R879" s="237" t="s">
        <v>410</v>
      </c>
      <c r="S879" s="10" t="s">
        <v>410</v>
      </c>
      <c r="T879" s="10" t="s">
        <v>410</v>
      </c>
    </row>
    <row r="880" spans="1:20" hidden="1" outlineLevel="1" x14ac:dyDescent="0.3">
      <c r="A880" s="583" t="s">
        <v>638</v>
      </c>
      <c r="B880" s="591">
        <v>11</v>
      </c>
      <c r="C880" s="583" t="s">
        <v>1256</v>
      </c>
      <c r="D880" s="583" t="s">
        <v>1506</v>
      </c>
      <c r="E880" s="592" t="s">
        <v>410</v>
      </c>
      <c r="F880" s="593" t="s">
        <v>3500</v>
      </c>
      <c r="G880" s="593" t="s">
        <v>3501</v>
      </c>
      <c r="H880" s="593" t="s">
        <v>4793</v>
      </c>
      <c r="I880" s="237" t="s">
        <v>410</v>
      </c>
      <c r="J880" s="237" t="s">
        <v>410</v>
      </c>
      <c r="K880" s="237" t="s">
        <v>410</v>
      </c>
      <c r="L880" s="237" t="s">
        <v>410</v>
      </c>
      <c r="M880" s="237" t="s">
        <v>410</v>
      </c>
      <c r="N880" s="237" t="s">
        <v>410</v>
      </c>
      <c r="O880" s="237" t="s">
        <v>410</v>
      </c>
      <c r="P880" s="237" t="s">
        <v>410</v>
      </c>
      <c r="Q880" s="237" t="s">
        <v>410</v>
      </c>
      <c r="R880" s="237" t="s">
        <v>410</v>
      </c>
      <c r="S880" s="10" t="s">
        <v>410</v>
      </c>
      <c r="T880" s="10" t="s">
        <v>410</v>
      </c>
    </row>
    <row r="881" spans="1:20" hidden="1" outlineLevel="1" x14ac:dyDescent="0.3">
      <c r="A881" s="583" t="s">
        <v>1953</v>
      </c>
      <c r="B881" s="591">
        <v>11</v>
      </c>
      <c r="C881" s="583" t="s">
        <v>1256</v>
      </c>
      <c r="D881" s="583" t="s">
        <v>1506</v>
      </c>
      <c r="E881" s="593" t="s">
        <v>410</v>
      </c>
      <c r="F881" s="593" t="s">
        <v>66</v>
      </c>
      <c r="G881" s="593" t="s">
        <v>67</v>
      </c>
      <c r="H881" s="593" t="s">
        <v>68</v>
      </c>
      <c r="I881" s="593" t="s">
        <v>70</v>
      </c>
      <c r="J881" s="593" t="s">
        <v>72</v>
      </c>
      <c r="K881" s="593" t="s">
        <v>410</v>
      </c>
      <c r="L881" s="237" t="s">
        <v>410</v>
      </c>
      <c r="M881" s="237" t="s">
        <v>410</v>
      </c>
      <c r="N881" s="237" t="s">
        <v>410</v>
      </c>
      <c r="O881" s="237" t="s">
        <v>410</v>
      </c>
      <c r="P881" s="237" t="s">
        <v>410</v>
      </c>
      <c r="Q881" s="237" t="s">
        <v>410</v>
      </c>
      <c r="R881" s="237" t="s">
        <v>410</v>
      </c>
      <c r="S881" s="237" t="s">
        <v>410</v>
      </c>
      <c r="T881" s="237" t="s">
        <v>410</v>
      </c>
    </row>
    <row r="882" spans="1:20" hidden="1" outlineLevel="1" x14ac:dyDescent="0.3">
      <c r="A882" s="583" t="s">
        <v>4788</v>
      </c>
      <c r="B882" s="591">
        <v>13</v>
      </c>
      <c r="C882" s="583" t="s">
        <v>1256</v>
      </c>
      <c r="D882" s="583" t="s">
        <v>1506</v>
      </c>
      <c r="E882" s="592" t="s">
        <v>410</v>
      </c>
      <c r="F882" s="593"/>
      <c r="G882" s="593"/>
      <c r="H882" s="593"/>
      <c r="I882" s="593"/>
      <c r="J882" s="593"/>
      <c r="K882" s="237"/>
      <c r="L882" s="237"/>
      <c r="M882" s="237"/>
      <c r="N882" s="237" t="s">
        <v>410</v>
      </c>
      <c r="O882" s="237" t="s">
        <v>410</v>
      </c>
      <c r="P882" s="237" t="s">
        <v>410</v>
      </c>
      <c r="Q882" s="237" t="s">
        <v>410</v>
      </c>
      <c r="R882" s="237" t="s">
        <v>410</v>
      </c>
      <c r="S882" s="10" t="s">
        <v>410</v>
      </c>
      <c r="T882" s="10" t="s">
        <v>410</v>
      </c>
    </row>
    <row r="883" spans="1:20" hidden="1" outlineLevel="1" x14ac:dyDescent="0.3">
      <c r="A883" s="583" t="s">
        <v>5156</v>
      </c>
      <c r="B883" s="591">
        <v>16</v>
      </c>
      <c r="C883" s="583" t="s">
        <v>1256</v>
      </c>
      <c r="D883" s="583" t="s">
        <v>1506</v>
      </c>
      <c r="E883" s="592" t="s">
        <v>410</v>
      </c>
      <c r="F883" s="593"/>
      <c r="G883" s="237" t="s">
        <v>410</v>
      </c>
      <c r="H883" s="237" t="s">
        <v>410</v>
      </c>
      <c r="I883" s="237" t="s">
        <v>410</v>
      </c>
      <c r="J883" s="237" t="s">
        <v>410</v>
      </c>
      <c r="K883" s="237" t="s">
        <v>410</v>
      </c>
      <c r="L883" s="237" t="s">
        <v>410</v>
      </c>
      <c r="M883" s="237" t="s">
        <v>410</v>
      </c>
      <c r="N883" s="237" t="s">
        <v>410</v>
      </c>
      <c r="O883" s="237" t="s">
        <v>410</v>
      </c>
      <c r="P883" s="237" t="s">
        <v>410</v>
      </c>
      <c r="Q883" s="237" t="s">
        <v>410</v>
      </c>
      <c r="R883" s="237" t="s">
        <v>410</v>
      </c>
      <c r="S883" s="10" t="s">
        <v>410</v>
      </c>
      <c r="T883" s="10" t="s">
        <v>410</v>
      </c>
    </row>
    <row r="884" spans="1:20" hidden="1" outlineLevel="1" x14ac:dyDescent="0.3">
      <c r="A884" s="583" t="s">
        <v>1737</v>
      </c>
      <c r="B884" s="591">
        <v>16</v>
      </c>
      <c r="C884" s="583" t="s">
        <v>1256</v>
      </c>
      <c r="D884" s="583" t="s">
        <v>1506</v>
      </c>
      <c r="E884" s="592" t="s">
        <v>410</v>
      </c>
      <c r="F884" s="593" t="s">
        <v>3436</v>
      </c>
      <c r="G884" s="593" t="s">
        <v>3502</v>
      </c>
      <c r="H884" s="593" t="s">
        <v>3503</v>
      </c>
      <c r="I884" s="593" t="s">
        <v>3504</v>
      </c>
      <c r="J884" s="593" t="s">
        <v>3440</v>
      </c>
      <c r="K884" s="237" t="s">
        <v>410</v>
      </c>
      <c r="L884" s="237" t="s">
        <v>410</v>
      </c>
      <c r="M884" s="237" t="s">
        <v>410</v>
      </c>
      <c r="N884" s="237" t="s">
        <v>410</v>
      </c>
      <c r="O884" s="237" t="s">
        <v>410</v>
      </c>
      <c r="P884" s="237" t="s">
        <v>410</v>
      </c>
      <c r="Q884" s="237" t="s">
        <v>410</v>
      </c>
      <c r="R884" s="237" t="s">
        <v>410</v>
      </c>
      <c r="S884" s="10" t="s">
        <v>410</v>
      </c>
      <c r="T884" s="10" t="s">
        <v>410</v>
      </c>
    </row>
    <row r="885" spans="1:20" ht="15.75" hidden="1" customHeight="1" outlineLevel="1" x14ac:dyDescent="0.3">
      <c r="A885" s="583" t="s">
        <v>1791</v>
      </c>
      <c r="B885" s="591">
        <v>16</v>
      </c>
      <c r="C885" s="583" t="s">
        <v>1256</v>
      </c>
      <c r="D885" s="583" t="s">
        <v>1506</v>
      </c>
      <c r="E885" s="592" t="s">
        <v>410</v>
      </c>
      <c r="F885" s="593" t="s">
        <v>4436</v>
      </c>
      <c r="G885" s="593" t="s">
        <v>1792</v>
      </c>
      <c r="H885" s="593" t="s">
        <v>1793</v>
      </c>
      <c r="I885" s="593" t="s">
        <v>1794</v>
      </c>
      <c r="J885" s="593" t="s">
        <v>1795</v>
      </c>
      <c r="K885" s="593" t="s">
        <v>1796</v>
      </c>
      <c r="L885" s="237" t="s">
        <v>410</v>
      </c>
      <c r="M885" s="237" t="s">
        <v>410</v>
      </c>
      <c r="N885" s="237" t="s">
        <v>410</v>
      </c>
      <c r="O885" s="237" t="s">
        <v>410</v>
      </c>
      <c r="P885" s="237" t="s">
        <v>410</v>
      </c>
      <c r="Q885" s="237" t="s">
        <v>410</v>
      </c>
      <c r="R885" s="237" t="s">
        <v>410</v>
      </c>
      <c r="S885" s="10" t="s">
        <v>410</v>
      </c>
      <c r="T885" s="10" t="s">
        <v>410</v>
      </c>
    </row>
    <row r="886" spans="1:20" hidden="1" outlineLevel="1" x14ac:dyDescent="0.3">
      <c r="A886" s="583" t="s">
        <v>1797</v>
      </c>
      <c r="B886" s="591">
        <v>16</v>
      </c>
      <c r="C886" s="583" t="s">
        <v>1256</v>
      </c>
      <c r="D886" s="583" t="s">
        <v>1506</v>
      </c>
      <c r="E886" s="592" t="s">
        <v>410</v>
      </c>
      <c r="F886" s="594" t="str">
        <f>CONCATENATE(TEXT(IF('1-Vlastnosti'!$D$7&lt;1,1,'1-Vlastnosti'!$D$7)*2+5,0),"%")</f>
        <v>7%</v>
      </c>
      <c r="G886" s="594" t="str">
        <f>CONCATENATE(TEXT(15+IF('1-Vlastnosti'!$D$7&lt;1,1,'1-Vlastnosti'!$D$7)*3,0),"%")</f>
        <v>18%</v>
      </c>
      <c r="H886" s="594" t="str">
        <f>CONCATENATE(TEXT(25+IF('1-Vlastnosti'!$D$7&lt;1,1,'1-Vlastnosti'!$D$7)*4,0),"%")</f>
        <v>29%</v>
      </c>
      <c r="I886" s="594" t="str">
        <f>CONCATENATE(TEXT(35+IF('1-Vlastnosti'!$D$7&lt;1,1,'1-Vlastnosti'!$D$7)*5,0),"%")</f>
        <v>40%</v>
      </c>
      <c r="J886" s="593" t="s">
        <v>410</v>
      </c>
      <c r="K886" s="237" t="s">
        <v>410</v>
      </c>
      <c r="L886" s="237" t="s">
        <v>410</v>
      </c>
      <c r="M886" s="237" t="s">
        <v>410</v>
      </c>
      <c r="N886" s="237" t="s">
        <v>410</v>
      </c>
      <c r="O886" s="237" t="s">
        <v>410</v>
      </c>
      <c r="P886" s="237" t="s">
        <v>410</v>
      </c>
      <c r="Q886" s="237" t="s">
        <v>410</v>
      </c>
      <c r="R886" s="237" t="s">
        <v>410</v>
      </c>
      <c r="S886" s="10" t="s">
        <v>410</v>
      </c>
      <c r="T886" s="10" t="s">
        <v>410</v>
      </c>
    </row>
    <row r="887" spans="1:20" hidden="1" outlineLevel="1" x14ac:dyDescent="0.3">
      <c r="A887" s="583" t="s">
        <v>1798</v>
      </c>
      <c r="B887" s="591">
        <v>16</v>
      </c>
      <c r="C887" s="583" t="s">
        <v>1256</v>
      </c>
      <c r="D887" s="583" t="s">
        <v>1506</v>
      </c>
      <c r="E887" s="592" t="s">
        <v>410</v>
      </c>
      <c r="F887" s="593" t="s">
        <v>1799</v>
      </c>
      <c r="G887" s="593" t="s">
        <v>1800</v>
      </c>
      <c r="H887" s="593" t="s">
        <v>1801</v>
      </c>
      <c r="I887" s="593" t="s">
        <v>1802</v>
      </c>
      <c r="J887" s="237" t="s">
        <v>410</v>
      </c>
      <c r="K887" s="237" t="s">
        <v>410</v>
      </c>
      <c r="L887" s="237" t="s">
        <v>410</v>
      </c>
      <c r="M887" s="237" t="s">
        <v>410</v>
      </c>
      <c r="N887" s="237" t="s">
        <v>410</v>
      </c>
      <c r="O887" s="237" t="s">
        <v>410</v>
      </c>
      <c r="P887" s="237" t="s">
        <v>410</v>
      </c>
      <c r="Q887" s="237" t="s">
        <v>410</v>
      </c>
      <c r="R887" s="237" t="s">
        <v>410</v>
      </c>
      <c r="S887" s="10" t="s">
        <v>410</v>
      </c>
      <c r="T887" s="10" t="s">
        <v>410</v>
      </c>
    </row>
    <row r="888" spans="1:20" hidden="1" outlineLevel="1" x14ac:dyDescent="0.3">
      <c r="A888" s="583" t="s">
        <v>1807</v>
      </c>
      <c r="B888" s="591">
        <v>16</v>
      </c>
      <c r="C888" s="583" t="s">
        <v>1256</v>
      </c>
      <c r="D888" s="583" t="s">
        <v>1506</v>
      </c>
      <c r="E888" s="592" t="s">
        <v>410</v>
      </c>
      <c r="F888" s="593" t="s">
        <v>1799</v>
      </c>
      <c r="G888" s="593" t="s">
        <v>1800</v>
      </c>
      <c r="H888" s="593" t="s">
        <v>1801</v>
      </c>
      <c r="I888" s="593" t="s">
        <v>1802</v>
      </c>
      <c r="J888" s="237" t="s">
        <v>410</v>
      </c>
      <c r="K888" s="237" t="s">
        <v>410</v>
      </c>
      <c r="L888" s="237" t="s">
        <v>410</v>
      </c>
      <c r="M888" s="237" t="s">
        <v>410</v>
      </c>
      <c r="N888" s="237" t="s">
        <v>410</v>
      </c>
      <c r="O888" s="237" t="s">
        <v>410</v>
      </c>
      <c r="P888" s="237" t="s">
        <v>410</v>
      </c>
      <c r="Q888" s="237" t="s">
        <v>410</v>
      </c>
      <c r="R888" s="237" t="s">
        <v>410</v>
      </c>
      <c r="S888" s="10" t="s">
        <v>410</v>
      </c>
      <c r="T888" s="10" t="s">
        <v>410</v>
      </c>
    </row>
    <row r="889" spans="1:20" hidden="1" outlineLevel="1" x14ac:dyDescent="0.3">
      <c r="A889" s="583" t="s">
        <v>5110</v>
      </c>
      <c r="B889" s="591">
        <v>16</v>
      </c>
      <c r="C889" s="583" t="s">
        <v>1256</v>
      </c>
      <c r="D889" s="583" t="s">
        <v>1506</v>
      </c>
      <c r="E889" s="592" t="s">
        <v>410</v>
      </c>
      <c r="F889" s="593" t="s">
        <v>5200</v>
      </c>
      <c r="G889" s="593" t="s">
        <v>5201</v>
      </c>
      <c r="H889" s="593" t="s">
        <v>5202</v>
      </c>
      <c r="I889" s="237" t="s">
        <v>410</v>
      </c>
      <c r="J889" s="237" t="s">
        <v>410</v>
      </c>
      <c r="K889" s="237" t="s">
        <v>410</v>
      </c>
      <c r="L889" s="237" t="s">
        <v>410</v>
      </c>
      <c r="M889" s="237" t="s">
        <v>410</v>
      </c>
      <c r="N889" s="237" t="s">
        <v>410</v>
      </c>
      <c r="O889" s="237" t="s">
        <v>410</v>
      </c>
      <c r="P889" s="237" t="s">
        <v>410</v>
      </c>
      <c r="Q889" s="237" t="s">
        <v>410</v>
      </c>
      <c r="R889" s="237" t="s">
        <v>410</v>
      </c>
      <c r="S889" s="10" t="s">
        <v>410</v>
      </c>
      <c r="T889" s="10" t="s">
        <v>410</v>
      </c>
    </row>
    <row r="890" spans="1:20" hidden="1" outlineLevel="1" x14ac:dyDescent="0.3">
      <c r="A890" s="583" t="s">
        <v>1886</v>
      </c>
      <c r="B890" s="591">
        <v>16</v>
      </c>
      <c r="C890" s="583" t="s">
        <v>1256</v>
      </c>
      <c r="D890" s="583" t="s">
        <v>1506</v>
      </c>
      <c r="E890" s="592" t="s">
        <v>410</v>
      </c>
      <c r="F890" s="593" t="s">
        <v>2250</v>
      </c>
      <c r="G890" s="593" t="s">
        <v>2251</v>
      </c>
      <c r="H890" s="593" t="s">
        <v>2252</v>
      </c>
      <c r="I890" s="593" t="s">
        <v>2253</v>
      </c>
      <c r="J890" s="593" t="s">
        <v>2254</v>
      </c>
      <c r="K890" s="237" t="s">
        <v>410</v>
      </c>
      <c r="L890" s="237" t="s">
        <v>410</v>
      </c>
      <c r="M890" s="237" t="s">
        <v>410</v>
      </c>
      <c r="N890" s="237" t="s">
        <v>410</v>
      </c>
      <c r="O890" s="237" t="s">
        <v>410</v>
      </c>
      <c r="P890" s="237" t="s">
        <v>410</v>
      </c>
      <c r="Q890" s="237" t="s">
        <v>410</v>
      </c>
      <c r="R890" s="237" t="s">
        <v>410</v>
      </c>
      <c r="S890" s="10" t="s">
        <v>410</v>
      </c>
      <c r="T890" s="10" t="s">
        <v>410</v>
      </c>
    </row>
    <row r="891" spans="1:20" hidden="1" outlineLevel="1" x14ac:dyDescent="0.3">
      <c r="A891" s="583" t="s">
        <v>1968</v>
      </c>
      <c r="B891" s="591">
        <v>16</v>
      </c>
      <c r="C891" s="583" t="s">
        <v>1256</v>
      </c>
      <c r="D891" s="583" t="s">
        <v>1506</v>
      </c>
      <c r="E891" s="593" t="s">
        <v>410</v>
      </c>
      <c r="F891" s="593" t="s">
        <v>4437</v>
      </c>
      <c r="G891" s="593" t="s">
        <v>3301</v>
      </c>
      <c r="H891" s="593" t="s">
        <v>3302</v>
      </c>
      <c r="I891" s="593" t="s">
        <v>3303</v>
      </c>
      <c r="J891" s="593" t="s">
        <v>3304</v>
      </c>
      <c r="K891" s="237" t="s">
        <v>410</v>
      </c>
      <c r="L891" s="237" t="s">
        <v>410</v>
      </c>
      <c r="M891" s="237" t="s">
        <v>410</v>
      </c>
      <c r="N891" s="237" t="s">
        <v>410</v>
      </c>
      <c r="O891" s="237" t="s">
        <v>410</v>
      </c>
      <c r="P891" s="237" t="s">
        <v>410</v>
      </c>
      <c r="Q891" s="237" t="s">
        <v>410</v>
      </c>
      <c r="R891" s="237" t="s">
        <v>410</v>
      </c>
      <c r="S891" s="237" t="s">
        <v>410</v>
      </c>
      <c r="T891" s="237" t="s">
        <v>410</v>
      </c>
    </row>
    <row r="892" spans="1:20" ht="15.75" hidden="1" customHeight="1" outlineLevel="1" x14ac:dyDescent="0.3">
      <c r="A892" s="583" t="s">
        <v>5080</v>
      </c>
      <c r="B892" s="591">
        <v>16</v>
      </c>
      <c r="C892" s="583" t="s">
        <v>1256</v>
      </c>
      <c r="D892" s="583" t="s">
        <v>1506</v>
      </c>
      <c r="E892" s="592" t="s">
        <v>410</v>
      </c>
      <c r="F892" s="593"/>
      <c r="G892" s="237" t="s">
        <v>410</v>
      </c>
      <c r="H892" s="237" t="s">
        <v>410</v>
      </c>
      <c r="I892" s="237" t="s">
        <v>410</v>
      </c>
      <c r="J892" s="237" t="s">
        <v>410</v>
      </c>
      <c r="K892" s="237" t="s">
        <v>410</v>
      </c>
      <c r="L892" s="237" t="s">
        <v>410</v>
      </c>
      <c r="M892" s="237" t="s">
        <v>410</v>
      </c>
      <c r="N892" s="237" t="s">
        <v>410</v>
      </c>
      <c r="O892" s="237" t="s">
        <v>410</v>
      </c>
      <c r="P892" s="237" t="s">
        <v>410</v>
      </c>
      <c r="Q892" s="237" t="s">
        <v>410</v>
      </c>
      <c r="R892" s="237" t="s">
        <v>410</v>
      </c>
      <c r="S892" s="10" t="s">
        <v>410</v>
      </c>
      <c r="T892" s="10" t="s">
        <v>410</v>
      </c>
    </row>
    <row r="893" spans="1:20" hidden="1" outlineLevel="1" x14ac:dyDescent="0.3">
      <c r="A893" s="583" t="s">
        <v>4794</v>
      </c>
      <c r="B893" s="591">
        <v>21</v>
      </c>
      <c r="C893" s="583" t="s">
        <v>1256</v>
      </c>
      <c r="D893" s="583" t="s">
        <v>1506</v>
      </c>
      <c r="E893" s="592" t="s">
        <v>410</v>
      </c>
      <c r="F893" s="593"/>
      <c r="G893" s="593"/>
      <c r="H893" s="593"/>
      <c r="I893" s="593"/>
      <c r="J893" s="593"/>
      <c r="K893" s="593"/>
      <c r="L893" s="237"/>
      <c r="M893" s="237"/>
      <c r="N893" s="237" t="s">
        <v>410</v>
      </c>
      <c r="O893" s="237" t="s">
        <v>410</v>
      </c>
      <c r="P893" s="237" t="s">
        <v>410</v>
      </c>
      <c r="Q893" s="237" t="s">
        <v>410</v>
      </c>
      <c r="R893" s="237" t="s">
        <v>410</v>
      </c>
      <c r="S893" s="10" t="s">
        <v>410</v>
      </c>
      <c r="T893" s="10" t="s">
        <v>410</v>
      </c>
    </row>
    <row r="894" spans="1:20" hidden="1" outlineLevel="1" x14ac:dyDescent="0.3">
      <c r="A894" s="583" t="s">
        <v>2067</v>
      </c>
      <c r="B894" s="591">
        <v>0</v>
      </c>
      <c r="C894" s="588" t="s">
        <v>1564</v>
      </c>
      <c r="D894" s="588" t="s">
        <v>1506</v>
      </c>
      <c r="E894" s="595"/>
      <c r="F894" s="9" t="s">
        <v>410</v>
      </c>
      <c r="G894" s="9" t="s">
        <v>410</v>
      </c>
      <c r="H894" s="9" t="s">
        <v>410</v>
      </c>
      <c r="I894" s="9" t="s">
        <v>410</v>
      </c>
      <c r="J894" s="9" t="s">
        <v>410</v>
      </c>
      <c r="K894" s="9" t="s">
        <v>410</v>
      </c>
      <c r="L894" s="9" t="s">
        <v>410</v>
      </c>
      <c r="M894" s="9" t="s">
        <v>410</v>
      </c>
      <c r="N894" s="9" t="s">
        <v>410</v>
      </c>
      <c r="O894" s="9" t="s">
        <v>410</v>
      </c>
      <c r="P894" s="9" t="s">
        <v>410</v>
      </c>
      <c r="Q894" s="9" t="s">
        <v>410</v>
      </c>
      <c r="R894" s="9" t="s">
        <v>410</v>
      </c>
      <c r="S894" s="9" t="s">
        <v>410</v>
      </c>
      <c r="T894" s="9" t="s">
        <v>410</v>
      </c>
    </row>
    <row r="895" spans="1:20" hidden="1" outlineLevel="1" x14ac:dyDescent="0.3">
      <c r="A895" s="583" t="s">
        <v>3513</v>
      </c>
      <c r="B895" s="591">
        <v>0</v>
      </c>
      <c r="C895" s="583" t="s">
        <v>1564</v>
      </c>
      <c r="D895" s="583" t="s">
        <v>1506</v>
      </c>
      <c r="E895" s="592"/>
      <c r="F895" s="237" t="s">
        <v>410</v>
      </c>
      <c r="G895" s="237" t="s">
        <v>410</v>
      </c>
      <c r="H895" s="237" t="s">
        <v>410</v>
      </c>
      <c r="I895" s="237" t="s">
        <v>410</v>
      </c>
      <c r="J895" s="237" t="s">
        <v>410</v>
      </c>
      <c r="K895" s="237" t="s">
        <v>410</v>
      </c>
      <c r="L895" s="237" t="s">
        <v>410</v>
      </c>
      <c r="M895" s="237" t="s">
        <v>410</v>
      </c>
      <c r="N895" s="237" t="s">
        <v>410</v>
      </c>
      <c r="O895" s="237" t="s">
        <v>410</v>
      </c>
      <c r="P895" s="237" t="s">
        <v>410</v>
      </c>
      <c r="Q895" s="237" t="s">
        <v>410</v>
      </c>
      <c r="R895" s="237" t="s">
        <v>410</v>
      </c>
      <c r="S895" s="10" t="s">
        <v>410</v>
      </c>
      <c r="T895" s="10" t="s">
        <v>410</v>
      </c>
    </row>
    <row r="896" spans="1:20" hidden="1" outlineLevel="1" x14ac:dyDescent="0.3">
      <c r="A896" s="583" t="s">
        <v>2196</v>
      </c>
      <c r="B896" s="591">
        <v>1</v>
      </c>
      <c r="C896" s="583" t="s">
        <v>1564</v>
      </c>
      <c r="D896" s="583" t="s">
        <v>1506</v>
      </c>
      <c r="E896" s="592" t="s">
        <v>410</v>
      </c>
      <c r="F896" s="592" t="s">
        <v>3164</v>
      </c>
      <c r="G896" s="592" t="s">
        <v>3165</v>
      </c>
      <c r="H896" s="592" t="s">
        <v>3166</v>
      </c>
      <c r="I896" s="592" t="s">
        <v>3167</v>
      </c>
      <c r="J896" s="592" t="s">
        <v>3168</v>
      </c>
      <c r="K896" s="583" t="s">
        <v>410</v>
      </c>
      <c r="L896" t="s">
        <v>410</v>
      </c>
      <c r="M896" t="s">
        <v>410</v>
      </c>
      <c r="N896" t="s">
        <v>410</v>
      </c>
      <c r="O896" t="s">
        <v>410</v>
      </c>
      <c r="P896" t="s">
        <v>410</v>
      </c>
      <c r="Q896" t="s">
        <v>410</v>
      </c>
      <c r="R896" t="s">
        <v>410</v>
      </c>
      <c r="S896" t="s">
        <v>410</v>
      </c>
      <c r="T896" t="s">
        <v>410</v>
      </c>
    </row>
    <row r="897" spans="1:20" hidden="1" outlineLevel="1" x14ac:dyDescent="0.3">
      <c r="A897" s="583" t="s">
        <v>2197</v>
      </c>
      <c r="B897" s="591">
        <v>2</v>
      </c>
      <c r="C897" s="583" t="s">
        <v>1564</v>
      </c>
      <c r="D897" s="583" t="s">
        <v>1506</v>
      </c>
      <c r="E897" s="592" t="s">
        <v>410</v>
      </c>
      <c r="F897" s="583" t="s">
        <v>410</v>
      </c>
      <c r="G897" s="583" t="s">
        <v>3169</v>
      </c>
      <c r="H897" s="583" t="s">
        <v>3170</v>
      </c>
      <c r="I897" s="583" t="s">
        <v>3171</v>
      </c>
      <c r="J897" s="583" t="s">
        <v>3172</v>
      </c>
      <c r="K897" s="583" t="s">
        <v>410</v>
      </c>
      <c r="L897" t="s">
        <v>410</v>
      </c>
      <c r="M897" t="s">
        <v>410</v>
      </c>
      <c r="N897" t="s">
        <v>410</v>
      </c>
      <c r="O897" t="s">
        <v>410</v>
      </c>
      <c r="P897" t="s">
        <v>410</v>
      </c>
      <c r="Q897" t="s">
        <v>410</v>
      </c>
      <c r="R897" t="s">
        <v>410</v>
      </c>
      <c r="S897" t="s">
        <v>410</v>
      </c>
      <c r="T897" t="s">
        <v>410</v>
      </c>
    </row>
    <row r="898" spans="1:20" hidden="1" outlineLevel="1" x14ac:dyDescent="0.3">
      <c r="A898" s="583" t="s">
        <v>2198</v>
      </c>
      <c r="B898" s="591">
        <v>3</v>
      </c>
      <c r="C898" s="583" t="s">
        <v>1564</v>
      </c>
      <c r="D898" s="583" t="s">
        <v>1506</v>
      </c>
      <c r="E898" s="592" t="s">
        <v>410</v>
      </c>
      <c r="F898" s="583" t="s">
        <v>410</v>
      </c>
      <c r="G898" s="583" t="s">
        <v>410</v>
      </c>
      <c r="H898" s="592" t="s">
        <v>3173</v>
      </c>
      <c r="I898" s="592" t="s">
        <v>3173</v>
      </c>
      <c r="J898" s="592" t="s">
        <v>3174</v>
      </c>
      <c r="K898" s="583" t="s">
        <v>410</v>
      </c>
      <c r="L898" t="s">
        <v>410</v>
      </c>
      <c r="M898" t="s">
        <v>410</v>
      </c>
      <c r="N898" t="s">
        <v>410</v>
      </c>
      <c r="O898" t="s">
        <v>410</v>
      </c>
      <c r="P898" t="s">
        <v>410</v>
      </c>
      <c r="Q898" t="s">
        <v>410</v>
      </c>
      <c r="R898" t="s">
        <v>410</v>
      </c>
      <c r="S898" t="s">
        <v>410</v>
      </c>
      <c r="T898" t="s">
        <v>410</v>
      </c>
    </row>
    <row r="899" spans="1:20" hidden="1" outlineLevel="1" x14ac:dyDescent="0.3">
      <c r="A899" s="583" t="s">
        <v>3163</v>
      </c>
      <c r="B899" s="591">
        <v>4</v>
      </c>
      <c r="C899" s="583" t="s">
        <v>1564</v>
      </c>
      <c r="D899" s="583" t="s">
        <v>1506</v>
      </c>
      <c r="E899" s="592" t="s">
        <v>410</v>
      </c>
      <c r="F899" s="583" t="s">
        <v>410</v>
      </c>
      <c r="G899" s="583" t="s">
        <v>410</v>
      </c>
      <c r="H899" s="583" t="s">
        <v>410</v>
      </c>
      <c r="I899" s="592" t="s">
        <v>3175</v>
      </c>
      <c r="J899" s="592" t="s">
        <v>3175</v>
      </c>
      <c r="K899" s="583" t="s">
        <v>410</v>
      </c>
      <c r="L899" t="s">
        <v>410</v>
      </c>
      <c r="M899" t="s">
        <v>410</v>
      </c>
      <c r="N899" t="s">
        <v>410</v>
      </c>
      <c r="O899" t="s">
        <v>410</v>
      </c>
      <c r="P899" t="s">
        <v>410</v>
      </c>
      <c r="Q899" t="s">
        <v>410</v>
      </c>
      <c r="R899" t="s">
        <v>410</v>
      </c>
      <c r="S899" t="s">
        <v>410</v>
      </c>
      <c r="T899" t="s">
        <v>410</v>
      </c>
    </row>
    <row r="900" spans="1:20" hidden="1" outlineLevel="1" x14ac:dyDescent="0.3">
      <c r="A900" s="583" t="s">
        <v>2199</v>
      </c>
      <c r="B900" s="591">
        <v>5</v>
      </c>
      <c r="C900" s="583" t="s">
        <v>1564</v>
      </c>
      <c r="D900" s="583" t="s">
        <v>1506</v>
      </c>
      <c r="E900" s="592" t="s">
        <v>410</v>
      </c>
      <c r="F900" s="583" t="s">
        <v>410</v>
      </c>
      <c r="G900" s="583" t="s">
        <v>410</v>
      </c>
      <c r="H900" s="583" t="s">
        <v>410</v>
      </c>
      <c r="I900" s="583" t="s">
        <v>410</v>
      </c>
      <c r="J900" s="592" t="s">
        <v>2200</v>
      </c>
      <c r="K900" s="583" t="s">
        <v>410</v>
      </c>
      <c r="L900" t="s">
        <v>410</v>
      </c>
      <c r="M900" t="s">
        <v>410</v>
      </c>
      <c r="N900" t="s">
        <v>410</v>
      </c>
      <c r="O900" t="s">
        <v>410</v>
      </c>
      <c r="P900" t="s">
        <v>410</v>
      </c>
      <c r="Q900" t="s">
        <v>410</v>
      </c>
      <c r="R900" t="s">
        <v>410</v>
      </c>
      <c r="S900" t="s">
        <v>410</v>
      </c>
      <c r="T900" t="s">
        <v>410</v>
      </c>
    </row>
    <row r="901" spans="1:20" hidden="1" outlineLevel="1" x14ac:dyDescent="0.3">
      <c r="A901" s="583" t="s">
        <v>5115</v>
      </c>
      <c r="B901" s="591">
        <v>11</v>
      </c>
      <c r="C901" s="583" t="s">
        <v>1564</v>
      </c>
      <c r="D901" s="583" t="s">
        <v>1506</v>
      </c>
      <c r="E901" s="592" t="s">
        <v>410</v>
      </c>
      <c r="F901" s="237" t="s">
        <v>5116</v>
      </c>
      <c r="G901" s="237" t="s">
        <v>410</v>
      </c>
      <c r="H901" s="237" t="s">
        <v>410</v>
      </c>
      <c r="I901" s="237" t="s">
        <v>410</v>
      </c>
      <c r="J901" s="237" t="s">
        <v>410</v>
      </c>
      <c r="K901" s="237" t="s">
        <v>410</v>
      </c>
      <c r="L901" s="237" t="s">
        <v>410</v>
      </c>
      <c r="M901" s="237" t="s">
        <v>410</v>
      </c>
      <c r="N901" s="237" t="s">
        <v>410</v>
      </c>
      <c r="O901" s="237" t="s">
        <v>410</v>
      </c>
      <c r="P901" s="237" t="s">
        <v>410</v>
      </c>
      <c r="Q901" s="237" t="s">
        <v>410</v>
      </c>
      <c r="R901" s="237" t="s">
        <v>410</v>
      </c>
      <c r="S901" s="10" t="s">
        <v>410</v>
      </c>
      <c r="T901" s="10" t="s">
        <v>410</v>
      </c>
    </row>
    <row r="902" spans="1:20" hidden="1" outlineLevel="1" x14ac:dyDescent="0.3">
      <c r="A902" s="583" t="s">
        <v>2178</v>
      </c>
      <c r="B902" s="591">
        <v>11</v>
      </c>
      <c r="C902" s="588" t="s">
        <v>1564</v>
      </c>
      <c r="D902" s="588" t="s">
        <v>1506</v>
      </c>
      <c r="E902" s="592" t="s">
        <v>410</v>
      </c>
      <c r="F902" s="237" t="s">
        <v>1810</v>
      </c>
      <c r="G902" s="237" t="s">
        <v>410</v>
      </c>
      <c r="H902" s="237" t="s">
        <v>410</v>
      </c>
      <c r="I902" s="237" t="s">
        <v>410</v>
      </c>
      <c r="J902" s="237" t="s">
        <v>410</v>
      </c>
      <c r="K902" s="237" t="s">
        <v>410</v>
      </c>
      <c r="L902" s="237" t="s">
        <v>410</v>
      </c>
      <c r="M902" s="237" t="s">
        <v>410</v>
      </c>
      <c r="N902" s="237" t="s">
        <v>410</v>
      </c>
      <c r="O902" s="237" t="s">
        <v>410</v>
      </c>
      <c r="P902" s="237" t="s">
        <v>410</v>
      </c>
      <c r="Q902" s="237" t="s">
        <v>410</v>
      </c>
      <c r="R902" s="237" t="s">
        <v>410</v>
      </c>
      <c r="S902" s="10" t="s">
        <v>410</v>
      </c>
      <c r="T902" s="10" t="s">
        <v>410</v>
      </c>
    </row>
    <row r="903" spans="1:20" hidden="1" outlineLevel="1" x14ac:dyDescent="0.3">
      <c r="A903" s="583" t="s">
        <v>2179</v>
      </c>
      <c r="B903" s="591">
        <v>12</v>
      </c>
      <c r="C903" s="588" t="s">
        <v>1564</v>
      </c>
      <c r="D903" s="588" t="s">
        <v>1506</v>
      </c>
      <c r="E903" s="592" t="s">
        <v>410</v>
      </c>
      <c r="F903" s="592" t="s">
        <v>2184</v>
      </c>
      <c r="G903" s="237" t="s">
        <v>410</v>
      </c>
      <c r="H903" s="237" t="s">
        <v>410</v>
      </c>
      <c r="I903" s="237" t="s">
        <v>410</v>
      </c>
      <c r="J903" s="237" t="s">
        <v>410</v>
      </c>
      <c r="K903" s="237" t="s">
        <v>410</v>
      </c>
      <c r="L903" s="237" t="s">
        <v>410</v>
      </c>
      <c r="M903" s="237" t="s">
        <v>410</v>
      </c>
      <c r="N903" s="237" t="s">
        <v>410</v>
      </c>
      <c r="O903" s="237" t="s">
        <v>410</v>
      </c>
      <c r="P903" s="237" t="s">
        <v>410</v>
      </c>
      <c r="Q903" s="237" t="s">
        <v>410</v>
      </c>
      <c r="R903" s="237" t="s">
        <v>410</v>
      </c>
      <c r="S903" s="10" t="s">
        <v>410</v>
      </c>
      <c r="T903" s="10" t="s">
        <v>410</v>
      </c>
    </row>
    <row r="904" spans="1:20" hidden="1" outlineLevel="1" x14ac:dyDescent="0.3">
      <c r="A904" s="583" t="s">
        <v>2180</v>
      </c>
      <c r="B904" s="591">
        <v>13</v>
      </c>
      <c r="C904" s="588" t="s">
        <v>1564</v>
      </c>
      <c r="D904" s="588" t="s">
        <v>1506</v>
      </c>
      <c r="E904" s="592" t="s">
        <v>410</v>
      </c>
      <c r="F904" s="592" t="s">
        <v>2185</v>
      </c>
      <c r="G904" s="237" t="s">
        <v>410</v>
      </c>
      <c r="H904" s="237" t="s">
        <v>410</v>
      </c>
      <c r="I904" s="237" t="s">
        <v>410</v>
      </c>
      <c r="J904" s="237" t="s">
        <v>410</v>
      </c>
      <c r="K904" s="237" t="s">
        <v>410</v>
      </c>
      <c r="L904" s="237" t="s">
        <v>410</v>
      </c>
      <c r="M904" s="237" t="s">
        <v>410</v>
      </c>
      <c r="N904" s="237" t="s">
        <v>410</v>
      </c>
      <c r="O904" s="237" t="s">
        <v>410</v>
      </c>
      <c r="P904" s="237" t="s">
        <v>410</v>
      </c>
      <c r="Q904" s="237" t="s">
        <v>410</v>
      </c>
      <c r="R904" s="237" t="s">
        <v>410</v>
      </c>
      <c r="S904" s="10" t="s">
        <v>410</v>
      </c>
      <c r="T904" s="10" t="s">
        <v>410</v>
      </c>
    </row>
    <row r="905" spans="1:20" hidden="1" outlineLevel="1" x14ac:dyDescent="0.3">
      <c r="A905" s="583" t="s">
        <v>2181</v>
      </c>
      <c r="B905" s="591">
        <v>14</v>
      </c>
      <c r="C905" s="588" t="s">
        <v>1564</v>
      </c>
      <c r="D905" s="588" t="s">
        <v>1506</v>
      </c>
      <c r="E905" s="592" t="s">
        <v>410</v>
      </c>
      <c r="F905" s="592" t="s">
        <v>2186</v>
      </c>
      <c r="G905" s="237" t="s">
        <v>410</v>
      </c>
      <c r="H905" s="237" t="s">
        <v>410</v>
      </c>
      <c r="I905" s="237" t="s">
        <v>410</v>
      </c>
      <c r="J905" s="237" t="s">
        <v>410</v>
      </c>
      <c r="K905" s="237" t="s">
        <v>410</v>
      </c>
      <c r="L905" s="237" t="s">
        <v>410</v>
      </c>
      <c r="M905" s="237" t="s">
        <v>410</v>
      </c>
      <c r="N905" s="237" t="s">
        <v>410</v>
      </c>
      <c r="O905" s="237" t="s">
        <v>410</v>
      </c>
      <c r="P905" s="237" t="s">
        <v>410</v>
      </c>
      <c r="Q905" s="237" t="s">
        <v>410</v>
      </c>
      <c r="R905" s="237" t="s">
        <v>410</v>
      </c>
      <c r="S905" s="10" t="s">
        <v>410</v>
      </c>
      <c r="T905" s="10" t="s">
        <v>410</v>
      </c>
    </row>
    <row r="906" spans="1:20" hidden="1" outlineLevel="1" x14ac:dyDescent="0.3">
      <c r="A906" s="583" t="s">
        <v>2182</v>
      </c>
      <c r="B906" s="591">
        <v>15</v>
      </c>
      <c r="C906" s="588" t="s">
        <v>1564</v>
      </c>
      <c r="D906" s="588" t="s">
        <v>1506</v>
      </c>
      <c r="E906" s="592" t="s">
        <v>410</v>
      </c>
      <c r="F906" s="592"/>
      <c r="G906" s="237" t="s">
        <v>410</v>
      </c>
      <c r="H906" s="237" t="s">
        <v>410</v>
      </c>
      <c r="I906" s="237" t="s">
        <v>410</v>
      </c>
      <c r="J906" s="237" t="s">
        <v>410</v>
      </c>
      <c r="K906" s="237" t="s">
        <v>410</v>
      </c>
      <c r="L906" s="237" t="s">
        <v>410</v>
      </c>
      <c r="M906" s="237" t="s">
        <v>410</v>
      </c>
      <c r="N906" s="237" t="s">
        <v>410</v>
      </c>
      <c r="O906" s="237" t="s">
        <v>410</v>
      </c>
      <c r="P906" s="237" t="s">
        <v>410</v>
      </c>
      <c r="Q906" s="237" t="s">
        <v>410</v>
      </c>
      <c r="R906" s="237" t="s">
        <v>410</v>
      </c>
      <c r="S906" s="10" t="s">
        <v>410</v>
      </c>
      <c r="T906" s="10" t="s">
        <v>410</v>
      </c>
    </row>
    <row r="907" spans="1:20" hidden="1" outlineLevel="1" x14ac:dyDescent="0.3">
      <c r="A907" s="583" t="s">
        <v>2183</v>
      </c>
      <c r="B907" s="591">
        <v>16</v>
      </c>
      <c r="C907" s="588" t="s">
        <v>1564</v>
      </c>
      <c r="D907" s="588" t="s">
        <v>1506</v>
      </c>
      <c r="E907" s="592" t="s">
        <v>410</v>
      </c>
      <c r="F907" s="592" t="s">
        <v>2187</v>
      </c>
      <c r="G907" s="237" t="s">
        <v>410</v>
      </c>
      <c r="H907" s="237" t="s">
        <v>410</v>
      </c>
      <c r="I907" s="237" t="s">
        <v>410</v>
      </c>
      <c r="J907" s="237" t="s">
        <v>410</v>
      </c>
      <c r="K907" s="237" t="s">
        <v>410</v>
      </c>
      <c r="L907" s="237" t="s">
        <v>410</v>
      </c>
      <c r="M907" s="237" t="s">
        <v>410</v>
      </c>
      <c r="N907" s="237" t="s">
        <v>410</v>
      </c>
      <c r="O907" s="237" t="s">
        <v>410</v>
      </c>
      <c r="P907" s="237" t="s">
        <v>410</v>
      </c>
      <c r="Q907" s="237" t="s">
        <v>410</v>
      </c>
      <c r="R907" s="237" t="s">
        <v>410</v>
      </c>
      <c r="S907" s="10" t="s">
        <v>410</v>
      </c>
      <c r="T907" s="10" t="s">
        <v>410</v>
      </c>
    </row>
    <row r="908" spans="1:20" collapsed="1" x14ac:dyDescent="0.3">
      <c r="A908" s="583" t="s">
        <v>1478</v>
      </c>
      <c r="B908" s="591">
        <v>1</v>
      </c>
      <c r="C908" s="583" t="s">
        <v>1256</v>
      </c>
      <c r="D908" s="583" t="s">
        <v>5568</v>
      </c>
      <c r="E908" s="589" t="s">
        <v>410</v>
      </c>
      <c r="F908" s="590" t="s">
        <v>2117</v>
      </c>
      <c r="G908" s="590" t="s">
        <v>2118</v>
      </c>
      <c r="H908" s="590" t="s">
        <v>2119</v>
      </c>
      <c r="I908" s="590" t="s">
        <v>2120</v>
      </c>
      <c r="J908" s="590" t="s">
        <v>2121</v>
      </c>
      <c r="K908" s="590" t="s">
        <v>2122</v>
      </c>
      <c r="L908" s="441" t="s">
        <v>410</v>
      </c>
      <c r="M908" s="441" t="s">
        <v>410</v>
      </c>
      <c r="N908" s="441" t="s">
        <v>410</v>
      </c>
      <c r="O908" s="441" t="s">
        <v>410</v>
      </c>
      <c r="P908" s="441" t="s">
        <v>410</v>
      </c>
      <c r="Q908" s="441" t="s">
        <v>410</v>
      </c>
      <c r="R908" s="441" t="s">
        <v>410</v>
      </c>
      <c r="S908" s="441" t="s">
        <v>410</v>
      </c>
      <c r="T908" s="441" t="s">
        <v>410</v>
      </c>
    </row>
    <row r="909" spans="1:20" hidden="1" outlineLevel="1" x14ac:dyDescent="0.3">
      <c r="A909" s="583" t="s">
        <v>5054</v>
      </c>
      <c r="B909" s="591">
        <v>1</v>
      </c>
      <c r="C909" s="583" t="s">
        <v>1256</v>
      </c>
      <c r="D909" s="583" t="s">
        <v>5568</v>
      </c>
      <c r="E909" s="589" t="s">
        <v>410</v>
      </c>
      <c r="F909" s="590" t="s">
        <v>67</v>
      </c>
      <c r="G909" s="590" t="s">
        <v>68</v>
      </c>
      <c r="H909" s="590" t="s">
        <v>70</v>
      </c>
      <c r="I909" s="590" t="s">
        <v>72</v>
      </c>
      <c r="J909" s="237" t="s">
        <v>410</v>
      </c>
      <c r="K909" s="237" t="s">
        <v>410</v>
      </c>
      <c r="L909" s="237" t="s">
        <v>410</v>
      </c>
      <c r="M909" s="237" t="s">
        <v>410</v>
      </c>
      <c r="N909" s="237" t="s">
        <v>410</v>
      </c>
      <c r="O909" s="237" t="s">
        <v>410</v>
      </c>
      <c r="P909" s="237" t="s">
        <v>410</v>
      </c>
      <c r="Q909" s="237" t="s">
        <v>410</v>
      </c>
      <c r="R909" s="237" t="s">
        <v>410</v>
      </c>
      <c r="S909" s="10" t="s">
        <v>410</v>
      </c>
      <c r="T909" s="10" t="s">
        <v>410</v>
      </c>
    </row>
    <row r="910" spans="1:20" hidden="1" outlineLevel="1" x14ac:dyDescent="0.3">
      <c r="A910" s="583" t="s">
        <v>1622</v>
      </c>
      <c r="B910" s="591">
        <v>1</v>
      </c>
      <c r="C910" s="583" t="s">
        <v>1256</v>
      </c>
      <c r="D910" s="583" t="s">
        <v>5568</v>
      </c>
      <c r="E910" s="855" t="s">
        <v>410</v>
      </c>
      <c r="F910" s="592" t="s">
        <v>5565</v>
      </c>
      <c r="G910" s="592" t="s">
        <v>5566</v>
      </c>
      <c r="H910" s="592" t="s">
        <v>5567</v>
      </c>
      <c r="I910" s="441" t="s">
        <v>410</v>
      </c>
      <c r="J910" s="441" t="s">
        <v>410</v>
      </c>
      <c r="K910" s="441" t="s">
        <v>410</v>
      </c>
      <c r="L910" s="441" t="s">
        <v>410</v>
      </c>
      <c r="M910" s="441" t="s">
        <v>410</v>
      </c>
      <c r="N910" s="441" t="s">
        <v>410</v>
      </c>
      <c r="O910" s="441" t="s">
        <v>410</v>
      </c>
      <c r="P910" s="441" t="s">
        <v>410</v>
      </c>
      <c r="Q910" s="441" t="s">
        <v>410</v>
      </c>
      <c r="R910" s="441" t="s">
        <v>410</v>
      </c>
      <c r="S910" s="441" t="s">
        <v>410</v>
      </c>
      <c r="T910" s="441" t="s">
        <v>410</v>
      </c>
    </row>
    <row r="911" spans="1:20" hidden="1" outlineLevel="1" x14ac:dyDescent="0.3">
      <c r="A911" s="583" t="s">
        <v>5055</v>
      </c>
      <c r="B911" s="591">
        <v>1</v>
      </c>
      <c r="C911" s="583" t="s">
        <v>1256</v>
      </c>
      <c r="D911" s="583" t="s">
        <v>5568</v>
      </c>
      <c r="E911" s="592" t="s">
        <v>410</v>
      </c>
      <c r="F911" s="593" t="s">
        <v>67</v>
      </c>
      <c r="G911" s="593" t="s">
        <v>68</v>
      </c>
      <c r="H911" s="593" t="s">
        <v>70</v>
      </c>
      <c r="I911" s="593" t="s">
        <v>72</v>
      </c>
      <c r="J911" s="593" t="s">
        <v>74</v>
      </c>
      <c r="K911" s="237" t="s">
        <v>410</v>
      </c>
      <c r="L911" s="237" t="s">
        <v>410</v>
      </c>
      <c r="M911" s="237" t="s">
        <v>410</v>
      </c>
      <c r="N911" s="237" t="s">
        <v>410</v>
      </c>
      <c r="O911" s="237" t="s">
        <v>410</v>
      </c>
      <c r="P911" s="237" t="s">
        <v>410</v>
      </c>
      <c r="Q911" s="237" t="s">
        <v>410</v>
      </c>
      <c r="R911" s="237" t="s">
        <v>410</v>
      </c>
      <c r="S911" s="10" t="s">
        <v>410</v>
      </c>
      <c r="T911" s="10" t="s">
        <v>410</v>
      </c>
    </row>
    <row r="912" spans="1:20" hidden="1" outlineLevel="1" x14ac:dyDescent="0.3">
      <c r="A912" s="583" t="s">
        <v>1665</v>
      </c>
      <c r="B912" s="591">
        <v>1</v>
      </c>
      <c r="C912" s="583" t="s">
        <v>1256</v>
      </c>
      <c r="D912" s="583" t="s">
        <v>5568</v>
      </c>
      <c r="E912" s="592" t="s">
        <v>410</v>
      </c>
      <c r="F912" s="593" t="s">
        <v>2500</v>
      </c>
      <c r="G912" s="593" t="s">
        <v>2501</v>
      </c>
      <c r="H912" s="593" t="s">
        <v>2502</v>
      </c>
      <c r="I912" s="593" t="s">
        <v>3162</v>
      </c>
      <c r="J912" s="593" t="s">
        <v>2503</v>
      </c>
      <c r="K912" s="237" t="s">
        <v>410</v>
      </c>
      <c r="L912" s="237" t="s">
        <v>410</v>
      </c>
      <c r="M912" s="237" t="s">
        <v>410</v>
      </c>
      <c r="N912" s="237" t="s">
        <v>410</v>
      </c>
      <c r="O912" s="237" t="s">
        <v>410</v>
      </c>
      <c r="P912" s="237" t="s">
        <v>410</v>
      </c>
      <c r="Q912" s="237" t="s">
        <v>410</v>
      </c>
      <c r="R912" s="237" t="s">
        <v>410</v>
      </c>
      <c r="S912" s="10" t="s">
        <v>410</v>
      </c>
      <c r="T912" s="10" t="s">
        <v>410</v>
      </c>
    </row>
    <row r="913" spans="1:20" hidden="1" outlineLevel="1" x14ac:dyDescent="0.3">
      <c r="A913" s="583" t="s">
        <v>1673</v>
      </c>
      <c r="B913" s="591">
        <v>1</v>
      </c>
      <c r="C913" s="583" t="s">
        <v>1256</v>
      </c>
      <c r="D913" s="583" t="s">
        <v>5568</v>
      </c>
      <c r="E913" s="594">
        <v>0</v>
      </c>
      <c r="F913" s="594">
        <v>1</v>
      </c>
      <c r="G913" s="594">
        <v>2</v>
      </c>
      <c r="H913" s="594">
        <v>3</v>
      </c>
      <c r="I913" s="594">
        <v>4</v>
      </c>
      <c r="J913" s="594">
        <v>5</v>
      </c>
      <c r="K913" s="594">
        <v>6</v>
      </c>
      <c r="L913" s="237" t="s">
        <v>410</v>
      </c>
      <c r="M913" s="237" t="s">
        <v>410</v>
      </c>
      <c r="N913" s="237" t="s">
        <v>410</v>
      </c>
      <c r="O913" s="237" t="s">
        <v>410</v>
      </c>
      <c r="P913" s="237" t="s">
        <v>410</v>
      </c>
      <c r="Q913" s="237" t="s">
        <v>410</v>
      </c>
      <c r="R913" s="237" t="s">
        <v>410</v>
      </c>
      <c r="S913" s="10" t="s">
        <v>410</v>
      </c>
      <c r="T913" s="10" t="s">
        <v>410</v>
      </c>
    </row>
    <row r="914" spans="1:20" hidden="1" outlineLevel="1" x14ac:dyDescent="0.3">
      <c r="A914" s="583" t="s">
        <v>1674</v>
      </c>
      <c r="B914" s="591">
        <v>1</v>
      </c>
      <c r="C914" s="583" t="s">
        <v>1256</v>
      </c>
      <c r="D914" s="583" t="s">
        <v>5568</v>
      </c>
      <c r="E914" s="592" t="s">
        <v>410</v>
      </c>
      <c r="F914" s="593" t="s">
        <v>3176</v>
      </c>
      <c r="G914" s="593" t="s">
        <v>4173</v>
      </c>
      <c r="H914" s="593" t="s">
        <v>4174</v>
      </c>
      <c r="I914" s="593" t="s">
        <v>4175</v>
      </c>
      <c r="J914" s="237" t="s">
        <v>410</v>
      </c>
      <c r="K914" s="237" t="s">
        <v>410</v>
      </c>
      <c r="L914" s="237" t="s">
        <v>410</v>
      </c>
      <c r="M914" s="237" t="s">
        <v>410</v>
      </c>
      <c r="N914" s="237" t="s">
        <v>410</v>
      </c>
      <c r="O914" s="237" t="s">
        <v>410</v>
      </c>
      <c r="P914" s="237" t="s">
        <v>410</v>
      </c>
      <c r="Q914" s="237" t="s">
        <v>410</v>
      </c>
      <c r="R914" s="237" t="s">
        <v>410</v>
      </c>
      <c r="S914" s="10" t="s">
        <v>410</v>
      </c>
      <c r="T914" s="10" t="s">
        <v>410</v>
      </c>
    </row>
    <row r="915" spans="1:20" hidden="1" outlineLevel="1" x14ac:dyDescent="0.3">
      <c r="A915" s="583" t="s">
        <v>5056</v>
      </c>
      <c r="B915" s="591">
        <v>1</v>
      </c>
      <c r="C915" s="583" t="s">
        <v>1256</v>
      </c>
      <c r="D915" s="583" t="s">
        <v>5568</v>
      </c>
      <c r="E915" s="592" t="s">
        <v>410</v>
      </c>
      <c r="F915" s="593" t="s">
        <v>67</v>
      </c>
      <c r="G915" s="593" t="s">
        <v>68</v>
      </c>
      <c r="H915" s="593" t="s">
        <v>70</v>
      </c>
      <c r="I915" s="593" t="s">
        <v>72</v>
      </c>
      <c r="J915" s="237" t="s">
        <v>410</v>
      </c>
      <c r="K915" s="237" t="s">
        <v>410</v>
      </c>
      <c r="L915" s="237" t="s">
        <v>410</v>
      </c>
      <c r="M915" s="237" t="s">
        <v>410</v>
      </c>
      <c r="N915" s="237" t="s">
        <v>410</v>
      </c>
      <c r="O915" s="237" t="s">
        <v>410</v>
      </c>
      <c r="P915" s="237" t="s">
        <v>410</v>
      </c>
      <c r="Q915" s="237" t="s">
        <v>410</v>
      </c>
      <c r="R915" s="237" t="s">
        <v>410</v>
      </c>
      <c r="S915" s="10" t="s">
        <v>410</v>
      </c>
      <c r="T915" s="10" t="s">
        <v>410</v>
      </c>
    </row>
    <row r="916" spans="1:20" hidden="1" outlineLevel="1" x14ac:dyDescent="0.3">
      <c r="A916" s="583" t="s">
        <v>1767</v>
      </c>
      <c r="B916" s="591">
        <v>1</v>
      </c>
      <c r="C916" s="583" t="s">
        <v>1256</v>
      </c>
      <c r="D916" s="583" t="s">
        <v>5568</v>
      </c>
      <c r="E916" s="593" t="s">
        <v>3250</v>
      </c>
      <c r="F916" s="593" t="s">
        <v>3251</v>
      </c>
      <c r="G916" s="593" t="s">
        <v>3252</v>
      </c>
      <c r="H916" s="593" t="s">
        <v>3253</v>
      </c>
      <c r="I916" s="593" t="s">
        <v>3254</v>
      </c>
      <c r="J916" s="593" t="s">
        <v>410</v>
      </c>
      <c r="K916" s="237" t="s">
        <v>410</v>
      </c>
      <c r="L916" s="237" t="s">
        <v>410</v>
      </c>
      <c r="M916" s="237" t="s">
        <v>410</v>
      </c>
      <c r="N916" s="237" t="s">
        <v>410</v>
      </c>
      <c r="O916" s="237" t="s">
        <v>410</v>
      </c>
      <c r="P916" s="237" t="s">
        <v>410</v>
      </c>
      <c r="Q916" s="237" t="s">
        <v>410</v>
      </c>
      <c r="R916" s="237" t="s">
        <v>410</v>
      </c>
      <c r="S916" s="10" t="s">
        <v>410</v>
      </c>
      <c r="T916" s="10" t="s">
        <v>410</v>
      </c>
    </row>
    <row r="917" spans="1:20" hidden="1" outlineLevel="1" x14ac:dyDescent="0.3">
      <c r="A917" s="583" t="s">
        <v>5100</v>
      </c>
      <c r="B917" s="591">
        <v>1</v>
      </c>
      <c r="C917" s="583" t="s">
        <v>1256</v>
      </c>
      <c r="D917" s="583" t="s">
        <v>5568</v>
      </c>
      <c r="E917" s="592" t="s">
        <v>410</v>
      </c>
      <c r="F917" s="592" t="s">
        <v>5040</v>
      </c>
      <c r="G917" s="237" t="s">
        <v>410</v>
      </c>
      <c r="H917" s="237" t="s">
        <v>410</v>
      </c>
      <c r="I917" s="237" t="s">
        <v>410</v>
      </c>
      <c r="J917" s="237" t="s">
        <v>410</v>
      </c>
      <c r="K917" s="237" t="s">
        <v>410</v>
      </c>
      <c r="L917" s="237" t="s">
        <v>410</v>
      </c>
      <c r="M917" s="237" t="s">
        <v>410</v>
      </c>
      <c r="N917" s="237" t="s">
        <v>410</v>
      </c>
      <c r="O917" s="237" t="s">
        <v>410</v>
      </c>
      <c r="P917" s="237" t="s">
        <v>410</v>
      </c>
      <c r="Q917" s="237" t="s">
        <v>410</v>
      </c>
      <c r="R917" s="237" t="s">
        <v>410</v>
      </c>
      <c r="S917" s="10" t="s">
        <v>410</v>
      </c>
      <c r="T917" s="10" t="s">
        <v>410</v>
      </c>
    </row>
    <row r="918" spans="1:20" hidden="1" outlineLevel="1" x14ac:dyDescent="0.3">
      <c r="A918" s="583" t="s">
        <v>1781</v>
      </c>
      <c r="B918" s="591">
        <v>1</v>
      </c>
      <c r="C918" s="583" t="s">
        <v>1256</v>
      </c>
      <c r="D918" s="583" t="s">
        <v>5568</v>
      </c>
      <c r="E918" s="592" t="s">
        <v>410</v>
      </c>
      <c r="F918" s="593" t="s">
        <v>4335</v>
      </c>
      <c r="G918" s="593" t="s">
        <v>4340</v>
      </c>
      <c r="H918" s="593" t="s">
        <v>4339</v>
      </c>
      <c r="I918" s="593" t="s">
        <v>4338</v>
      </c>
      <c r="J918" s="593" t="s">
        <v>4337</v>
      </c>
      <c r="K918" s="593" t="s">
        <v>4336</v>
      </c>
      <c r="L918" s="593" t="s">
        <v>4341</v>
      </c>
      <c r="M918" s="10" t="s">
        <v>410</v>
      </c>
      <c r="N918" s="10" t="s">
        <v>410</v>
      </c>
      <c r="O918" s="10" t="s">
        <v>410</v>
      </c>
      <c r="P918" s="10" t="s">
        <v>410</v>
      </c>
      <c r="Q918" s="10" t="s">
        <v>410</v>
      </c>
      <c r="R918" s="10" t="s">
        <v>410</v>
      </c>
      <c r="S918" s="10" t="s">
        <v>410</v>
      </c>
      <c r="T918" s="10" t="s">
        <v>410</v>
      </c>
    </row>
    <row r="919" spans="1:20" hidden="1" outlineLevel="1" x14ac:dyDescent="0.3">
      <c r="A919" s="583" t="s">
        <v>1862</v>
      </c>
      <c r="B919" s="591">
        <v>1</v>
      </c>
      <c r="C919" s="583" t="s">
        <v>1256</v>
      </c>
      <c r="D919" s="583" t="s">
        <v>5568</v>
      </c>
      <c r="E919" s="592" t="s">
        <v>3120</v>
      </c>
      <c r="F919" s="593" t="s">
        <v>3121</v>
      </c>
      <c r="G919" s="593" t="s">
        <v>3122</v>
      </c>
      <c r="H919" s="593" t="s">
        <v>3123</v>
      </c>
      <c r="I919" s="237" t="s">
        <v>410</v>
      </c>
      <c r="J919" s="237" t="s">
        <v>410</v>
      </c>
      <c r="K919" s="237" t="s">
        <v>410</v>
      </c>
      <c r="L919" s="237" t="s">
        <v>410</v>
      </c>
      <c r="M919" s="237" t="s">
        <v>410</v>
      </c>
      <c r="N919" s="237" t="s">
        <v>410</v>
      </c>
      <c r="O919" s="237" t="s">
        <v>410</v>
      </c>
      <c r="P919" s="237" t="s">
        <v>410</v>
      </c>
      <c r="Q919" s="237" t="s">
        <v>410</v>
      </c>
      <c r="R919" s="237" t="s">
        <v>410</v>
      </c>
      <c r="S919" s="10" t="s">
        <v>410</v>
      </c>
      <c r="T919" s="10" t="s">
        <v>410</v>
      </c>
    </row>
    <row r="920" spans="1:20" hidden="1" outlineLevel="1" x14ac:dyDescent="0.3">
      <c r="A920" s="583" t="s">
        <v>5543</v>
      </c>
      <c r="B920" s="591">
        <v>1</v>
      </c>
      <c r="C920" s="583" t="s">
        <v>1256</v>
      </c>
      <c r="D920" s="583" t="s">
        <v>5568</v>
      </c>
      <c r="E920" s="593" t="s">
        <v>5539</v>
      </c>
      <c r="F920" s="593" t="s">
        <v>5538</v>
      </c>
      <c r="G920" s="593" t="s">
        <v>5540</v>
      </c>
      <c r="H920" s="593" t="s">
        <v>5544</v>
      </c>
      <c r="I920" s="593" t="s">
        <v>5541</v>
      </c>
      <c r="J920" s="593" t="s">
        <v>5542</v>
      </c>
      <c r="K920" s="237" t="s">
        <v>410</v>
      </c>
      <c r="L920" s="237" t="s">
        <v>410</v>
      </c>
      <c r="M920" s="237" t="s">
        <v>410</v>
      </c>
      <c r="N920" s="237" t="s">
        <v>410</v>
      </c>
      <c r="O920" s="237" t="s">
        <v>410</v>
      </c>
      <c r="P920" s="237" t="s">
        <v>410</v>
      </c>
      <c r="Q920" s="237" t="s">
        <v>410</v>
      </c>
      <c r="R920" s="237" t="s">
        <v>410</v>
      </c>
      <c r="S920" s="10" t="s">
        <v>410</v>
      </c>
      <c r="T920" s="10" t="s">
        <v>410</v>
      </c>
    </row>
    <row r="921" spans="1:20" hidden="1" outlineLevel="1" x14ac:dyDescent="0.3">
      <c r="A921" s="583" t="s">
        <v>1911</v>
      </c>
      <c r="B921" s="591">
        <v>1</v>
      </c>
      <c r="C921" s="583" t="s">
        <v>1256</v>
      </c>
      <c r="D921" s="583" t="s">
        <v>5568</v>
      </c>
      <c r="E921" s="594" t="s">
        <v>4176</v>
      </c>
      <c r="F921" s="594" t="s">
        <v>4177</v>
      </c>
      <c r="G921" s="594" t="s">
        <v>4178</v>
      </c>
      <c r="H921" s="594" t="s">
        <v>4179</v>
      </c>
      <c r="I921" s="594" t="s">
        <v>4180</v>
      </c>
      <c r="J921" s="594" t="s">
        <v>4181</v>
      </c>
      <c r="K921" s="593" t="s">
        <v>410</v>
      </c>
      <c r="L921" s="237" t="s">
        <v>410</v>
      </c>
      <c r="M921" s="237" t="s">
        <v>410</v>
      </c>
      <c r="N921" s="237" t="s">
        <v>410</v>
      </c>
      <c r="O921" s="237" t="s">
        <v>410</v>
      </c>
      <c r="P921" s="237" t="s">
        <v>410</v>
      </c>
      <c r="Q921" s="237" t="s">
        <v>410</v>
      </c>
      <c r="R921" s="237" t="s">
        <v>410</v>
      </c>
      <c r="S921" s="10" t="s">
        <v>410</v>
      </c>
      <c r="T921" s="10" t="s">
        <v>410</v>
      </c>
    </row>
    <row r="922" spans="1:20" hidden="1" outlineLevel="1" x14ac:dyDescent="0.3">
      <c r="A922" s="583" t="s">
        <v>5057</v>
      </c>
      <c r="B922" s="591">
        <v>1</v>
      </c>
      <c r="C922" s="583" t="s">
        <v>1256</v>
      </c>
      <c r="D922" s="583" t="s">
        <v>5568</v>
      </c>
      <c r="E922" s="592" t="s">
        <v>410</v>
      </c>
      <c r="F922" s="593" t="s">
        <v>2130</v>
      </c>
      <c r="G922" s="237" t="s">
        <v>410</v>
      </c>
      <c r="H922" s="237" t="s">
        <v>410</v>
      </c>
      <c r="I922" s="237" t="s">
        <v>410</v>
      </c>
      <c r="J922" s="237" t="s">
        <v>410</v>
      </c>
      <c r="K922" s="237" t="s">
        <v>410</v>
      </c>
      <c r="L922" s="237" t="s">
        <v>410</v>
      </c>
      <c r="M922" s="237" t="s">
        <v>410</v>
      </c>
      <c r="N922" s="237" t="s">
        <v>410</v>
      </c>
      <c r="O922" s="237" t="s">
        <v>410</v>
      </c>
      <c r="P922" s="237" t="s">
        <v>410</v>
      </c>
      <c r="Q922" s="237" t="s">
        <v>410</v>
      </c>
      <c r="R922" s="237" t="s">
        <v>410</v>
      </c>
      <c r="S922" s="10" t="s">
        <v>410</v>
      </c>
      <c r="T922" s="10" t="s">
        <v>410</v>
      </c>
    </row>
    <row r="923" spans="1:20" hidden="1" outlineLevel="1" x14ac:dyDescent="0.3">
      <c r="A923" s="583" t="s">
        <v>5124</v>
      </c>
      <c r="B923" s="591">
        <v>1</v>
      </c>
      <c r="C923" s="583" t="s">
        <v>1256</v>
      </c>
      <c r="D923" s="583" t="s">
        <v>5568</v>
      </c>
      <c r="E923" s="592" t="s">
        <v>410</v>
      </c>
      <c r="F923" s="593" t="s">
        <v>2176</v>
      </c>
      <c r="G923" s="441" t="s">
        <v>410</v>
      </c>
      <c r="H923" s="441" t="s">
        <v>410</v>
      </c>
      <c r="I923" s="441" t="s">
        <v>410</v>
      </c>
      <c r="J923" s="441" t="s">
        <v>410</v>
      </c>
      <c r="K923" s="441" t="s">
        <v>410</v>
      </c>
      <c r="L923" s="441" t="s">
        <v>410</v>
      </c>
      <c r="M923" s="441" t="s">
        <v>410</v>
      </c>
      <c r="N923" s="441" t="s">
        <v>410</v>
      </c>
      <c r="O923" s="441" t="s">
        <v>410</v>
      </c>
      <c r="P923" s="441" t="s">
        <v>410</v>
      </c>
      <c r="Q923" s="441" t="s">
        <v>410</v>
      </c>
      <c r="R923" s="441" t="s">
        <v>410</v>
      </c>
      <c r="S923" s="441" t="s">
        <v>410</v>
      </c>
      <c r="T923" s="441" t="s">
        <v>410</v>
      </c>
    </row>
    <row r="924" spans="1:20" hidden="1" outlineLevel="1" x14ac:dyDescent="0.3">
      <c r="A924" s="583" t="s">
        <v>5058</v>
      </c>
      <c r="B924" s="591">
        <v>1</v>
      </c>
      <c r="C924" s="583" t="s">
        <v>1256</v>
      </c>
      <c r="D924" s="583" t="s">
        <v>5568</v>
      </c>
      <c r="E924" s="592" t="s">
        <v>410</v>
      </c>
      <c r="F924" s="593" t="s">
        <v>67</v>
      </c>
      <c r="G924" s="590" t="s">
        <v>68</v>
      </c>
      <c r="H924" s="590" t="s">
        <v>70</v>
      </c>
      <c r="I924" s="590" t="s">
        <v>72</v>
      </c>
      <c r="J924" s="590" t="s">
        <v>74</v>
      </c>
      <c r="K924" s="237" t="s">
        <v>410</v>
      </c>
      <c r="L924" s="237" t="s">
        <v>410</v>
      </c>
      <c r="M924" s="237" t="s">
        <v>410</v>
      </c>
      <c r="N924" s="237" t="s">
        <v>410</v>
      </c>
      <c r="O924" s="237" t="s">
        <v>410</v>
      </c>
      <c r="P924" s="237" t="s">
        <v>410</v>
      </c>
      <c r="Q924" s="237" t="s">
        <v>410</v>
      </c>
      <c r="R924" s="237" t="s">
        <v>410</v>
      </c>
      <c r="S924" s="10" t="s">
        <v>410</v>
      </c>
      <c r="T924" s="10" t="s">
        <v>410</v>
      </c>
    </row>
    <row r="925" spans="1:20" hidden="1" outlineLevel="1" x14ac:dyDescent="0.3">
      <c r="A925" s="583" t="s">
        <v>5059</v>
      </c>
      <c r="B925" s="591">
        <v>1</v>
      </c>
      <c r="C925" s="583" t="s">
        <v>1256</v>
      </c>
      <c r="D925" s="583" t="s">
        <v>5568</v>
      </c>
      <c r="E925" s="592" t="s">
        <v>410</v>
      </c>
      <c r="F925" s="593" t="s">
        <v>5028</v>
      </c>
      <c r="G925" s="593" t="s">
        <v>5029</v>
      </c>
      <c r="H925" s="593" t="s">
        <v>5030</v>
      </c>
      <c r="I925" s="593" t="s">
        <v>5031</v>
      </c>
      <c r="J925" s="593" t="s">
        <v>5032</v>
      </c>
      <c r="K925" s="237" t="s">
        <v>410</v>
      </c>
      <c r="L925" s="237" t="s">
        <v>410</v>
      </c>
      <c r="M925" s="237" t="s">
        <v>410</v>
      </c>
      <c r="N925" s="237" t="s">
        <v>410</v>
      </c>
      <c r="O925" s="237" t="s">
        <v>410</v>
      </c>
      <c r="P925" s="237" t="s">
        <v>410</v>
      </c>
      <c r="Q925" s="237" t="s">
        <v>410</v>
      </c>
      <c r="R925" s="237" t="s">
        <v>410</v>
      </c>
      <c r="S925" s="237" t="s">
        <v>410</v>
      </c>
      <c r="T925" s="237" t="s">
        <v>410</v>
      </c>
    </row>
    <row r="926" spans="1:20" hidden="1" outlineLevel="1" x14ac:dyDescent="0.3">
      <c r="A926" s="583" t="s">
        <v>1998</v>
      </c>
      <c r="B926" s="591">
        <v>1</v>
      </c>
      <c r="C926" s="583" t="s">
        <v>1256</v>
      </c>
      <c r="D926" s="583" t="s">
        <v>5568</v>
      </c>
      <c r="E926" s="593" t="s">
        <v>410</v>
      </c>
      <c r="F926" s="593" t="s">
        <v>4430</v>
      </c>
      <c r="G926" s="593" t="s">
        <v>1999</v>
      </c>
      <c r="H926" s="593" t="s">
        <v>2000</v>
      </c>
      <c r="I926" s="593" t="s">
        <v>2001</v>
      </c>
      <c r="J926" s="593" t="s">
        <v>4182</v>
      </c>
      <c r="K926" s="593" t="s">
        <v>2002</v>
      </c>
      <c r="L926" s="237" t="s">
        <v>410</v>
      </c>
      <c r="M926" s="237" t="s">
        <v>410</v>
      </c>
      <c r="N926" s="237" t="s">
        <v>410</v>
      </c>
      <c r="O926" s="237" t="s">
        <v>410</v>
      </c>
      <c r="P926" s="237" t="s">
        <v>410</v>
      </c>
      <c r="Q926" s="237" t="s">
        <v>410</v>
      </c>
      <c r="R926" s="237" t="s">
        <v>410</v>
      </c>
      <c r="S926" s="237" t="s">
        <v>410</v>
      </c>
      <c r="T926" s="237" t="s">
        <v>410</v>
      </c>
    </row>
    <row r="927" spans="1:20" hidden="1" outlineLevel="1" x14ac:dyDescent="0.3">
      <c r="A927" s="583" t="s">
        <v>1477</v>
      </c>
      <c r="B927" s="591">
        <v>2</v>
      </c>
      <c r="C927" s="583" t="s">
        <v>1256</v>
      </c>
      <c r="D927" s="583" t="s">
        <v>5568</v>
      </c>
      <c r="E927" s="589" t="s">
        <v>410</v>
      </c>
      <c r="F927" s="590" t="s">
        <v>1525</v>
      </c>
      <c r="G927" s="590" t="s">
        <v>3316</v>
      </c>
      <c r="H927" s="590" t="s">
        <v>4233</v>
      </c>
      <c r="I927" s="590" t="s">
        <v>4234</v>
      </c>
      <c r="J927" s="441" t="s">
        <v>410</v>
      </c>
      <c r="K927" s="441" t="s">
        <v>410</v>
      </c>
      <c r="L927" s="441" t="s">
        <v>410</v>
      </c>
      <c r="M927" s="441" t="s">
        <v>410</v>
      </c>
      <c r="N927" s="441" t="s">
        <v>410</v>
      </c>
      <c r="O927" s="441" t="s">
        <v>410</v>
      </c>
      <c r="P927" s="441" t="s">
        <v>410</v>
      </c>
      <c r="Q927" s="441" t="s">
        <v>410</v>
      </c>
      <c r="R927" s="441" t="s">
        <v>410</v>
      </c>
      <c r="S927" s="441" t="s">
        <v>410</v>
      </c>
      <c r="T927" s="441" t="s">
        <v>410</v>
      </c>
    </row>
    <row r="928" spans="1:20" hidden="1" outlineLevel="1" x14ac:dyDescent="0.3">
      <c r="A928" s="583" t="s">
        <v>5485</v>
      </c>
      <c r="B928" s="591">
        <v>5</v>
      </c>
      <c r="C928" s="583" t="s">
        <v>1256</v>
      </c>
      <c r="D928" s="583" t="s">
        <v>5568</v>
      </c>
      <c r="E928" s="592" t="s">
        <v>410</v>
      </c>
      <c r="F928" s="593" t="s">
        <v>3269</v>
      </c>
      <c r="G928" s="593" t="s">
        <v>3270</v>
      </c>
      <c r="H928" s="593" t="s">
        <v>3271</v>
      </c>
      <c r="I928" s="593" t="s">
        <v>3272</v>
      </c>
      <c r="J928" s="593" t="s">
        <v>4303</v>
      </c>
      <c r="K928" s="237" t="s">
        <v>410</v>
      </c>
      <c r="L928" s="237" t="s">
        <v>410</v>
      </c>
      <c r="M928" s="237" t="s">
        <v>410</v>
      </c>
      <c r="N928" s="237" t="s">
        <v>410</v>
      </c>
      <c r="O928" s="237" t="s">
        <v>410</v>
      </c>
      <c r="P928" s="237" t="s">
        <v>410</v>
      </c>
      <c r="Q928" s="237" t="s">
        <v>410</v>
      </c>
      <c r="R928" s="237" t="s">
        <v>410</v>
      </c>
      <c r="S928" s="10" t="s">
        <v>410</v>
      </c>
      <c r="T928" s="10" t="s">
        <v>410</v>
      </c>
    </row>
    <row r="929" spans="1:20" hidden="1" outlineLevel="1" x14ac:dyDescent="0.3">
      <c r="A929" s="583" t="s">
        <v>1462</v>
      </c>
      <c r="B929" s="591">
        <v>6</v>
      </c>
      <c r="C929" s="583" t="s">
        <v>1256</v>
      </c>
      <c r="D929" s="583" t="s">
        <v>5568</v>
      </c>
      <c r="E929" s="589" t="s">
        <v>410</v>
      </c>
      <c r="F929" s="590" t="s">
        <v>67</v>
      </c>
      <c r="G929" s="590" t="s">
        <v>68</v>
      </c>
      <c r="H929" s="590" t="s">
        <v>70</v>
      </c>
      <c r="I929" s="590" t="s">
        <v>72</v>
      </c>
      <c r="J929" s="441" t="s">
        <v>410</v>
      </c>
      <c r="K929" s="441" t="s">
        <v>410</v>
      </c>
      <c r="L929" s="441" t="s">
        <v>410</v>
      </c>
      <c r="M929" s="441" t="s">
        <v>410</v>
      </c>
      <c r="N929" s="441" t="s">
        <v>410</v>
      </c>
      <c r="O929" s="441" t="s">
        <v>410</v>
      </c>
      <c r="P929" s="441" t="s">
        <v>410</v>
      </c>
      <c r="Q929" s="441" t="s">
        <v>410</v>
      </c>
      <c r="R929" s="441" t="s">
        <v>410</v>
      </c>
      <c r="S929" s="441" t="s">
        <v>410</v>
      </c>
      <c r="T929" s="441" t="s">
        <v>410</v>
      </c>
    </row>
    <row r="930" spans="1:20" hidden="1" outlineLevel="1" x14ac:dyDescent="0.3">
      <c r="A930" s="583" t="s">
        <v>1489</v>
      </c>
      <c r="B930" s="591">
        <v>6</v>
      </c>
      <c r="C930" s="583" t="s">
        <v>1256</v>
      </c>
      <c r="D930" s="583" t="s">
        <v>5568</v>
      </c>
      <c r="E930" s="589" t="s">
        <v>410</v>
      </c>
      <c r="F930" s="590" t="s">
        <v>3117</v>
      </c>
      <c r="G930" s="590" t="s">
        <v>3118</v>
      </c>
      <c r="H930" s="590" t="s">
        <v>3179</v>
      </c>
      <c r="I930" s="590" t="s">
        <v>3180</v>
      </c>
      <c r="J930" s="590" t="s">
        <v>3181</v>
      </c>
      <c r="K930" s="590" t="s">
        <v>3178</v>
      </c>
      <c r="L930" s="441" t="s">
        <v>410</v>
      </c>
      <c r="M930" s="441" t="s">
        <v>410</v>
      </c>
      <c r="N930" s="441" t="s">
        <v>410</v>
      </c>
      <c r="O930" s="441" t="s">
        <v>410</v>
      </c>
      <c r="P930" s="441" t="s">
        <v>410</v>
      </c>
      <c r="Q930" s="441" t="s">
        <v>410</v>
      </c>
      <c r="R930" s="441" t="s">
        <v>410</v>
      </c>
      <c r="S930" s="441" t="s">
        <v>410</v>
      </c>
      <c r="T930" s="441" t="s">
        <v>410</v>
      </c>
    </row>
    <row r="931" spans="1:20" hidden="1" outlineLevel="1" x14ac:dyDescent="0.3">
      <c r="A931" s="583" t="s">
        <v>1846</v>
      </c>
      <c r="B931" s="591">
        <v>6</v>
      </c>
      <c r="C931" s="583" t="s">
        <v>1256</v>
      </c>
      <c r="D931" s="583" t="s">
        <v>5568</v>
      </c>
      <c r="E931" s="592" t="s">
        <v>410</v>
      </c>
      <c r="F931" s="593" t="s">
        <v>1591</v>
      </c>
      <c r="G931" s="593" t="s">
        <v>1847</v>
      </c>
      <c r="H931" s="593" t="s">
        <v>3198</v>
      </c>
      <c r="I931" s="593" t="s">
        <v>1841</v>
      </c>
      <c r="J931" s="593" t="s">
        <v>1842</v>
      </c>
      <c r="K931" s="237" t="s">
        <v>410</v>
      </c>
      <c r="L931" s="237" t="s">
        <v>410</v>
      </c>
      <c r="M931" s="237" t="s">
        <v>410</v>
      </c>
      <c r="N931" s="237" t="s">
        <v>410</v>
      </c>
      <c r="O931" s="237" t="s">
        <v>410</v>
      </c>
      <c r="P931" s="237" t="s">
        <v>410</v>
      </c>
      <c r="Q931" s="237" t="s">
        <v>410</v>
      </c>
      <c r="R931" s="237" t="s">
        <v>410</v>
      </c>
      <c r="S931" s="10" t="s">
        <v>410</v>
      </c>
      <c r="T931" s="10" t="s">
        <v>410</v>
      </c>
    </row>
    <row r="932" spans="1:20" hidden="1" outlineLevel="1" x14ac:dyDescent="0.3">
      <c r="A932" s="583" t="s">
        <v>5502</v>
      </c>
      <c r="B932" s="591">
        <v>6</v>
      </c>
      <c r="C932" s="583" t="s">
        <v>1256</v>
      </c>
      <c r="D932" s="583" t="s">
        <v>5568</v>
      </c>
      <c r="E932" s="592" t="s">
        <v>410</v>
      </c>
      <c r="F932" s="593" t="s">
        <v>5496</v>
      </c>
      <c r="G932" s="593" t="s">
        <v>5497</v>
      </c>
      <c r="H932" s="593" t="s">
        <v>5498</v>
      </c>
      <c r="I932" s="593" t="s">
        <v>5499</v>
      </c>
      <c r="J932" s="593" t="s">
        <v>5500</v>
      </c>
      <c r="K932" s="593" t="s">
        <v>410</v>
      </c>
      <c r="L932" s="237" t="s">
        <v>410</v>
      </c>
      <c r="M932" s="237" t="s">
        <v>410</v>
      </c>
      <c r="N932" s="237" t="s">
        <v>410</v>
      </c>
      <c r="O932" s="237" t="s">
        <v>410</v>
      </c>
      <c r="P932" s="237" t="s">
        <v>410</v>
      </c>
      <c r="Q932" s="237" t="s">
        <v>410</v>
      </c>
      <c r="R932" s="237" t="s">
        <v>410</v>
      </c>
      <c r="S932" s="10" t="s">
        <v>410</v>
      </c>
      <c r="T932" s="10" t="s">
        <v>410</v>
      </c>
    </row>
    <row r="933" spans="1:20" hidden="1" outlineLevel="1" x14ac:dyDescent="0.3">
      <c r="A933" s="583" t="s">
        <v>1926</v>
      </c>
      <c r="B933" s="591">
        <v>6</v>
      </c>
      <c r="C933" s="583" t="s">
        <v>1256</v>
      </c>
      <c r="D933" s="583" t="s">
        <v>5568</v>
      </c>
      <c r="E933" s="592" t="s">
        <v>410</v>
      </c>
      <c r="F933" s="593" t="s">
        <v>1829</v>
      </c>
      <c r="G933" s="593" t="s">
        <v>3156</v>
      </c>
      <c r="H933" s="593" t="s">
        <v>1927</v>
      </c>
      <c r="I933" s="593" t="s">
        <v>3157</v>
      </c>
      <c r="J933" s="593" t="s">
        <v>3158</v>
      </c>
      <c r="K933" s="237" t="s">
        <v>410</v>
      </c>
      <c r="L933" s="237" t="s">
        <v>410</v>
      </c>
      <c r="M933" s="237" t="s">
        <v>410</v>
      </c>
      <c r="N933" s="237" t="s">
        <v>410</v>
      </c>
      <c r="O933" s="237" t="s">
        <v>410</v>
      </c>
      <c r="P933" s="237" t="s">
        <v>410</v>
      </c>
      <c r="Q933" s="237" t="s">
        <v>410</v>
      </c>
      <c r="R933" s="237" t="s">
        <v>410</v>
      </c>
      <c r="S933" s="10" t="s">
        <v>410</v>
      </c>
      <c r="T933" s="10" t="s">
        <v>410</v>
      </c>
    </row>
    <row r="934" spans="1:20" hidden="1" outlineLevel="1" x14ac:dyDescent="0.3">
      <c r="A934" s="583" t="s">
        <v>1994</v>
      </c>
      <c r="B934" s="591">
        <v>6</v>
      </c>
      <c r="C934" s="583" t="s">
        <v>1256</v>
      </c>
      <c r="D934" s="583" t="s">
        <v>5568</v>
      </c>
      <c r="E934" s="593" t="s">
        <v>410</v>
      </c>
      <c r="F934" s="593" t="s">
        <v>67</v>
      </c>
      <c r="G934" s="593" t="s">
        <v>3159</v>
      </c>
      <c r="H934" s="593" t="s">
        <v>3160</v>
      </c>
      <c r="I934" s="237" t="s">
        <v>410</v>
      </c>
      <c r="J934" s="237" t="s">
        <v>410</v>
      </c>
      <c r="K934" s="237" t="s">
        <v>410</v>
      </c>
      <c r="L934" s="237" t="s">
        <v>410</v>
      </c>
      <c r="M934" s="237" t="s">
        <v>410</v>
      </c>
      <c r="N934" s="237" t="s">
        <v>410</v>
      </c>
      <c r="O934" s="237" t="s">
        <v>410</v>
      </c>
      <c r="P934" s="237" t="s">
        <v>410</v>
      </c>
      <c r="Q934" s="237" t="s">
        <v>410</v>
      </c>
      <c r="R934" s="237" t="s">
        <v>410</v>
      </c>
      <c r="S934" s="237" t="s">
        <v>410</v>
      </c>
      <c r="T934" s="237" t="s">
        <v>410</v>
      </c>
    </row>
    <row r="935" spans="1:20" hidden="1" outlineLevel="1" x14ac:dyDescent="0.3">
      <c r="A935" s="583" t="s">
        <v>5063</v>
      </c>
      <c r="B935" s="591">
        <v>8</v>
      </c>
      <c r="C935" s="583" t="s">
        <v>1256</v>
      </c>
      <c r="D935" s="583" t="s">
        <v>5568</v>
      </c>
      <c r="E935" s="592" t="s">
        <v>410</v>
      </c>
      <c r="F935" s="589" t="s">
        <v>68</v>
      </c>
      <c r="G935" s="589" t="s">
        <v>72</v>
      </c>
      <c r="H935" s="589" t="s">
        <v>5036</v>
      </c>
      <c r="I935" s="589" t="s">
        <v>5037</v>
      </c>
      <c r="J935" s="441" t="s">
        <v>410</v>
      </c>
      <c r="K935" s="441" t="s">
        <v>410</v>
      </c>
      <c r="L935" s="441" t="s">
        <v>410</v>
      </c>
      <c r="M935" s="441" t="s">
        <v>410</v>
      </c>
      <c r="N935" s="441" t="s">
        <v>410</v>
      </c>
      <c r="O935" s="441" t="s">
        <v>410</v>
      </c>
      <c r="P935" s="441" t="s">
        <v>410</v>
      </c>
      <c r="Q935" s="441" t="s">
        <v>410</v>
      </c>
      <c r="R935" s="441" t="s">
        <v>410</v>
      </c>
      <c r="S935" s="441" t="s">
        <v>410</v>
      </c>
      <c r="T935" s="441" t="s">
        <v>410</v>
      </c>
    </row>
    <row r="936" spans="1:20" hidden="1" outlineLevel="1" x14ac:dyDescent="0.3">
      <c r="A936" s="583" t="s">
        <v>5064</v>
      </c>
      <c r="B936" s="591">
        <v>8</v>
      </c>
      <c r="C936" s="583" t="s">
        <v>1256</v>
      </c>
      <c r="D936" s="583" t="s">
        <v>5568</v>
      </c>
      <c r="E936" s="589" t="s">
        <v>410</v>
      </c>
      <c r="F936" s="592" t="s">
        <v>5103</v>
      </c>
      <c r="G936" s="441" t="s">
        <v>410</v>
      </c>
      <c r="H936" s="441" t="s">
        <v>410</v>
      </c>
      <c r="I936" s="441" t="s">
        <v>410</v>
      </c>
      <c r="J936" s="441" t="s">
        <v>410</v>
      </c>
      <c r="K936" s="441" t="s">
        <v>410</v>
      </c>
      <c r="L936" s="441" t="s">
        <v>410</v>
      </c>
      <c r="M936" s="441" t="s">
        <v>410</v>
      </c>
      <c r="N936" s="441" t="s">
        <v>410</v>
      </c>
      <c r="O936" s="441" t="s">
        <v>410</v>
      </c>
      <c r="P936" s="441" t="s">
        <v>410</v>
      </c>
      <c r="Q936" s="441" t="s">
        <v>410</v>
      </c>
      <c r="R936" s="441" t="s">
        <v>410</v>
      </c>
      <c r="S936" s="441" t="s">
        <v>410</v>
      </c>
      <c r="T936" s="441" t="s">
        <v>410</v>
      </c>
    </row>
    <row r="937" spans="1:20" hidden="1" outlineLevel="1" x14ac:dyDescent="0.3">
      <c r="A937" s="583" t="s">
        <v>5065</v>
      </c>
      <c r="B937" s="591">
        <v>8</v>
      </c>
      <c r="C937" s="583" t="s">
        <v>1256</v>
      </c>
      <c r="D937" s="583" t="s">
        <v>5568</v>
      </c>
      <c r="E937" s="592" t="s">
        <v>410</v>
      </c>
      <c r="F937" s="589" t="s">
        <v>5135</v>
      </c>
      <c r="G937" s="441" t="s">
        <v>410</v>
      </c>
      <c r="H937" s="441" t="s">
        <v>410</v>
      </c>
      <c r="I937" s="441" t="s">
        <v>410</v>
      </c>
      <c r="J937" s="441" t="s">
        <v>410</v>
      </c>
      <c r="K937" s="441" t="s">
        <v>410</v>
      </c>
      <c r="L937" s="441" t="s">
        <v>410</v>
      </c>
      <c r="M937" s="441" t="s">
        <v>410</v>
      </c>
      <c r="N937" s="441" t="s">
        <v>410</v>
      </c>
      <c r="O937" s="441" t="s">
        <v>410</v>
      </c>
      <c r="P937" s="441" t="s">
        <v>410</v>
      </c>
      <c r="Q937" s="441" t="s">
        <v>410</v>
      </c>
      <c r="R937" s="441" t="s">
        <v>410</v>
      </c>
      <c r="S937" s="441" t="s">
        <v>410</v>
      </c>
      <c r="T937" s="441" t="s">
        <v>410</v>
      </c>
    </row>
    <row r="938" spans="1:20" hidden="1" outlineLevel="1" x14ac:dyDescent="0.3">
      <c r="A938" s="583" t="s">
        <v>5067</v>
      </c>
      <c r="B938" s="591">
        <v>8</v>
      </c>
      <c r="C938" s="583" t="s">
        <v>1256</v>
      </c>
      <c r="D938" s="583" t="s">
        <v>5568</v>
      </c>
      <c r="E938" s="592" t="s">
        <v>410</v>
      </c>
      <c r="F938" s="854" t="s">
        <v>5041</v>
      </c>
      <c r="G938" s="441" t="s">
        <v>410</v>
      </c>
      <c r="H938" s="441" t="s">
        <v>410</v>
      </c>
      <c r="I938" s="441" t="s">
        <v>410</v>
      </c>
      <c r="J938" s="441" t="s">
        <v>410</v>
      </c>
      <c r="K938" s="441" t="s">
        <v>410</v>
      </c>
      <c r="L938" s="441" t="s">
        <v>410</v>
      </c>
      <c r="M938" s="441" t="s">
        <v>410</v>
      </c>
      <c r="N938" s="441" t="s">
        <v>410</v>
      </c>
      <c r="O938" s="441" t="s">
        <v>410</v>
      </c>
      <c r="P938" s="441" t="s">
        <v>410</v>
      </c>
      <c r="Q938" s="441" t="s">
        <v>410</v>
      </c>
      <c r="R938" s="441" t="s">
        <v>410</v>
      </c>
      <c r="S938" s="441" t="s">
        <v>410</v>
      </c>
      <c r="T938" s="441" t="s">
        <v>410</v>
      </c>
    </row>
    <row r="939" spans="1:20" hidden="1" outlineLevel="1" x14ac:dyDescent="0.3">
      <c r="A939" s="583" t="s">
        <v>5147</v>
      </c>
      <c r="B939" s="591">
        <v>8</v>
      </c>
      <c r="C939" s="583" t="s">
        <v>1256</v>
      </c>
      <c r="D939" s="583" t="s">
        <v>5568</v>
      </c>
      <c r="E939" s="592" t="s">
        <v>410</v>
      </c>
      <c r="F939" s="590" t="s">
        <v>5148</v>
      </c>
      <c r="G939" s="441" t="s">
        <v>410</v>
      </c>
      <c r="H939" s="441" t="s">
        <v>410</v>
      </c>
      <c r="I939" s="441" t="s">
        <v>410</v>
      </c>
      <c r="J939" s="441" t="s">
        <v>410</v>
      </c>
      <c r="K939" s="441" t="s">
        <v>410</v>
      </c>
      <c r="L939" s="441" t="s">
        <v>410</v>
      </c>
      <c r="M939" s="441" t="s">
        <v>410</v>
      </c>
      <c r="N939" s="441" t="s">
        <v>410</v>
      </c>
      <c r="O939" s="441" t="s">
        <v>410</v>
      </c>
      <c r="P939" s="441" t="s">
        <v>410</v>
      </c>
      <c r="Q939" s="441" t="s">
        <v>410</v>
      </c>
      <c r="R939" s="441" t="s">
        <v>410</v>
      </c>
      <c r="S939" s="441" t="s">
        <v>410</v>
      </c>
      <c r="T939" s="441" t="s">
        <v>410</v>
      </c>
    </row>
    <row r="940" spans="1:20" hidden="1" outlineLevel="1" x14ac:dyDescent="0.3">
      <c r="A940" s="583" t="s">
        <v>5068</v>
      </c>
      <c r="B940" s="591">
        <v>8</v>
      </c>
      <c r="C940" s="583" t="s">
        <v>1256</v>
      </c>
      <c r="D940" s="583" t="s">
        <v>5568</v>
      </c>
      <c r="E940" s="589" t="s">
        <v>410</v>
      </c>
      <c r="F940" s="590" t="s">
        <v>5042</v>
      </c>
      <c r="G940" s="441" t="s">
        <v>410</v>
      </c>
      <c r="H940" s="441" t="s">
        <v>410</v>
      </c>
      <c r="I940" s="441" t="s">
        <v>410</v>
      </c>
      <c r="J940" s="441" t="s">
        <v>410</v>
      </c>
      <c r="K940" s="441" t="s">
        <v>410</v>
      </c>
      <c r="L940" s="441" t="s">
        <v>410</v>
      </c>
      <c r="M940" s="441" t="s">
        <v>410</v>
      </c>
      <c r="N940" s="441" t="s">
        <v>410</v>
      </c>
      <c r="O940" s="441" t="s">
        <v>410</v>
      </c>
      <c r="P940" s="441" t="s">
        <v>410</v>
      </c>
      <c r="Q940" s="441" t="s">
        <v>410</v>
      </c>
      <c r="R940" s="441" t="s">
        <v>410</v>
      </c>
      <c r="S940" s="441" t="s">
        <v>410</v>
      </c>
      <c r="T940" s="441" t="s">
        <v>410</v>
      </c>
    </row>
    <row r="941" spans="1:20" hidden="1" outlineLevel="1" x14ac:dyDescent="0.3">
      <c r="A941" s="583" t="s">
        <v>5070</v>
      </c>
      <c r="B941" s="591">
        <v>8</v>
      </c>
      <c r="C941" s="583" t="s">
        <v>1256</v>
      </c>
      <c r="D941" s="583" t="s">
        <v>5568</v>
      </c>
      <c r="E941" s="592" t="s">
        <v>410</v>
      </c>
      <c r="F941" s="593" t="s">
        <v>5044</v>
      </c>
      <c r="G941" s="441" t="s">
        <v>410</v>
      </c>
      <c r="H941" s="441" t="s">
        <v>410</v>
      </c>
      <c r="I941" s="441" t="s">
        <v>410</v>
      </c>
      <c r="J941" s="441" t="s">
        <v>410</v>
      </c>
      <c r="K941" s="441" t="s">
        <v>410</v>
      </c>
      <c r="L941" s="441" t="s">
        <v>410</v>
      </c>
      <c r="M941" s="441" t="s">
        <v>410</v>
      </c>
      <c r="N941" s="441" t="s">
        <v>410</v>
      </c>
      <c r="O941" s="441" t="s">
        <v>410</v>
      </c>
      <c r="P941" s="441" t="s">
        <v>410</v>
      </c>
      <c r="Q941" s="441" t="s">
        <v>410</v>
      </c>
      <c r="R941" s="441" t="s">
        <v>410</v>
      </c>
      <c r="S941" s="441" t="s">
        <v>410</v>
      </c>
      <c r="T941" s="441" t="s">
        <v>410</v>
      </c>
    </row>
    <row r="942" spans="1:20" hidden="1" outlineLevel="1" x14ac:dyDescent="0.3">
      <c r="A942" s="583" t="s">
        <v>5074</v>
      </c>
      <c r="B942" s="591">
        <v>8</v>
      </c>
      <c r="C942" s="583" t="s">
        <v>1256</v>
      </c>
      <c r="D942" s="583" t="s">
        <v>5568</v>
      </c>
      <c r="E942" s="592" t="s">
        <v>410</v>
      </c>
      <c r="F942" s="593" t="s">
        <v>5048</v>
      </c>
      <c r="G942" s="441" t="s">
        <v>410</v>
      </c>
      <c r="H942" s="441" t="s">
        <v>410</v>
      </c>
      <c r="I942" s="441" t="s">
        <v>410</v>
      </c>
      <c r="J942" s="441" t="s">
        <v>410</v>
      </c>
      <c r="K942" s="441" t="s">
        <v>410</v>
      </c>
      <c r="L942" s="441" t="s">
        <v>410</v>
      </c>
      <c r="M942" s="441" t="s">
        <v>410</v>
      </c>
      <c r="N942" s="441" t="s">
        <v>410</v>
      </c>
      <c r="O942" s="441" t="s">
        <v>410</v>
      </c>
      <c r="P942" s="441" t="s">
        <v>410</v>
      </c>
      <c r="Q942" s="441" t="s">
        <v>410</v>
      </c>
      <c r="R942" s="441" t="s">
        <v>410</v>
      </c>
      <c r="S942" s="441" t="s">
        <v>410</v>
      </c>
      <c r="T942" s="441" t="s">
        <v>410</v>
      </c>
    </row>
    <row r="943" spans="1:20" hidden="1" outlineLevel="1" x14ac:dyDescent="0.3">
      <c r="A943" s="583" t="s">
        <v>1638</v>
      </c>
      <c r="B943" s="591">
        <v>11</v>
      </c>
      <c r="C943" s="583" t="s">
        <v>1256</v>
      </c>
      <c r="D943" s="583" t="s">
        <v>5568</v>
      </c>
      <c r="E943" s="592" t="s">
        <v>410</v>
      </c>
      <c r="F943" s="237"/>
      <c r="G943" s="237"/>
      <c r="H943" s="237"/>
      <c r="I943" s="237"/>
      <c r="J943" s="237"/>
      <c r="K943" s="237"/>
      <c r="L943" s="237"/>
      <c r="M943" s="237" t="s">
        <v>410</v>
      </c>
      <c r="N943" s="237" t="s">
        <v>410</v>
      </c>
      <c r="O943" s="237" t="s">
        <v>410</v>
      </c>
      <c r="P943" s="237" t="s">
        <v>410</v>
      </c>
      <c r="Q943" s="237" t="s">
        <v>410</v>
      </c>
      <c r="R943" s="237" t="s">
        <v>410</v>
      </c>
      <c r="S943" s="10" t="s">
        <v>410</v>
      </c>
      <c r="T943" s="10" t="s">
        <v>410</v>
      </c>
    </row>
    <row r="944" spans="1:20" hidden="1" outlineLevel="1" x14ac:dyDescent="0.3">
      <c r="A944" s="583" t="s">
        <v>1645</v>
      </c>
      <c r="B944" s="591">
        <v>13</v>
      </c>
      <c r="C944" s="583" t="s">
        <v>1256</v>
      </c>
      <c r="D944" s="583" t="s">
        <v>5568</v>
      </c>
      <c r="E944" s="592" t="s">
        <v>410</v>
      </c>
      <c r="F944" s="593" t="s">
        <v>1646</v>
      </c>
      <c r="G944" s="593" t="s">
        <v>1647</v>
      </c>
      <c r="H944" s="593" t="s">
        <v>1648</v>
      </c>
      <c r="I944" s="593" t="s">
        <v>1649</v>
      </c>
      <c r="J944" s="593" t="s">
        <v>1650</v>
      </c>
      <c r="K944" s="593" t="s">
        <v>1651</v>
      </c>
      <c r="L944" s="593" t="s">
        <v>1652</v>
      </c>
      <c r="M944" s="593" t="s">
        <v>1653</v>
      </c>
      <c r="N944" s="237" t="s">
        <v>410</v>
      </c>
      <c r="O944" s="237" t="s">
        <v>410</v>
      </c>
      <c r="P944" s="237" t="s">
        <v>410</v>
      </c>
      <c r="Q944" s="237" t="s">
        <v>410</v>
      </c>
      <c r="R944" s="237" t="s">
        <v>410</v>
      </c>
      <c r="S944" s="10" t="s">
        <v>410</v>
      </c>
      <c r="T944" s="10" t="s">
        <v>410</v>
      </c>
    </row>
    <row r="945" spans="1:20" hidden="1" outlineLevel="1" x14ac:dyDescent="0.3">
      <c r="A945" s="583" t="s">
        <v>5569</v>
      </c>
      <c r="B945" s="591">
        <v>16</v>
      </c>
      <c r="C945" s="583" t="s">
        <v>1256</v>
      </c>
      <c r="D945" s="583" t="s">
        <v>5568</v>
      </c>
      <c r="E945" s="592" t="s">
        <v>410</v>
      </c>
      <c r="F945" s="593" t="s">
        <v>67</v>
      </c>
      <c r="G945" s="593" t="s">
        <v>68</v>
      </c>
      <c r="H945" s="593" t="s">
        <v>70</v>
      </c>
      <c r="I945" s="593" t="s">
        <v>410</v>
      </c>
      <c r="J945" s="593" t="s">
        <v>410</v>
      </c>
      <c r="K945" s="237" t="s">
        <v>410</v>
      </c>
      <c r="L945" s="237" t="s">
        <v>410</v>
      </c>
      <c r="M945" s="237" t="s">
        <v>410</v>
      </c>
      <c r="N945" s="237" t="s">
        <v>410</v>
      </c>
      <c r="O945" s="237" t="s">
        <v>410</v>
      </c>
      <c r="P945" s="237" t="s">
        <v>410</v>
      </c>
      <c r="Q945" s="237" t="s">
        <v>410</v>
      </c>
      <c r="R945" s="237" t="s">
        <v>410</v>
      </c>
      <c r="S945" s="10" t="s">
        <v>410</v>
      </c>
      <c r="T945" s="10" t="s">
        <v>410</v>
      </c>
    </row>
    <row r="946" spans="1:20" hidden="1" outlineLevel="1" x14ac:dyDescent="0.3">
      <c r="A946" s="583" t="s">
        <v>4440</v>
      </c>
      <c r="B946" s="591">
        <v>16</v>
      </c>
      <c r="C946" s="583" t="s">
        <v>1256</v>
      </c>
      <c r="D946" s="583" t="s">
        <v>5568</v>
      </c>
      <c r="E946" s="592" t="s">
        <v>410</v>
      </c>
      <c r="F946" s="593" t="s">
        <v>4445</v>
      </c>
      <c r="G946" s="593" t="s">
        <v>4441</v>
      </c>
      <c r="H946" s="593" t="s">
        <v>4442</v>
      </c>
      <c r="I946" s="593" t="s">
        <v>4443</v>
      </c>
      <c r="J946" s="593" t="s">
        <v>4444</v>
      </c>
      <c r="K946" s="237" t="s">
        <v>410</v>
      </c>
      <c r="L946" s="237" t="s">
        <v>410</v>
      </c>
      <c r="M946" s="237" t="s">
        <v>410</v>
      </c>
      <c r="N946" s="237" t="s">
        <v>410</v>
      </c>
      <c r="O946" s="237" t="s">
        <v>410</v>
      </c>
      <c r="P946" s="237" t="s">
        <v>410</v>
      </c>
      <c r="Q946" s="237" t="s">
        <v>410</v>
      </c>
      <c r="R946" s="237" t="s">
        <v>410</v>
      </c>
      <c r="S946" s="10" t="s">
        <v>410</v>
      </c>
      <c r="T946" s="10" t="s">
        <v>410</v>
      </c>
    </row>
    <row r="947" spans="1:20" hidden="1" outlineLevel="1" x14ac:dyDescent="0.3">
      <c r="A947" s="583" t="s">
        <v>5156</v>
      </c>
      <c r="B947" s="591">
        <v>16</v>
      </c>
      <c r="C947" s="583" t="s">
        <v>1256</v>
      </c>
      <c r="D947" s="583" t="s">
        <v>5568</v>
      </c>
      <c r="E947" s="592" t="s">
        <v>410</v>
      </c>
      <c r="F947" s="593" t="s">
        <v>5053</v>
      </c>
      <c r="G947" s="237" t="s">
        <v>410</v>
      </c>
      <c r="H947" s="237" t="s">
        <v>410</v>
      </c>
      <c r="I947" s="237" t="s">
        <v>410</v>
      </c>
      <c r="J947" s="237" t="s">
        <v>410</v>
      </c>
      <c r="K947" s="237" t="s">
        <v>410</v>
      </c>
      <c r="L947" s="237" t="s">
        <v>410</v>
      </c>
      <c r="M947" s="237" t="s">
        <v>410</v>
      </c>
      <c r="N947" s="237" t="s">
        <v>410</v>
      </c>
      <c r="O947" s="237" t="s">
        <v>410</v>
      </c>
      <c r="P947" s="237" t="s">
        <v>410</v>
      </c>
      <c r="Q947" s="237" t="s">
        <v>410</v>
      </c>
      <c r="R947" s="237" t="s">
        <v>410</v>
      </c>
      <c r="S947" s="10" t="s">
        <v>410</v>
      </c>
      <c r="T947" s="10" t="s">
        <v>410</v>
      </c>
    </row>
    <row r="948" spans="1:20" hidden="1" outlineLevel="1" x14ac:dyDescent="0.3">
      <c r="A948" s="583" t="s">
        <v>1743</v>
      </c>
      <c r="B948" s="591">
        <v>16</v>
      </c>
      <c r="C948" s="583" t="s">
        <v>1256</v>
      </c>
      <c r="D948" s="583" t="s">
        <v>5568</v>
      </c>
      <c r="E948" s="592" t="s">
        <v>410</v>
      </c>
      <c r="F948" s="593" t="s">
        <v>5495</v>
      </c>
      <c r="G948" s="593" t="s">
        <v>3125</v>
      </c>
      <c r="H948" s="593" t="s">
        <v>2209</v>
      </c>
      <c r="I948" s="593" t="s">
        <v>2210</v>
      </c>
      <c r="J948" s="593" t="s">
        <v>2211</v>
      </c>
      <c r="K948" s="910" t="s">
        <v>410</v>
      </c>
      <c r="L948" s="237" t="s">
        <v>410</v>
      </c>
      <c r="M948" s="237" t="s">
        <v>410</v>
      </c>
      <c r="N948" s="237" t="s">
        <v>410</v>
      </c>
      <c r="O948" s="237" t="s">
        <v>410</v>
      </c>
      <c r="P948" s="237" t="s">
        <v>410</v>
      </c>
      <c r="Q948" s="237" t="s">
        <v>410</v>
      </c>
      <c r="R948" s="237" t="s">
        <v>410</v>
      </c>
      <c r="S948" s="10" t="s">
        <v>410</v>
      </c>
      <c r="T948" s="10" t="s">
        <v>410</v>
      </c>
    </row>
    <row r="949" spans="1:20" hidden="1" outlineLevel="1" x14ac:dyDescent="0.3">
      <c r="A949" s="583" t="s">
        <v>4446</v>
      </c>
      <c r="B949" s="591">
        <v>21</v>
      </c>
      <c r="C949" s="583" t="s">
        <v>1256</v>
      </c>
      <c r="D949" s="583" t="s">
        <v>5568</v>
      </c>
      <c r="E949" s="592" t="s">
        <v>410</v>
      </c>
      <c r="F949" s="593" t="s">
        <v>4447</v>
      </c>
      <c r="G949" s="593" t="s">
        <v>4191</v>
      </c>
      <c r="H949" s="593" t="s">
        <v>4192</v>
      </c>
      <c r="I949" s="237" t="s">
        <v>410</v>
      </c>
      <c r="J949" s="237" t="s">
        <v>410</v>
      </c>
      <c r="K949" s="237" t="s">
        <v>410</v>
      </c>
      <c r="L949" s="237" t="s">
        <v>410</v>
      </c>
      <c r="M949" s="237" t="s">
        <v>410</v>
      </c>
      <c r="N949" s="237" t="s">
        <v>410</v>
      </c>
      <c r="O949" s="237" t="s">
        <v>410</v>
      </c>
      <c r="P949" s="237" t="s">
        <v>410</v>
      </c>
      <c r="Q949" s="237" t="s">
        <v>410</v>
      </c>
      <c r="R949" s="237" t="s">
        <v>410</v>
      </c>
      <c r="S949" s="10" t="s">
        <v>410</v>
      </c>
      <c r="T949" s="10" t="s">
        <v>410</v>
      </c>
    </row>
    <row r="950" spans="1:20" hidden="1" outlineLevel="1" x14ac:dyDescent="0.3">
      <c r="A950" s="583" t="s">
        <v>2196</v>
      </c>
      <c r="B950" s="591">
        <v>1</v>
      </c>
      <c r="C950" s="583" t="s">
        <v>1564</v>
      </c>
      <c r="D950" s="583" t="s">
        <v>5568</v>
      </c>
      <c r="E950" s="592" t="s">
        <v>410</v>
      </c>
      <c r="F950" s="592" t="s">
        <v>3164</v>
      </c>
      <c r="G950" s="592" t="s">
        <v>3165</v>
      </c>
      <c r="H950" s="592" t="s">
        <v>3166</v>
      </c>
      <c r="I950" s="592" t="s">
        <v>3167</v>
      </c>
      <c r="J950" s="592" t="s">
        <v>3168</v>
      </c>
      <c r="K950" s="583" t="s">
        <v>410</v>
      </c>
      <c r="L950" t="s">
        <v>410</v>
      </c>
      <c r="M950" t="s">
        <v>410</v>
      </c>
      <c r="N950" t="s">
        <v>410</v>
      </c>
      <c r="O950" t="s">
        <v>410</v>
      </c>
      <c r="P950" t="s">
        <v>410</v>
      </c>
      <c r="Q950" t="s">
        <v>410</v>
      </c>
      <c r="R950" t="s">
        <v>410</v>
      </c>
      <c r="S950" t="s">
        <v>410</v>
      </c>
      <c r="T950" t="s">
        <v>410</v>
      </c>
    </row>
    <row r="951" spans="1:20" hidden="1" outlineLevel="1" x14ac:dyDescent="0.3">
      <c r="A951" s="583" t="s">
        <v>2066</v>
      </c>
      <c r="B951" s="591">
        <v>1</v>
      </c>
      <c r="C951" s="583" t="s">
        <v>1564</v>
      </c>
      <c r="D951" s="583" t="s">
        <v>5568</v>
      </c>
      <c r="F951" t="s">
        <v>410</v>
      </c>
      <c r="G951" t="s">
        <v>410</v>
      </c>
      <c r="H951" t="s">
        <v>410</v>
      </c>
      <c r="I951" t="s">
        <v>410</v>
      </c>
      <c r="J951" t="s">
        <v>410</v>
      </c>
      <c r="K951" t="s">
        <v>410</v>
      </c>
      <c r="L951" t="s">
        <v>410</v>
      </c>
      <c r="M951" t="s">
        <v>410</v>
      </c>
      <c r="N951" t="s">
        <v>410</v>
      </c>
      <c r="O951" t="s">
        <v>410</v>
      </c>
      <c r="P951" t="s">
        <v>410</v>
      </c>
      <c r="Q951" t="s">
        <v>410</v>
      </c>
      <c r="R951" t="s">
        <v>410</v>
      </c>
      <c r="S951" t="s">
        <v>410</v>
      </c>
      <c r="T951" t="s">
        <v>410</v>
      </c>
    </row>
    <row r="952" spans="1:20" hidden="1" outlineLevel="1" x14ac:dyDescent="0.3">
      <c r="A952" s="583" t="s">
        <v>1875</v>
      </c>
      <c r="B952" s="591">
        <v>1</v>
      </c>
      <c r="C952" s="583" t="s">
        <v>1564</v>
      </c>
      <c r="D952" s="583" t="s">
        <v>5568</v>
      </c>
      <c r="E952" s="592" t="s">
        <v>410</v>
      </c>
      <c r="F952" s="593" t="s">
        <v>4983</v>
      </c>
      <c r="G952" s="237" t="s">
        <v>410</v>
      </c>
      <c r="H952" s="237" t="s">
        <v>410</v>
      </c>
      <c r="I952" s="237" t="s">
        <v>410</v>
      </c>
      <c r="J952" s="237" t="s">
        <v>410</v>
      </c>
      <c r="K952" s="237" t="s">
        <v>410</v>
      </c>
      <c r="L952" s="237" t="s">
        <v>410</v>
      </c>
      <c r="M952" s="237" t="s">
        <v>410</v>
      </c>
      <c r="N952" s="237" t="s">
        <v>410</v>
      </c>
      <c r="O952" s="237" t="s">
        <v>410</v>
      </c>
      <c r="P952" s="237" t="s">
        <v>410</v>
      </c>
      <c r="Q952" s="237" t="s">
        <v>410</v>
      </c>
      <c r="R952" s="237" t="s">
        <v>410</v>
      </c>
      <c r="S952" s="10" t="s">
        <v>410</v>
      </c>
      <c r="T952" s="10" t="s">
        <v>410</v>
      </c>
    </row>
    <row r="953" spans="1:20" hidden="1" outlineLevel="1" x14ac:dyDescent="0.3">
      <c r="A953" s="583" t="s">
        <v>1876</v>
      </c>
      <c r="B953" s="591">
        <v>1</v>
      </c>
      <c r="C953" s="583" t="s">
        <v>1564</v>
      </c>
      <c r="D953" s="583" t="s">
        <v>5568</v>
      </c>
      <c r="E953" s="592" t="s">
        <v>410</v>
      </c>
      <c r="F953" s="593" t="s">
        <v>4978</v>
      </c>
      <c r="G953" s="237" t="s">
        <v>410</v>
      </c>
      <c r="H953" s="237" t="s">
        <v>410</v>
      </c>
      <c r="I953" s="237" t="s">
        <v>410</v>
      </c>
      <c r="J953" s="237" t="s">
        <v>410</v>
      </c>
      <c r="K953" s="237" t="s">
        <v>410</v>
      </c>
      <c r="L953" s="237" t="s">
        <v>410</v>
      </c>
      <c r="M953" s="237" t="s">
        <v>410</v>
      </c>
      <c r="N953" s="237" t="s">
        <v>410</v>
      </c>
      <c r="O953" s="237" t="s">
        <v>410</v>
      </c>
      <c r="P953" s="237" t="s">
        <v>410</v>
      </c>
      <c r="Q953" s="237" t="s">
        <v>410</v>
      </c>
      <c r="R953" s="237" t="s">
        <v>410</v>
      </c>
      <c r="S953" s="10" t="s">
        <v>410</v>
      </c>
      <c r="T953" s="10" t="s">
        <v>410</v>
      </c>
    </row>
    <row r="954" spans="1:20" hidden="1" outlineLevel="1" x14ac:dyDescent="0.3">
      <c r="A954" s="583" t="s">
        <v>2197</v>
      </c>
      <c r="B954" s="591">
        <v>2</v>
      </c>
      <c r="C954" s="583" t="s">
        <v>1564</v>
      </c>
      <c r="D954" s="583" t="s">
        <v>5568</v>
      </c>
      <c r="E954" s="592" t="s">
        <v>410</v>
      </c>
      <c r="F954" s="583" t="s">
        <v>410</v>
      </c>
      <c r="G954" s="583" t="s">
        <v>3169</v>
      </c>
      <c r="H954" s="583" t="s">
        <v>3170</v>
      </c>
      <c r="I954" s="583" t="s">
        <v>3171</v>
      </c>
      <c r="J954" s="583" t="s">
        <v>3172</v>
      </c>
      <c r="K954" s="583" t="s">
        <v>410</v>
      </c>
      <c r="L954" t="s">
        <v>410</v>
      </c>
      <c r="M954" t="s">
        <v>410</v>
      </c>
      <c r="N954" t="s">
        <v>410</v>
      </c>
      <c r="O954" t="s">
        <v>410</v>
      </c>
      <c r="P954" t="s">
        <v>410</v>
      </c>
      <c r="Q954" t="s">
        <v>410</v>
      </c>
      <c r="R954" t="s">
        <v>410</v>
      </c>
      <c r="S954" t="s">
        <v>410</v>
      </c>
      <c r="T954" t="s">
        <v>410</v>
      </c>
    </row>
    <row r="955" spans="1:20" hidden="1" outlineLevel="1" x14ac:dyDescent="0.3">
      <c r="A955" s="583" t="s">
        <v>1877</v>
      </c>
      <c r="B955" s="591">
        <v>2</v>
      </c>
      <c r="C955" s="583" t="s">
        <v>1564</v>
      </c>
      <c r="D955" s="583" t="s">
        <v>5568</v>
      </c>
      <c r="E955" s="592" t="s">
        <v>410</v>
      </c>
      <c r="F955" s="593" t="s">
        <v>4979</v>
      </c>
      <c r="G955" s="237" t="s">
        <v>410</v>
      </c>
      <c r="H955" s="237" t="s">
        <v>410</v>
      </c>
      <c r="I955" s="237" t="s">
        <v>410</v>
      </c>
      <c r="J955" s="237" t="s">
        <v>410</v>
      </c>
      <c r="K955" s="237" t="s">
        <v>410</v>
      </c>
      <c r="L955" s="237" t="s">
        <v>410</v>
      </c>
      <c r="M955" s="237" t="s">
        <v>410</v>
      </c>
      <c r="N955" s="237" t="s">
        <v>410</v>
      </c>
      <c r="O955" s="237" t="s">
        <v>410</v>
      </c>
      <c r="P955" s="237" t="s">
        <v>410</v>
      </c>
      <c r="Q955" s="237" t="s">
        <v>410</v>
      </c>
      <c r="R955" s="237" t="s">
        <v>410</v>
      </c>
      <c r="S955" s="10" t="s">
        <v>410</v>
      </c>
      <c r="T955" s="10" t="s">
        <v>410</v>
      </c>
    </row>
    <row r="956" spans="1:20" hidden="1" outlineLevel="1" x14ac:dyDescent="0.3">
      <c r="A956" s="583" t="s">
        <v>2198</v>
      </c>
      <c r="B956" s="591">
        <v>3</v>
      </c>
      <c r="C956" s="583" t="s">
        <v>1564</v>
      </c>
      <c r="D956" s="583" t="s">
        <v>5568</v>
      </c>
      <c r="E956" s="592" t="s">
        <v>410</v>
      </c>
      <c r="F956" s="583" t="s">
        <v>410</v>
      </c>
      <c r="G956" s="583" t="s">
        <v>410</v>
      </c>
      <c r="H956" s="592" t="s">
        <v>3173</v>
      </c>
      <c r="I956" s="592" t="s">
        <v>3173</v>
      </c>
      <c r="J956" s="592" t="s">
        <v>3174</v>
      </c>
      <c r="K956" s="583" t="s">
        <v>410</v>
      </c>
      <c r="L956" t="s">
        <v>410</v>
      </c>
      <c r="M956" t="s">
        <v>410</v>
      </c>
      <c r="N956" t="s">
        <v>410</v>
      </c>
      <c r="O956" t="s">
        <v>410</v>
      </c>
      <c r="P956" t="s">
        <v>410</v>
      </c>
      <c r="Q956" t="s">
        <v>410</v>
      </c>
      <c r="R956" t="s">
        <v>410</v>
      </c>
      <c r="S956" t="s">
        <v>410</v>
      </c>
      <c r="T956" t="s">
        <v>410</v>
      </c>
    </row>
    <row r="957" spans="1:20" hidden="1" outlineLevel="1" x14ac:dyDescent="0.3">
      <c r="A957" s="583" t="s">
        <v>1878</v>
      </c>
      <c r="B957" s="591">
        <v>3</v>
      </c>
      <c r="C957" s="583" t="s">
        <v>1564</v>
      </c>
      <c r="D957" s="583" t="s">
        <v>5568</v>
      </c>
      <c r="E957" s="592" t="s">
        <v>410</v>
      </c>
      <c r="F957" s="593" t="s">
        <v>4980</v>
      </c>
      <c r="G957" s="237" t="s">
        <v>410</v>
      </c>
      <c r="H957" s="237" t="s">
        <v>410</v>
      </c>
      <c r="I957" s="237" t="s">
        <v>410</v>
      </c>
      <c r="J957" s="237" t="s">
        <v>410</v>
      </c>
      <c r="K957" s="237" t="s">
        <v>410</v>
      </c>
      <c r="L957" s="237" t="s">
        <v>410</v>
      </c>
      <c r="M957" s="237" t="s">
        <v>410</v>
      </c>
      <c r="N957" s="237" t="s">
        <v>410</v>
      </c>
      <c r="O957" s="237" t="s">
        <v>410</v>
      </c>
      <c r="P957" s="237" t="s">
        <v>410</v>
      </c>
      <c r="Q957" s="237" t="s">
        <v>410</v>
      </c>
      <c r="R957" s="237" t="s">
        <v>410</v>
      </c>
      <c r="S957" s="10" t="s">
        <v>410</v>
      </c>
      <c r="T957" s="10" t="s">
        <v>410</v>
      </c>
    </row>
    <row r="958" spans="1:20" hidden="1" outlineLevel="1" x14ac:dyDescent="0.3">
      <c r="A958" s="583" t="s">
        <v>3163</v>
      </c>
      <c r="B958" s="591">
        <v>4</v>
      </c>
      <c r="C958" s="583" t="s">
        <v>1564</v>
      </c>
      <c r="D958" s="583" t="s">
        <v>5568</v>
      </c>
      <c r="E958" s="592" t="s">
        <v>410</v>
      </c>
      <c r="F958" s="583" t="s">
        <v>410</v>
      </c>
      <c r="G958" s="583" t="s">
        <v>410</v>
      </c>
      <c r="H958" s="583" t="s">
        <v>410</v>
      </c>
      <c r="I958" s="592" t="s">
        <v>3175</v>
      </c>
      <c r="J958" s="592" t="s">
        <v>3175</v>
      </c>
      <c r="K958" s="583" t="s">
        <v>410</v>
      </c>
      <c r="L958" t="s">
        <v>410</v>
      </c>
      <c r="M958" t="s">
        <v>410</v>
      </c>
      <c r="N958" t="s">
        <v>410</v>
      </c>
      <c r="O958" t="s">
        <v>410</v>
      </c>
      <c r="P958" t="s">
        <v>410</v>
      </c>
      <c r="Q958" t="s">
        <v>410</v>
      </c>
      <c r="R958" t="s">
        <v>410</v>
      </c>
      <c r="S958" t="s">
        <v>410</v>
      </c>
      <c r="T958" t="s">
        <v>410</v>
      </c>
    </row>
    <row r="959" spans="1:20" hidden="1" outlineLevel="1" x14ac:dyDescent="0.3">
      <c r="A959" s="583" t="s">
        <v>1879</v>
      </c>
      <c r="B959" s="591">
        <v>4</v>
      </c>
      <c r="C959" s="583" t="s">
        <v>1564</v>
      </c>
      <c r="D959" s="583" t="s">
        <v>5568</v>
      </c>
      <c r="E959" s="592" t="s">
        <v>410</v>
      </c>
      <c r="F959" s="593" t="s">
        <v>3949</v>
      </c>
      <c r="G959" s="237" t="s">
        <v>410</v>
      </c>
      <c r="H959" s="237" t="s">
        <v>410</v>
      </c>
      <c r="I959" s="237" t="s">
        <v>410</v>
      </c>
      <c r="J959" s="237" t="s">
        <v>410</v>
      </c>
      <c r="K959" s="237" t="s">
        <v>410</v>
      </c>
      <c r="L959" s="237" t="s">
        <v>410</v>
      </c>
      <c r="M959" s="237" t="s">
        <v>410</v>
      </c>
      <c r="N959" s="237" t="s">
        <v>410</v>
      </c>
      <c r="O959" s="237" t="s">
        <v>410</v>
      </c>
      <c r="P959" s="237" t="s">
        <v>410</v>
      </c>
      <c r="Q959" s="237" t="s">
        <v>410</v>
      </c>
      <c r="R959" s="237" t="s">
        <v>410</v>
      </c>
      <c r="S959" s="10" t="s">
        <v>410</v>
      </c>
      <c r="T959" s="10" t="s">
        <v>410</v>
      </c>
    </row>
    <row r="960" spans="1:20" hidden="1" outlineLevel="1" x14ac:dyDescent="0.3">
      <c r="A960" s="583" t="s">
        <v>2199</v>
      </c>
      <c r="B960" s="591">
        <v>5</v>
      </c>
      <c r="C960" s="583" t="s">
        <v>1564</v>
      </c>
      <c r="D960" s="583" t="s">
        <v>5568</v>
      </c>
      <c r="E960" s="592" t="s">
        <v>410</v>
      </c>
      <c r="F960" s="583" t="s">
        <v>410</v>
      </c>
      <c r="G960" s="583" t="s">
        <v>410</v>
      </c>
      <c r="H960" s="583" t="s">
        <v>410</v>
      </c>
      <c r="I960" s="583" t="s">
        <v>410</v>
      </c>
      <c r="J960" s="592" t="s">
        <v>2200</v>
      </c>
      <c r="K960" s="583" t="s">
        <v>410</v>
      </c>
      <c r="L960" t="s">
        <v>410</v>
      </c>
      <c r="M960" t="s">
        <v>410</v>
      </c>
      <c r="N960" t="s">
        <v>410</v>
      </c>
      <c r="O960" t="s">
        <v>410</v>
      </c>
      <c r="P960" t="s">
        <v>410</v>
      </c>
      <c r="Q960" t="s">
        <v>410</v>
      </c>
      <c r="R960" t="s">
        <v>410</v>
      </c>
      <c r="S960" t="s">
        <v>410</v>
      </c>
      <c r="T960" t="s">
        <v>410</v>
      </c>
    </row>
    <row r="961" spans="1:20" hidden="1" outlineLevel="1" x14ac:dyDescent="0.3">
      <c r="A961" s="583" t="s">
        <v>1880</v>
      </c>
      <c r="B961" s="591">
        <v>5</v>
      </c>
      <c r="C961" s="583" t="s">
        <v>1564</v>
      </c>
      <c r="D961" s="583" t="s">
        <v>5568</v>
      </c>
      <c r="E961" s="592" t="s">
        <v>410</v>
      </c>
      <c r="F961" s="593" t="s">
        <v>4982</v>
      </c>
      <c r="G961" s="237" t="s">
        <v>410</v>
      </c>
      <c r="H961" s="237" t="s">
        <v>410</v>
      </c>
      <c r="I961" s="237" t="s">
        <v>410</v>
      </c>
      <c r="J961" s="237" t="s">
        <v>410</v>
      </c>
      <c r="K961" s="237" t="s">
        <v>410</v>
      </c>
      <c r="L961" s="237" t="s">
        <v>410</v>
      </c>
      <c r="M961" s="237" t="s">
        <v>410</v>
      </c>
      <c r="N961" s="237" t="s">
        <v>410</v>
      </c>
      <c r="O961" s="237" t="s">
        <v>410</v>
      </c>
      <c r="P961" s="237" t="s">
        <v>410</v>
      </c>
      <c r="Q961" s="237" t="s">
        <v>410</v>
      </c>
      <c r="R961" s="237" t="s">
        <v>410</v>
      </c>
      <c r="S961" s="10" t="s">
        <v>410</v>
      </c>
      <c r="T961" s="10" t="s">
        <v>410</v>
      </c>
    </row>
    <row r="962" spans="1:20" collapsed="1" x14ac:dyDescent="0.3">
      <c r="A962" s="583" t="s">
        <v>1463</v>
      </c>
      <c r="B962" s="591">
        <v>1</v>
      </c>
      <c r="C962" s="588" t="s">
        <v>1256</v>
      </c>
      <c r="D962" s="588" t="s">
        <v>1507</v>
      </c>
      <c r="E962" s="589" t="s">
        <v>410</v>
      </c>
      <c r="F962" s="590" t="s">
        <v>1465</v>
      </c>
      <c r="G962" s="590" t="s">
        <v>1466</v>
      </c>
      <c r="H962" s="590" t="s">
        <v>1467</v>
      </c>
      <c r="I962" s="590" t="s">
        <v>1468</v>
      </c>
      <c r="J962" s="590" t="s">
        <v>1469</v>
      </c>
      <c r="K962" s="590" t="s">
        <v>1470</v>
      </c>
      <c r="L962" s="441" t="s">
        <v>410</v>
      </c>
      <c r="M962" s="441" t="s">
        <v>410</v>
      </c>
      <c r="N962" s="441" t="s">
        <v>410</v>
      </c>
      <c r="O962" s="441" t="s">
        <v>410</v>
      </c>
      <c r="P962" s="441" t="s">
        <v>410</v>
      </c>
      <c r="Q962" s="441" t="s">
        <v>410</v>
      </c>
      <c r="R962" s="441" t="s">
        <v>410</v>
      </c>
      <c r="S962" s="441" t="s">
        <v>410</v>
      </c>
      <c r="T962" s="441" t="s">
        <v>410</v>
      </c>
    </row>
    <row r="963" spans="1:20" hidden="1" outlineLevel="1" x14ac:dyDescent="0.3">
      <c r="A963" s="583" t="s">
        <v>1478</v>
      </c>
      <c r="B963" s="591">
        <v>1</v>
      </c>
      <c r="C963" s="588" t="s">
        <v>1256</v>
      </c>
      <c r="D963" s="588" t="s">
        <v>1507</v>
      </c>
      <c r="E963" s="589" t="s">
        <v>410</v>
      </c>
      <c r="F963" s="590" t="s">
        <v>2117</v>
      </c>
      <c r="G963" s="590" t="s">
        <v>2118</v>
      </c>
      <c r="H963" s="590" t="s">
        <v>2119</v>
      </c>
      <c r="I963" s="590" t="s">
        <v>2120</v>
      </c>
      <c r="J963" s="590" t="s">
        <v>2121</v>
      </c>
      <c r="K963" s="590" t="s">
        <v>2122</v>
      </c>
      <c r="L963" s="441" t="s">
        <v>410</v>
      </c>
      <c r="M963" s="441" t="s">
        <v>410</v>
      </c>
      <c r="N963" s="441" t="s">
        <v>410</v>
      </c>
      <c r="O963" s="441" t="s">
        <v>410</v>
      </c>
      <c r="P963" s="441" t="s">
        <v>410</v>
      </c>
      <c r="Q963" s="441" t="s">
        <v>410</v>
      </c>
      <c r="R963" s="441" t="s">
        <v>410</v>
      </c>
      <c r="S963" s="441" t="s">
        <v>410</v>
      </c>
      <c r="T963" s="441" t="s">
        <v>410</v>
      </c>
    </row>
    <row r="964" spans="1:20" hidden="1" outlineLevel="1" x14ac:dyDescent="0.3">
      <c r="A964" s="583" t="s">
        <v>1593</v>
      </c>
      <c r="B964" s="591">
        <v>1</v>
      </c>
      <c r="C964" s="588" t="s">
        <v>1256</v>
      </c>
      <c r="D964" s="588" t="s">
        <v>1507</v>
      </c>
      <c r="E964" s="593" t="s">
        <v>1594</v>
      </c>
      <c r="F964" s="593" t="s">
        <v>1595</v>
      </c>
      <c r="G964" s="593" t="s">
        <v>1596</v>
      </c>
      <c r="H964" s="593" t="s">
        <v>1597</v>
      </c>
      <c r="I964" s="441" t="s">
        <v>410</v>
      </c>
      <c r="J964" s="441" t="s">
        <v>410</v>
      </c>
      <c r="K964" s="441" t="s">
        <v>410</v>
      </c>
      <c r="L964" s="441" t="s">
        <v>410</v>
      </c>
      <c r="M964" s="441" t="s">
        <v>410</v>
      </c>
      <c r="N964" s="441" t="s">
        <v>410</v>
      </c>
      <c r="O964" s="441" t="s">
        <v>410</v>
      </c>
      <c r="P964" s="441" t="s">
        <v>410</v>
      </c>
      <c r="Q964" s="441" t="s">
        <v>410</v>
      </c>
      <c r="R964" s="441" t="s">
        <v>410</v>
      </c>
      <c r="S964" s="441" t="s">
        <v>410</v>
      </c>
      <c r="T964" s="441" t="s">
        <v>410</v>
      </c>
    </row>
    <row r="965" spans="1:20" hidden="1" outlineLevel="1" x14ac:dyDescent="0.3">
      <c r="A965" s="583" t="s">
        <v>1610</v>
      </c>
      <c r="B965" s="591">
        <v>1</v>
      </c>
      <c r="C965" s="588" t="s">
        <v>1256</v>
      </c>
      <c r="D965" s="588" t="s">
        <v>1507</v>
      </c>
      <c r="E965" s="590" t="s">
        <v>2161</v>
      </c>
      <c r="F965" s="590" t="s">
        <v>2161</v>
      </c>
      <c r="G965" s="590" t="s">
        <v>2162</v>
      </c>
      <c r="H965" s="590" t="s">
        <v>2163</v>
      </c>
      <c r="I965" s="590" t="s">
        <v>2164</v>
      </c>
      <c r="J965" s="590" t="s">
        <v>2165</v>
      </c>
      <c r="K965" s="590" t="s">
        <v>2166</v>
      </c>
      <c r="L965" s="441" t="s">
        <v>410</v>
      </c>
      <c r="M965" s="441" t="s">
        <v>410</v>
      </c>
      <c r="N965" s="441" t="s">
        <v>410</v>
      </c>
      <c r="O965" s="441" t="s">
        <v>410</v>
      </c>
      <c r="P965" s="441" t="s">
        <v>410</v>
      </c>
      <c r="Q965" s="441" t="s">
        <v>410</v>
      </c>
      <c r="R965" s="441" t="s">
        <v>410</v>
      </c>
      <c r="S965" s="441" t="s">
        <v>410</v>
      </c>
      <c r="T965" s="441" t="s">
        <v>410</v>
      </c>
    </row>
    <row r="966" spans="1:20" hidden="1" outlineLevel="1" x14ac:dyDescent="0.3">
      <c r="A966" s="583" t="s">
        <v>4211</v>
      </c>
      <c r="B966" s="591">
        <v>1</v>
      </c>
      <c r="C966" s="588" t="s">
        <v>1256</v>
      </c>
      <c r="D966" s="588" t="s">
        <v>1507</v>
      </c>
      <c r="E966" s="590" t="s">
        <v>66</v>
      </c>
      <c r="F966" s="592" t="s">
        <v>4324</v>
      </c>
      <c r="G966" s="590" t="s">
        <v>68</v>
      </c>
      <c r="H966" s="590" t="s">
        <v>70</v>
      </c>
      <c r="I966" s="441" t="s">
        <v>410</v>
      </c>
      <c r="J966" s="441" t="s">
        <v>410</v>
      </c>
      <c r="K966" s="441" t="s">
        <v>410</v>
      </c>
      <c r="L966" s="441" t="s">
        <v>410</v>
      </c>
      <c r="M966" s="441" t="s">
        <v>410</v>
      </c>
      <c r="N966" s="441" t="s">
        <v>410</v>
      </c>
      <c r="O966" s="441" t="s">
        <v>410</v>
      </c>
      <c r="P966" s="441" t="s">
        <v>410</v>
      </c>
      <c r="Q966" s="441" t="s">
        <v>410</v>
      </c>
      <c r="R966" s="441" t="s">
        <v>410</v>
      </c>
      <c r="S966" s="441" t="s">
        <v>410</v>
      </c>
      <c r="T966" s="441" t="s">
        <v>410</v>
      </c>
    </row>
    <row r="967" spans="1:20" hidden="1" outlineLevel="1" x14ac:dyDescent="0.3">
      <c r="A967" s="583" t="s">
        <v>1673</v>
      </c>
      <c r="B967" s="591">
        <v>1</v>
      </c>
      <c r="C967" s="588" t="s">
        <v>1256</v>
      </c>
      <c r="D967" s="588" t="s">
        <v>1507</v>
      </c>
      <c r="E967" s="594">
        <v>0</v>
      </c>
      <c r="F967" s="594">
        <v>1</v>
      </c>
      <c r="G967" s="594">
        <v>2</v>
      </c>
      <c r="H967" s="594">
        <v>3</v>
      </c>
      <c r="I967" s="594">
        <v>4</v>
      </c>
      <c r="J967" s="594">
        <v>5</v>
      </c>
      <c r="K967" s="594">
        <v>6</v>
      </c>
      <c r="L967" s="237" t="s">
        <v>410</v>
      </c>
      <c r="M967" s="237" t="s">
        <v>410</v>
      </c>
      <c r="N967" s="237" t="s">
        <v>410</v>
      </c>
      <c r="O967" s="237" t="s">
        <v>410</v>
      </c>
      <c r="P967" s="237" t="s">
        <v>410</v>
      </c>
      <c r="Q967" s="237" t="s">
        <v>410</v>
      </c>
      <c r="R967" s="237" t="s">
        <v>410</v>
      </c>
      <c r="S967" s="10" t="s">
        <v>410</v>
      </c>
      <c r="T967" s="10" t="s">
        <v>410</v>
      </c>
    </row>
    <row r="968" spans="1:20" hidden="1" outlineLevel="1" x14ac:dyDescent="0.3">
      <c r="A968" s="583" t="s">
        <v>1675</v>
      </c>
      <c r="B968" s="591">
        <v>1</v>
      </c>
      <c r="C968" s="583" t="s">
        <v>1256</v>
      </c>
      <c r="D968" s="583" t="s">
        <v>1507</v>
      </c>
      <c r="E968" s="10" t="s">
        <v>410</v>
      </c>
      <c r="F968" s="237"/>
      <c r="G968" s="237"/>
      <c r="H968" s="237"/>
      <c r="I968" s="237"/>
      <c r="J968" s="237"/>
      <c r="K968" s="237"/>
      <c r="L968" s="237"/>
      <c r="M968" s="237"/>
      <c r="N968" s="237"/>
      <c r="O968" s="237"/>
      <c r="P968" s="237" t="s">
        <v>410</v>
      </c>
      <c r="Q968" s="237" t="s">
        <v>410</v>
      </c>
      <c r="R968" s="237" t="s">
        <v>410</v>
      </c>
      <c r="S968" s="10" t="s">
        <v>410</v>
      </c>
      <c r="T968" s="10" t="s">
        <v>410</v>
      </c>
    </row>
    <row r="969" spans="1:20" hidden="1" outlineLevel="1" x14ac:dyDescent="0.3">
      <c r="A969" s="583" t="s">
        <v>1932</v>
      </c>
      <c r="B969" s="591">
        <v>1</v>
      </c>
      <c r="C969" s="583" t="s">
        <v>1256</v>
      </c>
      <c r="D969" s="583" t="s">
        <v>1507</v>
      </c>
      <c r="E969" s="614" t="s">
        <v>4203</v>
      </c>
      <c r="F969" s="614" t="s">
        <v>4204</v>
      </c>
      <c r="G969" s="614" t="s">
        <v>4205</v>
      </c>
      <c r="H969" s="614" t="s">
        <v>4206</v>
      </c>
      <c r="I969" s="614" t="s">
        <v>4207</v>
      </c>
      <c r="J969" s="614" t="s">
        <v>4208</v>
      </c>
      <c r="K969" s="614" t="s">
        <v>4209</v>
      </c>
      <c r="L969" s="237" t="s">
        <v>410</v>
      </c>
      <c r="M969" s="237" t="s">
        <v>410</v>
      </c>
      <c r="N969" s="237" t="s">
        <v>410</v>
      </c>
      <c r="O969" s="237" t="s">
        <v>410</v>
      </c>
      <c r="P969" s="237" t="s">
        <v>410</v>
      </c>
      <c r="Q969" s="237" t="s">
        <v>410</v>
      </c>
      <c r="R969" s="237" t="s">
        <v>410</v>
      </c>
      <c r="S969" s="10" t="s">
        <v>410</v>
      </c>
      <c r="T969" s="10" t="s">
        <v>410</v>
      </c>
    </row>
    <row r="970" spans="1:20" hidden="1" outlineLevel="1" x14ac:dyDescent="0.3">
      <c r="A970" s="583" t="s">
        <v>1949</v>
      </c>
      <c r="B970" s="591">
        <v>1</v>
      </c>
      <c r="C970" s="583" t="s">
        <v>1256</v>
      </c>
      <c r="D970" s="583" t="s">
        <v>1507</v>
      </c>
      <c r="E970" s="594" t="str">
        <f>CONCATENATE(TEXT(sSms,"0")," %")</f>
        <v>5 %</v>
      </c>
      <c r="F970" s="594" t="str">
        <f>CONCATENATE(TEXT(sSms+10,"0")," %")</f>
        <v>15 %</v>
      </c>
      <c r="G970" s="594" t="str">
        <f>CONCATENATE(TEXT(sSms+20,"0")," %")</f>
        <v>25 %</v>
      </c>
      <c r="H970" s="594" t="str">
        <f>CONCATENATE(TEXT(sSms+30,"0")," %")</f>
        <v>35 %</v>
      </c>
      <c r="I970" s="594" t="str">
        <f>CONCATENATE(TEXT(sSms+40,"0")," %")</f>
        <v>45 %</v>
      </c>
      <c r="J970" s="594" t="str">
        <f>CONCATENATE(TEXT(sSms+50,"0")," %")</f>
        <v>55 %</v>
      </c>
      <c r="K970" s="237" t="s">
        <v>410</v>
      </c>
      <c r="L970" s="237" t="s">
        <v>410</v>
      </c>
      <c r="M970" s="237" t="s">
        <v>410</v>
      </c>
      <c r="N970" s="237" t="s">
        <v>410</v>
      </c>
      <c r="O970" s="237" t="s">
        <v>410</v>
      </c>
      <c r="P970" s="237" t="s">
        <v>410</v>
      </c>
      <c r="Q970" s="237" t="s">
        <v>410</v>
      </c>
      <c r="R970" s="237" t="s">
        <v>410</v>
      </c>
      <c r="S970" s="237" t="s">
        <v>410</v>
      </c>
      <c r="T970" s="237" t="s">
        <v>410</v>
      </c>
    </row>
    <row r="971" spans="1:20" hidden="1" outlineLevel="1" x14ac:dyDescent="0.3">
      <c r="A971" s="583" t="s">
        <v>1770</v>
      </c>
      <c r="B971" s="591">
        <v>3</v>
      </c>
      <c r="C971" s="583" t="s">
        <v>1256</v>
      </c>
      <c r="D971" s="583" t="s">
        <v>1507</v>
      </c>
      <c r="E971" s="592" t="s">
        <v>410</v>
      </c>
      <c r="F971" s="594" t="str">
        <f>CONCATENATE(TEXT(69+'1-Vlastnosti'!$D$8,0),"%-3%/den")</f>
        <v>65%-3%/den</v>
      </c>
      <c r="G971" s="594" t="str">
        <f>CONCATENATE(TEXT(84+'1-Vlastnosti'!$D$8,0),"%-2%/den")</f>
        <v>80%-2%/den</v>
      </c>
      <c r="H971" s="594" t="str">
        <f>CONCATENATE(TEXT(99+'1-Vlastnosti'!$D$8,0),"%-1%/den")</f>
        <v>95%-1%/den</v>
      </c>
      <c r="I971" s="593" t="s">
        <v>410</v>
      </c>
      <c r="J971" s="593" t="s">
        <v>410</v>
      </c>
      <c r="K971" s="237" t="s">
        <v>410</v>
      </c>
      <c r="L971" s="237" t="s">
        <v>410</v>
      </c>
      <c r="M971" s="237" t="s">
        <v>410</v>
      </c>
      <c r="N971" s="237" t="s">
        <v>410</v>
      </c>
      <c r="O971" s="237" t="s">
        <v>410</v>
      </c>
      <c r="P971" s="237" t="s">
        <v>410</v>
      </c>
      <c r="Q971" s="237" t="s">
        <v>410</v>
      </c>
      <c r="R971" s="237" t="s">
        <v>410</v>
      </c>
      <c r="S971" s="10" t="s">
        <v>410</v>
      </c>
      <c r="T971" s="10" t="s">
        <v>410</v>
      </c>
    </row>
    <row r="972" spans="1:20" hidden="1" outlineLevel="1" x14ac:dyDescent="0.3">
      <c r="A972" s="583" t="s">
        <v>1872</v>
      </c>
      <c r="B972" s="591">
        <v>4</v>
      </c>
      <c r="C972" s="583" t="s">
        <v>1256</v>
      </c>
      <c r="D972" s="583" t="s">
        <v>1507</v>
      </c>
      <c r="E972" s="855" t="s">
        <v>410</v>
      </c>
      <c r="F972" s="593" t="s">
        <v>4212</v>
      </c>
      <c r="G972" s="593" t="s">
        <v>4213</v>
      </c>
      <c r="H972" s="593" t="s">
        <v>4214</v>
      </c>
      <c r="I972" s="237" t="s">
        <v>410</v>
      </c>
      <c r="J972" s="237" t="s">
        <v>410</v>
      </c>
      <c r="K972" s="237" t="s">
        <v>410</v>
      </c>
      <c r="L972" s="237" t="s">
        <v>410</v>
      </c>
      <c r="M972" s="237" t="s">
        <v>410</v>
      </c>
      <c r="N972" s="237" t="s">
        <v>410</v>
      </c>
      <c r="O972" s="237" t="s">
        <v>410</v>
      </c>
      <c r="P972" s="237" t="s">
        <v>410</v>
      </c>
      <c r="Q972" s="237" t="s">
        <v>410</v>
      </c>
      <c r="R972" s="237" t="s">
        <v>410</v>
      </c>
      <c r="S972" s="10" t="s">
        <v>410</v>
      </c>
      <c r="T972" s="10" t="s">
        <v>410</v>
      </c>
    </row>
    <row r="973" spans="1:20" hidden="1" outlineLevel="1" x14ac:dyDescent="0.3">
      <c r="A973" s="583" t="s">
        <v>5485</v>
      </c>
      <c r="B973" s="591">
        <v>5</v>
      </c>
      <c r="C973" s="583" t="s">
        <v>1256</v>
      </c>
      <c r="D973" s="583" t="s">
        <v>3153</v>
      </c>
      <c r="E973" s="592" t="s">
        <v>410</v>
      </c>
      <c r="F973" s="593" t="s">
        <v>3269</v>
      </c>
      <c r="G973" s="593" t="s">
        <v>3270</v>
      </c>
      <c r="H973" s="593" t="s">
        <v>3271</v>
      </c>
      <c r="I973" s="593" t="s">
        <v>3272</v>
      </c>
      <c r="J973" s="593" t="s">
        <v>4303</v>
      </c>
      <c r="K973" s="237" t="s">
        <v>410</v>
      </c>
      <c r="L973" s="237" t="s">
        <v>410</v>
      </c>
      <c r="M973" s="237" t="s">
        <v>410</v>
      </c>
      <c r="N973" s="237" t="s">
        <v>410</v>
      </c>
      <c r="O973" s="237" t="s">
        <v>410</v>
      </c>
      <c r="P973" s="237" t="s">
        <v>410</v>
      </c>
      <c r="Q973" s="237" t="s">
        <v>410</v>
      </c>
      <c r="R973" s="237" t="s">
        <v>410</v>
      </c>
      <c r="S973" s="10" t="s">
        <v>410</v>
      </c>
      <c r="T973" s="10" t="s">
        <v>410</v>
      </c>
    </row>
    <row r="974" spans="1:20" hidden="1" outlineLevel="1" x14ac:dyDescent="0.3">
      <c r="A974" s="583" t="s">
        <v>1774</v>
      </c>
      <c r="B974" s="591">
        <v>6</v>
      </c>
      <c r="C974" s="583" t="s">
        <v>1256</v>
      </c>
      <c r="D974" s="583" t="s">
        <v>1507</v>
      </c>
      <c r="E974" s="592" t="s">
        <v>410</v>
      </c>
      <c r="F974" s="593" t="s">
        <v>67</v>
      </c>
      <c r="G974" s="593" t="s">
        <v>3159</v>
      </c>
      <c r="H974" s="593" t="s">
        <v>3160</v>
      </c>
      <c r="I974" s="593" t="s">
        <v>3274</v>
      </c>
      <c r="J974" s="237" t="s">
        <v>410</v>
      </c>
      <c r="K974" s="237" t="s">
        <v>410</v>
      </c>
      <c r="L974" s="237" t="s">
        <v>410</v>
      </c>
      <c r="M974" s="237" t="s">
        <v>410</v>
      </c>
      <c r="N974" s="237" t="s">
        <v>410</v>
      </c>
      <c r="O974" s="237" t="s">
        <v>410</v>
      </c>
      <c r="P974" s="237" t="s">
        <v>410</v>
      </c>
      <c r="Q974" s="237" t="s">
        <v>410</v>
      </c>
      <c r="R974" s="237" t="s">
        <v>410</v>
      </c>
      <c r="S974" s="10" t="s">
        <v>410</v>
      </c>
      <c r="T974" s="10" t="s">
        <v>410</v>
      </c>
    </row>
    <row r="975" spans="1:20" hidden="1" outlineLevel="1" x14ac:dyDescent="0.3">
      <c r="A975" s="583" t="s">
        <v>3268</v>
      </c>
      <c r="B975" s="591">
        <v>6</v>
      </c>
      <c r="C975" s="583" t="s">
        <v>1256</v>
      </c>
      <c r="D975" s="583" t="s">
        <v>1507</v>
      </c>
      <c r="E975" s="592" t="s">
        <v>410</v>
      </c>
      <c r="F975" s="593" t="s">
        <v>3126</v>
      </c>
      <c r="G975" s="593" t="s">
        <v>3127</v>
      </c>
      <c r="H975" s="593" t="s">
        <v>3128</v>
      </c>
      <c r="I975" s="593" t="s">
        <v>3129</v>
      </c>
      <c r="J975" s="593" t="s">
        <v>3130</v>
      </c>
      <c r="K975" s="237" t="s">
        <v>410</v>
      </c>
      <c r="L975" s="237" t="s">
        <v>410</v>
      </c>
      <c r="M975" s="237" t="s">
        <v>410</v>
      </c>
      <c r="N975" s="237" t="s">
        <v>410</v>
      </c>
      <c r="O975" s="237" t="s">
        <v>410</v>
      </c>
      <c r="P975" s="237" t="s">
        <v>410</v>
      </c>
      <c r="Q975" s="237" t="s">
        <v>410</v>
      </c>
      <c r="R975" s="237" t="s">
        <v>410</v>
      </c>
      <c r="S975" s="10" t="s">
        <v>410</v>
      </c>
      <c r="T975" s="10" t="s">
        <v>410</v>
      </c>
    </row>
    <row r="976" spans="1:20" hidden="1" outlineLevel="1" x14ac:dyDescent="0.3">
      <c r="A976" s="583" t="s">
        <v>1882</v>
      </c>
      <c r="B976" s="591">
        <v>6</v>
      </c>
      <c r="C976" s="583" t="s">
        <v>1256</v>
      </c>
      <c r="D976" s="583" t="s">
        <v>1507</v>
      </c>
      <c r="E976" s="592" t="s">
        <v>410</v>
      </c>
      <c r="F976" s="593">
        <v>4</v>
      </c>
      <c r="G976" s="593">
        <v>8</v>
      </c>
      <c r="H976" s="593" t="s">
        <v>2558</v>
      </c>
      <c r="I976" s="593" t="s">
        <v>2591</v>
      </c>
      <c r="J976" s="593" t="s">
        <v>2662</v>
      </c>
      <c r="K976" s="593" t="s">
        <v>410</v>
      </c>
      <c r="L976" s="593" t="s">
        <v>410</v>
      </c>
      <c r="M976" s="593" t="s">
        <v>410</v>
      </c>
      <c r="N976" s="593" t="s">
        <v>410</v>
      </c>
      <c r="O976" s="593" t="s">
        <v>410</v>
      </c>
      <c r="P976" s="237" t="s">
        <v>410</v>
      </c>
      <c r="Q976" s="237" t="s">
        <v>410</v>
      </c>
      <c r="R976" s="237" t="s">
        <v>410</v>
      </c>
      <c r="S976" s="10" t="s">
        <v>410</v>
      </c>
      <c r="T976" s="10" t="s">
        <v>410</v>
      </c>
    </row>
    <row r="977" spans="1:20" hidden="1" outlineLevel="1" x14ac:dyDescent="0.3">
      <c r="A977" s="583" t="s">
        <v>1965</v>
      </c>
      <c r="B977" s="591">
        <v>6</v>
      </c>
      <c r="C977" s="583" t="s">
        <v>1256</v>
      </c>
      <c r="D977" s="583" t="s">
        <v>1507</v>
      </c>
      <c r="E977" s="593" t="s">
        <v>410</v>
      </c>
      <c r="F977" s="237"/>
      <c r="G977" s="237"/>
      <c r="H977" s="237"/>
      <c r="I977" s="237"/>
      <c r="J977" s="237" t="s">
        <v>410</v>
      </c>
      <c r="K977" s="237" t="s">
        <v>410</v>
      </c>
      <c r="L977" s="237" t="s">
        <v>410</v>
      </c>
      <c r="M977" s="237" t="s">
        <v>410</v>
      </c>
      <c r="N977" s="237" t="s">
        <v>410</v>
      </c>
      <c r="O977" s="237" t="s">
        <v>410</v>
      </c>
      <c r="P977" s="237" t="s">
        <v>410</v>
      </c>
      <c r="Q977" s="237" t="s">
        <v>410</v>
      </c>
      <c r="R977" s="237" t="s">
        <v>410</v>
      </c>
      <c r="S977" s="237" t="s">
        <v>410</v>
      </c>
      <c r="T977" s="237" t="s">
        <v>410</v>
      </c>
    </row>
    <row r="978" spans="1:20" hidden="1" outlineLevel="1" x14ac:dyDescent="0.3">
      <c r="A978" s="583" t="s">
        <v>1984</v>
      </c>
      <c r="B978" s="591">
        <v>6</v>
      </c>
      <c r="C978" s="583" t="s">
        <v>1256</v>
      </c>
      <c r="D978" s="583" t="s">
        <v>1507</v>
      </c>
      <c r="E978" s="593" t="s">
        <v>1985</v>
      </c>
      <c r="F978" s="593" t="s">
        <v>1986</v>
      </c>
      <c r="G978" s="593" t="s">
        <v>3284</v>
      </c>
      <c r="H978" s="593" t="s">
        <v>1987</v>
      </c>
      <c r="I978" s="593" t="s">
        <v>3285</v>
      </c>
      <c r="J978" s="237" t="s">
        <v>410</v>
      </c>
      <c r="K978" s="237" t="s">
        <v>410</v>
      </c>
      <c r="L978" s="237" t="s">
        <v>410</v>
      </c>
      <c r="M978" s="237" t="s">
        <v>410</v>
      </c>
      <c r="N978" s="237" t="s">
        <v>410</v>
      </c>
      <c r="O978" s="237" t="s">
        <v>410</v>
      </c>
      <c r="P978" s="237" t="s">
        <v>410</v>
      </c>
      <c r="Q978" s="237" t="s">
        <v>410</v>
      </c>
      <c r="R978" s="237" t="s">
        <v>410</v>
      </c>
      <c r="S978" s="237" t="s">
        <v>410</v>
      </c>
      <c r="T978" s="237" t="s">
        <v>410</v>
      </c>
    </row>
    <row r="979" spans="1:20" hidden="1" outlineLevel="1" x14ac:dyDescent="0.3">
      <c r="A979" s="583" t="s">
        <v>4438</v>
      </c>
      <c r="B979" s="591">
        <v>11</v>
      </c>
      <c r="C979" s="583" t="s">
        <v>1256</v>
      </c>
      <c r="D979" s="583" t="s">
        <v>1507</v>
      </c>
      <c r="E979" s="593" t="s">
        <v>410</v>
      </c>
      <c r="F979" s="593" t="s">
        <v>5520</v>
      </c>
      <c r="G979" s="237"/>
      <c r="H979" s="237"/>
      <c r="I979" s="237"/>
      <c r="J979" s="237" t="s">
        <v>410</v>
      </c>
      <c r="K979" s="237" t="s">
        <v>410</v>
      </c>
      <c r="L979" s="237" t="s">
        <v>410</v>
      </c>
      <c r="M979" s="237" t="s">
        <v>410</v>
      </c>
      <c r="N979" s="237" t="s">
        <v>410</v>
      </c>
      <c r="O979" s="237" t="s">
        <v>410</v>
      </c>
      <c r="P979" s="237" t="s">
        <v>410</v>
      </c>
      <c r="Q979" s="237" t="s">
        <v>410</v>
      </c>
      <c r="R979" s="237" t="s">
        <v>410</v>
      </c>
      <c r="S979" s="237" t="s">
        <v>410</v>
      </c>
      <c r="T979" s="237" t="s">
        <v>410</v>
      </c>
    </row>
    <row r="980" spans="1:20" hidden="1" outlineLevel="1" x14ac:dyDescent="0.3">
      <c r="A980" s="583" t="s">
        <v>1956</v>
      </c>
      <c r="B980" s="591">
        <v>11</v>
      </c>
      <c r="C980" s="583" t="s">
        <v>1256</v>
      </c>
      <c r="D980" s="583" t="s">
        <v>1507</v>
      </c>
      <c r="E980" s="593" t="s">
        <v>410</v>
      </c>
      <c r="F980" s="237"/>
      <c r="G980" s="237"/>
      <c r="H980" s="237"/>
      <c r="I980" s="237"/>
      <c r="J980" s="237"/>
      <c r="K980" s="237"/>
      <c r="L980" s="237"/>
      <c r="M980" s="237" t="s">
        <v>410</v>
      </c>
      <c r="N980" s="237" t="s">
        <v>410</v>
      </c>
      <c r="O980" s="237" t="s">
        <v>410</v>
      </c>
      <c r="P980" s="237" t="s">
        <v>410</v>
      </c>
      <c r="Q980" s="237" t="s">
        <v>410</v>
      </c>
      <c r="R980" s="237" t="s">
        <v>410</v>
      </c>
      <c r="S980" s="237" t="s">
        <v>410</v>
      </c>
      <c r="T980" s="237" t="s">
        <v>410</v>
      </c>
    </row>
    <row r="981" spans="1:20" hidden="1" outlineLevel="1" x14ac:dyDescent="0.3">
      <c r="A981" s="583" t="s">
        <v>1966</v>
      </c>
      <c r="B981" s="591">
        <v>11</v>
      </c>
      <c r="C981" s="583" t="s">
        <v>1256</v>
      </c>
      <c r="D981" s="583" t="s">
        <v>1507</v>
      </c>
      <c r="E981" s="593" t="s">
        <v>410</v>
      </c>
      <c r="F981" s="237"/>
      <c r="G981" s="237"/>
      <c r="H981" s="237"/>
      <c r="I981" s="237"/>
      <c r="J981" s="237"/>
      <c r="K981" s="237"/>
      <c r="L981" s="237" t="s">
        <v>410</v>
      </c>
      <c r="M981" s="237" t="s">
        <v>410</v>
      </c>
      <c r="N981" s="237" t="s">
        <v>410</v>
      </c>
      <c r="O981" s="237" t="s">
        <v>410</v>
      </c>
      <c r="P981" s="237" t="s">
        <v>410</v>
      </c>
      <c r="Q981" s="237" t="s">
        <v>410</v>
      </c>
      <c r="R981" s="237" t="s">
        <v>410</v>
      </c>
      <c r="S981" s="237" t="s">
        <v>410</v>
      </c>
      <c r="T981" s="237" t="s">
        <v>410</v>
      </c>
    </row>
    <row r="982" spans="1:20" hidden="1" outlineLevel="1" x14ac:dyDescent="0.3">
      <c r="A982" s="583" t="s">
        <v>4215</v>
      </c>
      <c r="B982" s="591">
        <v>16</v>
      </c>
      <c r="C982" s="583" t="s">
        <v>1256</v>
      </c>
      <c r="D982" s="583" t="s">
        <v>1507</v>
      </c>
      <c r="E982" s="592" t="s">
        <v>410</v>
      </c>
      <c r="F982" s="593" t="s">
        <v>66</v>
      </c>
      <c r="G982" s="593" t="s">
        <v>67</v>
      </c>
      <c r="H982" s="593" t="s">
        <v>68</v>
      </c>
      <c r="I982" s="593" t="s">
        <v>70</v>
      </c>
      <c r="J982" s="593" t="s">
        <v>72</v>
      </c>
      <c r="K982" s="237" t="s">
        <v>410</v>
      </c>
      <c r="L982" s="237" t="s">
        <v>410</v>
      </c>
      <c r="M982" s="237" t="s">
        <v>410</v>
      </c>
      <c r="N982" s="237" t="s">
        <v>410</v>
      </c>
      <c r="O982" s="237" t="s">
        <v>410</v>
      </c>
      <c r="P982" s="237" t="s">
        <v>410</v>
      </c>
      <c r="Q982" s="237" t="s">
        <v>410</v>
      </c>
      <c r="R982" s="237" t="s">
        <v>410</v>
      </c>
      <c r="S982" s="10" t="s">
        <v>410</v>
      </c>
      <c r="T982" s="10" t="s">
        <v>410</v>
      </c>
    </row>
    <row r="983" spans="1:20" hidden="1" outlineLevel="1" x14ac:dyDescent="0.3">
      <c r="A983" s="583" t="s">
        <v>4216</v>
      </c>
      <c r="B983" s="591">
        <v>16</v>
      </c>
      <c r="C983" s="583" t="s">
        <v>1256</v>
      </c>
      <c r="D983" s="583" t="s">
        <v>1507</v>
      </c>
      <c r="E983" s="593" t="s">
        <v>410</v>
      </c>
      <c r="F983" s="237"/>
      <c r="G983" s="237"/>
      <c r="H983" s="237"/>
      <c r="I983" s="237"/>
      <c r="J983" s="237"/>
      <c r="K983" s="237"/>
      <c r="L983" s="237"/>
      <c r="M983" s="237"/>
      <c r="N983" s="237"/>
      <c r="O983" s="237" t="s">
        <v>410</v>
      </c>
      <c r="P983" s="237" t="s">
        <v>410</v>
      </c>
      <c r="Q983" s="237" t="s">
        <v>410</v>
      </c>
      <c r="R983" s="237" t="s">
        <v>410</v>
      </c>
      <c r="S983" s="237" t="s">
        <v>410</v>
      </c>
      <c r="T983" s="237" t="s">
        <v>410</v>
      </c>
    </row>
    <row r="984" spans="1:20" hidden="1" outlineLevel="1" x14ac:dyDescent="0.3">
      <c r="A984" s="583" t="s">
        <v>1676</v>
      </c>
      <c r="B984" s="591">
        <v>16</v>
      </c>
      <c r="C984" s="583" t="s">
        <v>1256</v>
      </c>
      <c r="D984" s="583" t="s">
        <v>1507</v>
      </c>
      <c r="E984" s="10" t="s">
        <v>410</v>
      </c>
      <c r="F984" s="237"/>
      <c r="G984" s="237"/>
      <c r="H984" s="237"/>
      <c r="I984" s="237"/>
      <c r="J984" s="237"/>
      <c r="K984" s="237"/>
      <c r="L984" s="237"/>
      <c r="M984" s="237"/>
      <c r="N984" s="237"/>
      <c r="O984" s="237"/>
      <c r="P984" s="237" t="s">
        <v>410</v>
      </c>
      <c r="Q984" s="237" t="s">
        <v>410</v>
      </c>
      <c r="R984" s="237" t="s">
        <v>410</v>
      </c>
      <c r="S984" s="10" t="s">
        <v>410</v>
      </c>
      <c r="T984" s="10" t="s">
        <v>410</v>
      </c>
    </row>
    <row r="985" spans="1:20" hidden="1" outlineLevel="1" x14ac:dyDescent="0.3">
      <c r="A985" s="583" t="s">
        <v>5528</v>
      </c>
      <c r="B985" s="591">
        <v>16</v>
      </c>
      <c r="C985" s="583" t="s">
        <v>1256</v>
      </c>
      <c r="D985" s="583" t="s">
        <v>1507</v>
      </c>
      <c r="E985" s="592" t="s">
        <v>410</v>
      </c>
      <c r="F985" s="593" t="s">
        <v>5529</v>
      </c>
      <c r="G985" s="593" t="s">
        <v>5530</v>
      </c>
      <c r="H985" s="593" t="s">
        <v>5531</v>
      </c>
      <c r="I985" s="593" t="s">
        <v>5532</v>
      </c>
      <c r="J985" s="593" t="s">
        <v>3490</v>
      </c>
      <c r="K985" s="237" t="s">
        <v>410</v>
      </c>
      <c r="L985" s="237" t="s">
        <v>410</v>
      </c>
      <c r="M985" s="237" t="s">
        <v>410</v>
      </c>
      <c r="N985" s="237" t="s">
        <v>410</v>
      </c>
      <c r="O985" s="237" t="s">
        <v>410</v>
      </c>
      <c r="P985" s="237" t="s">
        <v>410</v>
      </c>
      <c r="Q985" s="237" t="s">
        <v>410</v>
      </c>
      <c r="R985" s="237" t="s">
        <v>410</v>
      </c>
      <c r="S985" s="10" t="s">
        <v>410</v>
      </c>
      <c r="T985" s="10" t="s">
        <v>410</v>
      </c>
    </row>
    <row r="986" spans="1:20" hidden="1" outlineLevel="1" x14ac:dyDescent="0.3">
      <c r="A986" s="583" t="s">
        <v>1957</v>
      </c>
      <c r="B986" s="591">
        <v>16</v>
      </c>
      <c r="C986" s="583" t="s">
        <v>1256</v>
      </c>
      <c r="D986" s="583" t="s">
        <v>1507</v>
      </c>
      <c r="E986" s="237"/>
      <c r="F986" s="237"/>
      <c r="G986" s="237"/>
      <c r="H986" s="237"/>
      <c r="I986" s="237"/>
      <c r="J986" s="237"/>
      <c r="K986" s="237" t="s">
        <v>410</v>
      </c>
      <c r="L986" s="237" t="s">
        <v>410</v>
      </c>
      <c r="M986" s="237" t="s">
        <v>410</v>
      </c>
      <c r="N986" s="237" t="s">
        <v>410</v>
      </c>
      <c r="O986" s="237" t="s">
        <v>410</v>
      </c>
      <c r="P986" s="237" t="s">
        <v>410</v>
      </c>
      <c r="Q986" s="237" t="s">
        <v>410</v>
      </c>
      <c r="R986" s="237" t="s">
        <v>410</v>
      </c>
      <c r="S986" s="237" t="s">
        <v>410</v>
      </c>
      <c r="T986" s="237" t="s">
        <v>410</v>
      </c>
    </row>
    <row r="987" spans="1:20" hidden="1" outlineLevel="1" x14ac:dyDescent="0.3">
      <c r="A987" s="583" t="s">
        <v>1962</v>
      </c>
      <c r="B987" s="591">
        <v>16</v>
      </c>
      <c r="C987" s="583" t="s">
        <v>1256</v>
      </c>
      <c r="D987" s="583" t="s">
        <v>1507</v>
      </c>
      <c r="E987" s="593" t="s">
        <v>410</v>
      </c>
      <c r="F987" s="593" t="s">
        <v>3491</v>
      </c>
      <c r="G987" s="593" t="s">
        <v>3492</v>
      </c>
      <c r="H987" s="593" t="s">
        <v>3493</v>
      </c>
      <c r="I987" s="593" t="s">
        <v>3494</v>
      </c>
      <c r="J987" s="593" t="s">
        <v>3495</v>
      </c>
      <c r="K987" s="237" t="s">
        <v>410</v>
      </c>
      <c r="L987" s="237" t="s">
        <v>410</v>
      </c>
      <c r="M987" s="237" t="s">
        <v>410</v>
      </c>
      <c r="N987" s="237" t="s">
        <v>410</v>
      </c>
      <c r="O987" s="237" t="s">
        <v>410</v>
      </c>
      <c r="P987" s="237" t="s">
        <v>410</v>
      </c>
      <c r="Q987" s="237" t="s">
        <v>410</v>
      </c>
      <c r="R987" s="237" t="s">
        <v>410</v>
      </c>
      <c r="S987" s="237" t="s">
        <v>410</v>
      </c>
      <c r="T987" s="237" t="s">
        <v>410</v>
      </c>
    </row>
    <row r="988" spans="1:20" hidden="1" outlineLevel="1" x14ac:dyDescent="0.3">
      <c r="A988" s="583" t="s">
        <v>1981</v>
      </c>
      <c r="B988" s="591">
        <v>16</v>
      </c>
      <c r="C988" s="583" t="s">
        <v>1256</v>
      </c>
      <c r="D988" s="583" t="s">
        <v>1507</v>
      </c>
      <c r="E988" s="593" t="s">
        <v>410</v>
      </c>
      <c r="F988" s="593" t="s">
        <v>2034</v>
      </c>
      <c r="G988" s="593" t="s">
        <v>2302</v>
      </c>
      <c r="H988" s="593" t="s">
        <v>2303</v>
      </c>
      <c r="I988" s="593" t="s">
        <v>1776</v>
      </c>
      <c r="J988" s="593" t="s">
        <v>2304</v>
      </c>
      <c r="K988" s="593" t="s">
        <v>2305</v>
      </c>
      <c r="L988" s="593" t="s">
        <v>2035</v>
      </c>
      <c r="M988" s="593" t="s">
        <v>2306</v>
      </c>
      <c r="N988" s="237" t="s">
        <v>410</v>
      </c>
      <c r="O988" s="237" t="s">
        <v>410</v>
      </c>
      <c r="P988" s="237" t="s">
        <v>410</v>
      </c>
      <c r="Q988" s="237" t="s">
        <v>410</v>
      </c>
      <c r="R988" s="237" t="s">
        <v>410</v>
      </c>
      <c r="S988" s="237" t="s">
        <v>410</v>
      </c>
      <c r="T988" s="237" t="s">
        <v>410</v>
      </c>
    </row>
    <row r="989" spans="1:20" hidden="1" outlineLevel="1" x14ac:dyDescent="0.3">
      <c r="A989" s="583" t="s">
        <v>3496</v>
      </c>
      <c r="B989" s="591">
        <v>21</v>
      </c>
      <c r="C989" s="583" t="s">
        <v>1256</v>
      </c>
      <c r="D989" s="583" t="s">
        <v>1507</v>
      </c>
      <c r="E989" s="593" t="s">
        <v>410</v>
      </c>
      <c r="F989" s="593" t="s">
        <v>3256</v>
      </c>
      <c r="G989" s="593" t="s">
        <v>3497</v>
      </c>
      <c r="H989" s="593" t="s">
        <v>3498</v>
      </c>
      <c r="I989" s="593" t="s">
        <v>3499</v>
      </c>
      <c r="J989" s="237" t="s">
        <v>410</v>
      </c>
      <c r="K989" s="237" t="s">
        <v>410</v>
      </c>
      <c r="L989" s="237" t="s">
        <v>410</v>
      </c>
      <c r="M989" s="237" t="s">
        <v>410</v>
      </c>
      <c r="N989" s="237" t="s">
        <v>410</v>
      </c>
      <c r="O989" s="237" t="s">
        <v>410</v>
      </c>
      <c r="P989" s="237" t="s">
        <v>410</v>
      </c>
      <c r="Q989" s="237" t="s">
        <v>410</v>
      </c>
      <c r="R989" s="237" t="s">
        <v>410</v>
      </c>
      <c r="S989" s="237" t="s">
        <v>410</v>
      </c>
      <c r="T989" s="237" t="s">
        <v>410</v>
      </c>
    </row>
    <row r="990" spans="1:20" hidden="1" outlineLevel="1" x14ac:dyDescent="0.3">
      <c r="A990" s="583" t="s">
        <v>2910</v>
      </c>
      <c r="B990" s="591">
        <v>0</v>
      </c>
      <c r="C990" s="588" t="s">
        <v>1564</v>
      </c>
      <c r="D990" s="588" t="s">
        <v>1507</v>
      </c>
      <c r="E990" s="615" t="s">
        <v>2950</v>
      </c>
      <c r="F990" s="9" t="s">
        <v>410</v>
      </c>
      <c r="G990" s="9" t="s">
        <v>410</v>
      </c>
      <c r="H990" s="9" t="s">
        <v>410</v>
      </c>
      <c r="I990" s="9" t="s">
        <v>410</v>
      </c>
      <c r="J990" s="9" t="s">
        <v>410</v>
      </c>
      <c r="K990" s="9" t="s">
        <v>410</v>
      </c>
      <c r="L990" s="9" t="s">
        <v>410</v>
      </c>
      <c r="M990" s="9" t="s">
        <v>410</v>
      </c>
      <c r="N990" s="9" t="s">
        <v>410</v>
      </c>
      <c r="O990" s="9" t="s">
        <v>410</v>
      </c>
      <c r="P990" s="9" t="s">
        <v>410</v>
      </c>
      <c r="Q990" s="9" t="s">
        <v>410</v>
      </c>
      <c r="R990" s="9" t="s">
        <v>410</v>
      </c>
      <c r="S990" s="9" t="s">
        <v>410</v>
      </c>
      <c r="T990" s="9" t="s">
        <v>410</v>
      </c>
    </row>
    <row r="991" spans="1:20" hidden="1" outlineLevel="1" x14ac:dyDescent="0.3">
      <c r="A991" s="583" t="s">
        <v>3286</v>
      </c>
      <c r="B991" s="591">
        <v>0</v>
      </c>
      <c r="C991" s="588" t="s">
        <v>1564</v>
      </c>
      <c r="D991" s="588" t="s">
        <v>1507</v>
      </c>
      <c r="E991" s="615" t="s">
        <v>3287</v>
      </c>
      <c r="F991" s="9" t="s">
        <v>410</v>
      </c>
      <c r="G991" s="9" t="s">
        <v>410</v>
      </c>
      <c r="H991" s="9" t="s">
        <v>410</v>
      </c>
      <c r="I991" s="9" t="s">
        <v>410</v>
      </c>
      <c r="J991" s="9" t="s">
        <v>410</v>
      </c>
      <c r="K991" s="9" t="s">
        <v>410</v>
      </c>
      <c r="L991" s="9" t="s">
        <v>410</v>
      </c>
      <c r="M991" s="9" t="s">
        <v>410</v>
      </c>
      <c r="N991" s="9" t="s">
        <v>410</v>
      </c>
      <c r="O991" s="9" t="s">
        <v>410</v>
      </c>
      <c r="P991" s="9" t="s">
        <v>410</v>
      </c>
      <c r="Q991" s="9" t="s">
        <v>410</v>
      </c>
      <c r="R991" s="9" t="s">
        <v>410</v>
      </c>
      <c r="S991" s="9" t="s">
        <v>410</v>
      </c>
      <c r="T991" s="9" t="s">
        <v>410</v>
      </c>
    </row>
    <row r="992" spans="1:20" hidden="1" outlineLevel="1" x14ac:dyDescent="0.3">
      <c r="A992" s="583" t="s">
        <v>2067</v>
      </c>
      <c r="B992" s="591">
        <v>0</v>
      </c>
      <c r="C992" s="588" t="s">
        <v>1564</v>
      </c>
      <c r="D992" s="588" t="s">
        <v>1507</v>
      </c>
      <c r="E992" s="595"/>
      <c r="F992" s="9" t="s">
        <v>410</v>
      </c>
      <c r="G992" s="9" t="s">
        <v>410</v>
      </c>
      <c r="H992" s="9" t="s">
        <v>410</v>
      </c>
      <c r="I992" s="9" t="s">
        <v>410</v>
      </c>
      <c r="J992" s="9" t="s">
        <v>410</v>
      </c>
      <c r="K992" s="9" t="s">
        <v>410</v>
      </c>
      <c r="L992" s="9" t="s">
        <v>410</v>
      </c>
      <c r="M992" s="9" t="s">
        <v>410</v>
      </c>
      <c r="N992" s="9" t="s">
        <v>410</v>
      </c>
      <c r="O992" s="9" t="s">
        <v>410</v>
      </c>
      <c r="P992" s="9" t="s">
        <v>410</v>
      </c>
      <c r="Q992" s="9" t="s">
        <v>410</v>
      </c>
      <c r="R992" s="9" t="s">
        <v>410</v>
      </c>
      <c r="S992" s="9" t="s">
        <v>410</v>
      </c>
      <c r="T992" s="9" t="s">
        <v>410</v>
      </c>
    </row>
    <row r="993" spans="1:20" hidden="1" outlineLevel="1" x14ac:dyDescent="0.3">
      <c r="A993" s="583" t="s">
        <v>1687</v>
      </c>
      <c r="B993" s="591">
        <v>1</v>
      </c>
      <c r="C993" s="583" t="s">
        <v>1564</v>
      </c>
      <c r="D993" s="583" t="s">
        <v>1507</v>
      </c>
      <c r="E993" s="592" t="s">
        <v>410</v>
      </c>
      <c r="F993" s="593" t="s">
        <v>5164</v>
      </c>
      <c r="G993" s="237" t="s">
        <v>410</v>
      </c>
      <c r="H993" s="237" t="s">
        <v>410</v>
      </c>
      <c r="I993" s="237" t="s">
        <v>410</v>
      </c>
      <c r="J993" s="237" t="s">
        <v>410</v>
      </c>
      <c r="K993" s="237" t="s">
        <v>410</v>
      </c>
      <c r="L993" s="237" t="s">
        <v>410</v>
      </c>
      <c r="M993" s="237" t="s">
        <v>410</v>
      </c>
      <c r="N993" s="237" t="s">
        <v>410</v>
      </c>
      <c r="O993" s="237" t="s">
        <v>410</v>
      </c>
      <c r="P993" s="237" t="s">
        <v>410</v>
      </c>
      <c r="Q993" s="237" t="s">
        <v>410</v>
      </c>
      <c r="R993" s="237" t="s">
        <v>410</v>
      </c>
      <c r="S993" s="10" t="s">
        <v>410</v>
      </c>
      <c r="T993" s="10" t="s">
        <v>410</v>
      </c>
    </row>
    <row r="994" spans="1:20" hidden="1" outlineLevel="1" x14ac:dyDescent="0.3">
      <c r="A994" s="583" t="s">
        <v>1695</v>
      </c>
      <c r="B994" s="591">
        <v>1</v>
      </c>
      <c r="C994" s="583" t="s">
        <v>1564</v>
      </c>
      <c r="D994" s="583" t="s">
        <v>1507</v>
      </c>
      <c r="E994" s="592" t="s">
        <v>410</v>
      </c>
      <c r="F994" s="593" t="s">
        <v>5520</v>
      </c>
      <c r="G994" s="237" t="s">
        <v>410</v>
      </c>
      <c r="H994" s="237" t="s">
        <v>410</v>
      </c>
      <c r="I994" s="237" t="s">
        <v>410</v>
      </c>
      <c r="J994" s="237" t="s">
        <v>410</v>
      </c>
      <c r="K994" s="237" t="s">
        <v>410</v>
      </c>
      <c r="L994" s="237" t="s">
        <v>410</v>
      </c>
      <c r="M994" s="237" t="s">
        <v>410</v>
      </c>
      <c r="N994" s="237" t="s">
        <v>410</v>
      </c>
      <c r="O994" s="237" t="s">
        <v>410</v>
      </c>
      <c r="P994" s="237" t="s">
        <v>410</v>
      </c>
      <c r="Q994" s="237" t="s">
        <v>410</v>
      </c>
      <c r="R994" s="237" t="s">
        <v>410</v>
      </c>
      <c r="S994" s="10" t="s">
        <v>410</v>
      </c>
      <c r="T994" s="10" t="s">
        <v>410</v>
      </c>
    </row>
    <row r="995" spans="1:20" hidden="1" outlineLevel="1" x14ac:dyDescent="0.3">
      <c r="A995" s="583" t="s">
        <v>1705</v>
      </c>
      <c r="B995" s="591">
        <v>1</v>
      </c>
      <c r="C995" s="583" t="s">
        <v>1564</v>
      </c>
      <c r="D995" s="583" t="s">
        <v>1507</v>
      </c>
      <c r="E995" s="592" t="s">
        <v>410</v>
      </c>
      <c r="F995" s="593"/>
      <c r="G995" s="237" t="s">
        <v>410</v>
      </c>
      <c r="H995" s="237" t="s">
        <v>410</v>
      </c>
      <c r="I995" s="237" t="s">
        <v>410</v>
      </c>
      <c r="J995" s="237" t="s">
        <v>410</v>
      </c>
      <c r="K995" s="237" t="s">
        <v>410</v>
      </c>
      <c r="L995" s="237" t="s">
        <v>410</v>
      </c>
      <c r="M995" s="237" t="s">
        <v>410</v>
      </c>
      <c r="N995" s="237" t="s">
        <v>410</v>
      </c>
      <c r="O995" s="237" t="s">
        <v>410</v>
      </c>
      <c r="P995" s="237" t="s">
        <v>410</v>
      </c>
      <c r="Q995" s="237" t="s">
        <v>410</v>
      </c>
      <c r="R995" s="237" t="s">
        <v>410</v>
      </c>
      <c r="S995" s="10" t="s">
        <v>410</v>
      </c>
      <c r="T995" s="10" t="s">
        <v>410</v>
      </c>
    </row>
    <row r="996" spans="1:20" hidden="1" outlineLevel="1" x14ac:dyDescent="0.3">
      <c r="A996" s="583" t="s">
        <v>5662</v>
      </c>
      <c r="B996" s="591">
        <v>1</v>
      </c>
      <c r="C996" s="583" t="s">
        <v>1564</v>
      </c>
      <c r="D996" s="583" t="s">
        <v>1507</v>
      </c>
      <c r="E996" s="592" t="s">
        <v>410</v>
      </c>
      <c r="F996" s="593" t="s">
        <v>5520</v>
      </c>
      <c r="G996" s="237" t="s">
        <v>410</v>
      </c>
      <c r="H996" s="237" t="s">
        <v>410</v>
      </c>
      <c r="I996" s="237" t="s">
        <v>410</v>
      </c>
      <c r="J996" s="237" t="s">
        <v>410</v>
      </c>
      <c r="K996" s="237" t="s">
        <v>410</v>
      </c>
      <c r="L996" s="237" t="s">
        <v>410</v>
      </c>
      <c r="M996" s="237" t="s">
        <v>410</v>
      </c>
      <c r="N996" s="237" t="s">
        <v>410</v>
      </c>
      <c r="O996" s="237" t="s">
        <v>410</v>
      </c>
      <c r="P996" s="237" t="s">
        <v>410</v>
      </c>
      <c r="Q996" s="237" t="s">
        <v>410</v>
      </c>
      <c r="R996" s="237" t="s">
        <v>410</v>
      </c>
      <c r="S996" s="10" t="s">
        <v>410</v>
      </c>
      <c r="T996" s="10" t="s">
        <v>410</v>
      </c>
    </row>
    <row r="997" spans="1:20" hidden="1" outlineLevel="1" x14ac:dyDescent="0.3">
      <c r="A997" s="583" t="s">
        <v>5159</v>
      </c>
      <c r="B997" s="591">
        <v>2</v>
      </c>
      <c r="C997" s="583" t="s">
        <v>1564</v>
      </c>
      <c r="D997" s="583" t="s">
        <v>1507</v>
      </c>
      <c r="E997" s="592" t="s">
        <v>410</v>
      </c>
      <c r="F997" s="593" t="s">
        <v>3625</v>
      </c>
      <c r="G997" s="237" t="s">
        <v>410</v>
      </c>
      <c r="H997" s="237" t="s">
        <v>410</v>
      </c>
      <c r="I997" s="237" t="s">
        <v>410</v>
      </c>
      <c r="J997" s="237" t="s">
        <v>410</v>
      </c>
      <c r="K997" s="237" t="s">
        <v>410</v>
      </c>
      <c r="L997" s="237" t="s">
        <v>410</v>
      </c>
      <c r="M997" s="237" t="s">
        <v>410</v>
      </c>
      <c r="N997" s="237" t="s">
        <v>410</v>
      </c>
      <c r="O997" s="237" t="s">
        <v>410</v>
      </c>
      <c r="P997" s="237" t="s">
        <v>410</v>
      </c>
      <c r="Q997" s="237" t="s">
        <v>410</v>
      </c>
      <c r="R997" s="237" t="s">
        <v>410</v>
      </c>
      <c r="S997" s="10" t="s">
        <v>410</v>
      </c>
      <c r="T997" s="10" t="s">
        <v>410</v>
      </c>
    </row>
    <row r="998" spans="1:20" hidden="1" outlineLevel="1" x14ac:dyDescent="0.3">
      <c r="A998" s="583" t="s">
        <v>4439</v>
      </c>
      <c r="B998" s="591">
        <v>2</v>
      </c>
      <c r="C998" s="583" t="s">
        <v>1564</v>
      </c>
      <c r="D998" s="583" t="s">
        <v>1507</v>
      </c>
      <c r="E998" s="592" t="s">
        <v>410</v>
      </c>
      <c r="F998" s="593" t="s">
        <v>3622</v>
      </c>
      <c r="G998" s="237" t="s">
        <v>410</v>
      </c>
      <c r="H998" s="237" t="s">
        <v>410</v>
      </c>
      <c r="I998" s="237" t="s">
        <v>410</v>
      </c>
      <c r="J998" s="237" t="s">
        <v>410</v>
      </c>
      <c r="K998" s="237" t="s">
        <v>410</v>
      </c>
      <c r="L998" s="237" t="s">
        <v>410</v>
      </c>
      <c r="M998" s="237" t="s">
        <v>410</v>
      </c>
      <c r="N998" s="237" t="s">
        <v>410</v>
      </c>
      <c r="O998" s="237" t="s">
        <v>410</v>
      </c>
      <c r="P998" s="237" t="s">
        <v>410</v>
      </c>
      <c r="Q998" s="237" t="s">
        <v>410</v>
      </c>
      <c r="R998" s="237" t="s">
        <v>410</v>
      </c>
      <c r="S998" s="10" t="s">
        <v>410</v>
      </c>
      <c r="T998" s="10" t="s">
        <v>410</v>
      </c>
    </row>
    <row r="999" spans="1:20" hidden="1" outlineLevel="1" x14ac:dyDescent="0.3">
      <c r="A999" s="583" t="s">
        <v>5162</v>
      </c>
      <c r="B999" s="591">
        <v>2</v>
      </c>
      <c r="C999" s="583" t="s">
        <v>1564</v>
      </c>
      <c r="D999" s="583" t="s">
        <v>1507</v>
      </c>
      <c r="E999" s="592" t="s">
        <v>410</v>
      </c>
      <c r="F999" s="593" t="s">
        <v>3622</v>
      </c>
      <c r="G999" s="237" t="s">
        <v>410</v>
      </c>
      <c r="H999" s="237" t="s">
        <v>410</v>
      </c>
      <c r="I999" s="237" t="s">
        <v>410</v>
      </c>
      <c r="J999" s="237" t="s">
        <v>410</v>
      </c>
      <c r="K999" s="237" t="s">
        <v>410</v>
      </c>
      <c r="L999" s="237" t="s">
        <v>410</v>
      </c>
      <c r="M999" s="237" t="s">
        <v>410</v>
      </c>
      <c r="N999" s="237" t="s">
        <v>410</v>
      </c>
      <c r="O999" s="237" t="s">
        <v>410</v>
      </c>
      <c r="P999" s="237" t="s">
        <v>410</v>
      </c>
      <c r="Q999" s="237" t="s">
        <v>410</v>
      </c>
      <c r="R999" s="237" t="s">
        <v>410</v>
      </c>
      <c r="S999" s="10" t="s">
        <v>410</v>
      </c>
      <c r="T999" s="10" t="s">
        <v>410</v>
      </c>
    </row>
    <row r="1000" spans="1:20" hidden="1" outlineLevel="1" x14ac:dyDescent="0.3">
      <c r="A1000" s="583" t="s">
        <v>1688</v>
      </c>
      <c r="B1000" s="591">
        <v>2</v>
      </c>
      <c r="C1000" s="583" t="s">
        <v>1564</v>
      </c>
      <c r="D1000" s="583" t="s">
        <v>1507</v>
      </c>
      <c r="E1000" s="592" t="s">
        <v>410</v>
      </c>
      <c r="F1000" s="593" t="s">
        <v>3622</v>
      </c>
      <c r="G1000" s="237" t="s">
        <v>410</v>
      </c>
      <c r="H1000" s="237" t="s">
        <v>410</v>
      </c>
      <c r="I1000" s="237" t="s">
        <v>410</v>
      </c>
      <c r="J1000" s="237" t="s">
        <v>410</v>
      </c>
      <c r="K1000" s="237" t="s">
        <v>410</v>
      </c>
      <c r="L1000" s="237" t="s">
        <v>410</v>
      </c>
      <c r="M1000" s="237" t="s">
        <v>410</v>
      </c>
      <c r="N1000" s="237" t="s">
        <v>410</v>
      </c>
      <c r="O1000" s="237" t="s">
        <v>410</v>
      </c>
      <c r="P1000" s="237" t="s">
        <v>410</v>
      </c>
      <c r="Q1000" s="237" t="s">
        <v>410</v>
      </c>
      <c r="R1000" s="237" t="s">
        <v>410</v>
      </c>
      <c r="S1000" s="10" t="s">
        <v>410</v>
      </c>
      <c r="T1000" s="10" t="s">
        <v>410</v>
      </c>
    </row>
    <row r="1001" spans="1:20" hidden="1" outlineLevel="1" x14ac:dyDescent="0.3">
      <c r="A1001" s="583" t="s">
        <v>1698</v>
      </c>
      <c r="B1001" s="591">
        <v>2</v>
      </c>
      <c r="C1001" s="583" t="s">
        <v>1564</v>
      </c>
      <c r="D1001" s="583" t="s">
        <v>1507</v>
      </c>
      <c r="E1001" s="592" t="s">
        <v>410</v>
      </c>
      <c r="F1001" s="593" t="s">
        <v>3622</v>
      </c>
      <c r="G1001" s="237" t="s">
        <v>410</v>
      </c>
      <c r="H1001" s="237" t="s">
        <v>410</v>
      </c>
      <c r="I1001" s="237" t="s">
        <v>410</v>
      </c>
      <c r="J1001" s="237" t="s">
        <v>410</v>
      </c>
      <c r="K1001" s="237" t="s">
        <v>410</v>
      </c>
      <c r="L1001" s="237" t="s">
        <v>410</v>
      </c>
      <c r="M1001" s="237" t="s">
        <v>410</v>
      </c>
      <c r="N1001" s="237" t="s">
        <v>410</v>
      </c>
      <c r="O1001" s="237" t="s">
        <v>410</v>
      </c>
      <c r="P1001" s="237" t="s">
        <v>410</v>
      </c>
      <c r="Q1001" s="237" t="s">
        <v>410</v>
      </c>
      <c r="R1001" s="237" t="s">
        <v>410</v>
      </c>
      <c r="S1001" s="10" t="s">
        <v>410</v>
      </c>
      <c r="T1001" s="10" t="s">
        <v>410</v>
      </c>
    </row>
    <row r="1002" spans="1:20" hidden="1" outlineLevel="1" x14ac:dyDescent="0.3">
      <c r="A1002" s="583" t="s">
        <v>5167</v>
      </c>
      <c r="B1002" s="591">
        <v>2</v>
      </c>
      <c r="C1002" s="583" t="s">
        <v>1564</v>
      </c>
      <c r="D1002" s="583" t="s">
        <v>1507</v>
      </c>
      <c r="E1002" s="592" t="s">
        <v>410</v>
      </c>
      <c r="F1002" s="593" t="s">
        <v>3622</v>
      </c>
      <c r="G1002" s="237" t="s">
        <v>410</v>
      </c>
      <c r="H1002" s="237" t="s">
        <v>410</v>
      </c>
      <c r="I1002" s="237" t="s">
        <v>410</v>
      </c>
      <c r="J1002" s="237" t="s">
        <v>410</v>
      </c>
      <c r="K1002" s="237" t="s">
        <v>410</v>
      </c>
      <c r="L1002" s="237" t="s">
        <v>410</v>
      </c>
      <c r="M1002" s="237" t="s">
        <v>410</v>
      </c>
      <c r="N1002" s="237" t="s">
        <v>410</v>
      </c>
      <c r="O1002" s="237" t="s">
        <v>410</v>
      </c>
      <c r="P1002" s="237" t="s">
        <v>410</v>
      </c>
      <c r="Q1002" s="237" t="s">
        <v>410</v>
      </c>
      <c r="R1002" s="237" t="s">
        <v>410</v>
      </c>
      <c r="S1002" s="10" t="s">
        <v>410</v>
      </c>
      <c r="T1002" s="10" t="s">
        <v>410</v>
      </c>
    </row>
    <row r="1003" spans="1:20" hidden="1" outlineLevel="1" x14ac:dyDescent="0.3">
      <c r="A1003" s="583" t="s">
        <v>5163</v>
      </c>
      <c r="B1003" s="591">
        <v>3</v>
      </c>
      <c r="C1003" s="583" t="s">
        <v>1564</v>
      </c>
      <c r="D1003" s="583" t="s">
        <v>1507</v>
      </c>
      <c r="E1003" s="592" t="s">
        <v>410</v>
      </c>
      <c r="F1003" s="593" t="s">
        <v>4326</v>
      </c>
      <c r="G1003" s="237" t="s">
        <v>410</v>
      </c>
      <c r="H1003" s="237" t="s">
        <v>410</v>
      </c>
      <c r="I1003" s="237" t="s">
        <v>410</v>
      </c>
      <c r="J1003" s="237" t="s">
        <v>410</v>
      </c>
      <c r="K1003" s="237" t="s">
        <v>410</v>
      </c>
      <c r="L1003" s="237" t="s">
        <v>410</v>
      </c>
      <c r="M1003" s="237" t="s">
        <v>410</v>
      </c>
      <c r="N1003" s="237" t="s">
        <v>410</v>
      </c>
      <c r="O1003" s="237" t="s">
        <v>410</v>
      </c>
      <c r="P1003" s="237" t="s">
        <v>410</v>
      </c>
      <c r="Q1003" s="237" t="s">
        <v>410</v>
      </c>
      <c r="R1003" s="237" t="s">
        <v>410</v>
      </c>
      <c r="S1003" s="10" t="s">
        <v>410</v>
      </c>
      <c r="T1003" s="10" t="s">
        <v>410</v>
      </c>
    </row>
    <row r="1004" spans="1:20" hidden="1" outlineLevel="1" x14ac:dyDescent="0.3">
      <c r="A1004" s="583" t="s">
        <v>1699</v>
      </c>
      <c r="B1004" s="591">
        <v>3</v>
      </c>
      <c r="C1004" s="583" t="s">
        <v>1564</v>
      </c>
      <c r="D1004" s="583" t="s">
        <v>1507</v>
      </c>
      <c r="E1004" s="592" t="s">
        <v>410</v>
      </c>
      <c r="F1004" s="593" t="s">
        <v>5522</v>
      </c>
      <c r="G1004" s="237" t="s">
        <v>410</v>
      </c>
      <c r="H1004" s="237" t="s">
        <v>410</v>
      </c>
      <c r="I1004" s="237" t="s">
        <v>410</v>
      </c>
      <c r="J1004" s="237" t="s">
        <v>410</v>
      </c>
      <c r="K1004" s="237" t="s">
        <v>410</v>
      </c>
      <c r="L1004" s="237" t="s">
        <v>410</v>
      </c>
      <c r="M1004" s="237" t="s">
        <v>410</v>
      </c>
      <c r="N1004" s="237" t="s">
        <v>410</v>
      </c>
      <c r="O1004" s="237" t="s">
        <v>410</v>
      </c>
      <c r="P1004" s="237" t="s">
        <v>410</v>
      </c>
      <c r="Q1004" s="237" t="s">
        <v>410</v>
      </c>
      <c r="R1004" s="237" t="s">
        <v>410</v>
      </c>
      <c r="S1004" s="10" t="s">
        <v>410</v>
      </c>
      <c r="T1004" s="10" t="s">
        <v>410</v>
      </c>
    </row>
    <row r="1005" spans="1:20" hidden="1" outlineLevel="1" x14ac:dyDescent="0.3">
      <c r="A1005" s="583" t="s">
        <v>5168</v>
      </c>
      <c r="B1005" s="591">
        <v>3</v>
      </c>
      <c r="C1005" s="583" t="s">
        <v>1564</v>
      </c>
      <c r="D1005" s="583" t="s">
        <v>1507</v>
      </c>
      <c r="E1005" s="592" t="s">
        <v>410</v>
      </c>
      <c r="F1005" s="593" t="s">
        <v>5169</v>
      </c>
      <c r="G1005" s="237" t="s">
        <v>410</v>
      </c>
      <c r="H1005" s="237" t="s">
        <v>410</v>
      </c>
      <c r="I1005" s="237" t="s">
        <v>410</v>
      </c>
      <c r="J1005" s="237" t="s">
        <v>410</v>
      </c>
      <c r="K1005" s="237" t="s">
        <v>410</v>
      </c>
      <c r="L1005" s="237" t="s">
        <v>410</v>
      </c>
      <c r="M1005" s="237" t="s">
        <v>410</v>
      </c>
      <c r="N1005" s="237" t="s">
        <v>410</v>
      </c>
      <c r="O1005" s="237" t="s">
        <v>410</v>
      </c>
      <c r="P1005" s="237" t="s">
        <v>410</v>
      </c>
      <c r="Q1005" s="237" t="s">
        <v>410</v>
      </c>
      <c r="R1005" s="237" t="s">
        <v>410</v>
      </c>
      <c r="S1005" s="10" t="s">
        <v>410</v>
      </c>
      <c r="T1005" s="10" t="s">
        <v>410</v>
      </c>
    </row>
    <row r="1006" spans="1:20" hidden="1" outlineLevel="1" x14ac:dyDescent="0.3">
      <c r="A1006" s="583" t="s">
        <v>1701</v>
      </c>
      <c r="B1006" s="591">
        <v>4</v>
      </c>
      <c r="C1006" s="583" t="s">
        <v>1564</v>
      </c>
      <c r="D1006" s="583" t="s">
        <v>1507</v>
      </c>
      <c r="E1006" s="592" t="s">
        <v>410</v>
      </c>
      <c r="F1006" s="593" t="s">
        <v>3630</v>
      </c>
      <c r="G1006" s="237" t="s">
        <v>410</v>
      </c>
      <c r="H1006" s="237" t="s">
        <v>410</v>
      </c>
      <c r="I1006" s="237" t="s">
        <v>410</v>
      </c>
      <c r="J1006" s="237" t="s">
        <v>410</v>
      </c>
      <c r="K1006" s="237" t="s">
        <v>410</v>
      </c>
      <c r="L1006" s="237" t="s">
        <v>410</v>
      </c>
      <c r="M1006" s="237" t="s">
        <v>410</v>
      </c>
      <c r="N1006" s="237" t="s">
        <v>410</v>
      </c>
      <c r="O1006" s="237" t="s">
        <v>410</v>
      </c>
      <c r="P1006" s="237" t="s">
        <v>410</v>
      </c>
      <c r="Q1006" s="237" t="s">
        <v>410</v>
      </c>
      <c r="R1006" s="237" t="s">
        <v>410</v>
      </c>
      <c r="S1006" s="10" t="s">
        <v>410</v>
      </c>
      <c r="T1006" s="10" t="s">
        <v>410</v>
      </c>
    </row>
    <row r="1007" spans="1:20" hidden="1" outlineLevel="1" x14ac:dyDescent="0.3">
      <c r="A1007" s="583" t="s">
        <v>1713</v>
      </c>
      <c r="B1007" s="591">
        <v>4</v>
      </c>
      <c r="C1007" s="583" t="s">
        <v>1564</v>
      </c>
      <c r="D1007" s="583" t="s">
        <v>1507</v>
      </c>
      <c r="E1007" s="592" t="s">
        <v>410</v>
      </c>
      <c r="F1007" s="593" t="s">
        <v>5527</v>
      </c>
      <c r="G1007" s="237" t="s">
        <v>410</v>
      </c>
      <c r="H1007" s="237" t="s">
        <v>410</v>
      </c>
      <c r="I1007" s="237" t="s">
        <v>410</v>
      </c>
      <c r="J1007" s="237" t="s">
        <v>410</v>
      </c>
      <c r="K1007" s="237" t="s">
        <v>410</v>
      </c>
      <c r="L1007" s="237" t="s">
        <v>410</v>
      </c>
      <c r="M1007" s="237" t="s">
        <v>410</v>
      </c>
      <c r="N1007" s="237" t="s">
        <v>410</v>
      </c>
      <c r="O1007" s="237" t="s">
        <v>410</v>
      </c>
      <c r="P1007" s="237" t="s">
        <v>410</v>
      </c>
      <c r="Q1007" s="237" t="s">
        <v>410</v>
      </c>
      <c r="R1007" s="237" t="s">
        <v>410</v>
      </c>
      <c r="S1007" s="10" t="s">
        <v>410</v>
      </c>
      <c r="T1007" s="10" t="s">
        <v>410</v>
      </c>
    </row>
    <row r="1008" spans="1:20" hidden="1" outlineLevel="1" x14ac:dyDescent="0.3">
      <c r="A1008" s="583" t="s">
        <v>1703</v>
      </c>
      <c r="B1008" s="591">
        <v>5</v>
      </c>
      <c r="C1008" s="583" t="s">
        <v>1564</v>
      </c>
      <c r="D1008" s="583" t="s">
        <v>1507</v>
      </c>
      <c r="E1008" s="592" t="s">
        <v>410</v>
      </c>
      <c r="F1008" s="593" t="s">
        <v>3627</v>
      </c>
      <c r="G1008" s="237" t="s">
        <v>410</v>
      </c>
      <c r="H1008" s="237" t="s">
        <v>410</v>
      </c>
      <c r="I1008" s="237" t="s">
        <v>410</v>
      </c>
      <c r="J1008" s="237" t="s">
        <v>410</v>
      </c>
      <c r="K1008" s="237" t="s">
        <v>410</v>
      </c>
      <c r="L1008" s="237" t="s">
        <v>410</v>
      </c>
      <c r="M1008" s="237" t="s">
        <v>410</v>
      </c>
      <c r="N1008" s="237" t="s">
        <v>410</v>
      </c>
      <c r="O1008" s="237" t="s">
        <v>410</v>
      </c>
      <c r="P1008" s="237" t="s">
        <v>410</v>
      </c>
      <c r="Q1008" s="237" t="s">
        <v>410</v>
      </c>
      <c r="R1008" s="237" t="s">
        <v>410</v>
      </c>
      <c r="S1008" s="10" t="s">
        <v>410</v>
      </c>
      <c r="T1008" s="10" t="s">
        <v>410</v>
      </c>
    </row>
    <row r="1009" spans="1:20" hidden="1" outlineLevel="1" x14ac:dyDescent="0.3">
      <c r="A1009" s="583" t="s">
        <v>1708</v>
      </c>
      <c r="B1009" s="591">
        <v>5</v>
      </c>
      <c r="C1009" s="583" t="s">
        <v>1564</v>
      </c>
      <c r="D1009" s="583" t="s">
        <v>1507</v>
      </c>
      <c r="E1009" s="592" t="s">
        <v>410</v>
      </c>
      <c r="F1009" s="593" t="s">
        <v>5526</v>
      </c>
      <c r="G1009" s="237" t="s">
        <v>410</v>
      </c>
      <c r="H1009" s="237" t="s">
        <v>410</v>
      </c>
      <c r="I1009" s="237" t="s">
        <v>410</v>
      </c>
      <c r="J1009" s="237" t="s">
        <v>410</v>
      </c>
      <c r="K1009" s="237" t="s">
        <v>410</v>
      </c>
      <c r="L1009" s="237" t="s">
        <v>410</v>
      </c>
      <c r="M1009" s="237" t="s">
        <v>410</v>
      </c>
      <c r="N1009" s="237" t="s">
        <v>410</v>
      </c>
      <c r="O1009" s="237" t="s">
        <v>410</v>
      </c>
      <c r="P1009" s="237" t="s">
        <v>410</v>
      </c>
      <c r="Q1009" s="237" t="s">
        <v>410</v>
      </c>
      <c r="R1009" s="237" t="s">
        <v>410</v>
      </c>
      <c r="S1009" s="10" t="s">
        <v>410</v>
      </c>
      <c r="T1009" s="10" t="s">
        <v>410</v>
      </c>
    </row>
    <row r="1010" spans="1:20" hidden="1" outlineLevel="1" x14ac:dyDescent="0.3">
      <c r="A1010" s="583" t="s">
        <v>1677</v>
      </c>
      <c r="B1010" s="591">
        <v>16</v>
      </c>
      <c r="C1010" s="583" t="s">
        <v>1564</v>
      </c>
      <c r="D1010" s="583" t="s">
        <v>1507</v>
      </c>
      <c r="E1010" s="592" t="s">
        <v>410</v>
      </c>
      <c r="F1010" s="593" t="s">
        <v>5524</v>
      </c>
      <c r="G1010" s="237" t="s">
        <v>410</v>
      </c>
      <c r="H1010" s="237" t="s">
        <v>410</v>
      </c>
      <c r="I1010" s="237" t="s">
        <v>410</v>
      </c>
      <c r="J1010" s="237" t="s">
        <v>410</v>
      </c>
      <c r="K1010" s="237" t="s">
        <v>410</v>
      </c>
      <c r="L1010" s="237" t="s">
        <v>410</v>
      </c>
      <c r="M1010" s="237" t="s">
        <v>410</v>
      </c>
      <c r="N1010" s="237" t="s">
        <v>410</v>
      </c>
      <c r="O1010" s="237" t="s">
        <v>410</v>
      </c>
      <c r="P1010" s="237" t="s">
        <v>410</v>
      </c>
      <c r="Q1010" s="237" t="s">
        <v>410</v>
      </c>
      <c r="R1010" s="237" t="s">
        <v>410</v>
      </c>
      <c r="S1010" s="10" t="s">
        <v>410</v>
      </c>
      <c r="T1010" s="10" t="s">
        <v>410</v>
      </c>
    </row>
    <row r="1011" spans="1:20" hidden="1" outlineLevel="1" x14ac:dyDescent="0.3">
      <c r="A1011" s="583" t="s">
        <v>1680</v>
      </c>
      <c r="B1011" s="591">
        <v>16</v>
      </c>
      <c r="C1011" s="583" t="s">
        <v>1564</v>
      </c>
      <c r="D1011" s="583" t="s">
        <v>1507</v>
      </c>
      <c r="E1011" s="592" t="s">
        <v>410</v>
      </c>
      <c r="F1011" s="593" t="s">
        <v>4328</v>
      </c>
      <c r="G1011" s="237" t="s">
        <v>410</v>
      </c>
      <c r="H1011" s="237" t="s">
        <v>410</v>
      </c>
      <c r="I1011" s="237" t="s">
        <v>410</v>
      </c>
      <c r="J1011" s="237" t="s">
        <v>410</v>
      </c>
      <c r="K1011" s="237" t="s">
        <v>410</v>
      </c>
      <c r="L1011" s="237" t="s">
        <v>410</v>
      </c>
      <c r="M1011" s="237" t="s">
        <v>410</v>
      </c>
      <c r="N1011" s="237" t="s">
        <v>410</v>
      </c>
      <c r="O1011" s="237" t="s">
        <v>410</v>
      </c>
      <c r="P1011" s="237" t="s">
        <v>410</v>
      </c>
      <c r="Q1011" s="237" t="s">
        <v>410</v>
      </c>
      <c r="R1011" s="237" t="s">
        <v>410</v>
      </c>
      <c r="S1011" s="10" t="s">
        <v>410</v>
      </c>
      <c r="T1011" s="10" t="s">
        <v>410</v>
      </c>
    </row>
    <row r="1012" spans="1:20" hidden="1" outlineLevel="1" x14ac:dyDescent="0.3">
      <c r="A1012" s="583" t="s">
        <v>1679</v>
      </c>
      <c r="B1012" s="591">
        <v>16</v>
      </c>
      <c r="C1012" s="583" t="s">
        <v>1564</v>
      </c>
      <c r="D1012" s="583" t="s">
        <v>1507</v>
      </c>
      <c r="E1012" s="592" t="s">
        <v>410</v>
      </c>
      <c r="F1012" s="593" t="s">
        <v>3624</v>
      </c>
      <c r="G1012" s="237" t="s">
        <v>410</v>
      </c>
      <c r="H1012" s="237" t="s">
        <v>410</v>
      </c>
      <c r="I1012" s="237" t="s">
        <v>410</v>
      </c>
      <c r="J1012" s="237" t="s">
        <v>410</v>
      </c>
      <c r="K1012" s="237" t="s">
        <v>410</v>
      </c>
      <c r="L1012" s="237" t="s">
        <v>410</v>
      </c>
      <c r="M1012" s="237" t="s">
        <v>410</v>
      </c>
      <c r="N1012" s="237" t="s">
        <v>410</v>
      </c>
      <c r="O1012" s="237" t="s">
        <v>410</v>
      </c>
      <c r="P1012" s="237" t="s">
        <v>410</v>
      </c>
      <c r="Q1012" s="237" t="s">
        <v>410</v>
      </c>
      <c r="R1012" s="237" t="s">
        <v>410</v>
      </c>
      <c r="S1012" s="10" t="s">
        <v>410</v>
      </c>
      <c r="T1012" s="10" t="s">
        <v>410</v>
      </c>
    </row>
    <row r="1013" spans="1:20" hidden="1" outlineLevel="1" x14ac:dyDescent="0.3">
      <c r="A1013" s="583" t="s">
        <v>5165</v>
      </c>
      <c r="B1013" s="591">
        <v>16</v>
      </c>
      <c r="C1013" s="583" t="s">
        <v>1564</v>
      </c>
      <c r="D1013" s="583" t="s">
        <v>1507</v>
      </c>
      <c r="E1013" s="592" t="s">
        <v>410</v>
      </c>
      <c r="F1013" s="593" t="s">
        <v>5166</v>
      </c>
      <c r="G1013" s="237" t="s">
        <v>410</v>
      </c>
      <c r="H1013" s="237" t="s">
        <v>410</v>
      </c>
      <c r="I1013" s="237" t="s">
        <v>410</v>
      </c>
      <c r="J1013" s="237" t="s">
        <v>410</v>
      </c>
      <c r="K1013" s="237" t="s">
        <v>410</v>
      </c>
      <c r="L1013" s="237" t="s">
        <v>410</v>
      </c>
      <c r="M1013" s="237" t="s">
        <v>410</v>
      </c>
      <c r="N1013" s="237" t="s">
        <v>410</v>
      </c>
      <c r="O1013" s="237" t="s">
        <v>410</v>
      </c>
      <c r="P1013" s="237" t="s">
        <v>410</v>
      </c>
      <c r="Q1013" s="237" t="s">
        <v>410</v>
      </c>
      <c r="R1013" s="237" t="s">
        <v>410</v>
      </c>
      <c r="S1013" s="10" t="s">
        <v>410</v>
      </c>
      <c r="T1013" s="10" t="s">
        <v>410</v>
      </c>
    </row>
    <row r="1014" spans="1:20" hidden="1" outlineLevel="1" x14ac:dyDescent="0.3">
      <c r="A1014" s="583" t="s">
        <v>1691</v>
      </c>
      <c r="B1014" s="591">
        <v>16</v>
      </c>
      <c r="C1014" s="583" t="s">
        <v>1564</v>
      </c>
      <c r="D1014" s="583" t="s">
        <v>1507</v>
      </c>
      <c r="E1014" s="592" t="s">
        <v>410</v>
      </c>
      <c r="F1014" s="593" t="s">
        <v>4332</v>
      </c>
      <c r="G1014" s="237" t="s">
        <v>410</v>
      </c>
      <c r="H1014" s="237" t="s">
        <v>410</v>
      </c>
      <c r="I1014" s="237" t="s">
        <v>410</v>
      </c>
      <c r="J1014" s="237" t="s">
        <v>410</v>
      </c>
      <c r="K1014" s="237" t="s">
        <v>410</v>
      </c>
      <c r="L1014" s="237" t="s">
        <v>410</v>
      </c>
      <c r="M1014" s="237" t="s">
        <v>410</v>
      </c>
      <c r="N1014" s="237" t="s">
        <v>410</v>
      </c>
      <c r="O1014" s="237" t="s">
        <v>410</v>
      </c>
      <c r="P1014" s="237" t="s">
        <v>410</v>
      </c>
      <c r="Q1014" s="237" t="s">
        <v>410</v>
      </c>
      <c r="R1014" s="237" t="s">
        <v>410</v>
      </c>
      <c r="S1014" s="10" t="s">
        <v>410</v>
      </c>
      <c r="T1014" s="10" t="s">
        <v>410</v>
      </c>
    </row>
    <row r="1015" spans="1:20" hidden="1" outlineLevel="1" x14ac:dyDescent="0.3">
      <c r="A1015" s="583" t="s">
        <v>1696</v>
      </c>
      <c r="B1015" s="591">
        <v>16</v>
      </c>
      <c r="C1015" s="583" t="s">
        <v>1564</v>
      </c>
      <c r="D1015" s="583" t="s">
        <v>1507</v>
      </c>
      <c r="E1015" s="592" t="s">
        <v>410</v>
      </c>
      <c r="F1015" s="593" t="s">
        <v>4328</v>
      </c>
      <c r="G1015" s="237" t="s">
        <v>410</v>
      </c>
      <c r="H1015" s="237" t="s">
        <v>410</v>
      </c>
      <c r="I1015" s="237" t="s">
        <v>410</v>
      </c>
      <c r="J1015" s="237" t="s">
        <v>410</v>
      </c>
      <c r="K1015" s="237" t="s">
        <v>410</v>
      </c>
      <c r="L1015" s="237" t="s">
        <v>410</v>
      </c>
      <c r="M1015" s="237" t="s">
        <v>410</v>
      </c>
      <c r="N1015" s="237" t="s">
        <v>410</v>
      </c>
      <c r="O1015" s="237" t="s">
        <v>410</v>
      </c>
      <c r="P1015" s="237" t="s">
        <v>410</v>
      </c>
      <c r="Q1015" s="237" t="s">
        <v>410</v>
      </c>
      <c r="R1015" s="237" t="s">
        <v>410</v>
      </c>
      <c r="S1015" s="10" t="s">
        <v>410</v>
      </c>
      <c r="T1015" s="10" t="s">
        <v>410</v>
      </c>
    </row>
    <row r="1016" spans="1:20" hidden="1" outlineLevel="1" x14ac:dyDescent="0.3">
      <c r="A1016" s="583" t="s">
        <v>1704</v>
      </c>
      <c r="B1016" s="591">
        <v>16</v>
      </c>
      <c r="C1016" s="583" t="s">
        <v>1564</v>
      </c>
      <c r="D1016" s="583" t="s">
        <v>1507</v>
      </c>
      <c r="E1016" s="592" t="s">
        <v>410</v>
      </c>
      <c r="F1016" s="593" t="s">
        <v>5525</v>
      </c>
      <c r="G1016" s="237" t="s">
        <v>410</v>
      </c>
      <c r="H1016" s="237" t="s">
        <v>410</v>
      </c>
      <c r="I1016" s="237" t="s">
        <v>410</v>
      </c>
      <c r="J1016" s="237" t="s">
        <v>410</v>
      </c>
      <c r="K1016" s="237" t="s">
        <v>410</v>
      </c>
      <c r="L1016" s="237" t="s">
        <v>410</v>
      </c>
      <c r="M1016" s="237" t="s">
        <v>410</v>
      </c>
      <c r="N1016" s="237" t="s">
        <v>410</v>
      </c>
      <c r="O1016" s="237" t="s">
        <v>410</v>
      </c>
      <c r="P1016" s="237" t="s">
        <v>410</v>
      </c>
      <c r="Q1016" s="237" t="s">
        <v>410</v>
      </c>
      <c r="R1016" s="237" t="s">
        <v>410</v>
      </c>
      <c r="S1016" s="10" t="s">
        <v>410</v>
      </c>
      <c r="T1016" s="10" t="s">
        <v>410</v>
      </c>
    </row>
    <row r="1017" spans="1:20" hidden="1" outlineLevel="1" x14ac:dyDescent="0.3">
      <c r="A1017" s="583" t="s">
        <v>1706</v>
      </c>
      <c r="B1017" s="591">
        <v>16</v>
      </c>
      <c r="C1017" s="583" t="s">
        <v>1564</v>
      </c>
      <c r="D1017" s="583" t="s">
        <v>1507</v>
      </c>
      <c r="E1017" s="592" t="s">
        <v>410</v>
      </c>
      <c r="F1017" s="593" t="s">
        <v>3625</v>
      </c>
      <c r="G1017" s="237" t="s">
        <v>410</v>
      </c>
      <c r="H1017" s="237" t="s">
        <v>410</v>
      </c>
      <c r="I1017" s="237" t="s">
        <v>410</v>
      </c>
      <c r="J1017" s="237" t="s">
        <v>410</v>
      </c>
      <c r="K1017" s="237" t="s">
        <v>410</v>
      </c>
      <c r="L1017" s="237" t="s">
        <v>410</v>
      </c>
      <c r="M1017" s="237" t="s">
        <v>410</v>
      </c>
      <c r="N1017" s="237" t="s">
        <v>410</v>
      </c>
      <c r="O1017" s="237" t="s">
        <v>410</v>
      </c>
      <c r="P1017" s="237" t="s">
        <v>410</v>
      </c>
      <c r="Q1017" s="237" t="s">
        <v>410</v>
      </c>
      <c r="R1017" s="237" t="s">
        <v>410</v>
      </c>
      <c r="S1017" s="10" t="s">
        <v>410</v>
      </c>
      <c r="T1017" s="10" t="s">
        <v>410</v>
      </c>
    </row>
    <row r="1018" spans="1:20" hidden="1" outlineLevel="1" x14ac:dyDescent="0.3">
      <c r="A1018" s="583" t="s">
        <v>1714</v>
      </c>
      <c r="B1018" s="591">
        <v>16</v>
      </c>
      <c r="C1018" s="583" t="s">
        <v>1564</v>
      </c>
      <c r="D1018" s="583" t="s">
        <v>1507</v>
      </c>
      <c r="E1018" s="592" t="s">
        <v>410</v>
      </c>
      <c r="F1018" s="593" t="s">
        <v>5185</v>
      </c>
      <c r="G1018" s="237" t="s">
        <v>410</v>
      </c>
      <c r="H1018" s="237" t="s">
        <v>410</v>
      </c>
      <c r="I1018" s="237" t="s">
        <v>410</v>
      </c>
      <c r="J1018" s="237" t="s">
        <v>410</v>
      </c>
      <c r="K1018" s="237" t="s">
        <v>410</v>
      </c>
      <c r="L1018" s="237" t="s">
        <v>410</v>
      </c>
      <c r="M1018" s="237" t="s">
        <v>410</v>
      </c>
      <c r="N1018" s="237" t="s">
        <v>410</v>
      </c>
      <c r="O1018" s="237" t="s">
        <v>410</v>
      </c>
      <c r="P1018" s="237" t="s">
        <v>410</v>
      </c>
      <c r="Q1018" s="237" t="s">
        <v>410</v>
      </c>
      <c r="R1018" s="237" t="s">
        <v>410</v>
      </c>
      <c r="S1018" s="10" t="s">
        <v>410</v>
      </c>
      <c r="T1018" s="10" t="s">
        <v>410</v>
      </c>
    </row>
    <row r="1019" spans="1:20" hidden="1" outlineLevel="1" x14ac:dyDescent="0.3">
      <c r="A1019" s="583" t="s">
        <v>1681</v>
      </c>
      <c r="B1019" s="591">
        <v>17</v>
      </c>
      <c r="C1019" s="583" t="s">
        <v>1564</v>
      </c>
      <c r="D1019" s="583" t="s">
        <v>1507</v>
      </c>
      <c r="E1019" s="592" t="s">
        <v>410</v>
      </c>
      <c r="F1019" s="593" t="s">
        <v>3623</v>
      </c>
      <c r="G1019" s="237" t="s">
        <v>410</v>
      </c>
      <c r="H1019" s="237" t="s">
        <v>410</v>
      </c>
      <c r="I1019" s="237" t="s">
        <v>410</v>
      </c>
      <c r="J1019" s="237" t="s">
        <v>410</v>
      </c>
      <c r="K1019" s="237" t="s">
        <v>410</v>
      </c>
      <c r="L1019" s="237" t="s">
        <v>410</v>
      </c>
      <c r="M1019" s="237" t="s">
        <v>410</v>
      </c>
      <c r="N1019" s="237" t="s">
        <v>410</v>
      </c>
      <c r="O1019" s="237" t="s">
        <v>410</v>
      </c>
      <c r="P1019" s="237" t="s">
        <v>410</v>
      </c>
      <c r="Q1019" s="237" t="s">
        <v>410</v>
      </c>
      <c r="R1019" s="237" t="s">
        <v>410</v>
      </c>
      <c r="S1019" s="10" t="s">
        <v>410</v>
      </c>
      <c r="T1019" s="10" t="s">
        <v>410</v>
      </c>
    </row>
    <row r="1020" spans="1:20" hidden="1" outlineLevel="1" x14ac:dyDescent="0.3">
      <c r="A1020" s="583" t="s">
        <v>4325</v>
      </c>
      <c r="B1020" s="591">
        <v>17</v>
      </c>
      <c r="C1020" s="583" t="s">
        <v>1564</v>
      </c>
      <c r="D1020" s="583" t="s">
        <v>1507</v>
      </c>
      <c r="E1020" s="592" t="s">
        <v>410</v>
      </c>
      <c r="F1020" s="593" t="s">
        <v>3629</v>
      </c>
      <c r="G1020" s="237" t="s">
        <v>410</v>
      </c>
      <c r="H1020" s="237" t="s">
        <v>410</v>
      </c>
      <c r="I1020" s="237" t="s">
        <v>410</v>
      </c>
      <c r="J1020" s="237" t="s">
        <v>410</v>
      </c>
      <c r="K1020" s="237" t="s">
        <v>410</v>
      </c>
      <c r="L1020" s="237" t="s">
        <v>410</v>
      </c>
      <c r="M1020" s="237" t="s">
        <v>410</v>
      </c>
      <c r="N1020" s="237" t="s">
        <v>410</v>
      </c>
      <c r="O1020" s="237" t="s">
        <v>410</v>
      </c>
      <c r="P1020" s="237" t="s">
        <v>410</v>
      </c>
      <c r="Q1020" s="237" t="s">
        <v>410</v>
      </c>
      <c r="R1020" s="237" t="s">
        <v>410</v>
      </c>
      <c r="S1020" s="10" t="s">
        <v>410</v>
      </c>
      <c r="T1020" s="10" t="s">
        <v>410</v>
      </c>
    </row>
    <row r="1021" spans="1:20" hidden="1" outlineLevel="1" x14ac:dyDescent="0.3">
      <c r="A1021" s="583" t="s">
        <v>1709</v>
      </c>
      <c r="B1021" s="591">
        <v>17</v>
      </c>
      <c r="C1021" s="583" t="s">
        <v>1564</v>
      </c>
      <c r="D1021" s="583" t="s">
        <v>1507</v>
      </c>
      <c r="E1021" s="592" t="s">
        <v>410</v>
      </c>
      <c r="F1021" s="593" t="s">
        <v>3626</v>
      </c>
      <c r="G1021" s="237" t="s">
        <v>410</v>
      </c>
      <c r="H1021" s="237" t="s">
        <v>410</v>
      </c>
      <c r="I1021" s="237" t="s">
        <v>410</v>
      </c>
      <c r="J1021" s="237" t="s">
        <v>410</v>
      </c>
      <c r="K1021" s="237" t="s">
        <v>410</v>
      </c>
      <c r="L1021" s="237" t="s">
        <v>410</v>
      </c>
      <c r="M1021" s="237" t="s">
        <v>410</v>
      </c>
      <c r="N1021" s="237" t="s">
        <v>410</v>
      </c>
      <c r="O1021" s="237" t="s">
        <v>410</v>
      </c>
      <c r="P1021" s="237" t="s">
        <v>410</v>
      </c>
      <c r="Q1021" s="237" t="s">
        <v>410</v>
      </c>
      <c r="R1021" s="237" t="s">
        <v>410</v>
      </c>
      <c r="S1021" s="10" t="s">
        <v>410</v>
      </c>
      <c r="T1021" s="10" t="s">
        <v>410</v>
      </c>
    </row>
    <row r="1022" spans="1:20" collapsed="1" x14ac:dyDescent="0.3">
      <c r="A1022" s="583" t="s">
        <v>3333</v>
      </c>
      <c r="B1022" s="591">
        <v>1</v>
      </c>
      <c r="C1022" s="588" t="s">
        <v>1256</v>
      </c>
      <c r="D1022" s="588" t="s">
        <v>1565</v>
      </c>
      <c r="E1022" s="589" t="s">
        <v>66</v>
      </c>
      <c r="F1022" s="590" t="s">
        <v>5503</v>
      </c>
      <c r="G1022" s="590" t="s">
        <v>3159</v>
      </c>
      <c r="H1022" s="590" t="s">
        <v>3160</v>
      </c>
      <c r="I1022" s="590" t="s">
        <v>3274</v>
      </c>
      <c r="J1022" s="441" t="s">
        <v>410</v>
      </c>
      <c r="K1022" s="441" t="s">
        <v>410</v>
      </c>
      <c r="L1022" s="441" t="s">
        <v>410</v>
      </c>
      <c r="M1022" s="441" t="s">
        <v>410</v>
      </c>
      <c r="N1022" s="441" t="s">
        <v>410</v>
      </c>
      <c r="O1022" s="441" t="s">
        <v>410</v>
      </c>
      <c r="P1022" s="441" t="s">
        <v>410</v>
      </c>
      <c r="Q1022" s="441" t="s">
        <v>410</v>
      </c>
      <c r="R1022" s="441" t="s">
        <v>410</v>
      </c>
      <c r="S1022" s="441" t="s">
        <v>410</v>
      </c>
      <c r="T1022" s="441" t="s">
        <v>410</v>
      </c>
    </row>
    <row r="1023" spans="1:20" hidden="1" outlineLevel="1" x14ac:dyDescent="0.3">
      <c r="A1023" s="583" t="s">
        <v>3087</v>
      </c>
      <c r="B1023" s="591">
        <v>1</v>
      </c>
      <c r="C1023" s="588" t="s">
        <v>1256</v>
      </c>
      <c r="D1023" s="588" t="s">
        <v>1565</v>
      </c>
      <c r="E1023" s="589" t="s">
        <v>410</v>
      </c>
      <c r="F1023" s="594" t="str">
        <f>CONCATENATE(TEXT(4+IF(ZRČ&lt;0,0,ZRČ)*1,"0")," mg")</f>
        <v>4 mg</v>
      </c>
      <c r="G1023" s="594" t="str">
        <f>CONCATENATE(TEXT(5+IF(ZRČ&lt;0,0,ZRČ)*2,"0")," mg")</f>
        <v>5 mg</v>
      </c>
      <c r="H1023" s="594" t="str">
        <f>CONCATENATE(TEXT(7+IF(ZRČ&lt;0,0,ZRČ)*2,"0")," mg")</f>
        <v>7 mg</v>
      </c>
      <c r="I1023" s="594" t="str">
        <f>CONCATENATE(TEXT(9+IF(ZRČ&lt;0,0,ZRČ)*2,"0")," mg")</f>
        <v>9 mg</v>
      </c>
      <c r="J1023" s="594" t="str">
        <f>CONCATENATE(TEXT(9+IF(ZRČ&lt;0,0,ZRČ)*3,"0")," mg")</f>
        <v>9 mg</v>
      </c>
      <c r="K1023" s="594" t="str">
        <f>CONCATENATE(TEXT(10+IF(ZRČ&lt;0,0,ZRČ)*4,"0")," mg")</f>
        <v>10 mg</v>
      </c>
      <c r="L1023" s="594" t="str">
        <f>CONCATENATE(TEXT(13+IF(ZRČ&lt;0,0,ZRČ)*4,"0")," mg")</f>
        <v>13 mg</v>
      </c>
      <c r="M1023" s="594" t="str">
        <f>CONCATENATE(TEXT(16+IF(ZRČ&lt;0,0,ZRČ)*4,"0")," mg")</f>
        <v>16 mg</v>
      </c>
      <c r="N1023" s="594" t="str">
        <f>CONCATENATE(TEXT(19+IF(ZRČ&lt;0,0,ZRČ)*4,"0")," mg")</f>
        <v>19 mg</v>
      </c>
      <c r="O1023" s="594" t="str">
        <f>CONCATENATE(TEXT(21+IF(ZRČ&lt;0,0,ZRČ)*5,"0")," mg")</f>
        <v>21 mg</v>
      </c>
      <c r="P1023" s="441" t="s">
        <v>410</v>
      </c>
      <c r="Q1023" s="441" t="s">
        <v>410</v>
      </c>
      <c r="R1023" s="441" t="s">
        <v>410</v>
      </c>
      <c r="S1023" s="441" t="s">
        <v>410</v>
      </c>
      <c r="T1023" s="441" t="s">
        <v>410</v>
      </c>
    </row>
    <row r="1024" spans="1:20" hidden="1" outlineLevel="1" x14ac:dyDescent="0.3">
      <c r="A1024" s="583" t="s">
        <v>1568</v>
      </c>
      <c r="B1024" s="591">
        <v>1</v>
      </c>
      <c r="C1024" s="588" t="s">
        <v>1256</v>
      </c>
      <c r="D1024" s="588" t="s">
        <v>1565</v>
      </c>
      <c r="E1024" s="589" t="s">
        <v>410</v>
      </c>
      <c r="F1024" s="594" t="str">
        <f>CONCATENATE(TEXT(4+IF(VOL&lt;0,0,VOL)*1,"0")," mg")</f>
        <v>4 mg</v>
      </c>
      <c r="G1024" s="594" t="str">
        <f>CONCATENATE(TEXT(5+IF(VOL&lt;0,0,VOL)*2,"0")," mg")</f>
        <v>5 mg</v>
      </c>
      <c r="H1024" s="594" t="str">
        <f>CONCATENATE(TEXT(7+IF(VOL&lt;0,0,VOL)*2,"0")," mg")</f>
        <v>7 mg</v>
      </c>
      <c r="I1024" s="594" t="str">
        <f>CONCATENATE(TEXT(9+IF(VOL&lt;0,0,VOL)*2,"0")," mg")</f>
        <v>9 mg</v>
      </c>
      <c r="J1024" s="594" t="str">
        <f>CONCATENATE(TEXT(9+IF(VOL&lt;0,0,VOL)*3,"0")," mg")</f>
        <v>9 mg</v>
      </c>
      <c r="K1024" s="594" t="str">
        <f>CONCATENATE(TEXT(10+IF(VOL&lt;0,0,VOL)*4,"0")," mg")</f>
        <v>10 mg</v>
      </c>
      <c r="L1024" s="594" t="str">
        <f>CONCATENATE(TEXT(13+IF(VOL&lt;0,0,VOL)*4,"0")," mg")</f>
        <v>13 mg</v>
      </c>
      <c r="M1024" s="594" t="str">
        <f>CONCATENATE(TEXT(16+IF(VOL&lt;0,0,VOL)*4,"0")," mg")</f>
        <v>16 mg</v>
      </c>
      <c r="N1024" s="594" t="str">
        <f>CONCATENATE(TEXT(19+IF(VOL&lt;0,0,VOL)*4,"0")," mg")</f>
        <v>19 mg</v>
      </c>
      <c r="O1024" s="594" t="str">
        <f>CONCATENATE(TEXT(21+IF(VOL&lt;0,0,VOL)*5,"0")," mg")</f>
        <v>21 mg</v>
      </c>
      <c r="P1024" s="441" t="s">
        <v>410</v>
      </c>
      <c r="Q1024" s="441" t="s">
        <v>410</v>
      </c>
      <c r="R1024" s="441" t="s">
        <v>410</v>
      </c>
      <c r="S1024" s="441" t="s">
        <v>410</v>
      </c>
      <c r="T1024" s="441" t="s">
        <v>410</v>
      </c>
    </row>
    <row r="1025" spans="1:20" hidden="1" outlineLevel="1" x14ac:dyDescent="0.3">
      <c r="A1025" s="583" t="s">
        <v>1573</v>
      </c>
      <c r="B1025" s="591">
        <v>1</v>
      </c>
      <c r="C1025" s="588" t="s">
        <v>1256</v>
      </c>
      <c r="D1025" s="588" t="s">
        <v>1565</v>
      </c>
      <c r="E1025" s="589" t="s">
        <v>410</v>
      </c>
      <c r="F1025" s="594" t="str">
        <f>CONCATENATE(TEXT(4+IF(SIL&lt;0,0,SIL)*1,"0")," mg")</f>
        <v>4 mg</v>
      </c>
      <c r="G1025" s="594" t="str">
        <f>CONCATENATE(TEXT(5+IF(SIL&lt;0,0,SIL)*2,"0")," mg")</f>
        <v>5 mg</v>
      </c>
      <c r="H1025" s="594" t="str">
        <f>CONCATENATE(TEXT(7+IF(SIL&lt;0,0,SIL)*2,"0")," mg")</f>
        <v>7 mg</v>
      </c>
      <c r="I1025" s="594" t="str">
        <f>CONCATENATE(TEXT(9+IF(SIL&lt;0,0,SIL)*2,"0")," mg")</f>
        <v>9 mg</v>
      </c>
      <c r="J1025" s="594" t="str">
        <f>CONCATENATE(TEXT(9+IF(SIL&lt;0,0,SIL)*3,"0")," mg")</f>
        <v>9 mg</v>
      </c>
      <c r="K1025" s="594" t="str">
        <f>CONCATENATE(TEXT(10+IF(SIL&lt;0,0,SIL)*4,"0")," mg")</f>
        <v>10 mg</v>
      </c>
      <c r="L1025" s="594" t="str">
        <f>CONCATENATE(TEXT(13+IF(SIL&lt;0,0,SIL)*4,"0")," mg")</f>
        <v>13 mg</v>
      </c>
      <c r="M1025" s="594" t="str">
        <f>CONCATENATE(TEXT(16+IF(SIL&lt;0,0,SIL)*4,"0")," mg")</f>
        <v>16 mg</v>
      </c>
      <c r="N1025" s="594" t="str">
        <f>CONCATENATE(TEXT(19+IF(SIL&lt;0,0,SIL)*4,"0")," mg")</f>
        <v>19 mg</v>
      </c>
      <c r="O1025" s="594" t="str">
        <f>CONCATENATE(TEXT(21+IF(SIL&lt;0,0,SIL)*5,"0")," mg")</f>
        <v>21 mg</v>
      </c>
      <c r="P1025" s="441" t="s">
        <v>410</v>
      </c>
      <c r="Q1025" s="441" t="s">
        <v>410</v>
      </c>
      <c r="R1025" s="441" t="s">
        <v>410</v>
      </c>
      <c r="S1025" s="441" t="s">
        <v>410</v>
      </c>
      <c r="T1025" s="441" t="s">
        <v>410</v>
      </c>
    </row>
    <row r="1026" spans="1:20" hidden="1" outlineLevel="1" x14ac:dyDescent="0.3">
      <c r="A1026" s="583" t="s">
        <v>1574</v>
      </c>
      <c r="B1026" s="591">
        <v>1</v>
      </c>
      <c r="C1026" s="588" t="s">
        <v>1256</v>
      </c>
      <c r="D1026" s="588" t="s">
        <v>1565</v>
      </c>
      <c r="E1026" s="589" t="s">
        <v>410</v>
      </c>
      <c r="F1026" s="594" t="str">
        <f>CONCATENATE(TEXT(4+IF(CHR&lt;0,0,CHR)*1,"0")," mg")</f>
        <v>4 mg</v>
      </c>
      <c r="G1026" s="594" t="str">
        <f>CONCATENATE(TEXT(5+IF(CHR&lt;0,0,CHR)*2,"0")," mg")</f>
        <v>5 mg</v>
      </c>
      <c r="H1026" s="594" t="str">
        <f>CONCATENATE(TEXT(7+IF(CHR&lt;0,0,CHR)*2,"0")," mg")</f>
        <v>7 mg</v>
      </c>
      <c r="I1026" s="594" t="str">
        <f>CONCATENATE(TEXT(9+IF(CHR&lt;0,0,CHR)*2,"0")," mg")</f>
        <v>9 mg</v>
      </c>
      <c r="J1026" s="594" t="str">
        <f>CONCATENATE(TEXT(9+IF(CHR&lt;0,0,CHR)*3,"0")," mg")</f>
        <v>9 mg</v>
      </c>
      <c r="K1026" s="594" t="str">
        <f>CONCATENATE(TEXT(10+IF(CHR&lt;0,0,CHR)*4,"0")," mg")</f>
        <v>10 mg</v>
      </c>
      <c r="L1026" s="594" t="str">
        <f>CONCATENATE(TEXT(13+IF(CHR&lt;0,0,CHR)*4,"0")," mg")</f>
        <v>13 mg</v>
      </c>
      <c r="M1026" s="594" t="str">
        <f>CONCATENATE(TEXT(16+IF(CHR&lt;0,0,CHR)*4,"0")," mg")</f>
        <v>16 mg</v>
      </c>
      <c r="N1026" s="594" t="str">
        <f>CONCATENATE(TEXT(19+IF(CHR&lt;0,0,CHR)*4,"0")," mg")</f>
        <v>19 mg</v>
      </c>
      <c r="O1026" s="594" t="str">
        <f>CONCATENATE(TEXT(21+IF(CHR&lt;0,0,CHR)*5,"0")," mg")</f>
        <v>21 mg</v>
      </c>
      <c r="P1026" s="441" t="s">
        <v>410</v>
      </c>
      <c r="Q1026" s="441" t="s">
        <v>410</v>
      </c>
      <c r="R1026" s="441" t="s">
        <v>410</v>
      </c>
      <c r="S1026" s="441" t="s">
        <v>410</v>
      </c>
      <c r="T1026" s="441" t="s">
        <v>410</v>
      </c>
    </row>
    <row r="1027" spans="1:20" hidden="1" outlineLevel="1" x14ac:dyDescent="0.3">
      <c r="A1027" s="583" t="s">
        <v>1576</v>
      </c>
      <c r="B1027" s="591">
        <v>1</v>
      </c>
      <c r="C1027" s="588" t="s">
        <v>1256</v>
      </c>
      <c r="D1027" s="588" t="s">
        <v>1565</v>
      </c>
      <c r="E1027" s="589" t="s">
        <v>410</v>
      </c>
      <c r="F1027" s="594" t="str">
        <f>CONCATENATE(TEXT(4+IF(INT&lt;0,0,INT)*1,"0")," mg")</f>
        <v>4 mg</v>
      </c>
      <c r="G1027" s="594" t="str">
        <f>CONCATENATE(TEXT(5+IF(INT&lt;0,0,INT)*2,"0")," mg")</f>
        <v>5 mg</v>
      </c>
      <c r="H1027" s="594" t="str">
        <f>CONCATENATE(TEXT(7+IF(INT&lt;0,0,INT)*2,"0")," mg")</f>
        <v>7 mg</v>
      </c>
      <c r="I1027" s="594" t="str">
        <f>CONCATENATE(TEXT(9+IF(INT&lt;0,0,INT)*2,"0")," mg")</f>
        <v>9 mg</v>
      </c>
      <c r="J1027" s="594" t="str">
        <f>CONCATENATE(TEXT(9+IF(INT&lt;0,0,INT)*3,"0")," mg")</f>
        <v>9 mg</v>
      </c>
      <c r="K1027" s="594" t="str">
        <f>CONCATENATE(TEXT(10+IF(INT&lt;0,0,INT)*4,"0")," mg")</f>
        <v>10 mg</v>
      </c>
      <c r="L1027" s="594" t="str">
        <f>CONCATENATE(TEXT(13+IF(INT&lt;0,0,INT)*4,"0")," mg")</f>
        <v>13 mg</v>
      </c>
      <c r="M1027" s="594" t="str">
        <f>CONCATENATE(TEXT(16+IF(INT&lt;0,0,INT)*4,"0")," mg")</f>
        <v>16 mg</v>
      </c>
      <c r="N1027" s="594" t="str">
        <f>CONCATENATE(TEXT(19+IF(INT&lt;0,0,INT)*4,"0")," mg")</f>
        <v>19 mg</v>
      </c>
      <c r="O1027" s="594" t="str">
        <f>CONCATENATE(TEXT(21+IF(INT&lt;0,0,INT)*5,"0")," mg")</f>
        <v>21 mg</v>
      </c>
      <c r="P1027" s="441" t="s">
        <v>410</v>
      </c>
      <c r="Q1027" s="441" t="s">
        <v>410</v>
      </c>
      <c r="R1027" s="441" t="s">
        <v>410</v>
      </c>
      <c r="S1027" s="441" t="s">
        <v>410</v>
      </c>
      <c r="T1027" s="441" t="s">
        <v>410</v>
      </c>
    </row>
    <row r="1028" spans="1:20" hidden="1" outlineLevel="1" x14ac:dyDescent="0.3">
      <c r="A1028" s="583" t="s">
        <v>2190</v>
      </c>
      <c r="B1028" s="591">
        <v>1</v>
      </c>
      <c r="C1028" s="583" t="s">
        <v>1256</v>
      </c>
      <c r="D1028" s="583" t="s">
        <v>1565</v>
      </c>
      <c r="E1028" s="593" t="s">
        <v>4363</v>
      </c>
      <c r="F1028" s="593" t="s">
        <v>4364</v>
      </c>
      <c r="G1028" s="593" t="s">
        <v>4365</v>
      </c>
      <c r="H1028" s="593" t="s">
        <v>4362</v>
      </c>
      <c r="I1028" s="593" t="s">
        <v>4366</v>
      </c>
      <c r="J1028" s="593" t="s">
        <v>4367</v>
      </c>
      <c r="K1028" s="593" t="s">
        <v>4368</v>
      </c>
      <c r="L1028" s="237" t="s">
        <v>410</v>
      </c>
      <c r="M1028" s="237" t="s">
        <v>410</v>
      </c>
      <c r="N1028" s="237" t="s">
        <v>410</v>
      </c>
      <c r="O1028" s="237" t="s">
        <v>410</v>
      </c>
      <c r="P1028" s="237" t="s">
        <v>410</v>
      </c>
      <c r="Q1028" s="237" t="s">
        <v>410</v>
      </c>
      <c r="R1028" s="237" t="s">
        <v>410</v>
      </c>
      <c r="S1028" s="237" t="s">
        <v>410</v>
      </c>
      <c r="T1028" s="237" t="s">
        <v>410</v>
      </c>
    </row>
    <row r="1029" spans="1:20" hidden="1" outlineLevel="1" x14ac:dyDescent="0.3">
      <c r="A1029" s="583" t="s">
        <v>1637</v>
      </c>
      <c r="B1029" s="591">
        <v>1</v>
      </c>
      <c r="C1029" s="583" t="s">
        <v>1256</v>
      </c>
      <c r="D1029" s="583" t="s">
        <v>1565</v>
      </c>
      <c r="E1029" s="592" t="s">
        <v>410</v>
      </c>
      <c r="F1029" s="593" t="s">
        <v>3320</v>
      </c>
      <c r="G1029" s="593" t="s">
        <v>1543</v>
      </c>
      <c r="H1029" s="593" t="s">
        <v>3321</v>
      </c>
      <c r="I1029" s="593" t="s">
        <v>3322</v>
      </c>
      <c r="J1029" s="593" t="s">
        <v>3323</v>
      </c>
      <c r="K1029" s="593" t="s">
        <v>3324</v>
      </c>
      <c r="L1029" s="593" t="s">
        <v>3325</v>
      </c>
      <c r="M1029" s="593" t="s">
        <v>3326</v>
      </c>
      <c r="N1029" s="237" t="s">
        <v>410</v>
      </c>
      <c r="O1029" s="237" t="s">
        <v>410</v>
      </c>
      <c r="P1029" s="237" t="s">
        <v>410</v>
      </c>
      <c r="Q1029" s="237" t="s">
        <v>410</v>
      </c>
      <c r="R1029" s="237" t="s">
        <v>410</v>
      </c>
      <c r="S1029" s="10" t="s">
        <v>410</v>
      </c>
      <c r="T1029" s="10" t="s">
        <v>410</v>
      </c>
    </row>
    <row r="1030" spans="1:20" hidden="1" outlineLevel="1" x14ac:dyDescent="0.3">
      <c r="A1030" s="583" t="s">
        <v>1720</v>
      </c>
      <c r="B1030" s="591">
        <v>1</v>
      </c>
      <c r="C1030" s="583" t="s">
        <v>1256</v>
      </c>
      <c r="D1030" s="583" t="s">
        <v>1565</v>
      </c>
      <c r="E1030" s="592" t="s">
        <v>410</v>
      </c>
      <c r="F1030" s="593"/>
      <c r="G1030" s="593"/>
      <c r="H1030" s="593"/>
      <c r="I1030" s="593"/>
      <c r="J1030" s="593"/>
      <c r="K1030" s="593"/>
      <c r="L1030" s="237" t="s">
        <v>410</v>
      </c>
      <c r="M1030" s="237" t="s">
        <v>410</v>
      </c>
      <c r="N1030" s="237" t="s">
        <v>410</v>
      </c>
      <c r="O1030" s="237" t="s">
        <v>410</v>
      </c>
      <c r="P1030" s="237" t="s">
        <v>410</v>
      </c>
      <c r="Q1030" s="237" t="s">
        <v>410</v>
      </c>
      <c r="R1030" s="237" t="s">
        <v>410</v>
      </c>
      <c r="S1030" s="10" t="s">
        <v>410</v>
      </c>
      <c r="T1030" s="10" t="s">
        <v>410</v>
      </c>
    </row>
    <row r="1031" spans="1:20" hidden="1" outlineLevel="1" x14ac:dyDescent="0.3">
      <c r="A1031" s="583" t="s">
        <v>1785</v>
      </c>
      <c r="B1031" s="591">
        <v>1</v>
      </c>
      <c r="C1031" s="583" t="s">
        <v>1256</v>
      </c>
      <c r="D1031" s="583" t="s">
        <v>1565</v>
      </c>
      <c r="E1031" s="592">
        <v>0</v>
      </c>
      <c r="F1031" s="592" t="s">
        <v>4324</v>
      </c>
      <c r="G1031" s="592" t="s">
        <v>68</v>
      </c>
      <c r="H1031" s="592" t="s">
        <v>70</v>
      </c>
      <c r="I1031" s="592" t="s">
        <v>72</v>
      </c>
      <c r="J1031" s="237" t="s">
        <v>410</v>
      </c>
      <c r="K1031" s="237" t="s">
        <v>410</v>
      </c>
      <c r="L1031" s="237" t="s">
        <v>410</v>
      </c>
      <c r="M1031" s="237" t="s">
        <v>410</v>
      </c>
      <c r="N1031" s="237" t="s">
        <v>410</v>
      </c>
      <c r="O1031" s="237" t="s">
        <v>410</v>
      </c>
      <c r="P1031" s="237" t="s">
        <v>410</v>
      </c>
      <c r="Q1031" s="237" t="s">
        <v>410</v>
      </c>
      <c r="R1031" s="237" t="s">
        <v>410</v>
      </c>
      <c r="S1031" s="10" t="s">
        <v>410</v>
      </c>
      <c r="T1031" s="10" t="s">
        <v>410</v>
      </c>
    </row>
    <row r="1032" spans="1:20" hidden="1" outlineLevel="1" x14ac:dyDescent="0.3">
      <c r="A1032" s="583" t="s">
        <v>1780</v>
      </c>
      <c r="B1032" s="591">
        <v>1</v>
      </c>
      <c r="C1032" s="583" t="s">
        <v>1256</v>
      </c>
      <c r="D1032" s="583" t="s">
        <v>1565</v>
      </c>
      <c r="E1032" s="592" t="s">
        <v>410</v>
      </c>
      <c r="F1032" s="593" t="s">
        <v>4335</v>
      </c>
      <c r="G1032" s="593" t="s">
        <v>4340</v>
      </c>
      <c r="H1032" s="593" t="s">
        <v>4339</v>
      </c>
      <c r="I1032" s="593" t="s">
        <v>4338</v>
      </c>
      <c r="J1032" s="593" t="s">
        <v>4337</v>
      </c>
      <c r="K1032" s="593" t="s">
        <v>4336</v>
      </c>
      <c r="L1032" s="10" t="s">
        <v>410</v>
      </c>
      <c r="M1032" s="10" t="s">
        <v>410</v>
      </c>
      <c r="N1032" s="10" t="s">
        <v>410</v>
      </c>
      <c r="O1032" s="10" t="s">
        <v>410</v>
      </c>
      <c r="P1032" s="10" t="s">
        <v>410</v>
      </c>
      <c r="Q1032" s="10" t="s">
        <v>410</v>
      </c>
      <c r="R1032" s="10" t="s">
        <v>410</v>
      </c>
      <c r="S1032" s="10" t="s">
        <v>410</v>
      </c>
      <c r="T1032" s="10" t="s">
        <v>410</v>
      </c>
    </row>
    <row r="1033" spans="1:20" hidden="1" outlineLevel="1" x14ac:dyDescent="0.3">
      <c r="A1033" s="583" t="s">
        <v>1892</v>
      </c>
      <c r="B1033" s="591">
        <v>1</v>
      </c>
      <c r="C1033" s="583" t="s">
        <v>1256</v>
      </c>
      <c r="D1033" s="583" t="s">
        <v>1565</v>
      </c>
      <c r="E1033" s="592" t="s">
        <v>410</v>
      </c>
      <c r="F1033" s="593" t="s">
        <v>67</v>
      </c>
      <c r="G1033" s="593" t="s">
        <v>68</v>
      </c>
      <c r="H1033" s="593" t="s">
        <v>70</v>
      </c>
      <c r="I1033" s="594">
        <f>IF(CHR&lt;4,4,CHR)</f>
        <v>4</v>
      </c>
      <c r="J1033" s="237" t="s">
        <v>410</v>
      </c>
      <c r="K1033" s="237" t="s">
        <v>410</v>
      </c>
      <c r="L1033" s="237" t="s">
        <v>410</v>
      </c>
      <c r="M1033" s="237" t="s">
        <v>410</v>
      </c>
      <c r="N1033" s="237" t="s">
        <v>410</v>
      </c>
      <c r="O1033" s="237" t="s">
        <v>410</v>
      </c>
      <c r="P1033" s="237" t="s">
        <v>410</v>
      </c>
      <c r="Q1033" s="237" t="s">
        <v>410</v>
      </c>
      <c r="R1033" s="237" t="s">
        <v>410</v>
      </c>
      <c r="S1033" s="10" t="s">
        <v>410</v>
      </c>
      <c r="T1033" s="10" t="s">
        <v>410</v>
      </c>
    </row>
    <row r="1034" spans="1:20" hidden="1" outlineLevel="1" x14ac:dyDescent="0.3">
      <c r="A1034" s="583" t="s">
        <v>4621</v>
      </c>
      <c r="B1034" s="591">
        <v>1</v>
      </c>
      <c r="C1034" s="583" t="s">
        <v>1256</v>
      </c>
      <c r="D1034" s="583" t="s">
        <v>1565</v>
      </c>
      <c r="E1034" s="594" t="str">
        <f>CONCATENATE("['Mag. spol. I] ",TEXT(Úr,0)," m")</f>
        <v>['Mag. spol. I] 4 m</v>
      </c>
      <c r="F1034" s="594" t="str">
        <f>CONCATENATE(TEXT(Úr*10,0)," m")</f>
        <v>40 m</v>
      </c>
      <c r="G1034" s="594" t="str">
        <f>CONCATENATE(TEXT(Úr*50,0)," m")</f>
        <v>200 m</v>
      </c>
      <c r="H1034" s="594" t="str">
        <f>CONCATENATE(TEXT(Úr*200,0)," m")</f>
        <v>800 m</v>
      </c>
      <c r="I1034" t="s">
        <v>410</v>
      </c>
      <c r="J1034" t="s">
        <v>410</v>
      </c>
      <c r="K1034" t="s">
        <v>410</v>
      </c>
      <c r="L1034" t="s">
        <v>410</v>
      </c>
      <c r="M1034" t="s">
        <v>410</v>
      </c>
      <c r="N1034" t="s">
        <v>410</v>
      </c>
      <c r="O1034" t="s">
        <v>410</v>
      </c>
      <c r="P1034" t="s">
        <v>410</v>
      </c>
      <c r="Q1034" t="s">
        <v>410</v>
      </c>
      <c r="R1034" t="s">
        <v>410</v>
      </c>
      <c r="S1034" t="s">
        <v>410</v>
      </c>
      <c r="T1034" t="s">
        <v>410</v>
      </c>
    </row>
    <row r="1035" spans="1:20" hidden="1" outlineLevel="1" x14ac:dyDescent="0.3">
      <c r="A1035" s="583" t="s">
        <v>1935</v>
      </c>
      <c r="B1035" s="591">
        <v>1</v>
      </c>
      <c r="C1035" s="583" t="s">
        <v>1256</v>
      </c>
      <c r="D1035" s="583" t="s">
        <v>1565</v>
      </c>
      <c r="E1035" s="592" t="s">
        <v>90</v>
      </c>
      <c r="F1035" s="593" t="s">
        <v>3340</v>
      </c>
      <c r="G1035" s="593" t="s">
        <v>3341</v>
      </c>
      <c r="H1035" s="593" t="s">
        <v>3342</v>
      </c>
      <c r="I1035" s="593" t="s">
        <v>3343</v>
      </c>
      <c r="J1035" s="237" t="s">
        <v>410</v>
      </c>
      <c r="K1035" s="237" t="s">
        <v>410</v>
      </c>
      <c r="L1035" s="237" t="s">
        <v>410</v>
      </c>
      <c r="M1035" s="237" t="s">
        <v>410</v>
      </c>
      <c r="N1035" s="237" t="s">
        <v>410</v>
      </c>
      <c r="O1035" s="237" t="s">
        <v>410</v>
      </c>
      <c r="P1035" s="237" t="s">
        <v>410</v>
      </c>
      <c r="Q1035" s="237" t="s">
        <v>410</v>
      </c>
      <c r="R1035" s="237" t="s">
        <v>410</v>
      </c>
      <c r="S1035" s="10" t="s">
        <v>410</v>
      </c>
      <c r="T1035" s="10" t="s">
        <v>410</v>
      </c>
    </row>
    <row r="1036" spans="1:20" hidden="1" outlineLevel="1" x14ac:dyDescent="0.3">
      <c r="A1036" s="583" t="s">
        <v>1950</v>
      </c>
      <c r="B1036" s="591">
        <v>1</v>
      </c>
      <c r="C1036" s="583" t="s">
        <v>1256</v>
      </c>
      <c r="D1036" s="583" t="s">
        <v>1565</v>
      </c>
      <c r="E1036" s="592" t="s">
        <v>66</v>
      </c>
      <c r="F1036" s="593" t="s">
        <v>4361</v>
      </c>
      <c r="G1036" s="593" t="s">
        <v>68</v>
      </c>
      <c r="H1036" s="593" t="s">
        <v>70</v>
      </c>
      <c r="I1036" s="593" t="s">
        <v>72</v>
      </c>
      <c r="J1036" s="237" t="s">
        <v>410</v>
      </c>
      <c r="K1036" s="237" t="s">
        <v>410</v>
      </c>
      <c r="L1036" s="237" t="s">
        <v>410</v>
      </c>
      <c r="M1036" s="237" t="s">
        <v>410</v>
      </c>
      <c r="N1036" s="237" t="s">
        <v>410</v>
      </c>
      <c r="O1036" s="237" t="s">
        <v>410</v>
      </c>
      <c r="P1036" s="237" t="s">
        <v>410</v>
      </c>
      <c r="Q1036" s="237" t="s">
        <v>410</v>
      </c>
      <c r="R1036" s="237" t="s">
        <v>410</v>
      </c>
      <c r="S1036" s="237" t="s">
        <v>410</v>
      </c>
      <c r="T1036" s="237" t="s">
        <v>410</v>
      </c>
    </row>
    <row r="1037" spans="1:20" hidden="1" outlineLevel="1" x14ac:dyDescent="0.3">
      <c r="A1037" s="583" t="s">
        <v>1752</v>
      </c>
      <c r="B1037" s="591">
        <v>2</v>
      </c>
      <c r="C1037" s="583" t="s">
        <v>1256</v>
      </c>
      <c r="D1037" s="583" t="s">
        <v>1565</v>
      </c>
      <c r="E1037" s="592" t="s">
        <v>3073</v>
      </c>
      <c r="F1037" s="593" t="s">
        <v>4377</v>
      </c>
      <c r="G1037" s="593" t="s">
        <v>3335</v>
      </c>
      <c r="H1037" s="593" t="s">
        <v>3336</v>
      </c>
      <c r="I1037" s="593" t="s">
        <v>3337</v>
      </c>
      <c r="J1037" s="593" t="s">
        <v>3338</v>
      </c>
      <c r="K1037" s="237" t="s">
        <v>410</v>
      </c>
      <c r="L1037" s="237" t="s">
        <v>410</v>
      </c>
      <c r="M1037" s="237" t="s">
        <v>410</v>
      </c>
      <c r="N1037" s="237" t="s">
        <v>410</v>
      </c>
      <c r="O1037" s="237" t="s">
        <v>410</v>
      </c>
      <c r="P1037" s="237" t="s">
        <v>410</v>
      </c>
      <c r="Q1037" s="237" t="s">
        <v>410</v>
      </c>
      <c r="R1037" s="237" t="s">
        <v>410</v>
      </c>
      <c r="S1037" s="10" t="s">
        <v>410</v>
      </c>
      <c r="T1037" s="10" t="s">
        <v>410</v>
      </c>
    </row>
    <row r="1038" spans="1:20" hidden="1" outlineLevel="1" x14ac:dyDescent="0.3">
      <c r="A1038" s="583" t="s">
        <v>1890</v>
      </c>
      <c r="B1038" s="591">
        <v>2</v>
      </c>
      <c r="C1038" s="583" t="s">
        <v>1256</v>
      </c>
      <c r="D1038" s="583" t="s">
        <v>1565</v>
      </c>
      <c r="E1038" s="593" t="s">
        <v>2255</v>
      </c>
      <c r="F1038" s="593" t="s">
        <v>2256</v>
      </c>
      <c r="G1038" s="593" t="s">
        <v>2257</v>
      </c>
      <c r="H1038" s="593" t="s">
        <v>2258</v>
      </c>
      <c r="I1038" s="593" t="s">
        <v>2259</v>
      </c>
      <c r="J1038" s="593" t="s">
        <v>2260</v>
      </c>
      <c r="K1038" s="237" t="s">
        <v>410</v>
      </c>
      <c r="L1038" s="237" t="s">
        <v>410</v>
      </c>
      <c r="M1038" s="237" t="s">
        <v>410</v>
      </c>
      <c r="N1038" s="237" t="s">
        <v>410</v>
      </c>
      <c r="O1038" s="237" t="s">
        <v>410</v>
      </c>
      <c r="P1038" s="237" t="s">
        <v>410</v>
      </c>
      <c r="Q1038" s="237" t="s">
        <v>410</v>
      </c>
      <c r="R1038" s="237" t="s">
        <v>410</v>
      </c>
      <c r="S1038" s="10" t="s">
        <v>410</v>
      </c>
      <c r="T1038" s="10" t="s">
        <v>410</v>
      </c>
    </row>
    <row r="1039" spans="1:20" hidden="1" outlineLevel="1" x14ac:dyDescent="0.3">
      <c r="A1039" s="583" t="s">
        <v>3033</v>
      </c>
      <c r="B1039" s="591">
        <v>2</v>
      </c>
      <c r="C1039" s="583" t="s">
        <v>1256</v>
      </c>
      <c r="D1039" s="583" t="s">
        <v>1565</v>
      </c>
      <c r="E1039" s="593" t="s">
        <v>3034</v>
      </c>
      <c r="F1039" s="593" t="s">
        <v>3035</v>
      </c>
      <c r="G1039" s="593" t="s">
        <v>3036</v>
      </c>
      <c r="H1039" s="593" t="s">
        <v>3038</v>
      </c>
      <c r="I1039" s="593" t="s">
        <v>3037</v>
      </c>
      <c r="J1039" s="237" t="s">
        <v>410</v>
      </c>
      <c r="K1039" s="237" t="s">
        <v>410</v>
      </c>
      <c r="L1039" s="237" t="s">
        <v>410</v>
      </c>
      <c r="M1039" s="237" t="s">
        <v>410</v>
      </c>
      <c r="N1039" s="237" t="s">
        <v>410</v>
      </c>
      <c r="O1039" s="237" t="s">
        <v>410</v>
      </c>
      <c r="P1039" s="237" t="s">
        <v>410</v>
      </c>
      <c r="Q1039" s="237" t="s">
        <v>410</v>
      </c>
      <c r="R1039" s="237" t="s">
        <v>410</v>
      </c>
      <c r="S1039" s="10" t="s">
        <v>410</v>
      </c>
      <c r="T1039" s="10" t="s">
        <v>410</v>
      </c>
    </row>
    <row r="1040" spans="1:20" hidden="1" outlineLevel="1" x14ac:dyDescent="0.3">
      <c r="A1040" s="583" t="s">
        <v>1995</v>
      </c>
      <c r="B1040" s="591">
        <v>3</v>
      </c>
      <c r="C1040" s="583" t="s">
        <v>1256</v>
      </c>
      <c r="D1040" s="583" t="s">
        <v>1565</v>
      </c>
      <c r="E1040" s="237" t="s">
        <v>410</v>
      </c>
      <c r="F1040" s="593" t="s">
        <v>1525</v>
      </c>
      <c r="G1040" s="593" t="s">
        <v>3316</v>
      </c>
      <c r="H1040" s="593" t="s">
        <v>3317</v>
      </c>
      <c r="I1040" s="593" t="s">
        <v>3318</v>
      </c>
      <c r="J1040" s="593" t="s">
        <v>3319</v>
      </c>
      <c r="K1040" s="237" t="s">
        <v>410</v>
      </c>
      <c r="L1040" s="237" t="s">
        <v>410</v>
      </c>
      <c r="M1040" s="237" t="s">
        <v>410</v>
      </c>
      <c r="N1040" s="237" t="s">
        <v>410</v>
      </c>
      <c r="O1040" s="237" t="s">
        <v>410</v>
      </c>
      <c r="P1040" s="237" t="s">
        <v>410</v>
      </c>
      <c r="Q1040" s="237" t="s">
        <v>410</v>
      </c>
      <c r="R1040" s="237" t="s">
        <v>410</v>
      </c>
      <c r="S1040" s="237" t="s">
        <v>410</v>
      </c>
      <c r="T1040" s="237" t="s">
        <v>410</v>
      </c>
    </row>
    <row r="1041" spans="1:20" hidden="1" outlineLevel="1" x14ac:dyDescent="0.3">
      <c r="A1041" s="583" t="s">
        <v>1845</v>
      </c>
      <c r="B1041" s="591">
        <v>5</v>
      </c>
      <c r="C1041" s="583" t="s">
        <v>1256</v>
      </c>
      <c r="D1041" s="583" t="s">
        <v>1565</v>
      </c>
      <c r="E1041" s="10" t="s">
        <v>410</v>
      </c>
      <c r="F1041" s="593" t="s">
        <v>3311</v>
      </c>
      <c r="G1041" s="593" t="s">
        <v>3312</v>
      </c>
      <c r="H1041" s="593" t="s">
        <v>3313</v>
      </c>
      <c r="I1041" s="593" t="s">
        <v>3314</v>
      </c>
      <c r="J1041" s="593" t="s">
        <v>3315</v>
      </c>
      <c r="K1041" s="237" t="s">
        <v>410</v>
      </c>
      <c r="L1041" s="237" t="s">
        <v>410</v>
      </c>
      <c r="M1041" s="237" t="s">
        <v>410</v>
      </c>
      <c r="N1041" s="237" t="s">
        <v>410</v>
      </c>
      <c r="O1041" s="237" t="s">
        <v>410</v>
      </c>
      <c r="P1041" s="237" t="s">
        <v>410</v>
      </c>
      <c r="Q1041" s="237" t="s">
        <v>410</v>
      </c>
      <c r="R1041" s="237" t="s">
        <v>410</v>
      </c>
      <c r="S1041" s="10" t="s">
        <v>410</v>
      </c>
      <c r="T1041" s="10" t="s">
        <v>410</v>
      </c>
    </row>
    <row r="1042" spans="1:20" hidden="1" outlineLevel="1" x14ac:dyDescent="0.3">
      <c r="A1042" s="583" t="s">
        <v>5694</v>
      </c>
      <c r="B1042" s="591">
        <v>6</v>
      </c>
      <c r="C1042" s="588" t="s">
        <v>1256</v>
      </c>
      <c r="D1042" s="588" t="s">
        <v>1565</v>
      </c>
      <c r="E1042" s="589" t="s">
        <v>410</v>
      </c>
      <c r="F1042" s="594" t="str">
        <f>CONCATENATE(TEXT(4+IF(ZRČ&lt;0,0,ZRČ)*1,"0")," mg")</f>
        <v>4 mg</v>
      </c>
      <c r="G1042" s="594" t="str">
        <f>CONCATENATE(TEXT(5+IF(ZRČ&lt;0,0,ZRČ)*2,"0")," mg")</f>
        <v>5 mg</v>
      </c>
      <c r="H1042" s="594" t="str">
        <f>CONCATENATE(TEXT(7+IF(ZRČ&lt;0,0,ZRČ)*2,"0")," mg")</f>
        <v>7 mg</v>
      </c>
      <c r="I1042" s="594" t="str">
        <f>CONCATENATE(TEXT(9+IF(ZRČ&lt;0,0,ZRČ)*2,"0")," mg")</f>
        <v>9 mg</v>
      </c>
      <c r="J1042" s="594" t="str">
        <f>CONCATENATE(TEXT(9+IF(ZRČ&lt;0,0,ZRČ)*3,"0")," mg")</f>
        <v>9 mg</v>
      </c>
      <c r="K1042" s="594" t="str">
        <f>CONCATENATE(TEXT(10+IF(ZRČ&lt;0,0,ZRČ)*4,"0")," mg")</f>
        <v>10 mg</v>
      </c>
      <c r="L1042" s="594" t="str">
        <f>CONCATENATE(TEXT(13+IF(ZRČ&lt;0,0,ZRČ)*4,"0")," mg")</f>
        <v>13 mg</v>
      </c>
      <c r="M1042" s="594" t="str">
        <f>CONCATENATE(TEXT(16+IF(ZRČ&lt;0,0,ZRČ)*4,"0")," mg")</f>
        <v>16 mg</v>
      </c>
      <c r="N1042" s="594" t="str">
        <f>CONCATENATE(TEXT(19+IF(ZRČ&lt;0,0,ZRČ)*4,"0")," mg")</f>
        <v>19 mg</v>
      </c>
      <c r="O1042" s="594" t="str">
        <f>CONCATENATE(TEXT(21+IF(ZRČ&lt;0,0,ZRČ)*5,"0")," mg")</f>
        <v>21 mg</v>
      </c>
      <c r="P1042" s="441" t="s">
        <v>410</v>
      </c>
      <c r="Q1042" s="441" t="s">
        <v>410</v>
      </c>
      <c r="R1042" s="441" t="s">
        <v>410</v>
      </c>
      <c r="S1042" s="441" t="s">
        <v>410</v>
      </c>
      <c r="T1042" s="441" t="s">
        <v>410</v>
      </c>
    </row>
    <row r="1043" spans="1:20" hidden="1" outlineLevel="1" x14ac:dyDescent="0.3">
      <c r="A1043" s="583" t="s">
        <v>4379</v>
      </c>
      <c r="B1043" s="591">
        <v>6</v>
      </c>
      <c r="C1043" s="583" t="s">
        <v>1256</v>
      </c>
      <c r="D1043" s="583" t="s">
        <v>1565</v>
      </c>
      <c r="E1043" s="592" t="s">
        <v>410</v>
      </c>
      <c r="F1043" s="593" t="s">
        <v>67</v>
      </c>
      <c r="G1043" s="593" t="s">
        <v>4382</v>
      </c>
      <c r="H1043" s="593" t="s">
        <v>4383</v>
      </c>
      <c r="I1043" s="593" t="s">
        <v>4384</v>
      </c>
      <c r="J1043" s="237" t="s">
        <v>410</v>
      </c>
      <c r="K1043" s="237" t="s">
        <v>410</v>
      </c>
      <c r="L1043" s="237" t="s">
        <v>410</v>
      </c>
      <c r="M1043" s="237" t="s">
        <v>410</v>
      </c>
      <c r="N1043" s="237" t="s">
        <v>410</v>
      </c>
      <c r="O1043" s="237" t="s">
        <v>410</v>
      </c>
      <c r="P1043" s="237" t="s">
        <v>410</v>
      </c>
      <c r="Q1043" s="237" t="s">
        <v>410</v>
      </c>
      <c r="R1043" s="237" t="s">
        <v>410</v>
      </c>
      <c r="S1043" s="10" t="s">
        <v>410</v>
      </c>
      <c r="T1043" s="10" t="s">
        <v>410</v>
      </c>
    </row>
    <row r="1044" spans="1:20" hidden="1" outlineLevel="1" x14ac:dyDescent="0.3">
      <c r="A1044" s="583" t="s">
        <v>1920</v>
      </c>
      <c r="B1044" s="591">
        <v>6</v>
      </c>
      <c r="C1044" s="583" t="s">
        <v>1256</v>
      </c>
      <c r="D1044" s="583" t="s">
        <v>1565</v>
      </c>
      <c r="E1044" s="10" t="s">
        <v>410</v>
      </c>
      <c r="F1044" s="593" t="s">
        <v>67</v>
      </c>
      <c r="G1044" s="593" t="s">
        <v>68</v>
      </c>
      <c r="H1044" s="593" t="s">
        <v>70</v>
      </c>
      <c r="I1044" s="593" t="s">
        <v>72</v>
      </c>
      <c r="J1044" s="237" t="s">
        <v>410</v>
      </c>
      <c r="K1044" s="237" t="s">
        <v>410</v>
      </c>
      <c r="L1044" s="237" t="s">
        <v>410</v>
      </c>
      <c r="M1044" s="237" t="s">
        <v>410</v>
      </c>
      <c r="N1044" s="237" t="s">
        <v>410</v>
      </c>
      <c r="O1044" s="237" t="s">
        <v>410</v>
      </c>
      <c r="P1044" s="237" t="s">
        <v>410</v>
      </c>
      <c r="Q1044" s="237" t="s">
        <v>410</v>
      </c>
      <c r="R1044" s="237" t="s">
        <v>410</v>
      </c>
      <c r="S1044" s="10" t="s">
        <v>410</v>
      </c>
      <c r="T1044" s="10" t="s">
        <v>410</v>
      </c>
    </row>
    <row r="1045" spans="1:20" hidden="1" outlineLevel="1" x14ac:dyDescent="0.3">
      <c r="A1045" s="583" t="s">
        <v>1952</v>
      </c>
      <c r="B1045" s="591">
        <v>6</v>
      </c>
      <c r="C1045" s="583" t="s">
        <v>1256</v>
      </c>
      <c r="D1045" s="583" t="s">
        <v>1565</v>
      </c>
      <c r="E1045" s="237" t="s">
        <v>410</v>
      </c>
      <c r="F1045" s="593" t="s">
        <v>66</v>
      </c>
      <c r="G1045" s="593" t="s">
        <v>68</v>
      </c>
      <c r="H1045" s="594" t="str">
        <f>CONCATENATE("+",TEXT(IF(CHR&gt;3,CHR,3),0))</f>
        <v>+3</v>
      </c>
      <c r="I1045" s="237" t="s">
        <v>410</v>
      </c>
      <c r="J1045" s="237" t="s">
        <v>410</v>
      </c>
      <c r="K1045" s="237" t="s">
        <v>410</v>
      </c>
      <c r="L1045" s="237" t="s">
        <v>410</v>
      </c>
      <c r="M1045" s="237" t="s">
        <v>410</v>
      </c>
      <c r="N1045" s="237" t="s">
        <v>410</v>
      </c>
      <c r="O1045" s="237" t="s">
        <v>410</v>
      </c>
      <c r="P1045" s="237" t="s">
        <v>410</v>
      </c>
      <c r="Q1045" s="237" t="s">
        <v>410</v>
      </c>
      <c r="R1045" s="237" t="s">
        <v>410</v>
      </c>
      <c r="S1045" s="237" t="s">
        <v>410</v>
      </c>
      <c r="T1045" s="237" t="s">
        <v>410</v>
      </c>
    </row>
    <row r="1046" spans="1:20" hidden="1" outlineLevel="1" x14ac:dyDescent="0.3">
      <c r="A1046" s="583" t="s">
        <v>1988</v>
      </c>
      <c r="B1046" s="591">
        <v>6</v>
      </c>
      <c r="C1046" s="583" t="s">
        <v>1256</v>
      </c>
      <c r="D1046" s="583" t="s">
        <v>1565</v>
      </c>
      <c r="E1046" s="593" t="s">
        <v>1989</v>
      </c>
      <c r="F1046" s="593" t="s">
        <v>1816</v>
      </c>
      <c r="G1046" s="593" t="s">
        <v>1817</v>
      </c>
      <c r="H1046" s="593" t="s">
        <v>1818</v>
      </c>
      <c r="I1046" s="593" t="s">
        <v>3332</v>
      </c>
      <c r="J1046" s="237" t="s">
        <v>410</v>
      </c>
      <c r="K1046" s="237" t="s">
        <v>410</v>
      </c>
      <c r="L1046" s="237" t="s">
        <v>410</v>
      </c>
      <c r="M1046" s="237" t="s">
        <v>410</v>
      </c>
      <c r="N1046" s="237" t="s">
        <v>410</v>
      </c>
      <c r="O1046" s="237" t="s">
        <v>410</v>
      </c>
      <c r="P1046" s="237" t="s">
        <v>410</v>
      </c>
      <c r="Q1046" s="237" t="s">
        <v>410</v>
      </c>
      <c r="R1046" s="237" t="s">
        <v>410</v>
      </c>
      <c r="S1046" s="237" t="s">
        <v>410</v>
      </c>
      <c r="T1046" s="237" t="s">
        <v>410</v>
      </c>
    </row>
    <row r="1047" spans="1:20" hidden="1" outlineLevel="1" x14ac:dyDescent="0.3">
      <c r="A1047" s="583" t="s">
        <v>1719</v>
      </c>
      <c r="B1047" s="591">
        <v>11</v>
      </c>
      <c r="C1047" s="583" t="s">
        <v>1256</v>
      </c>
      <c r="D1047" s="583" t="s">
        <v>1565</v>
      </c>
      <c r="E1047" s="592" t="s">
        <v>410</v>
      </c>
      <c r="F1047" s="237"/>
      <c r="G1047" s="237"/>
      <c r="H1047" s="237"/>
      <c r="I1047" s="237"/>
      <c r="J1047" s="237"/>
      <c r="K1047" s="237"/>
      <c r="L1047" s="237"/>
      <c r="M1047" s="237"/>
      <c r="N1047" s="237" t="s">
        <v>410</v>
      </c>
      <c r="O1047" s="237" t="s">
        <v>410</v>
      </c>
      <c r="P1047" s="237" t="s">
        <v>410</v>
      </c>
      <c r="Q1047" s="237" t="s">
        <v>410</v>
      </c>
      <c r="R1047" s="237" t="s">
        <v>410</v>
      </c>
      <c r="S1047" s="10" t="s">
        <v>410</v>
      </c>
      <c r="T1047" s="10" t="s">
        <v>410</v>
      </c>
    </row>
    <row r="1048" spans="1:20" hidden="1" outlineLevel="1" x14ac:dyDescent="0.3">
      <c r="A1048" s="583" t="s">
        <v>1721</v>
      </c>
      <c r="B1048" s="591">
        <v>16</v>
      </c>
      <c r="C1048" s="583" t="s">
        <v>1256</v>
      </c>
      <c r="D1048" s="583" t="s">
        <v>1565</v>
      </c>
      <c r="E1048" s="592" t="s">
        <v>410</v>
      </c>
      <c r="F1048" s="593"/>
      <c r="G1048" s="593"/>
      <c r="H1048" s="593"/>
      <c r="I1048" s="593"/>
      <c r="J1048" s="593"/>
      <c r="K1048" s="593"/>
      <c r="L1048" s="237" t="s">
        <v>410</v>
      </c>
      <c r="M1048" s="237" t="s">
        <v>410</v>
      </c>
      <c r="N1048" s="237" t="s">
        <v>410</v>
      </c>
      <c r="O1048" s="237" t="s">
        <v>410</v>
      </c>
      <c r="P1048" s="237" t="s">
        <v>410</v>
      </c>
      <c r="Q1048" s="237" t="s">
        <v>410</v>
      </c>
      <c r="R1048" s="237" t="s">
        <v>410</v>
      </c>
      <c r="S1048" s="10" t="s">
        <v>410</v>
      </c>
      <c r="T1048" s="10" t="s">
        <v>410</v>
      </c>
    </row>
    <row r="1049" spans="1:20" hidden="1" outlineLevel="1" x14ac:dyDescent="0.3">
      <c r="A1049" s="583" t="s">
        <v>1734</v>
      </c>
      <c r="B1049" s="591">
        <v>16</v>
      </c>
      <c r="C1049" s="583" t="s">
        <v>1256</v>
      </c>
      <c r="D1049" s="583" t="s">
        <v>1565</v>
      </c>
      <c r="E1049" s="592" t="s">
        <v>410</v>
      </c>
      <c r="F1049" s="593" t="s">
        <v>3309</v>
      </c>
      <c r="G1049" s="593" t="s">
        <v>2232</v>
      </c>
      <c r="H1049" s="593" t="s">
        <v>2206</v>
      </c>
      <c r="I1049" s="593" t="s">
        <v>2207</v>
      </c>
      <c r="J1049" s="593" t="s">
        <v>3310</v>
      </c>
      <c r="K1049" s="237" t="s">
        <v>410</v>
      </c>
      <c r="L1049" s="237" t="s">
        <v>410</v>
      </c>
      <c r="M1049" s="237" t="s">
        <v>410</v>
      </c>
      <c r="N1049" s="237" t="s">
        <v>410</v>
      </c>
      <c r="O1049" s="237" t="s">
        <v>410</v>
      </c>
      <c r="P1049" s="237" t="s">
        <v>410</v>
      </c>
      <c r="Q1049" s="237" t="s">
        <v>410</v>
      </c>
      <c r="R1049" s="237" t="s">
        <v>410</v>
      </c>
      <c r="S1049" s="10" t="s">
        <v>410</v>
      </c>
      <c r="T1049" s="10" t="s">
        <v>410</v>
      </c>
    </row>
    <row r="1050" spans="1:20" hidden="1" outlineLevel="1" x14ac:dyDescent="0.3">
      <c r="A1050" s="583" t="s">
        <v>1853</v>
      </c>
      <c r="B1050" s="591">
        <v>16</v>
      </c>
      <c r="C1050" s="583" t="s">
        <v>1256</v>
      </c>
      <c r="D1050" s="583" t="s">
        <v>1565</v>
      </c>
      <c r="E1050" s="592" t="s">
        <v>410</v>
      </c>
      <c r="F1050" s="593" t="s">
        <v>1854</v>
      </c>
      <c r="G1050" s="593" t="s">
        <v>1855</v>
      </c>
      <c r="H1050" s="593" t="s">
        <v>1856</v>
      </c>
      <c r="I1050" s="593" t="s">
        <v>1857</v>
      </c>
      <c r="J1050" s="593" t="s">
        <v>410</v>
      </c>
      <c r="K1050" s="237" t="s">
        <v>410</v>
      </c>
      <c r="L1050" s="237" t="s">
        <v>410</v>
      </c>
      <c r="M1050" s="237" t="s">
        <v>410</v>
      </c>
      <c r="N1050" s="237" t="s">
        <v>410</v>
      </c>
      <c r="O1050" s="237" t="s">
        <v>410</v>
      </c>
      <c r="P1050" s="237" t="s">
        <v>410</v>
      </c>
      <c r="Q1050" s="237" t="s">
        <v>410</v>
      </c>
      <c r="R1050" s="237" t="s">
        <v>410</v>
      </c>
      <c r="S1050" s="10" t="s">
        <v>410</v>
      </c>
      <c r="T1050" s="10" t="s">
        <v>410</v>
      </c>
    </row>
    <row r="1051" spans="1:20" hidden="1" outlineLevel="1" x14ac:dyDescent="0.3">
      <c r="A1051" s="583" t="s">
        <v>3339</v>
      </c>
      <c r="B1051" s="591">
        <v>16</v>
      </c>
      <c r="C1051" s="583" t="s">
        <v>1256</v>
      </c>
      <c r="D1051" s="583" t="s">
        <v>1565</v>
      </c>
      <c r="E1051" s="592" t="s">
        <v>410</v>
      </c>
      <c r="F1051" s="593" t="s">
        <v>1854</v>
      </c>
      <c r="G1051" s="593" t="s">
        <v>1855</v>
      </c>
      <c r="H1051" s="593" t="s">
        <v>1856</v>
      </c>
      <c r="I1051" s="593" t="s">
        <v>1857</v>
      </c>
      <c r="J1051" s="593" t="s">
        <v>410</v>
      </c>
      <c r="K1051" s="237" t="s">
        <v>410</v>
      </c>
      <c r="L1051" s="237" t="s">
        <v>410</v>
      </c>
      <c r="M1051" s="237" t="s">
        <v>410</v>
      </c>
      <c r="N1051" s="237" t="s">
        <v>410</v>
      </c>
      <c r="O1051" s="237" t="s">
        <v>410</v>
      </c>
      <c r="P1051" s="237" t="s">
        <v>410</v>
      </c>
      <c r="Q1051" s="237" t="s">
        <v>410</v>
      </c>
      <c r="R1051" s="237" t="s">
        <v>410</v>
      </c>
      <c r="S1051" s="10" t="s">
        <v>410</v>
      </c>
      <c r="T1051" s="10" t="s">
        <v>410</v>
      </c>
    </row>
    <row r="1052" spans="1:20" hidden="1" outlineLevel="1" x14ac:dyDescent="0.3">
      <c r="A1052" s="583" t="s">
        <v>1891</v>
      </c>
      <c r="B1052" s="591">
        <v>16</v>
      </c>
      <c r="C1052" s="583" t="s">
        <v>1256</v>
      </c>
      <c r="D1052" s="583" t="s">
        <v>1565</v>
      </c>
      <c r="E1052" s="592" t="s">
        <v>410</v>
      </c>
      <c r="F1052" s="593" t="s">
        <v>3327</v>
      </c>
      <c r="G1052" s="593" t="s">
        <v>3328</v>
      </c>
      <c r="H1052" s="593" t="s">
        <v>3329</v>
      </c>
      <c r="I1052" s="593" t="s">
        <v>3330</v>
      </c>
      <c r="J1052" s="593" t="s">
        <v>410</v>
      </c>
      <c r="K1052" s="593" t="s">
        <v>410</v>
      </c>
      <c r="L1052" s="237" t="s">
        <v>410</v>
      </c>
      <c r="M1052" s="237" t="s">
        <v>410</v>
      </c>
      <c r="N1052" s="237" t="s">
        <v>410</v>
      </c>
      <c r="O1052" s="237" t="s">
        <v>410</v>
      </c>
      <c r="P1052" s="237" t="s">
        <v>410</v>
      </c>
      <c r="Q1052" s="237" t="s">
        <v>410</v>
      </c>
      <c r="R1052" s="237" t="s">
        <v>410</v>
      </c>
      <c r="S1052" s="10" t="s">
        <v>410</v>
      </c>
      <c r="T1052" s="10" t="s">
        <v>410</v>
      </c>
    </row>
    <row r="1053" spans="1:20" hidden="1" outlineLevel="1" x14ac:dyDescent="0.3">
      <c r="A1053" s="583" t="s">
        <v>3331</v>
      </c>
      <c r="B1053" s="591">
        <v>16</v>
      </c>
      <c r="C1053" s="583" t="s">
        <v>1256</v>
      </c>
      <c r="D1053" s="583" t="s">
        <v>1565</v>
      </c>
      <c r="E1053" s="592" t="s">
        <v>410</v>
      </c>
      <c r="F1053" s="592" t="s">
        <v>5533</v>
      </c>
      <c r="G1053" s="592" t="s">
        <v>5534</v>
      </c>
      <c r="H1053" s="592" t="s">
        <v>5535</v>
      </c>
      <c r="I1053" t="s">
        <v>410</v>
      </c>
      <c r="J1053" t="s">
        <v>410</v>
      </c>
      <c r="K1053" t="s">
        <v>410</v>
      </c>
      <c r="L1053" t="s">
        <v>410</v>
      </c>
      <c r="M1053" t="s">
        <v>410</v>
      </c>
      <c r="N1053" t="s">
        <v>410</v>
      </c>
      <c r="O1053" t="s">
        <v>410</v>
      </c>
      <c r="P1053" t="s">
        <v>410</v>
      </c>
      <c r="Q1053" t="s">
        <v>410</v>
      </c>
      <c r="R1053" t="s">
        <v>410</v>
      </c>
      <c r="S1053" t="s">
        <v>410</v>
      </c>
      <c r="T1053" t="s">
        <v>410</v>
      </c>
    </row>
    <row r="1054" spans="1:20" hidden="1" outlineLevel="1" x14ac:dyDescent="0.3">
      <c r="A1054" s="583" t="s">
        <v>1951</v>
      </c>
      <c r="B1054" s="591">
        <v>16</v>
      </c>
      <c r="C1054" s="583" t="s">
        <v>1256</v>
      </c>
      <c r="D1054" s="583" t="s">
        <v>1565</v>
      </c>
      <c r="E1054" s="593" t="s">
        <v>410</v>
      </c>
      <c r="F1054" s="594" t="str">
        <f>CONCATENATE(TEXT(bÚr,0)," s")</f>
        <v>1 s</v>
      </c>
      <c r="G1054" s="594" t="str">
        <f>CONCATENATE(TEXT(bÚr+2,0)," s")</f>
        <v>3 s</v>
      </c>
      <c r="H1054" s="594" t="str">
        <f>CONCATENATE(TEXT(bÚr+4,0)," s")</f>
        <v>5 s</v>
      </c>
      <c r="I1054" s="594" t="str">
        <f>CONCATENATE(TEXT(bÚr+7,0)," s")</f>
        <v>8 s</v>
      </c>
      <c r="J1054" s="594" t="str">
        <f>CONCATENATE(TEXT(bÚr+10,0)," s")</f>
        <v>11 s</v>
      </c>
      <c r="K1054" s="237" t="s">
        <v>410</v>
      </c>
      <c r="L1054" s="237" t="s">
        <v>410</v>
      </c>
      <c r="M1054" s="237" t="s">
        <v>410</v>
      </c>
      <c r="N1054" s="237" t="s">
        <v>410</v>
      </c>
      <c r="O1054" s="237" t="s">
        <v>410</v>
      </c>
      <c r="P1054" s="237" t="s">
        <v>410</v>
      </c>
      <c r="Q1054" s="237" t="s">
        <v>410</v>
      </c>
      <c r="R1054" s="237" t="s">
        <v>410</v>
      </c>
      <c r="S1054" s="237" t="s">
        <v>410</v>
      </c>
      <c r="T1054" s="237" t="s">
        <v>410</v>
      </c>
    </row>
    <row r="1055" spans="1:20" hidden="1" outlineLevel="1" x14ac:dyDescent="0.3">
      <c r="A1055" s="583" t="s">
        <v>2066</v>
      </c>
      <c r="B1055" s="591">
        <v>0</v>
      </c>
      <c r="C1055" s="583" t="s">
        <v>1564</v>
      </c>
      <c r="D1055" s="583" t="s">
        <v>1565</v>
      </c>
      <c r="F1055" t="s">
        <v>410</v>
      </c>
      <c r="G1055" t="s">
        <v>410</v>
      </c>
      <c r="H1055" t="s">
        <v>410</v>
      </c>
      <c r="I1055" t="s">
        <v>410</v>
      </c>
      <c r="J1055" t="s">
        <v>410</v>
      </c>
      <c r="K1055" t="s">
        <v>410</v>
      </c>
      <c r="L1055" t="s">
        <v>410</v>
      </c>
      <c r="M1055" t="s">
        <v>410</v>
      </c>
      <c r="N1055" t="s">
        <v>410</v>
      </c>
      <c r="O1055" t="s">
        <v>410</v>
      </c>
      <c r="P1055" t="s">
        <v>410</v>
      </c>
      <c r="Q1055" t="s">
        <v>410</v>
      </c>
      <c r="R1055" t="s">
        <v>410</v>
      </c>
      <c r="S1055" t="s">
        <v>410</v>
      </c>
      <c r="T1055" t="s">
        <v>410</v>
      </c>
    </row>
    <row r="1056" spans="1:20" hidden="1" outlineLevel="1" x14ac:dyDescent="0.3">
      <c r="A1056" s="583" t="s">
        <v>584</v>
      </c>
      <c r="B1056" s="591">
        <v>0</v>
      </c>
      <c r="C1056" s="583" t="s">
        <v>1564</v>
      </c>
      <c r="D1056" s="583" t="s">
        <v>1565</v>
      </c>
      <c r="E1056" s="592"/>
      <c r="F1056" t="s">
        <v>410</v>
      </c>
      <c r="G1056" t="s">
        <v>410</v>
      </c>
      <c r="H1056" t="s">
        <v>410</v>
      </c>
      <c r="I1056" t="s">
        <v>410</v>
      </c>
      <c r="J1056" t="s">
        <v>410</v>
      </c>
      <c r="K1056" t="s">
        <v>410</v>
      </c>
      <c r="L1056" t="s">
        <v>410</v>
      </c>
      <c r="M1056" t="s">
        <v>410</v>
      </c>
      <c r="N1056" t="s">
        <v>410</v>
      </c>
      <c r="O1056" t="s">
        <v>410</v>
      </c>
      <c r="P1056" t="s">
        <v>410</v>
      </c>
      <c r="Q1056" t="s">
        <v>410</v>
      </c>
      <c r="R1056" t="s">
        <v>410</v>
      </c>
      <c r="S1056" t="s">
        <v>410</v>
      </c>
      <c r="T1056" t="s">
        <v>410</v>
      </c>
    </row>
    <row r="1057" spans="1:20" hidden="1" outlineLevel="1" x14ac:dyDescent="0.3">
      <c r="A1057" s="583" t="s">
        <v>4378</v>
      </c>
      <c r="B1057" s="591">
        <v>0</v>
      </c>
      <c r="C1057" s="583" t="s">
        <v>1564</v>
      </c>
      <c r="D1057" s="583" t="s">
        <v>1565</v>
      </c>
      <c r="E1057" s="592"/>
      <c r="F1057" s="237" t="s">
        <v>410</v>
      </c>
      <c r="G1057" s="237" t="s">
        <v>410</v>
      </c>
      <c r="H1057" s="237" t="s">
        <v>410</v>
      </c>
      <c r="I1057" s="237" t="s">
        <v>410</v>
      </c>
      <c r="J1057" s="237" t="s">
        <v>410</v>
      </c>
      <c r="K1057" s="237" t="s">
        <v>410</v>
      </c>
      <c r="L1057" s="237" t="s">
        <v>410</v>
      </c>
      <c r="M1057" s="237" t="s">
        <v>410</v>
      </c>
      <c r="N1057" s="237" t="s">
        <v>410</v>
      </c>
      <c r="O1057" s="237" t="s">
        <v>410</v>
      </c>
      <c r="P1057" s="237" t="s">
        <v>410</v>
      </c>
      <c r="Q1057" s="237" t="s">
        <v>410</v>
      </c>
      <c r="R1057" s="237" t="s">
        <v>410</v>
      </c>
      <c r="S1057" s="10" t="s">
        <v>410</v>
      </c>
      <c r="T1057" s="10" t="s">
        <v>410</v>
      </c>
    </row>
    <row r="1058" spans="1:20" hidden="1" outlineLevel="1" x14ac:dyDescent="0.3">
      <c r="A1058" s="583" t="s">
        <v>2316</v>
      </c>
      <c r="B1058" s="591">
        <v>0</v>
      </c>
      <c r="C1058" s="583" t="s">
        <v>1564</v>
      </c>
      <c r="D1058" s="583" t="s">
        <v>1565</v>
      </c>
      <c r="E1058" s="593" t="s">
        <v>2317</v>
      </c>
      <c r="F1058" t="s">
        <v>410</v>
      </c>
      <c r="G1058" t="s">
        <v>410</v>
      </c>
      <c r="H1058" t="s">
        <v>410</v>
      </c>
      <c r="I1058" t="s">
        <v>410</v>
      </c>
      <c r="J1058" t="s">
        <v>410</v>
      </c>
      <c r="K1058" t="s">
        <v>410</v>
      </c>
      <c r="L1058" t="s">
        <v>410</v>
      </c>
      <c r="M1058" t="s">
        <v>410</v>
      </c>
      <c r="N1058" t="s">
        <v>410</v>
      </c>
      <c r="O1058" t="s">
        <v>410</v>
      </c>
      <c r="P1058" t="s">
        <v>410</v>
      </c>
      <c r="Q1058" t="s">
        <v>410</v>
      </c>
      <c r="R1058" t="s">
        <v>410</v>
      </c>
      <c r="S1058" t="s">
        <v>410</v>
      </c>
      <c r="T1058" t="s">
        <v>410</v>
      </c>
    </row>
    <row r="1059" spans="1:20" hidden="1" outlineLevel="1" x14ac:dyDescent="0.3">
      <c r="A1059" s="583" t="s">
        <v>1563</v>
      </c>
      <c r="B1059" s="591">
        <v>6</v>
      </c>
      <c r="C1059" s="588" t="s">
        <v>1564</v>
      </c>
      <c r="D1059" s="588" t="s">
        <v>1565</v>
      </c>
      <c r="E1059" s="589" t="s">
        <v>410</v>
      </c>
      <c r="F1059" s="594" t="str">
        <f>CONCATENATE("[TN!] ",TEXT(4+IF(OBR&lt;0,0,OBR)*1,"0")," mg")</f>
        <v>[TN!] 4 mg</v>
      </c>
      <c r="G1059" s="594" t="str">
        <f>CONCATENATE(TEXT(5+IF(OBR&lt;0,0,OBR)*2,"0")," mg")</f>
        <v>5 mg</v>
      </c>
      <c r="H1059" s="594" t="str">
        <f>CONCATENATE(TEXT(7+IF(OBR&lt;0,0,OBR)*2,"0")," mg")</f>
        <v>7 mg</v>
      </c>
      <c r="I1059" s="594" t="str">
        <f>CONCATENATE(TEXT(9+IF(OBR&lt;0,0,OBR)*2,"0")," mg")</f>
        <v>9 mg</v>
      </c>
      <c r="J1059" s="594" t="str">
        <f>CONCATENATE(TEXT(9+IF(OBR&lt;0,0,OBR)*3,"0")," mg")</f>
        <v>9 mg</v>
      </c>
      <c r="K1059" s="594" t="str">
        <f>CONCATENATE(TEXT(10+IF(OBR&lt;0,0,OBR)*4,"0")," mg")</f>
        <v>10 mg</v>
      </c>
      <c r="L1059" s="594" t="str">
        <f>CONCATENATE(TEXT(13+IF(OBR&lt;0,0,OBR)*4,"0")," mg")</f>
        <v>13 mg</v>
      </c>
      <c r="M1059" s="594" t="str">
        <f>CONCATENATE(TEXT(16+IF(OBR&lt;0,0,OBR)*4,"0")," mg")</f>
        <v>16 mg</v>
      </c>
      <c r="N1059" s="594" t="str">
        <f>CONCATENATE(TEXT(19+IF(OBR&lt;0,0,OBR)*4,"0")," mg")</f>
        <v>19 mg</v>
      </c>
      <c r="O1059" s="594" t="str">
        <f>CONCATENATE(TEXT(21+IF(OBR&lt;0,0,OBR)*5,"0")," mg")</f>
        <v>21 mg</v>
      </c>
      <c r="P1059" s="441" t="s">
        <v>410</v>
      </c>
      <c r="Q1059" s="441" t="s">
        <v>410</v>
      </c>
      <c r="R1059" s="441" t="s">
        <v>410</v>
      </c>
      <c r="S1059" s="441" t="s">
        <v>410</v>
      </c>
      <c r="T1059" s="441" t="s">
        <v>410</v>
      </c>
    </row>
    <row r="1060" spans="1:20" collapsed="1" x14ac:dyDescent="0.3">
      <c r="A1060" s="583" t="s">
        <v>1522</v>
      </c>
      <c r="B1060" s="591">
        <v>1</v>
      </c>
      <c r="C1060" s="588" t="s">
        <v>1256</v>
      </c>
      <c r="D1060" s="588" t="s">
        <v>1505</v>
      </c>
      <c r="E1060" s="589" t="s">
        <v>410</v>
      </c>
      <c r="F1060" s="590" t="s">
        <v>3552</v>
      </c>
      <c r="G1060" s="590" t="s">
        <v>1482</v>
      </c>
      <c r="H1060" s="590" t="s">
        <v>3553</v>
      </c>
      <c r="I1060" s="590" t="s">
        <v>1483</v>
      </c>
      <c r="J1060" s="590" t="s">
        <v>3554</v>
      </c>
      <c r="K1060" s="441" t="s">
        <v>410</v>
      </c>
      <c r="L1060" s="441" t="s">
        <v>410</v>
      </c>
      <c r="M1060" s="441" t="s">
        <v>410</v>
      </c>
      <c r="N1060" s="441" t="s">
        <v>410</v>
      </c>
      <c r="O1060" s="441" t="s">
        <v>410</v>
      </c>
      <c r="P1060" s="441" t="s">
        <v>410</v>
      </c>
      <c r="Q1060" s="441" t="s">
        <v>410</v>
      </c>
      <c r="R1060" s="441" t="s">
        <v>410</v>
      </c>
      <c r="S1060" s="441" t="s">
        <v>410</v>
      </c>
      <c r="T1060" s="441" t="s">
        <v>410</v>
      </c>
    </row>
    <row r="1061" spans="1:20" hidden="1" outlineLevel="1" x14ac:dyDescent="0.3">
      <c r="A1061" s="583" t="s">
        <v>5054</v>
      </c>
      <c r="B1061" s="591">
        <v>1</v>
      </c>
      <c r="C1061" s="588" t="s">
        <v>1256</v>
      </c>
      <c r="D1061" s="588" t="s">
        <v>1505</v>
      </c>
    </row>
    <row r="1062" spans="1:20" hidden="1" outlineLevel="1" x14ac:dyDescent="0.3">
      <c r="A1062" s="583" t="s">
        <v>1626</v>
      </c>
      <c r="B1062" s="591">
        <v>1</v>
      </c>
      <c r="C1062" s="588" t="s">
        <v>1256</v>
      </c>
      <c r="D1062" s="588" t="s">
        <v>1505</v>
      </c>
      <c r="E1062" s="592" t="s">
        <v>410</v>
      </c>
      <c r="F1062" s="593" t="s">
        <v>67</v>
      </c>
      <c r="G1062" s="593" t="s">
        <v>68</v>
      </c>
      <c r="H1062" s="593" t="s">
        <v>70</v>
      </c>
      <c r="I1062" s="593" t="s">
        <v>72</v>
      </c>
      <c r="J1062" s="237" t="s">
        <v>410</v>
      </c>
      <c r="K1062" s="237" t="s">
        <v>410</v>
      </c>
      <c r="L1062" s="237" t="s">
        <v>410</v>
      </c>
      <c r="M1062" s="237" t="s">
        <v>410</v>
      </c>
      <c r="N1062" s="237" t="s">
        <v>410</v>
      </c>
      <c r="O1062" s="237" t="s">
        <v>410</v>
      </c>
      <c r="P1062" s="237" t="s">
        <v>410</v>
      </c>
      <c r="Q1062" s="237" t="s">
        <v>410</v>
      </c>
      <c r="R1062" s="237" t="s">
        <v>410</v>
      </c>
      <c r="S1062" s="10" t="s">
        <v>410</v>
      </c>
      <c r="T1062" s="10" t="s">
        <v>410</v>
      </c>
    </row>
    <row r="1063" spans="1:20" hidden="1" outlineLevel="1" x14ac:dyDescent="0.3">
      <c r="A1063" s="583" t="s">
        <v>5123</v>
      </c>
      <c r="B1063" s="591">
        <v>1</v>
      </c>
      <c r="C1063" s="588" t="s">
        <v>1256</v>
      </c>
      <c r="D1063" s="588" t="s">
        <v>1505</v>
      </c>
      <c r="E1063" s="592" t="s">
        <v>410</v>
      </c>
      <c r="F1063" s="593" t="s">
        <v>5099</v>
      </c>
      <c r="G1063" s="237" t="s">
        <v>410</v>
      </c>
      <c r="H1063" s="237" t="s">
        <v>410</v>
      </c>
      <c r="I1063" s="237" t="s">
        <v>410</v>
      </c>
      <c r="J1063" s="237" t="s">
        <v>410</v>
      </c>
      <c r="K1063" s="237" t="s">
        <v>410</v>
      </c>
      <c r="L1063" s="237" t="s">
        <v>410</v>
      </c>
      <c r="M1063" s="237" t="s">
        <v>410</v>
      </c>
      <c r="N1063" s="237" t="s">
        <v>410</v>
      </c>
      <c r="O1063" s="237" t="s">
        <v>410</v>
      </c>
      <c r="P1063" s="237" t="s">
        <v>410</v>
      </c>
      <c r="Q1063" s="237" t="s">
        <v>410</v>
      </c>
      <c r="R1063" s="237" t="s">
        <v>410</v>
      </c>
      <c r="S1063" s="10" t="s">
        <v>410</v>
      </c>
      <c r="T1063" s="10" t="s">
        <v>410</v>
      </c>
    </row>
    <row r="1064" spans="1:20" hidden="1" outlineLevel="1" x14ac:dyDescent="0.3">
      <c r="A1064" s="583" t="s">
        <v>5055</v>
      </c>
      <c r="B1064" s="591">
        <v>1</v>
      </c>
      <c r="C1064" s="588" t="s">
        <v>1256</v>
      </c>
      <c r="D1064" s="588" t="s">
        <v>1505</v>
      </c>
      <c r="E1064" s="592" t="s">
        <v>410</v>
      </c>
      <c r="F1064" s="593" t="s">
        <v>67</v>
      </c>
      <c r="G1064" s="593" t="s">
        <v>68</v>
      </c>
      <c r="H1064" s="593" t="s">
        <v>70</v>
      </c>
      <c r="I1064" s="593" t="s">
        <v>72</v>
      </c>
      <c r="J1064" s="593" t="s">
        <v>74</v>
      </c>
      <c r="K1064" s="237" t="s">
        <v>410</v>
      </c>
      <c r="L1064" s="237" t="s">
        <v>410</v>
      </c>
      <c r="M1064" s="237" t="s">
        <v>410</v>
      </c>
      <c r="N1064" s="237" t="s">
        <v>410</v>
      </c>
      <c r="O1064" s="237" t="s">
        <v>410</v>
      </c>
      <c r="P1064" s="237" t="s">
        <v>410</v>
      </c>
      <c r="Q1064" s="237" t="s">
        <v>410</v>
      </c>
      <c r="R1064" s="237" t="s">
        <v>410</v>
      </c>
      <c r="S1064" s="10" t="s">
        <v>410</v>
      </c>
      <c r="T1064" s="10" t="s">
        <v>410</v>
      </c>
    </row>
    <row r="1065" spans="1:20" hidden="1" outlineLevel="1" x14ac:dyDescent="0.3">
      <c r="A1065" s="583" t="s">
        <v>1662</v>
      </c>
      <c r="B1065" s="591">
        <v>1</v>
      </c>
      <c r="C1065" s="583" t="s">
        <v>1256</v>
      </c>
      <c r="D1065" s="583" t="s">
        <v>1505</v>
      </c>
      <c r="E1065" s="592" t="s">
        <v>410</v>
      </c>
      <c r="F1065" s="593" t="s">
        <v>5577</v>
      </c>
      <c r="G1065" s="593" t="s">
        <v>5578</v>
      </c>
      <c r="H1065" s="593" t="s">
        <v>5579</v>
      </c>
      <c r="I1065" s="593" t="s">
        <v>5684</v>
      </c>
      <c r="J1065" s="593" t="s">
        <v>5580</v>
      </c>
      <c r="K1065" s="593" t="s">
        <v>5685</v>
      </c>
      <c r="L1065" s="237" t="s">
        <v>410</v>
      </c>
      <c r="M1065" s="237" t="s">
        <v>410</v>
      </c>
      <c r="N1065" s="237" t="s">
        <v>410</v>
      </c>
      <c r="O1065" s="237" t="s">
        <v>410</v>
      </c>
      <c r="P1065" s="237" t="s">
        <v>410</v>
      </c>
      <c r="Q1065" s="237" t="s">
        <v>410</v>
      </c>
      <c r="R1065" s="237" t="s">
        <v>410</v>
      </c>
      <c r="S1065" s="10" t="s">
        <v>410</v>
      </c>
      <c r="T1065" s="10" t="s">
        <v>410</v>
      </c>
    </row>
    <row r="1066" spans="1:20" hidden="1" outlineLevel="1" x14ac:dyDescent="0.3">
      <c r="A1066" s="583" t="s">
        <v>5056</v>
      </c>
      <c r="B1066" s="591">
        <v>1</v>
      </c>
      <c r="C1066" s="583" t="s">
        <v>1256</v>
      </c>
      <c r="D1066" s="583" t="s">
        <v>1505</v>
      </c>
      <c r="E1066" s="592" t="s">
        <v>410</v>
      </c>
      <c r="F1066" s="593" t="s">
        <v>67</v>
      </c>
      <c r="G1066" s="593" t="s">
        <v>68</v>
      </c>
      <c r="H1066" s="593" t="s">
        <v>70</v>
      </c>
      <c r="I1066" s="593" t="s">
        <v>72</v>
      </c>
      <c r="J1066" s="237" t="s">
        <v>410</v>
      </c>
      <c r="K1066" s="237" t="s">
        <v>410</v>
      </c>
      <c r="L1066" s="237" t="s">
        <v>410</v>
      </c>
      <c r="M1066" s="237" t="s">
        <v>410</v>
      </c>
      <c r="N1066" s="237" t="s">
        <v>410</v>
      </c>
      <c r="O1066" s="237" t="s">
        <v>410</v>
      </c>
      <c r="P1066" s="237" t="s">
        <v>410</v>
      </c>
      <c r="Q1066" s="237" t="s">
        <v>410</v>
      </c>
      <c r="R1066" s="237" t="s">
        <v>410</v>
      </c>
      <c r="S1066" s="10" t="s">
        <v>410</v>
      </c>
      <c r="T1066" s="10" t="s">
        <v>410</v>
      </c>
    </row>
    <row r="1067" spans="1:20" hidden="1" outlineLevel="1" x14ac:dyDescent="0.3">
      <c r="A1067" s="583" t="s">
        <v>1767</v>
      </c>
      <c r="B1067" s="591">
        <v>1</v>
      </c>
      <c r="C1067" s="583" t="s">
        <v>1256</v>
      </c>
      <c r="D1067" s="583" t="s">
        <v>1505</v>
      </c>
      <c r="E1067" s="593" t="s">
        <v>3250</v>
      </c>
      <c r="F1067" s="593" t="s">
        <v>3251</v>
      </c>
      <c r="G1067" s="593" t="s">
        <v>3252</v>
      </c>
      <c r="H1067" s="593" t="s">
        <v>3253</v>
      </c>
      <c r="I1067" s="593" t="s">
        <v>3254</v>
      </c>
      <c r="J1067" s="593" t="s">
        <v>410</v>
      </c>
      <c r="K1067" s="237" t="s">
        <v>410</v>
      </c>
      <c r="L1067" s="237" t="s">
        <v>410</v>
      </c>
      <c r="M1067" s="237" t="s">
        <v>410</v>
      </c>
      <c r="N1067" s="237" t="s">
        <v>410</v>
      </c>
      <c r="O1067" s="237" t="s">
        <v>410</v>
      </c>
      <c r="P1067" s="237" t="s">
        <v>410</v>
      </c>
      <c r="Q1067" s="237" t="s">
        <v>410</v>
      </c>
      <c r="R1067" s="237" t="s">
        <v>410</v>
      </c>
      <c r="S1067" s="10" t="s">
        <v>410</v>
      </c>
      <c r="T1067" s="10" t="s">
        <v>410</v>
      </c>
    </row>
    <row r="1068" spans="1:20" hidden="1" outlineLevel="1" x14ac:dyDescent="0.3">
      <c r="A1068" s="583" t="s">
        <v>1769</v>
      </c>
      <c r="B1068" s="591">
        <v>1</v>
      </c>
      <c r="C1068" s="583" t="s">
        <v>1256</v>
      </c>
      <c r="D1068" s="583" t="s">
        <v>1505</v>
      </c>
      <c r="E1068" s="592" t="s">
        <v>410</v>
      </c>
      <c r="F1068" s="592" t="s">
        <v>5026</v>
      </c>
      <c r="G1068" s="237" t="s">
        <v>410</v>
      </c>
      <c r="H1068" s="237" t="s">
        <v>410</v>
      </c>
      <c r="I1068" s="237" t="s">
        <v>410</v>
      </c>
      <c r="J1068" s="237" t="s">
        <v>410</v>
      </c>
      <c r="K1068" s="237" t="s">
        <v>410</v>
      </c>
      <c r="L1068" s="237" t="s">
        <v>410</v>
      </c>
      <c r="M1068" s="237" t="s">
        <v>410</v>
      </c>
      <c r="N1068" s="237" t="s">
        <v>410</v>
      </c>
      <c r="O1068" s="237" t="s">
        <v>410</v>
      </c>
      <c r="P1068" s="237" t="s">
        <v>410</v>
      </c>
      <c r="Q1068" s="237" t="s">
        <v>410</v>
      </c>
      <c r="R1068" s="237" t="s">
        <v>410</v>
      </c>
      <c r="S1068" s="10" t="s">
        <v>410</v>
      </c>
      <c r="T1068" s="10" t="s">
        <v>410</v>
      </c>
    </row>
    <row r="1069" spans="1:20" hidden="1" outlineLevel="1" x14ac:dyDescent="0.3">
      <c r="A1069" s="583" t="s">
        <v>5100</v>
      </c>
      <c r="B1069" s="591">
        <v>1</v>
      </c>
      <c r="C1069" s="583" t="s">
        <v>1256</v>
      </c>
      <c r="D1069" s="583" t="s">
        <v>1505</v>
      </c>
      <c r="E1069" s="592" t="s">
        <v>410</v>
      </c>
      <c r="F1069" s="592" t="s">
        <v>5040</v>
      </c>
      <c r="G1069" s="237" t="s">
        <v>410</v>
      </c>
      <c r="H1069" s="237" t="s">
        <v>410</v>
      </c>
      <c r="I1069" s="237" t="s">
        <v>410</v>
      </c>
      <c r="J1069" s="237" t="s">
        <v>410</v>
      </c>
      <c r="K1069" s="237" t="s">
        <v>410</v>
      </c>
      <c r="L1069" s="237" t="s">
        <v>410</v>
      </c>
      <c r="M1069" s="237" t="s">
        <v>410</v>
      </c>
      <c r="N1069" s="237" t="s">
        <v>410</v>
      </c>
      <c r="O1069" s="237" t="s">
        <v>410</v>
      </c>
      <c r="P1069" s="237" t="s">
        <v>410</v>
      </c>
      <c r="Q1069" s="237" t="s">
        <v>410</v>
      </c>
      <c r="R1069" s="237" t="s">
        <v>410</v>
      </c>
      <c r="S1069" s="10" t="s">
        <v>410</v>
      </c>
      <c r="T1069" s="10" t="s">
        <v>410</v>
      </c>
    </row>
    <row r="1070" spans="1:20" hidden="1" outlineLevel="1" x14ac:dyDescent="0.3">
      <c r="A1070" s="583" t="s">
        <v>1898</v>
      </c>
      <c r="B1070" s="591">
        <v>1</v>
      </c>
      <c r="C1070" s="583" t="s">
        <v>1256</v>
      </c>
      <c r="D1070" s="583" t="s">
        <v>1505</v>
      </c>
      <c r="E1070" s="592" t="s">
        <v>410</v>
      </c>
      <c r="F1070" s="593" t="s">
        <v>1839</v>
      </c>
      <c r="G1070" s="593" t="s">
        <v>1847</v>
      </c>
      <c r="H1070" s="593" t="s">
        <v>2960</v>
      </c>
      <c r="I1070" s="593" t="s">
        <v>1899</v>
      </c>
      <c r="J1070" s="237" t="s">
        <v>410</v>
      </c>
      <c r="K1070" s="237" t="s">
        <v>410</v>
      </c>
      <c r="L1070" s="237" t="s">
        <v>410</v>
      </c>
      <c r="M1070" s="237" t="s">
        <v>410</v>
      </c>
      <c r="N1070" s="237" t="s">
        <v>410</v>
      </c>
      <c r="O1070" s="237" t="s">
        <v>410</v>
      </c>
      <c r="P1070" s="237" t="s">
        <v>410</v>
      </c>
      <c r="Q1070" s="237" t="s">
        <v>410</v>
      </c>
      <c r="R1070" s="237" t="s">
        <v>410</v>
      </c>
      <c r="S1070" s="10" t="s">
        <v>410</v>
      </c>
      <c r="T1070" s="10" t="s">
        <v>410</v>
      </c>
    </row>
    <row r="1071" spans="1:20" hidden="1" outlineLevel="1" x14ac:dyDescent="0.3">
      <c r="A1071" s="583" t="s">
        <v>5057</v>
      </c>
      <c r="B1071" s="591">
        <v>1</v>
      </c>
      <c r="C1071" s="583" t="s">
        <v>1256</v>
      </c>
      <c r="D1071" s="583" t="s">
        <v>1505</v>
      </c>
      <c r="E1071" s="592" t="s">
        <v>410</v>
      </c>
      <c r="F1071" s="593" t="s">
        <v>5027</v>
      </c>
      <c r="G1071" s="237" t="s">
        <v>410</v>
      </c>
      <c r="H1071" s="237" t="s">
        <v>410</v>
      </c>
      <c r="I1071" s="237" t="s">
        <v>410</v>
      </c>
      <c r="J1071" s="237" t="s">
        <v>410</v>
      </c>
      <c r="K1071" s="237" t="s">
        <v>410</v>
      </c>
      <c r="L1071" s="237" t="s">
        <v>410</v>
      </c>
      <c r="M1071" s="237" t="s">
        <v>410</v>
      </c>
      <c r="N1071" s="237" t="s">
        <v>410</v>
      </c>
      <c r="O1071" s="237" t="s">
        <v>410</v>
      </c>
      <c r="P1071" s="237" t="s">
        <v>410</v>
      </c>
      <c r="Q1071" s="237" t="s">
        <v>410</v>
      </c>
      <c r="R1071" s="237" t="s">
        <v>410</v>
      </c>
      <c r="S1071" s="10" t="s">
        <v>410</v>
      </c>
      <c r="T1071" s="10" t="s">
        <v>410</v>
      </c>
    </row>
    <row r="1072" spans="1:20" hidden="1" outlineLevel="1" x14ac:dyDescent="0.3">
      <c r="A1072" s="583" t="s">
        <v>1912</v>
      </c>
      <c r="B1072" s="591">
        <v>1</v>
      </c>
      <c r="C1072" s="583" t="s">
        <v>1256</v>
      </c>
      <c r="D1072" s="583" t="s">
        <v>1505</v>
      </c>
      <c r="E1072" s="592" t="s">
        <v>410</v>
      </c>
      <c r="F1072" s="593" t="s">
        <v>1799</v>
      </c>
      <c r="G1072" s="593" t="s">
        <v>1799</v>
      </c>
      <c r="H1072" s="593" t="s">
        <v>1800</v>
      </c>
      <c r="I1072" s="593" t="s">
        <v>1800</v>
      </c>
      <c r="J1072" s="593" t="s">
        <v>1801</v>
      </c>
      <c r="K1072" s="237" t="s">
        <v>410</v>
      </c>
      <c r="L1072" s="237" t="s">
        <v>410</v>
      </c>
      <c r="M1072" s="237" t="s">
        <v>410</v>
      </c>
      <c r="N1072" s="237" t="s">
        <v>410</v>
      </c>
      <c r="O1072" s="237" t="s">
        <v>410</v>
      </c>
      <c r="P1072" s="237" t="s">
        <v>410</v>
      </c>
      <c r="Q1072" s="237" t="s">
        <v>410</v>
      </c>
      <c r="R1072" s="237" t="s">
        <v>410</v>
      </c>
      <c r="S1072" s="10" t="s">
        <v>410</v>
      </c>
      <c r="T1072" s="10" t="s">
        <v>410</v>
      </c>
    </row>
    <row r="1073" spans="1:20" hidden="1" outlineLevel="1" x14ac:dyDescent="0.3">
      <c r="A1073" s="583" t="s">
        <v>5058</v>
      </c>
      <c r="B1073" s="591">
        <v>1</v>
      </c>
      <c r="C1073" s="583" t="s">
        <v>1256</v>
      </c>
      <c r="D1073" s="583" t="s">
        <v>1505</v>
      </c>
      <c r="E1073" s="592" t="s">
        <v>410</v>
      </c>
      <c r="F1073" s="593" t="s">
        <v>67</v>
      </c>
      <c r="G1073" s="593" t="s">
        <v>68</v>
      </c>
      <c r="H1073" s="593" t="s">
        <v>70</v>
      </c>
      <c r="I1073" s="593" t="s">
        <v>72</v>
      </c>
      <c r="J1073" s="593" t="s">
        <v>74</v>
      </c>
      <c r="K1073" s="237" t="s">
        <v>410</v>
      </c>
      <c r="L1073" s="237" t="s">
        <v>410</v>
      </c>
      <c r="M1073" s="237" t="s">
        <v>410</v>
      </c>
      <c r="N1073" s="237" t="s">
        <v>410</v>
      </c>
      <c r="O1073" s="237" t="s">
        <v>410</v>
      </c>
      <c r="P1073" s="237" t="s">
        <v>410</v>
      </c>
      <c r="Q1073" s="237" t="s">
        <v>410</v>
      </c>
      <c r="R1073" s="237" t="s">
        <v>410</v>
      </c>
      <c r="S1073" s="10" t="s">
        <v>410</v>
      </c>
      <c r="T1073" s="10" t="s">
        <v>410</v>
      </c>
    </row>
    <row r="1074" spans="1:20" hidden="1" outlineLevel="1" x14ac:dyDescent="0.3">
      <c r="A1074" s="583" t="s">
        <v>1982</v>
      </c>
      <c r="B1074" s="591">
        <v>1</v>
      </c>
      <c r="C1074" s="583" t="s">
        <v>1256</v>
      </c>
      <c r="D1074" s="583" t="s">
        <v>1505</v>
      </c>
      <c r="E1074" s="592" t="s">
        <v>410</v>
      </c>
      <c r="F1074" s="593" t="s">
        <v>4343</v>
      </c>
      <c r="G1074" s="593" t="s">
        <v>4344</v>
      </c>
      <c r="H1074" s="593" t="s">
        <v>4345</v>
      </c>
      <c r="I1074" s="593" t="s">
        <v>4346</v>
      </c>
      <c r="J1074" s="593" t="s">
        <v>4347</v>
      </c>
      <c r="K1074" s="593" t="s">
        <v>4348</v>
      </c>
      <c r="L1074" s="237" t="s">
        <v>410</v>
      </c>
      <c r="M1074" s="237" t="s">
        <v>410</v>
      </c>
      <c r="N1074" s="237" t="s">
        <v>410</v>
      </c>
      <c r="O1074" s="237" t="s">
        <v>410</v>
      </c>
      <c r="P1074" s="237" t="s">
        <v>410</v>
      </c>
      <c r="Q1074" s="237" t="s">
        <v>410</v>
      </c>
      <c r="R1074" s="237" t="s">
        <v>410</v>
      </c>
      <c r="S1074" s="237" t="s">
        <v>410</v>
      </c>
      <c r="T1074" s="237" t="s">
        <v>410</v>
      </c>
    </row>
    <row r="1075" spans="1:20" hidden="1" outlineLevel="1" x14ac:dyDescent="0.3">
      <c r="A1075" s="583" t="s">
        <v>5059</v>
      </c>
      <c r="B1075" s="591">
        <v>1</v>
      </c>
      <c r="C1075" s="583" t="s">
        <v>1256</v>
      </c>
      <c r="D1075" s="583" t="s">
        <v>1505</v>
      </c>
      <c r="E1075" s="592" t="s">
        <v>410</v>
      </c>
      <c r="F1075" s="593" t="s">
        <v>5028</v>
      </c>
      <c r="G1075" s="593" t="s">
        <v>5029</v>
      </c>
      <c r="H1075" s="593" t="s">
        <v>5030</v>
      </c>
      <c r="I1075" s="593" t="s">
        <v>5031</v>
      </c>
      <c r="J1075" s="593" t="s">
        <v>5032</v>
      </c>
      <c r="K1075" s="237" t="s">
        <v>410</v>
      </c>
      <c r="L1075" s="237" t="s">
        <v>410</v>
      </c>
      <c r="M1075" s="237" t="s">
        <v>410</v>
      </c>
      <c r="N1075" s="237" t="s">
        <v>410</v>
      </c>
      <c r="O1075" s="237" t="s">
        <v>410</v>
      </c>
      <c r="P1075" s="237" t="s">
        <v>410</v>
      </c>
      <c r="Q1075" s="237" t="s">
        <v>410</v>
      </c>
      <c r="R1075" s="237" t="s">
        <v>410</v>
      </c>
      <c r="S1075" s="237" t="s">
        <v>410</v>
      </c>
      <c r="T1075" s="237" t="s">
        <v>410</v>
      </c>
    </row>
    <row r="1076" spans="1:20" hidden="1" outlineLevel="1" x14ac:dyDescent="0.3">
      <c r="A1076" s="583" t="s">
        <v>1945</v>
      </c>
      <c r="B1076" s="591">
        <v>2</v>
      </c>
      <c r="C1076" s="583" t="s">
        <v>1256</v>
      </c>
      <c r="D1076" s="583" t="s">
        <v>1505</v>
      </c>
      <c r="E1076" s="593" t="s">
        <v>410</v>
      </c>
      <c r="F1076" s="593" t="s">
        <v>3243</v>
      </c>
      <c r="G1076" s="593" t="s">
        <v>4027</v>
      </c>
      <c r="H1076" s="593" t="s">
        <v>4028</v>
      </c>
      <c r="I1076" s="593" t="s">
        <v>4029</v>
      </c>
      <c r="J1076" s="593" t="s">
        <v>4030</v>
      </c>
      <c r="K1076" s="593" t="s">
        <v>4031</v>
      </c>
      <c r="L1076" s="593" t="s">
        <v>410</v>
      </c>
      <c r="M1076" s="593" t="s">
        <v>410</v>
      </c>
      <c r="N1076" s="237" t="s">
        <v>410</v>
      </c>
      <c r="O1076" s="237" t="s">
        <v>410</v>
      </c>
      <c r="P1076" s="237" t="s">
        <v>410</v>
      </c>
      <c r="Q1076" s="237" t="s">
        <v>410</v>
      </c>
      <c r="R1076" s="237" t="s">
        <v>410</v>
      </c>
      <c r="S1076" s="237" t="s">
        <v>410</v>
      </c>
      <c r="T1076" s="237" t="s">
        <v>410</v>
      </c>
    </row>
    <row r="1077" spans="1:20" hidden="1" outlineLevel="1" x14ac:dyDescent="0.3">
      <c r="A1077" s="583" t="s">
        <v>1852</v>
      </c>
      <c r="B1077" s="591">
        <v>5</v>
      </c>
      <c r="C1077" s="583" t="s">
        <v>1256</v>
      </c>
      <c r="D1077" s="583" t="s">
        <v>1505</v>
      </c>
      <c r="E1077" s="592" t="s">
        <v>410</v>
      </c>
      <c r="F1077" s="593" t="s">
        <v>3230</v>
      </c>
      <c r="G1077" s="593" t="s">
        <v>3231</v>
      </c>
      <c r="H1077" s="593" t="s">
        <v>3232</v>
      </c>
      <c r="I1077" s="593" t="s">
        <v>3233</v>
      </c>
      <c r="J1077" s="593" t="s">
        <v>3234</v>
      </c>
      <c r="K1077" s="237" t="s">
        <v>410</v>
      </c>
      <c r="L1077" s="237" t="s">
        <v>410</v>
      </c>
      <c r="M1077" s="237" t="s">
        <v>410</v>
      </c>
      <c r="N1077" s="237" t="s">
        <v>410</v>
      </c>
      <c r="O1077" s="237" t="s">
        <v>410</v>
      </c>
      <c r="P1077" s="237" t="s">
        <v>410</v>
      </c>
      <c r="Q1077" s="237" t="s">
        <v>410</v>
      </c>
      <c r="R1077" s="237" t="s">
        <v>410</v>
      </c>
      <c r="S1077" s="10" t="s">
        <v>410</v>
      </c>
      <c r="T1077" s="10" t="s">
        <v>410</v>
      </c>
    </row>
    <row r="1078" spans="1:20" hidden="1" outlineLevel="1" x14ac:dyDescent="0.3">
      <c r="A1078" s="583" t="s">
        <v>5501</v>
      </c>
      <c r="B1078" s="591">
        <v>5</v>
      </c>
      <c r="C1078" s="583" t="s">
        <v>1256</v>
      </c>
      <c r="D1078" s="583" t="s">
        <v>1505</v>
      </c>
      <c r="E1078" s="592" t="s">
        <v>410</v>
      </c>
      <c r="F1078" s="593" t="s">
        <v>2167</v>
      </c>
      <c r="G1078" s="593" t="s">
        <v>1848</v>
      </c>
      <c r="H1078" s="593" t="s">
        <v>3198</v>
      </c>
      <c r="I1078" s="593" t="s">
        <v>3505</v>
      </c>
      <c r="J1078" s="593" t="s">
        <v>3506</v>
      </c>
      <c r="K1078" s="237" t="s">
        <v>410</v>
      </c>
      <c r="L1078" s="237" t="s">
        <v>410</v>
      </c>
      <c r="M1078" s="237" t="s">
        <v>410</v>
      </c>
      <c r="N1078" s="237" t="s">
        <v>410</v>
      </c>
      <c r="O1078" s="237" t="s">
        <v>410</v>
      </c>
      <c r="P1078" s="237" t="s">
        <v>410</v>
      </c>
      <c r="Q1078" s="237" t="s">
        <v>410</v>
      </c>
      <c r="R1078" s="237" t="s">
        <v>410</v>
      </c>
      <c r="S1078" s="10" t="s">
        <v>410</v>
      </c>
      <c r="T1078" s="10" t="s">
        <v>410</v>
      </c>
    </row>
    <row r="1079" spans="1:20" hidden="1" outlineLevel="1" x14ac:dyDescent="0.3">
      <c r="A1079" s="583" t="s">
        <v>1462</v>
      </c>
      <c r="B1079" s="591">
        <v>6</v>
      </c>
      <c r="C1079" s="588" t="s">
        <v>1256</v>
      </c>
      <c r="D1079" s="588" t="s">
        <v>1505</v>
      </c>
      <c r="E1079" s="589" t="s">
        <v>410</v>
      </c>
      <c r="F1079" s="590" t="s">
        <v>67</v>
      </c>
      <c r="G1079" s="590" t="s">
        <v>68</v>
      </c>
      <c r="H1079" s="590" t="s">
        <v>70</v>
      </c>
      <c r="I1079" s="590" t="s">
        <v>72</v>
      </c>
      <c r="J1079" s="441" t="s">
        <v>410</v>
      </c>
      <c r="K1079" s="441" t="s">
        <v>410</v>
      </c>
      <c r="L1079" s="441" t="s">
        <v>410</v>
      </c>
      <c r="M1079" s="441" t="s">
        <v>410</v>
      </c>
      <c r="N1079" s="441" t="s">
        <v>410</v>
      </c>
      <c r="O1079" s="441" t="s">
        <v>410</v>
      </c>
      <c r="P1079" s="441" t="s">
        <v>410</v>
      </c>
      <c r="Q1079" s="441" t="s">
        <v>410</v>
      </c>
      <c r="R1079" s="441" t="s">
        <v>410</v>
      </c>
      <c r="S1079" s="441" t="s">
        <v>410</v>
      </c>
      <c r="T1079" s="441" t="s">
        <v>410</v>
      </c>
    </row>
    <row r="1080" spans="1:20" hidden="1" outlineLevel="1" x14ac:dyDescent="0.3">
      <c r="A1080" s="583" t="s">
        <v>1504</v>
      </c>
      <c r="B1080" s="591">
        <v>6</v>
      </c>
      <c r="C1080" s="588" t="s">
        <v>1256</v>
      </c>
      <c r="D1080" s="588" t="s">
        <v>1505</v>
      </c>
      <c r="E1080" s="589" t="s">
        <v>410</v>
      </c>
      <c r="F1080" s="590" t="s">
        <v>3216</v>
      </c>
      <c r="G1080" s="590" t="s">
        <v>3217</v>
      </c>
      <c r="H1080" s="590" t="s">
        <v>3218</v>
      </c>
      <c r="I1080" s="1076" t="s">
        <v>410</v>
      </c>
      <c r="J1080" s="441" t="s">
        <v>410</v>
      </c>
      <c r="K1080" s="441" t="s">
        <v>410</v>
      </c>
      <c r="L1080" s="441" t="s">
        <v>410</v>
      </c>
      <c r="M1080" s="441" t="s">
        <v>410</v>
      </c>
      <c r="N1080" s="441" t="s">
        <v>410</v>
      </c>
      <c r="O1080" s="441" t="s">
        <v>410</v>
      </c>
      <c r="P1080" s="441" t="s">
        <v>410</v>
      </c>
      <c r="Q1080" s="441" t="s">
        <v>410</v>
      </c>
      <c r="R1080" s="441" t="s">
        <v>410</v>
      </c>
      <c r="S1080" s="441" t="s">
        <v>410</v>
      </c>
      <c r="T1080" s="441" t="s">
        <v>410</v>
      </c>
    </row>
    <row r="1081" spans="1:20" hidden="1" outlineLevel="1" x14ac:dyDescent="0.3">
      <c r="A1081" s="583" t="s">
        <v>5084</v>
      </c>
      <c r="B1081" s="591">
        <v>6</v>
      </c>
      <c r="C1081" s="588" t="s">
        <v>1256</v>
      </c>
      <c r="D1081" s="588" t="s">
        <v>1505</v>
      </c>
      <c r="E1081" s="592" t="s">
        <v>410</v>
      </c>
      <c r="F1081" s="592" t="s">
        <v>1561</v>
      </c>
      <c r="G1081" s="592" t="s">
        <v>5085</v>
      </c>
      <c r="H1081" s="441" t="s">
        <v>410</v>
      </c>
      <c r="I1081" s="441" t="s">
        <v>410</v>
      </c>
      <c r="J1081" s="441" t="s">
        <v>410</v>
      </c>
      <c r="K1081" s="441" t="s">
        <v>410</v>
      </c>
      <c r="L1081" s="441" t="s">
        <v>410</v>
      </c>
      <c r="M1081" s="441" t="s">
        <v>410</v>
      </c>
      <c r="N1081" s="441" t="s">
        <v>410</v>
      </c>
      <c r="O1081" s="441" t="s">
        <v>410</v>
      </c>
      <c r="P1081" s="441" t="s">
        <v>410</v>
      </c>
      <c r="Q1081" s="441" t="s">
        <v>410</v>
      </c>
      <c r="R1081" s="441" t="s">
        <v>410</v>
      </c>
      <c r="S1081" s="441" t="s">
        <v>410</v>
      </c>
      <c r="T1081" s="441" t="s">
        <v>410</v>
      </c>
    </row>
    <row r="1082" spans="1:20" hidden="1" outlineLevel="1" x14ac:dyDescent="0.3">
      <c r="A1082" s="583" t="s">
        <v>5081</v>
      </c>
      <c r="B1082" s="591">
        <v>6</v>
      </c>
      <c r="C1082" s="588" t="s">
        <v>1256</v>
      </c>
      <c r="D1082" s="588" t="s">
        <v>1505</v>
      </c>
      <c r="E1082" s="589" t="s">
        <v>410</v>
      </c>
      <c r="F1082" s="592" t="s">
        <v>5082</v>
      </c>
      <c r="G1082" s="441" t="s">
        <v>410</v>
      </c>
      <c r="H1082" s="441" t="s">
        <v>410</v>
      </c>
      <c r="I1082" s="441" t="s">
        <v>410</v>
      </c>
      <c r="J1082" s="441" t="s">
        <v>410</v>
      </c>
      <c r="K1082" s="441" t="s">
        <v>410</v>
      </c>
      <c r="L1082" s="441" t="s">
        <v>410</v>
      </c>
      <c r="M1082" s="441" t="s">
        <v>410</v>
      </c>
      <c r="N1082" s="441" t="s">
        <v>410</v>
      </c>
      <c r="O1082" s="441" t="s">
        <v>410</v>
      </c>
      <c r="P1082" s="441" t="s">
        <v>410</v>
      </c>
      <c r="Q1082" s="441" t="s">
        <v>410</v>
      </c>
      <c r="R1082" s="441" t="s">
        <v>410</v>
      </c>
      <c r="S1082" s="441" t="s">
        <v>410</v>
      </c>
      <c r="T1082" s="441" t="s">
        <v>410</v>
      </c>
    </row>
    <row r="1083" spans="1:20" hidden="1" outlineLevel="1" x14ac:dyDescent="0.3">
      <c r="A1083" s="583" t="s">
        <v>1850</v>
      </c>
      <c r="B1083" s="591">
        <v>6</v>
      </c>
      <c r="C1083" s="583" t="s">
        <v>1256</v>
      </c>
      <c r="D1083" s="583" t="s">
        <v>1505</v>
      </c>
      <c r="E1083" s="592" t="s">
        <v>410</v>
      </c>
      <c r="F1083" s="593" t="s">
        <v>3411</v>
      </c>
      <c r="G1083" s="593" t="s">
        <v>3412</v>
      </c>
      <c r="H1083" s="593" t="s">
        <v>3413</v>
      </c>
      <c r="I1083" s="593" t="s">
        <v>3414</v>
      </c>
      <c r="J1083" s="593" t="s">
        <v>3415</v>
      </c>
      <c r="K1083" s="441" t="s">
        <v>410</v>
      </c>
      <c r="L1083" s="441" t="s">
        <v>410</v>
      </c>
      <c r="M1083" s="441" t="s">
        <v>410</v>
      </c>
      <c r="N1083" s="441" t="s">
        <v>410</v>
      </c>
      <c r="O1083" s="441" t="s">
        <v>410</v>
      </c>
      <c r="P1083" s="441" t="s">
        <v>410</v>
      </c>
      <c r="Q1083" s="441" t="s">
        <v>410</v>
      </c>
      <c r="R1083" s="441" t="s">
        <v>410</v>
      </c>
      <c r="S1083" s="441" t="s">
        <v>410</v>
      </c>
      <c r="T1083" s="441" t="s">
        <v>410</v>
      </c>
    </row>
    <row r="1084" spans="1:20" hidden="1" outlineLevel="1" x14ac:dyDescent="0.3">
      <c r="A1084" s="583" t="s">
        <v>1973</v>
      </c>
      <c r="B1084" s="591">
        <v>6</v>
      </c>
      <c r="C1084" s="583" t="s">
        <v>1256</v>
      </c>
      <c r="D1084" s="583" t="s">
        <v>1505</v>
      </c>
      <c r="E1084" s="593" t="s">
        <v>410</v>
      </c>
      <c r="F1084" s="593" t="s">
        <v>3507</v>
      </c>
      <c r="G1084" s="593" t="s">
        <v>3508</v>
      </c>
      <c r="H1084" s="593" t="s">
        <v>3509</v>
      </c>
      <c r="I1084" s="593" t="s">
        <v>3510</v>
      </c>
      <c r="J1084" s="593" t="s">
        <v>3511</v>
      </c>
      <c r="K1084" s="593" t="s">
        <v>3512</v>
      </c>
      <c r="L1084" s="441" t="s">
        <v>410</v>
      </c>
      <c r="M1084" s="237" t="s">
        <v>410</v>
      </c>
      <c r="N1084" s="237" t="s">
        <v>410</v>
      </c>
      <c r="O1084" s="237" t="s">
        <v>410</v>
      </c>
      <c r="P1084" s="237" t="s">
        <v>410</v>
      </c>
      <c r="Q1084" s="237" t="s">
        <v>410</v>
      </c>
      <c r="R1084" s="237" t="s">
        <v>410</v>
      </c>
      <c r="S1084" s="237" t="s">
        <v>410</v>
      </c>
      <c r="T1084" s="237" t="s">
        <v>410</v>
      </c>
    </row>
    <row r="1085" spans="1:20" hidden="1" outlineLevel="1" x14ac:dyDescent="0.3">
      <c r="A1085" s="583" t="s">
        <v>4032</v>
      </c>
      <c r="B1085" s="591">
        <v>6</v>
      </c>
      <c r="C1085" s="583" t="s">
        <v>1256</v>
      </c>
      <c r="D1085" s="583" t="s">
        <v>1505</v>
      </c>
      <c r="E1085" s="593" t="s">
        <v>410</v>
      </c>
      <c r="F1085" s="593" t="s">
        <v>4043</v>
      </c>
      <c r="G1085" s="593" t="s">
        <v>4044</v>
      </c>
      <c r="H1085" s="593" t="s">
        <v>4045</v>
      </c>
      <c r="I1085" s="594" t="s">
        <v>4046</v>
      </c>
      <c r="J1085" s="441" t="s">
        <v>410</v>
      </c>
      <c r="K1085" s="441" t="s">
        <v>410</v>
      </c>
      <c r="L1085" s="441" t="s">
        <v>410</v>
      </c>
      <c r="M1085" s="441" t="s">
        <v>410</v>
      </c>
      <c r="N1085" s="441" t="s">
        <v>410</v>
      </c>
      <c r="O1085" s="441" t="s">
        <v>410</v>
      </c>
      <c r="P1085" s="441" t="s">
        <v>410</v>
      </c>
      <c r="Q1085" s="441" t="s">
        <v>410</v>
      </c>
      <c r="R1085" s="441" t="s">
        <v>410</v>
      </c>
      <c r="S1085" s="441" t="s">
        <v>410</v>
      </c>
      <c r="T1085" s="441" t="s">
        <v>410</v>
      </c>
    </row>
    <row r="1086" spans="1:20" hidden="1" outlineLevel="1" x14ac:dyDescent="0.3">
      <c r="A1086" s="583" t="s">
        <v>5125</v>
      </c>
      <c r="B1086" s="591">
        <v>8</v>
      </c>
      <c r="C1086" s="588" t="s">
        <v>1256</v>
      </c>
      <c r="D1086" s="588" t="s">
        <v>1505</v>
      </c>
      <c r="E1086" s="589" t="s">
        <v>410</v>
      </c>
      <c r="F1086" s="590" t="s">
        <v>5101</v>
      </c>
      <c r="G1086" s="441" t="s">
        <v>410</v>
      </c>
      <c r="H1086" s="441" t="s">
        <v>410</v>
      </c>
      <c r="I1086" s="441" t="s">
        <v>410</v>
      </c>
      <c r="J1086" s="441" t="s">
        <v>410</v>
      </c>
      <c r="K1086" s="441" t="s">
        <v>410</v>
      </c>
      <c r="L1086" s="441" t="s">
        <v>410</v>
      </c>
      <c r="M1086" s="441" t="s">
        <v>410</v>
      </c>
      <c r="N1086" s="441" t="s">
        <v>410</v>
      </c>
      <c r="O1086" s="441" t="s">
        <v>410</v>
      </c>
      <c r="P1086" s="441" t="s">
        <v>410</v>
      </c>
      <c r="Q1086" s="441" t="s">
        <v>410</v>
      </c>
      <c r="R1086" s="441" t="s">
        <v>410</v>
      </c>
      <c r="S1086" s="441" t="s">
        <v>410</v>
      </c>
      <c r="T1086" s="441" t="s">
        <v>410</v>
      </c>
    </row>
    <row r="1087" spans="1:20" hidden="1" outlineLevel="1" x14ac:dyDescent="0.3">
      <c r="A1087" s="583" t="s">
        <v>5060</v>
      </c>
      <c r="B1087" s="591">
        <v>8</v>
      </c>
      <c r="C1087" s="588" t="s">
        <v>1256</v>
      </c>
      <c r="D1087" s="588" t="s">
        <v>1505</v>
      </c>
      <c r="E1087" s="589" t="s">
        <v>410</v>
      </c>
      <c r="F1087" s="590" t="s">
        <v>5033</v>
      </c>
      <c r="G1087" s="1076" t="s">
        <v>410</v>
      </c>
      <c r="H1087" s="441" t="s">
        <v>410</v>
      </c>
      <c r="I1087" s="1076" t="s">
        <v>410</v>
      </c>
      <c r="J1087" s="441" t="s">
        <v>410</v>
      </c>
      <c r="K1087" s="441" t="s">
        <v>410</v>
      </c>
      <c r="L1087" s="441" t="s">
        <v>410</v>
      </c>
      <c r="M1087" s="441" t="s">
        <v>410</v>
      </c>
      <c r="N1087" s="441" t="s">
        <v>410</v>
      </c>
      <c r="O1087" s="441" t="s">
        <v>410</v>
      </c>
      <c r="P1087" s="441" t="s">
        <v>410</v>
      </c>
      <c r="Q1087" s="441" t="s">
        <v>410</v>
      </c>
      <c r="R1087" s="441" t="s">
        <v>410</v>
      </c>
      <c r="S1087" s="441" t="s">
        <v>410</v>
      </c>
      <c r="T1087" s="441" t="s">
        <v>410</v>
      </c>
    </row>
    <row r="1088" spans="1:20" hidden="1" outlineLevel="1" x14ac:dyDescent="0.3">
      <c r="A1088" s="583" t="s">
        <v>5061</v>
      </c>
      <c r="B1088" s="591">
        <v>8</v>
      </c>
      <c r="C1088" s="588" t="s">
        <v>1256</v>
      </c>
      <c r="D1088" s="588" t="s">
        <v>1505</v>
      </c>
      <c r="E1088" s="589" t="s">
        <v>410</v>
      </c>
      <c r="F1088" s="590" t="s">
        <v>5033</v>
      </c>
      <c r="G1088" s="1076" t="s">
        <v>410</v>
      </c>
      <c r="H1088" s="441" t="s">
        <v>410</v>
      </c>
      <c r="I1088" s="1076" t="s">
        <v>410</v>
      </c>
      <c r="J1088" s="441" t="s">
        <v>410</v>
      </c>
      <c r="K1088" s="441" t="s">
        <v>410</v>
      </c>
      <c r="L1088" s="441" t="s">
        <v>410</v>
      </c>
      <c r="M1088" s="441" t="s">
        <v>410</v>
      </c>
      <c r="N1088" s="441" t="s">
        <v>410</v>
      </c>
      <c r="O1088" s="441" t="s">
        <v>410</v>
      </c>
      <c r="P1088" s="441" t="s">
        <v>410</v>
      </c>
      <c r="Q1088" s="441" t="s">
        <v>410</v>
      </c>
      <c r="R1088" s="441" t="s">
        <v>410</v>
      </c>
      <c r="S1088" s="441" t="s">
        <v>410</v>
      </c>
      <c r="T1088" s="441" t="s">
        <v>410</v>
      </c>
    </row>
    <row r="1089" spans="1:20" hidden="1" outlineLevel="1" x14ac:dyDescent="0.3">
      <c r="A1089" s="583" t="s">
        <v>5062</v>
      </c>
      <c r="B1089" s="591">
        <v>8</v>
      </c>
      <c r="C1089" s="588" t="s">
        <v>1256</v>
      </c>
      <c r="D1089" s="588" t="s">
        <v>1505</v>
      </c>
      <c r="E1089" s="592" t="s">
        <v>410</v>
      </c>
      <c r="F1089" s="592" t="s">
        <v>5034</v>
      </c>
      <c r="G1089" s="441" t="s">
        <v>410</v>
      </c>
      <c r="H1089" s="441" t="s">
        <v>410</v>
      </c>
      <c r="I1089" s="441" t="s">
        <v>410</v>
      </c>
      <c r="J1089" s="441" t="s">
        <v>410</v>
      </c>
      <c r="K1089" s="441" t="s">
        <v>410</v>
      </c>
      <c r="L1089" s="441" t="s">
        <v>410</v>
      </c>
      <c r="M1089" s="441" t="s">
        <v>410</v>
      </c>
      <c r="N1089" s="441" t="s">
        <v>410</v>
      </c>
      <c r="O1089" s="441" t="s">
        <v>410</v>
      </c>
      <c r="P1089" s="441" t="s">
        <v>410</v>
      </c>
      <c r="Q1089" s="441" t="s">
        <v>410</v>
      </c>
      <c r="R1089" s="441" t="s">
        <v>410</v>
      </c>
      <c r="S1089" s="441" t="s">
        <v>410</v>
      </c>
      <c r="T1089" s="441" t="s">
        <v>410</v>
      </c>
    </row>
    <row r="1090" spans="1:20" hidden="1" outlineLevel="1" x14ac:dyDescent="0.3">
      <c r="A1090" s="583" t="s">
        <v>5063</v>
      </c>
      <c r="B1090" s="591">
        <v>8</v>
      </c>
      <c r="C1090" s="588" t="s">
        <v>1256</v>
      </c>
      <c r="D1090" s="588" t="s">
        <v>1505</v>
      </c>
      <c r="E1090" s="592" t="s">
        <v>410</v>
      </c>
      <c r="F1090" s="592" t="s">
        <v>68</v>
      </c>
      <c r="G1090" s="593" t="s">
        <v>72</v>
      </c>
      <c r="H1090" s="593" t="s">
        <v>5036</v>
      </c>
      <c r="I1090" s="593" t="s">
        <v>5037</v>
      </c>
      <c r="J1090" s="441" t="s">
        <v>410</v>
      </c>
      <c r="K1090" s="441" t="s">
        <v>410</v>
      </c>
      <c r="L1090" s="441" t="s">
        <v>410</v>
      </c>
      <c r="M1090" s="441" t="s">
        <v>410</v>
      </c>
      <c r="N1090" s="441" t="s">
        <v>410</v>
      </c>
      <c r="O1090" s="441" t="s">
        <v>410</v>
      </c>
      <c r="P1090" s="441" t="s">
        <v>410</v>
      </c>
      <c r="Q1090" s="441" t="s">
        <v>410</v>
      </c>
      <c r="R1090" s="441" t="s">
        <v>410</v>
      </c>
      <c r="S1090" s="441" t="s">
        <v>410</v>
      </c>
      <c r="T1090" s="441" t="s">
        <v>410</v>
      </c>
    </row>
    <row r="1091" spans="1:20" hidden="1" outlineLevel="1" x14ac:dyDescent="0.3">
      <c r="A1091" s="583" t="s">
        <v>5064</v>
      </c>
      <c r="B1091" s="591">
        <v>8</v>
      </c>
      <c r="C1091" s="588" t="s">
        <v>1256</v>
      </c>
      <c r="D1091" s="588" t="s">
        <v>1505</v>
      </c>
      <c r="E1091" s="589" t="s">
        <v>410</v>
      </c>
      <c r="F1091" s="592" t="s">
        <v>5103</v>
      </c>
      <c r="G1091" s="441" t="s">
        <v>410</v>
      </c>
      <c r="H1091" s="441" t="s">
        <v>410</v>
      </c>
      <c r="I1091" s="441" t="s">
        <v>410</v>
      </c>
      <c r="J1091" s="441" t="s">
        <v>410</v>
      </c>
      <c r="K1091" s="441" t="s">
        <v>410</v>
      </c>
      <c r="L1091" s="441" t="s">
        <v>410</v>
      </c>
      <c r="M1091" s="441" t="s">
        <v>410</v>
      </c>
      <c r="N1091" s="441" t="s">
        <v>410</v>
      </c>
      <c r="O1091" s="441" t="s">
        <v>410</v>
      </c>
      <c r="P1091" s="441" t="s">
        <v>410</v>
      </c>
      <c r="Q1091" s="441" t="s">
        <v>410</v>
      </c>
      <c r="R1091" s="441" t="s">
        <v>410</v>
      </c>
      <c r="S1091" s="441" t="s">
        <v>410</v>
      </c>
      <c r="T1091" s="441" t="s">
        <v>410</v>
      </c>
    </row>
    <row r="1092" spans="1:20" hidden="1" outlineLevel="1" x14ac:dyDescent="0.3">
      <c r="A1092" s="583" t="s">
        <v>5102</v>
      </c>
      <c r="B1092" s="591">
        <v>8</v>
      </c>
      <c r="C1092" s="588" t="s">
        <v>1256</v>
      </c>
      <c r="D1092" s="588" t="s">
        <v>1505</v>
      </c>
      <c r="E1092" s="592" t="s">
        <v>410</v>
      </c>
      <c r="F1092" s="854" t="str">
        <f>CONCATENATE(TEXT(2*sSil,0)," %")</f>
        <v>14 %</v>
      </c>
      <c r="G1092" s="854" t="str">
        <f>CONCATENATE(TEXT(sSil*3,0)," %")</f>
        <v>21 %</v>
      </c>
      <c r="H1092" s="854" t="str">
        <f>CONCATENATE(TEXT(sSil*4,0)," %")</f>
        <v>28 %</v>
      </c>
      <c r="I1092" s="441" t="s">
        <v>410</v>
      </c>
      <c r="J1092" s="441" t="s">
        <v>410</v>
      </c>
      <c r="K1092" s="441" t="s">
        <v>410</v>
      </c>
      <c r="L1092" s="441" t="s">
        <v>410</v>
      </c>
      <c r="M1092" s="441" t="s">
        <v>410</v>
      </c>
      <c r="N1092" s="441" t="s">
        <v>410</v>
      </c>
      <c r="O1092" s="441" t="s">
        <v>410</v>
      </c>
      <c r="P1092" s="441" t="s">
        <v>410</v>
      </c>
      <c r="Q1092" s="441" t="s">
        <v>410</v>
      </c>
      <c r="R1092" s="441" t="s">
        <v>410</v>
      </c>
      <c r="S1092" s="441" t="s">
        <v>410</v>
      </c>
      <c r="T1092" s="441" t="s">
        <v>410</v>
      </c>
    </row>
    <row r="1093" spans="1:20" hidden="1" outlineLevel="1" x14ac:dyDescent="0.3">
      <c r="A1093" s="583" t="s">
        <v>5104</v>
      </c>
      <c r="B1093" s="591">
        <v>8</v>
      </c>
      <c r="C1093" s="588" t="s">
        <v>1256</v>
      </c>
      <c r="D1093" s="588" t="s">
        <v>1505</v>
      </c>
      <c r="E1093" s="589" t="s">
        <v>410</v>
      </c>
      <c r="F1093" s="854" t="s">
        <v>5106</v>
      </c>
      <c r="G1093" s="441" t="s">
        <v>410</v>
      </c>
      <c r="H1093" s="441" t="s">
        <v>410</v>
      </c>
      <c r="I1093" s="441" t="s">
        <v>410</v>
      </c>
      <c r="J1093" s="441" t="s">
        <v>410</v>
      </c>
      <c r="K1093" s="441" t="s">
        <v>410</v>
      </c>
      <c r="L1093" s="441" t="s">
        <v>410</v>
      </c>
      <c r="M1093" s="441" t="s">
        <v>410</v>
      </c>
      <c r="N1093" s="441" t="s">
        <v>410</v>
      </c>
      <c r="O1093" s="441" t="s">
        <v>410</v>
      </c>
      <c r="P1093" s="441" t="s">
        <v>410</v>
      </c>
      <c r="Q1093" s="441" t="s">
        <v>410</v>
      </c>
      <c r="R1093" s="441" t="s">
        <v>410</v>
      </c>
      <c r="S1093" s="441" t="s">
        <v>410</v>
      </c>
      <c r="T1093" s="441" t="s">
        <v>410</v>
      </c>
    </row>
    <row r="1094" spans="1:20" hidden="1" outlineLevel="1" x14ac:dyDescent="0.3">
      <c r="A1094" s="583" t="s">
        <v>5066</v>
      </c>
      <c r="B1094" s="591">
        <v>8</v>
      </c>
      <c r="C1094" s="588" t="s">
        <v>1256</v>
      </c>
      <c r="D1094" s="588" t="s">
        <v>1505</v>
      </c>
      <c r="E1094" s="592" t="s">
        <v>410</v>
      </c>
      <c r="F1094" s="854" t="s">
        <v>5109</v>
      </c>
      <c r="G1094" s="441" t="s">
        <v>410</v>
      </c>
      <c r="H1094" s="441" t="s">
        <v>410</v>
      </c>
      <c r="I1094" s="441" t="s">
        <v>410</v>
      </c>
      <c r="J1094" s="441" t="s">
        <v>410</v>
      </c>
      <c r="K1094" s="441" t="s">
        <v>410</v>
      </c>
      <c r="L1094" s="441" t="s">
        <v>410</v>
      </c>
      <c r="M1094" s="441" t="s">
        <v>410</v>
      </c>
      <c r="N1094" s="441" t="s">
        <v>410</v>
      </c>
      <c r="O1094" s="441" t="s">
        <v>410</v>
      </c>
      <c r="P1094" s="441" t="s">
        <v>410</v>
      </c>
      <c r="Q1094" s="441" t="s">
        <v>410</v>
      </c>
      <c r="R1094" s="441" t="s">
        <v>410</v>
      </c>
      <c r="S1094" s="441" t="s">
        <v>410</v>
      </c>
      <c r="T1094" s="441" t="s">
        <v>410</v>
      </c>
    </row>
    <row r="1095" spans="1:20" hidden="1" outlineLevel="1" x14ac:dyDescent="0.3">
      <c r="A1095" s="583" t="s">
        <v>5105</v>
      </c>
      <c r="B1095" s="591">
        <v>8</v>
      </c>
      <c r="C1095" s="588" t="s">
        <v>1256</v>
      </c>
      <c r="D1095" s="588" t="s">
        <v>1505</v>
      </c>
      <c r="E1095" s="592" t="s">
        <v>410</v>
      </c>
      <c r="F1095" s="854" t="s">
        <v>5107</v>
      </c>
      <c r="G1095" s="441" t="s">
        <v>410</v>
      </c>
      <c r="H1095" s="441" t="s">
        <v>410</v>
      </c>
      <c r="I1095" s="441" t="s">
        <v>410</v>
      </c>
      <c r="J1095" s="441" t="s">
        <v>410</v>
      </c>
      <c r="K1095" s="441" t="s">
        <v>410</v>
      </c>
      <c r="L1095" s="441" t="s">
        <v>410</v>
      </c>
      <c r="M1095" s="441" t="s">
        <v>410</v>
      </c>
      <c r="N1095" s="441" t="s">
        <v>410</v>
      </c>
      <c r="O1095" s="441" t="s">
        <v>410</v>
      </c>
      <c r="P1095" s="441" t="s">
        <v>410</v>
      </c>
      <c r="Q1095" s="441" t="s">
        <v>410</v>
      </c>
      <c r="R1095" s="441" t="s">
        <v>410</v>
      </c>
      <c r="S1095" s="441" t="s">
        <v>410</v>
      </c>
      <c r="T1095" s="441" t="s">
        <v>410</v>
      </c>
    </row>
    <row r="1096" spans="1:20" hidden="1" outlineLevel="1" x14ac:dyDescent="0.3">
      <c r="A1096" s="583" t="s">
        <v>5065</v>
      </c>
      <c r="B1096" s="591">
        <v>8</v>
      </c>
      <c r="C1096" s="588" t="s">
        <v>1256</v>
      </c>
      <c r="D1096" s="588" t="s">
        <v>1505</v>
      </c>
      <c r="E1096" s="589" t="s">
        <v>410</v>
      </c>
      <c r="F1096" s="854" t="s">
        <v>5108</v>
      </c>
      <c r="G1096" s="441" t="s">
        <v>410</v>
      </c>
      <c r="H1096" s="441" t="s">
        <v>410</v>
      </c>
      <c r="I1096" s="441" t="s">
        <v>410</v>
      </c>
      <c r="J1096" s="441" t="s">
        <v>410</v>
      </c>
      <c r="K1096" s="441" t="s">
        <v>410</v>
      </c>
      <c r="L1096" s="441" t="s">
        <v>410</v>
      </c>
      <c r="M1096" s="441" t="s">
        <v>410</v>
      </c>
      <c r="N1096" s="441" t="s">
        <v>410</v>
      </c>
      <c r="O1096" s="441" t="s">
        <v>410</v>
      </c>
      <c r="P1096" s="441" t="s">
        <v>410</v>
      </c>
      <c r="Q1096" s="441" t="s">
        <v>410</v>
      </c>
      <c r="R1096" s="441" t="s">
        <v>410</v>
      </c>
      <c r="S1096" s="441" t="s">
        <v>410</v>
      </c>
      <c r="T1096" s="441" t="s">
        <v>410</v>
      </c>
    </row>
    <row r="1097" spans="1:20" hidden="1" outlineLevel="1" x14ac:dyDescent="0.3">
      <c r="A1097" s="583" t="s">
        <v>5067</v>
      </c>
      <c r="B1097" s="591">
        <v>8</v>
      </c>
      <c r="C1097" s="588" t="s">
        <v>1256</v>
      </c>
      <c r="D1097" s="588" t="s">
        <v>1505</v>
      </c>
      <c r="E1097" s="592" t="s">
        <v>410</v>
      </c>
      <c r="F1097" s="854" t="s">
        <v>5041</v>
      </c>
      <c r="G1097" s="441" t="s">
        <v>410</v>
      </c>
      <c r="H1097" s="441" t="s">
        <v>410</v>
      </c>
      <c r="I1097" s="441" t="s">
        <v>410</v>
      </c>
      <c r="J1097" s="441" t="s">
        <v>410</v>
      </c>
      <c r="K1097" s="441" t="s">
        <v>410</v>
      </c>
      <c r="L1097" s="441" t="s">
        <v>410</v>
      </c>
      <c r="M1097" s="441" t="s">
        <v>410</v>
      </c>
      <c r="N1097" s="441" t="s">
        <v>410</v>
      </c>
      <c r="O1097" s="441" t="s">
        <v>410</v>
      </c>
      <c r="P1097" s="441" t="s">
        <v>410</v>
      </c>
      <c r="Q1097" s="441" t="s">
        <v>410</v>
      </c>
      <c r="R1097" s="441" t="s">
        <v>410</v>
      </c>
      <c r="S1097" s="441" t="s">
        <v>410</v>
      </c>
      <c r="T1097" s="441" t="s">
        <v>410</v>
      </c>
    </row>
    <row r="1098" spans="1:20" hidden="1" outlineLevel="1" x14ac:dyDescent="0.3">
      <c r="A1098" s="583" t="s">
        <v>5068</v>
      </c>
      <c r="B1098" s="591">
        <v>8</v>
      </c>
      <c r="C1098" s="588" t="s">
        <v>1256</v>
      </c>
      <c r="D1098" s="588" t="s">
        <v>1505</v>
      </c>
      <c r="E1098" s="589" t="s">
        <v>410</v>
      </c>
      <c r="F1098" s="1077" t="s">
        <v>5042</v>
      </c>
      <c r="G1098" s="441" t="s">
        <v>410</v>
      </c>
      <c r="H1098" s="441" t="s">
        <v>410</v>
      </c>
      <c r="I1098" s="441" t="s">
        <v>410</v>
      </c>
      <c r="J1098" s="441" t="s">
        <v>410</v>
      </c>
      <c r="K1098" s="441" t="s">
        <v>410</v>
      </c>
      <c r="L1098" s="441" t="s">
        <v>410</v>
      </c>
      <c r="M1098" s="441" t="s">
        <v>410</v>
      </c>
      <c r="N1098" s="441" t="s">
        <v>410</v>
      </c>
      <c r="O1098" s="441" t="s">
        <v>410</v>
      </c>
      <c r="P1098" s="441" t="s">
        <v>410</v>
      </c>
      <c r="Q1098" s="441" t="s">
        <v>410</v>
      </c>
      <c r="R1098" s="441" t="s">
        <v>410</v>
      </c>
      <c r="S1098" s="441" t="s">
        <v>410</v>
      </c>
      <c r="T1098" s="441" t="s">
        <v>410</v>
      </c>
    </row>
    <row r="1099" spans="1:20" hidden="1" outlineLevel="1" x14ac:dyDescent="0.3">
      <c r="A1099" s="583" t="s">
        <v>5070</v>
      </c>
      <c r="B1099" s="591">
        <v>8</v>
      </c>
      <c r="C1099" s="588" t="s">
        <v>1256</v>
      </c>
      <c r="D1099" s="588" t="s">
        <v>1505</v>
      </c>
      <c r="E1099" s="592" t="s">
        <v>410</v>
      </c>
      <c r="F1099" s="593" t="s">
        <v>5044</v>
      </c>
      <c r="G1099" s="441" t="s">
        <v>410</v>
      </c>
      <c r="H1099" s="441" t="s">
        <v>410</v>
      </c>
      <c r="I1099" s="441" t="s">
        <v>410</v>
      </c>
      <c r="J1099" s="441" t="s">
        <v>410</v>
      </c>
      <c r="K1099" s="441" t="s">
        <v>410</v>
      </c>
      <c r="L1099" s="441" t="s">
        <v>410</v>
      </c>
      <c r="M1099" s="441" t="s">
        <v>410</v>
      </c>
      <c r="N1099" s="441" t="s">
        <v>410</v>
      </c>
      <c r="O1099" s="441" t="s">
        <v>410</v>
      </c>
      <c r="P1099" s="441" t="s">
        <v>410</v>
      </c>
      <c r="Q1099" s="441" t="s">
        <v>410</v>
      </c>
      <c r="R1099" s="441" t="s">
        <v>410</v>
      </c>
      <c r="S1099" s="441" t="s">
        <v>410</v>
      </c>
      <c r="T1099" s="441" t="s">
        <v>410</v>
      </c>
    </row>
    <row r="1100" spans="1:20" hidden="1" outlineLevel="1" x14ac:dyDescent="0.3">
      <c r="A1100" s="583" t="s">
        <v>5073</v>
      </c>
      <c r="B1100" s="591">
        <v>8</v>
      </c>
      <c r="C1100" s="583" t="s">
        <v>1256</v>
      </c>
      <c r="D1100" s="583" t="s">
        <v>1505</v>
      </c>
      <c r="E1100" s="592" t="s">
        <v>410</v>
      </c>
      <c r="F1100" s="593" t="s">
        <v>5046</v>
      </c>
      <c r="G1100" s="441" t="s">
        <v>410</v>
      </c>
      <c r="H1100" s="441" t="s">
        <v>410</v>
      </c>
      <c r="I1100" s="441" t="s">
        <v>410</v>
      </c>
      <c r="J1100" s="441" t="s">
        <v>410</v>
      </c>
      <c r="K1100" s="441" t="s">
        <v>410</v>
      </c>
      <c r="L1100" s="441" t="s">
        <v>410</v>
      </c>
      <c r="M1100" s="441" t="s">
        <v>410</v>
      </c>
      <c r="N1100" s="441" t="s">
        <v>410</v>
      </c>
      <c r="O1100" s="441" t="s">
        <v>410</v>
      </c>
      <c r="P1100" s="441" t="s">
        <v>410</v>
      </c>
      <c r="Q1100" s="441" t="s">
        <v>410</v>
      </c>
      <c r="R1100" s="441" t="s">
        <v>410</v>
      </c>
      <c r="S1100" s="441" t="s">
        <v>410</v>
      </c>
      <c r="T1100" s="441" t="s">
        <v>410</v>
      </c>
    </row>
    <row r="1101" spans="1:20" hidden="1" outlineLevel="1" x14ac:dyDescent="0.3">
      <c r="A1101" s="583" t="s">
        <v>5074</v>
      </c>
      <c r="B1101" s="591">
        <v>8</v>
      </c>
      <c r="C1101" s="588" t="s">
        <v>1256</v>
      </c>
      <c r="D1101" s="588" t="s">
        <v>1505</v>
      </c>
      <c r="E1101" s="592" t="s">
        <v>410</v>
      </c>
      <c r="F1101" s="593" t="s">
        <v>5048</v>
      </c>
      <c r="G1101" s="441" t="s">
        <v>410</v>
      </c>
      <c r="H1101" s="441" t="s">
        <v>410</v>
      </c>
      <c r="I1101" s="441" t="s">
        <v>410</v>
      </c>
      <c r="J1101" s="441" t="s">
        <v>410</v>
      </c>
      <c r="K1101" s="441" t="s">
        <v>410</v>
      </c>
      <c r="L1101" s="441" t="s">
        <v>410</v>
      </c>
      <c r="M1101" s="441" t="s">
        <v>410</v>
      </c>
      <c r="N1101" s="441" t="s">
        <v>410</v>
      </c>
      <c r="O1101" s="441" t="s">
        <v>410</v>
      </c>
      <c r="P1101" s="441" t="s">
        <v>410</v>
      </c>
      <c r="Q1101" s="441" t="s">
        <v>410</v>
      </c>
      <c r="R1101" s="441" t="s">
        <v>410</v>
      </c>
      <c r="S1101" s="441" t="s">
        <v>410</v>
      </c>
      <c r="T1101" s="441" t="s">
        <v>410</v>
      </c>
    </row>
    <row r="1102" spans="1:20" hidden="1" outlineLevel="1" x14ac:dyDescent="0.3">
      <c r="A1102" s="583" t="s">
        <v>1627</v>
      </c>
      <c r="B1102" s="591">
        <v>11</v>
      </c>
      <c r="C1102" s="588" t="s">
        <v>1256</v>
      </c>
      <c r="D1102" s="588" t="s">
        <v>1505</v>
      </c>
      <c r="E1102" s="592" t="s">
        <v>5086</v>
      </c>
      <c r="F1102" s="593" t="s">
        <v>5087</v>
      </c>
      <c r="G1102" s="593" t="s">
        <v>5088</v>
      </c>
      <c r="H1102" s="593" t="s">
        <v>5089</v>
      </c>
      <c r="I1102" s="594" t="s">
        <v>5090</v>
      </c>
      <c r="J1102" s="593" t="s">
        <v>5091</v>
      </c>
      <c r="K1102" s="593" t="s">
        <v>5092</v>
      </c>
      <c r="L1102" s="441" t="s">
        <v>410</v>
      </c>
      <c r="M1102" s="237" t="s">
        <v>410</v>
      </c>
      <c r="N1102" s="237" t="s">
        <v>410</v>
      </c>
      <c r="O1102" s="237" t="s">
        <v>410</v>
      </c>
      <c r="P1102" s="237" t="s">
        <v>410</v>
      </c>
      <c r="Q1102" s="237" t="s">
        <v>410</v>
      </c>
      <c r="R1102" s="237" t="s">
        <v>410</v>
      </c>
      <c r="S1102" s="10" t="s">
        <v>410</v>
      </c>
      <c r="T1102" s="10" t="s">
        <v>410</v>
      </c>
    </row>
    <row r="1103" spans="1:20" hidden="1" outlineLevel="1" x14ac:dyDescent="0.3">
      <c r="A1103" s="583" t="s">
        <v>1849</v>
      </c>
      <c r="B1103" s="591">
        <v>11</v>
      </c>
      <c r="C1103" s="583" t="s">
        <v>1256</v>
      </c>
      <c r="D1103" s="583" t="s">
        <v>1505</v>
      </c>
      <c r="E1103" s="592" t="s">
        <v>410</v>
      </c>
      <c r="F1103" s="593" t="s">
        <v>2167</v>
      </c>
      <c r="G1103" s="593" t="s">
        <v>2233</v>
      </c>
      <c r="H1103" s="593" t="s">
        <v>3560</v>
      </c>
      <c r="I1103" s="593" t="s">
        <v>3561</v>
      </c>
      <c r="J1103" s="593" t="s">
        <v>3562</v>
      </c>
      <c r="K1103" s="237" t="s">
        <v>410</v>
      </c>
      <c r="L1103" s="441" t="s">
        <v>410</v>
      </c>
      <c r="M1103" s="237" t="s">
        <v>410</v>
      </c>
      <c r="N1103" s="237" t="s">
        <v>410</v>
      </c>
      <c r="O1103" s="237" t="s">
        <v>410</v>
      </c>
      <c r="P1103" s="237" t="s">
        <v>410</v>
      </c>
      <c r="Q1103" s="237" t="s">
        <v>410</v>
      </c>
      <c r="R1103" s="237" t="s">
        <v>410</v>
      </c>
      <c r="S1103" s="10" t="s">
        <v>410</v>
      </c>
      <c r="T1103" s="10" t="s">
        <v>410</v>
      </c>
    </row>
    <row r="1104" spans="1:20" hidden="1" outlineLevel="1" x14ac:dyDescent="0.3">
      <c r="A1104" s="583" t="s">
        <v>5093</v>
      </c>
      <c r="B1104" s="591">
        <v>11</v>
      </c>
      <c r="C1104" s="583" t="s">
        <v>1256</v>
      </c>
      <c r="D1104" s="583" t="s">
        <v>1505</v>
      </c>
      <c r="E1104" s="592" t="s">
        <v>410</v>
      </c>
      <c r="F1104" s="593" t="s">
        <v>5094</v>
      </c>
      <c r="G1104" s="593" t="s">
        <v>5095</v>
      </c>
      <c r="H1104" s="593" t="s">
        <v>4010</v>
      </c>
      <c r="I1104" s="594" t="s">
        <v>5096</v>
      </c>
      <c r="J1104" s="593" t="s">
        <v>5097</v>
      </c>
      <c r="K1104" s="593" t="s">
        <v>5098</v>
      </c>
      <c r="L1104" s="441" t="s">
        <v>410</v>
      </c>
      <c r="M1104" s="237" t="s">
        <v>410</v>
      </c>
      <c r="N1104" s="237" t="s">
        <v>410</v>
      </c>
      <c r="O1104" s="237" t="s">
        <v>410</v>
      </c>
      <c r="P1104" s="237" t="s">
        <v>410</v>
      </c>
      <c r="Q1104" s="237" t="s">
        <v>410</v>
      </c>
      <c r="R1104" s="237" t="s">
        <v>410</v>
      </c>
      <c r="S1104" s="10" t="s">
        <v>410</v>
      </c>
      <c r="T1104" s="10" t="s">
        <v>410</v>
      </c>
    </row>
    <row r="1105" spans="1:20" hidden="1" outlineLevel="1" x14ac:dyDescent="0.3">
      <c r="A1105" s="583" t="s">
        <v>1941</v>
      </c>
      <c r="B1105" s="591">
        <v>11</v>
      </c>
      <c r="C1105" s="583" t="s">
        <v>1256</v>
      </c>
      <c r="D1105" s="583" t="s">
        <v>1505</v>
      </c>
      <c r="E1105" s="593" t="s">
        <v>410</v>
      </c>
      <c r="F1105" s="593" t="s">
        <v>90</v>
      </c>
      <c r="G1105" s="593" t="s">
        <v>92</v>
      </c>
      <c r="H1105" s="593" t="s">
        <v>101</v>
      </c>
      <c r="I1105" s="593" t="s">
        <v>103</v>
      </c>
      <c r="J1105" s="593" t="s">
        <v>105</v>
      </c>
      <c r="K1105" s="593" t="s">
        <v>108</v>
      </c>
      <c r="L1105" s="441" t="s">
        <v>410</v>
      </c>
      <c r="M1105" s="593" t="s">
        <v>410</v>
      </c>
      <c r="N1105" s="237" t="s">
        <v>410</v>
      </c>
      <c r="O1105" s="237" t="s">
        <v>410</v>
      </c>
      <c r="P1105" s="237" t="s">
        <v>410</v>
      </c>
      <c r="Q1105" s="237" t="s">
        <v>410</v>
      </c>
      <c r="R1105" s="237" t="s">
        <v>410</v>
      </c>
      <c r="S1105" s="237" t="s">
        <v>410</v>
      </c>
      <c r="T1105" s="237" t="s">
        <v>410</v>
      </c>
    </row>
    <row r="1106" spans="1:20" hidden="1" outlineLevel="1" x14ac:dyDescent="0.3">
      <c r="A1106" s="583" t="s">
        <v>1609</v>
      </c>
      <c r="B1106" s="591">
        <v>16</v>
      </c>
      <c r="C1106" s="588" t="s">
        <v>1256</v>
      </c>
      <c r="D1106" s="588" t="s">
        <v>1505</v>
      </c>
      <c r="E1106" s="589" t="s">
        <v>410</v>
      </c>
      <c r="F1106" s="593" t="s">
        <v>105</v>
      </c>
      <c r="G1106" s="593" t="s">
        <v>5083</v>
      </c>
      <c r="H1106" s="593" t="s">
        <v>2602</v>
      </c>
      <c r="I1106" s="593" t="s">
        <v>2684</v>
      </c>
      <c r="J1106" s="441" t="s">
        <v>410</v>
      </c>
      <c r="K1106" s="441" t="s">
        <v>410</v>
      </c>
      <c r="L1106" s="441" t="s">
        <v>410</v>
      </c>
      <c r="M1106" s="441" t="s">
        <v>410</v>
      </c>
      <c r="N1106" s="441" t="s">
        <v>410</v>
      </c>
      <c r="O1106" s="441" t="s">
        <v>410</v>
      </c>
      <c r="P1106" s="441" t="s">
        <v>410</v>
      </c>
      <c r="Q1106" s="441" t="s">
        <v>410</v>
      </c>
      <c r="R1106" s="441" t="s">
        <v>410</v>
      </c>
      <c r="S1106" s="441" t="s">
        <v>410</v>
      </c>
      <c r="T1106" s="441" t="s">
        <v>410</v>
      </c>
    </row>
    <row r="1107" spans="1:20" hidden="1" outlineLevel="1" x14ac:dyDescent="0.3">
      <c r="A1107" s="583" t="s">
        <v>1611</v>
      </c>
      <c r="B1107" s="591">
        <v>16</v>
      </c>
      <c r="C1107" s="588" t="s">
        <v>1256</v>
      </c>
      <c r="D1107" s="588" t="s">
        <v>1505</v>
      </c>
      <c r="E1107" s="589" t="s">
        <v>410</v>
      </c>
      <c r="F1107" s="593" t="s">
        <v>3555</v>
      </c>
      <c r="G1107" s="593" t="s">
        <v>3556</v>
      </c>
      <c r="H1107" s="593" t="s">
        <v>3557</v>
      </c>
      <c r="I1107" s="593" t="s">
        <v>3558</v>
      </c>
      <c r="J1107" s="441" t="s">
        <v>410</v>
      </c>
      <c r="K1107" s="441" t="s">
        <v>410</v>
      </c>
      <c r="L1107" s="441" t="s">
        <v>410</v>
      </c>
      <c r="M1107" s="441" t="s">
        <v>410</v>
      </c>
      <c r="N1107" s="441" t="s">
        <v>410</v>
      </c>
      <c r="O1107" s="441" t="s">
        <v>410</v>
      </c>
      <c r="P1107" s="441" t="s">
        <v>410</v>
      </c>
      <c r="Q1107" s="441" t="s">
        <v>410</v>
      </c>
      <c r="R1107" s="441" t="s">
        <v>410</v>
      </c>
      <c r="S1107" s="441" t="s">
        <v>410</v>
      </c>
      <c r="T1107" s="441" t="s">
        <v>410</v>
      </c>
    </row>
    <row r="1108" spans="1:20" hidden="1" outlineLevel="1" x14ac:dyDescent="0.3">
      <c r="A1108" s="583" t="s">
        <v>1660</v>
      </c>
      <c r="B1108" s="591">
        <v>16</v>
      </c>
      <c r="C1108" s="583" t="s">
        <v>1256</v>
      </c>
      <c r="D1108" s="583" t="s">
        <v>1505</v>
      </c>
      <c r="E1108" s="592" t="s">
        <v>410</v>
      </c>
      <c r="F1108" s="593" t="s">
        <v>3245</v>
      </c>
      <c r="G1108" s="593" t="s">
        <v>3246</v>
      </c>
      <c r="H1108" s="593" t="s">
        <v>3247</v>
      </c>
      <c r="I1108" s="593" t="s">
        <v>1661</v>
      </c>
      <c r="J1108" s="593" t="s">
        <v>3248</v>
      </c>
      <c r="K1108" s="593" t="s">
        <v>3249</v>
      </c>
      <c r="L1108" s="237" t="s">
        <v>410</v>
      </c>
      <c r="M1108" s="237" t="s">
        <v>410</v>
      </c>
      <c r="N1108" s="237" t="s">
        <v>410</v>
      </c>
      <c r="O1108" s="237" t="s">
        <v>410</v>
      </c>
      <c r="P1108" s="237" t="s">
        <v>410</v>
      </c>
      <c r="Q1108" s="237" t="s">
        <v>410</v>
      </c>
      <c r="R1108" s="237" t="s">
        <v>410</v>
      </c>
      <c r="S1108" s="10" t="s">
        <v>410</v>
      </c>
      <c r="T1108" s="10" t="s">
        <v>410</v>
      </c>
    </row>
    <row r="1109" spans="1:20" hidden="1" outlineLevel="1" x14ac:dyDescent="0.3">
      <c r="A1109" s="583" t="s">
        <v>5536</v>
      </c>
      <c r="B1109" s="591">
        <v>16</v>
      </c>
      <c r="C1109" s="583" t="s">
        <v>1256</v>
      </c>
      <c r="D1109" s="583" t="s">
        <v>1505</v>
      </c>
      <c r="E1109" s="592" t="s">
        <v>410</v>
      </c>
      <c r="F1109" s="593" t="s">
        <v>3559</v>
      </c>
      <c r="G1109" s="593" t="s">
        <v>3125</v>
      </c>
      <c r="H1109" s="593" t="s">
        <v>2209</v>
      </c>
      <c r="I1109" s="593" t="s">
        <v>2210</v>
      </c>
      <c r="J1109" s="593" t="s">
        <v>2211</v>
      </c>
      <c r="K1109" s="237" t="s">
        <v>410</v>
      </c>
      <c r="L1109" s="237" t="s">
        <v>410</v>
      </c>
      <c r="M1109" s="237" t="s">
        <v>410</v>
      </c>
      <c r="N1109" s="237" t="s">
        <v>410</v>
      </c>
      <c r="O1109" s="237" t="s">
        <v>410</v>
      </c>
      <c r="P1109" s="237" t="s">
        <v>410</v>
      </c>
      <c r="Q1109" s="237" t="s">
        <v>410</v>
      </c>
      <c r="R1109" s="237" t="s">
        <v>410</v>
      </c>
      <c r="S1109" s="10" t="s">
        <v>410</v>
      </c>
      <c r="T1109" s="10" t="s">
        <v>410</v>
      </c>
    </row>
    <row r="1110" spans="1:20" hidden="1" outlineLevel="1" x14ac:dyDescent="0.3">
      <c r="A1110" s="583" t="s">
        <v>5110</v>
      </c>
      <c r="B1110" s="591">
        <v>16</v>
      </c>
      <c r="C1110" s="583" t="s">
        <v>1256</v>
      </c>
      <c r="D1110" s="583" t="s">
        <v>1505</v>
      </c>
      <c r="E1110" s="592" t="s">
        <v>410</v>
      </c>
      <c r="F1110" s="593" t="s">
        <v>5112</v>
      </c>
      <c r="G1110" s="593" t="s">
        <v>5113</v>
      </c>
      <c r="H1110" s="593" t="s">
        <v>5114</v>
      </c>
      <c r="I1110" s="237" t="s">
        <v>410</v>
      </c>
      <c r="J1110" s="237" t="s">
        <v>410</v>
      </c>
      <c r="K1110" s="237" t="s">
        <v>410</v>
      </c>
      <c r="L1110" s="237" t="s">
        <v>410</v>
      </c>
      <c r="M1110" s="237" t="s">
        <v>410</v>
      </c>
      <c r="N1110" s="237" t="s">
        <v>410</v>
      </c>
      <c r="O1110" s="237" t="s">
        <v>410</v>
      </c>
      <c r="P1110" s="237" t="s">
        <v>410</v>
      </c>
      <c r="Q1110" s="237" t="s">
        <v>410</v>
      </c>
      <c r="R1110" s="237" t="s">
        <v>410</v>
      </c>
      <c r="S1110" s="10" t="s">
        <v>410</v>
      </c>
      <c r="T1110" s="10" t="s">
        <v>410</v>
      </c>
    </row>
    <row r="1111" spans="1:20" hidden="1" outlineLevel="1" x14ac:dyDescent="0.3">
      <c r="A1111" s="583" t="s">
        <v>5111</v>
      </c>
      <c r="B1111" s="591">
        <v>16</v>
      </c>
      <c r="C1111" s="583" t="s">
        <v>1256</v>
      </c>
      <c r="D1111" s="583" t="s">
        <v>1505</v>
      </c>
      <c r="E1111" s="592" t="s">
        <v>410</v>
      </c>
      <c r="F1111" s="593" t="s">
        <v>3236</v>
      </c>
      <c r="G1111" s="593" t="s">
        <v>3237</v>
      </c>
      <c r="H1111" s="593" t="s">
        <v>3238</v>
      </c>
      <c r="I1111" s="237" t="s">
        <v>410</v>
      </c>
      <c r="J1111" s="237" t="s">
        <v>410</v>
      </c>
      <c r="K1111" s="237" t="s">
        <v>410</v>
      </c>
      <c r="L1111" s="237" t="s">
        <v>410</v>
      </c>
      <c r="M1111" s="237" t="s">
        <v>410</v>
      </c>
      <c r="N1111" s="237" t="s">
        <v>410</v>
      </c>
      <c r="O1111" s="237" t="s">
        <v>410</v>
      </c>
      <c r="P1111" s="237" t="s">
        <v>410</v>
      </c>
      <c r="Q1111" s="237" t="s">
        <v>410</v>
      </c>
      <c r="R1111" s="237" t="s">
        <v>410</v>
      </c>
      <c r="S1111" s="10" t="s">
        <v>410</v>
      </c>
      <c r="T1111" s="10" t="s">
        <v>410</v>
      </c>
    </row>
    <row r="1112" spans="1:20" hidden="1" outlineLevel="1" x14ac:dyDescent="0.3">
      <c r="A1112" s="583" t="s">
        <v>1983</v>
      </c>
      <c r="B1112" s="591">
        <v>16</v>
      </c>
      <c r="C1112" s="583" t="s">
        <v>1256</v>
      </c>
      <c r="D1112" s="583" t="s">
        <v>1505</v>
      </c>
      <c r="E1112" s="593" t="s">
        <v>410</v>
      </c>
      <c r="F1112" s="593" t="s">
        <v>4349</v>
      </c>
      <c r="G1112" s="593" t="s">
        <v>4350</v>
      </c>
      <c r="H1112" s="593" t="s">
        <v>4351</v>
      </c>
      <c r="I1112" s="593" t="s">
        <v>4352</v>
      </c>
      <c r="J1112" s="593" t="s">
        <v>4353</v>
      </c>
      <c r="K1112" s="593" t="s">
        <v>4354</v>
      </c>
      <c r="L1112" s="237" t="s">
        <v>410</v>
      </c>
      <c r="M1112" s="237" t="s">
        <v>410</v>
      </c>
      <c r="N1112" s="237" t="s">
        <v>410</v>
      </c>
      <c r="O1112" s="237" t="s">
        <v>410</v>
      </c>
      <c r="P1112" s="237" t="s">
        <v>410</v>
      </c>
      <c r="Q1112" s="237" t="s">
        <v>410</v>
      </c>
      <c r="R1112" s="237" t="s">
        <v>410</v>
      </c>
      <c r="S1112" s="237" t="s">
        <v>410</v>
      </c>
      <c r="T1112" s="237" t="s">
        <v>410</v>
      </c>
    </row>
    <row r="1113" spans="1:20" hidden="1" outlineLevel="1" x14ac:dyDescent="0.3">
      <c r="A1113" s="583" t="s">
        <v>1946</v>
      </c>
      <c r="B1113" s="591">
        <v>21</v>
      </c>
      <c r="C1113" s="583" t="s">
        <v>1256</v>
      </c>
      <c r="D1113" s="583" t="s">
        <v>1505</v>
      </c>
      <c r="E1113" s="593" t="s">
        <v>410</v>
      </c>
      <c r="F1113" s="593" t="s">
        <v>3244</v>
      </c>
      <c r="G1113" s="593" t="s">
        <v>4025</v>
      </c>
      <c r="H1113" s="593" t="s">
        <v>4026</v>
      </c>
      <c r="I1113" s="237" t="s">
        <v>410</v>
      </c>
      <c r="J1113" s="237" t="s">
        <v>410</v>
      </c>
      <c r="K1113" s="237" t="s">
        <v>410</v>
      </c>
      <c r="L1113" s="237" t="s">
        <v>410</v>
      </c>
      <c r="M1113" s="237" t="s">
        <v>410</v>
      </c>
      <c r="N1113" s="237" t="s">
        <v>410</v>
      </c>
      <c r="O1113" s="237" t="s">
        <v>410</v>
      </c>
      <c r="P1113" s="237" t="s">
        <v>410</v>
      </c>
      <c r="Q1113" s="237" t="s">
        <v>410</v>
      </c>
      <c r="R1113" s="237" t="s">
        <v>410</v>
      </c>
      <c r="S1113" s="237" t="s">
        <v>410</v>
      </c>
      <c r="T1113" s="237" t="s">
        <v>410</v>
      </c>
    </row>
    <row r="1114" spans="1:20" hidden="1" outlineLevel="1" x14ac:dyDescent="0.3">
      <c r="A1114" s="583" t="s">
        <v>2066</v>
      </c>
      <c r="B1114" s="591">
        <v>0</v>
      </c>
      <c r="C1114" s="583" t="s">
        <v>1564</v>
      </c>
      <c r="D1114" s="583" t="s">
        <v>1505</v>
      </c>
      <c r="F1114" t="s">
        <v>410</v>
      </c>
      <c r="G1114" t="s">
        <v>410</v>
      </c>
      <c r="H1114" t="s">
        <v>410</v>
      </c>
      <c r="I1114" t="s">
        <v>410</v>
      </c>
      <c r="J1114" t="s">
        <v>410</v>
      </c>
      <c r="K1114" t="s">
        <v>410</v>
      </c>
      <c r="L1114" t="s">
        <v>410</v>
      </c>
      <c r="M1114" t="s">
        <v>410</v>
      </c>
      <c r="N1114" t="s">
        <v>410</v>
      </c>
      <c r="O1114" t="s">
        <v>410</v>
      </c>
      <c r="P1114" t="s">
        <v>410</v>
      </c>
      <c r="Q1114" t="s">
        <v>410</v>
      </c>
      <c r="R1114" t="s">
        <v>410</v>
      </c>
      <c r="S1114" t="s">
        <v>410</v>
      </c>
      <c r="T1114" t="s">
        <v>410</v>
      </c>
    </row>
    <row r="1115" spans="1:20" hidden="1" outlineLevel="1" x14ac:dyDescent="0.3">
      <c r="A1115" s="583" t="s">
        <v>2238</v>
      </c>
      <c r="B1115" s="591">
        <v>0</v>
      </c>
      <c r="C1115" s="583" t="s">
        <v>1564</v>
      </c>
      <c r="D1115" s="583" t="s">
        <v>1505</v>
      </c>
      <c r="E1115" s="594" t="s">
        <v>5573</v>
      </c>
      <c r="F1115" t="s">
        <v>410</v>
      </c>
      <c r="G1115" t="s">
        <v>410</v>
      </c>
      <c r="H1115" t="s">
        <v>410</v>
      </c>
      <c r="I1115" t="s">
        <v>410</v>
      </c>
      <c r="J1115" t="s">
        <v>410</v>
      </c>
      <c r="K1115" t="s">
        <v>410</v>
      </c>
      <c r="L1115" t="s">
        <v>410</v>
      </c>
      <c r="M1115" t="s">
        <v>410</v>
      </c>
      <c r="N1115" t="s">
        <v>410</v>
      </c>
      <c r="O1115" t="s">
        <v>410</v>
      </c>
      <c r="P1115" t="s">
        <v>410</v>
      </c>
      <c r="Q1115" t="s">
        <v>410</v>
      </c>
      <c r="R1115" t="s">
        <v>410</v>
      </c>
      <c r="S1115" t="s">
        <v>410</v>
      </c>
      <c r="T1115" t="s">
        <v>410</v>
      </c>
    </row>
    <row r="1116" spans="1:20" hidden="1" outlineLevel="1" x14ac:dyDescent="0.3">
      <c r="A1116" s="583" t="s">
        <v>3571</v>
      </c>
      <c r="B1116" s="591">
        <v>0</v>
      </c>
      <c r="C1116" s="583" t="s">
        <v>1564</v>
      </c>
      <c r="D1116" s="583" t="s">
        <v>1505</v>
      </c>
      <c r="E1116" s="593"/>
      <c r="F1116" s="237" t="s">
        <v>410</v>
      </c>
      <c r="G1116" s="237" t="s">
        <v>410</v>
      </c>
      <c r="H1116" s="237" t="s">
        <v>410</v>
      </c>
      <c r="I1116" s="237" t="s">
        <v>410</v>
      </c>
      <c r="J1116" s="237" t="s">
        <v>410</v>
      </c>
      <c r="K1116" s="237" t="s">
        <v>410</v>
      </c>
      <c r="L1116" s="237" t="s">
        <v>410</v>
      </c>
      <c r="M1116" s="237" t="s">
        <v>410</v>
      </c>
      <c r="N1116" s="237" t="s">
        <v>410</v>
      </c>
      <c r="O1116" s="237" t="s">
        <v>410</v>
      </c>
      <c r="P1116" s="237" t="s">
        <v>410</v>
      </c>
      <c r="Q1116" s="237" t="s">
        <v>410</v>
      </c>
      <c r="R1116" s="237" t="s">
        <v>410</v>
      </c>
      <c r="S1116" s="237" t="s">
        <v>410</v>
      </c>
      <c r="T1116" s="237" t="s">
        <v>410</v>
      </c>
    </row>
    <row r="1117" spans="1:20" hidden="1" outlineLevel="1" x14ac:dyDescent="0.3">
      <c r="A1117" s="583" t="s">
        <v>1579</v>
      </c>
      <c r="B1117" s="591">
        <v>2</v>
      </c>
      <c r="C1117" s="588" t="s">
        <v>1564</v>
      </c>
      <c r="D1117" s="588" t="s">
        <v>1505</v>
      </c>
      <c r="E1117" s="589" t="s">
        <v>410</v>
      </c>
      <c r="F1117" s="593" t="s">
        <v>1580</v>
      </c>
      <c r="G1117" s="593" t="s">
        <v>1581</v>
      </c>
      <c r="H1117" s="593" t="s">
        <v>1582</v>
      </c>
      <c r="I1117" s="593" t="s">
        <v>1583</v>
      </c>
      <c r="J1117" s="593" t="s">
        <v>1584</v>
      </c>
      <c r="K1117" s="593" t="s">
        <v>1585</v>
      </c>
      <c r="L1117" s="593" t="s">
        <v>1586</v>
      </c>
      <c r="M1117" s="593" t="s">
        <v>1587</v>
      </c>
      <c r="N1117" s="441" t="s">
        <v>410</v>
      </c>
      <c r="O1117" s="441" t="s">
        <v>410</v>
      </c>
      <c r="P1117" s="441" t="s">
        <v>410</v>
      </c>
      <c r="Q1117" s="441" t="s">
        <v>410</v>
      </c>
      <c r="R1117" s="441" t="s">
        <v>410</v>
      </c>
      <c r="S1117" s="441" t="s">
        <v>410</v>
      </c>
      <c r="T1117" s="441" t="s">
        <v>410</v>
      </c>
    </row>
    <row r="1118" spans="1:20" hidden="1" outlineLevel="1" x14ac:dyDescent="0.3">
      <c r="A1118" s="583" t="s">
        <v>1588</v>
      </c>
      <c r="B1118" s="591">
        <v>2</v>
      </c>
      <c r="C1118" s="588" t="s">
        <v>1564</v>
      </c>
      <c r="D1118" s="588" t="s">
        <v>1505</v>
      </c>
      <c r="E1118" s="589" t="s">
        <v>410</v>
      </c>
      <c r="F1118" s="593" t="s">
        <v>3563</v>
      </c>
      <c r="G1118" s="593" t="s">
        <v>3564</v>
      </c>
      <c r="H1118" s="593" t="s">
        <v>3565</v>
      </c>
      <c r="I1118" s="593" t="s">
        <v>3566</v>
      </c>
      <c r="J1118" s="593" t="s">
        <v>3567</v>
      </c>
      <c r="K1118" s="593" t="s">
        <v>3568</v>
      </c>
      <c r="L1118" s="593" t="s">
        <v>3569</v>
      </c>
      <c r="M1118" s="593" t="s">
        <v>3570</v>
      </c>
      <c r="N1118" s="441" t="s">
        <v>410</v>
      </c>
      <c r="O1118" s="441" t="s">
        <v>410</v>
      </c>
      <c r="P1118" s="441" t="s">
        <v>410</v>
      </c>
      <c r="Q1118" s="441" t="s">
        <v>410</v>
      </c>
      <c r="R1118" s="441" t="s">
        <v>410</v>
      </c>
      <c r="S1118" s="441" t="s">
        <v>410</v>
      </c>
      <c r="T1118" s="441" t="s">
        <v>410</v>
      </c>
    </row>
    <row r="1119" spans="1:20" hidden="1" outlineLevel="1" x14ac:dyDescent="0.3">
      <c r="A1119" s="583" t="s">
        <v>4024</v>
      </c>
      <c r="B1119" s="591">
        <v>6</v>
      </c>
      <c r="C1119" s="588" t="s">
        <v>1564</v>
      </c>
      <c r="D1119" s="588" t="s">
        <v>1505</v>
      </c>
      <c r="E1119" s="855" t="s">
        <v>1777</v>
      </c>
      <c r="F1119" s="237" t="s">
        <v>410</v>
      </c>
      <c r="G1119" s="237" t="s">
        <v>410</v>
      </c>
      <c r="H1119" s="237" t="s">
        <v>410</v>
      </c>
      <c r="I1119" s="237" t="s">
        <v>410</v>
      </c>
      <c r="J1119" s="237" t="s">
        <v>410</v>
      </c>
      <c r="K1119" s="237" t="s">
        <v>410</v>
      </c>
      <c r="L1119" s="237" t="s">
        <v>410</v>
      </c>
      <c r="M1119" s="237" t="s">
        <v>410</v>
      </c>
      <c r="N1119" s="237" t="s">
        <v>410</v>
      </c>
      <c r="O1119" s="237" t="s">
        <v>410</v>
      </c>
      <c r="P1119" s="237" t="s">
        <v>410</v>
      </c>
      <c r="Q1119" s="237" t="s">
        <v>410</v>
      </c>
      <c r="R1119" s="237" t="s">
        <v>410</v>
      </c>
      <c r="S1119" s="10" t="s">
        <v>410</v>
      </c>
      <c r="T1119" s="10" t="s">
        <v>410</v>
      </c>
    </row>
    <row r="1120" spans="1:20" hidden="1" outlineLevel="1" x14ac:dyDescent="0.3">
      <c r="A1120" s="583" t="s">
        <v>5115</v>
      </c>
      <c r="B1120" s="591">
        <v>11</v>
      </c>
      <c r="C1120" s="588" t="s">
        <v>1564</v>
      </c>
      <c r="D1120" s="588" t="s">
        <v>1505</v>
      </c>
      <c r="E1120" s="589" t="s">
        <v>410</v>
      </c>
      <c r="F1120" s="593" t="s">
        <v>5116</v>
      </c>
      <c r="G1120" s="237" t="s">
        <v>410</v>
      </c>
      <c r="H1120" s="237" t="s">
        <v>410</v>
      </c>
      <c r="I1120" s="237" t="s">
        <v>410</v>
      </c>
      <c r="J1120" s="237" t="s">
        <v>410</v>
      </c>
      <c r="K1120" s="237" t="s">
        <v>410</v>
      </c>
      <c r="L1120" s="237" t="s">
        <v>410</v>
      </c>
      <c r="M1120" s="237" t="s">
        <v>410</v>
      </c>
      <c r="N1120" s="237" t="s">
        <v>410</v>
      </c>
      <c r="O1120" s="237" t="s">
        <v>410</v>
      </c>
      <c r="P1120" s="237" t="s">
        <v>410</v>
      </c>
      <c r="Q1120" s="237" t="s">
        <v>410</v>
      </c>
      <c r="R1120" s="237" t="s">
        <v>410</v>
      </c>
      <c r="S1120" s="10" t="s">
        <v>410</v>
      </c>
      <c r="T1120" s="10" t="s">
        <v>410</v>
      </c>
    </row>
    <row r="1121" spans="1:20" hidden="1" outlineLevel="1" x14ac:dyDescent="0.3">
      <c r="A1121" s="583" t="s">
        <v>2178</v>
      </c>
      <c r="B1121" s="591">
        <v>11</v>
      </c>
      <c r="C1121" s="588" t="s">
        <v>1564</v>
      </c>
      <c r="D1121" s="588" t="s">
        <v>1505</v>
      </c>
      <c r="E1121" s="589" t="s">
        <v>410</v>
      </c>
      <c r="F1121" s="593" t="s">
        <v>1810</v>
      </c>
      <c r="G1121" s="237" t="s">
        <v>410</v>
      </c>
      <c r="H1121" s="237" t="s">
        <v>410</v>
      </c>
      <c r="I1121" s="237" t="s">
        <v>410</v>
      </c>
      <c r="J1121" s="237" t="s">
        <v>410</v>
      </c>
      <c r="K1121" s="237" t="s">
        <v>410</v>
      </c>
      <c r="L1121" s="237" t="s">
        <v>410</v>
      </c>
      <c r="M1121" s="237" t="s">
        <v>410</v>
      </c>
      <c r="N1121" s="237" t="s">
        <v>410</v>
      </c>
      <c r="O1121" s="237" t="s">
        <v>410</v>
      </c>
      <c r="P1121" s="237" t="s">
        <v>410</v>
      </c>
      <c r="Q1121" s="237" t="s">
        <v>410</v>
      </c>
      <c r="R1121" s="237" t="s">
        <v>410</v>
      </c>
      <c r="S1121" s="10" t="s">
        <v>410</v>
      </c>
      <c r="T1121" s="10" t="s">
        <v>410</v>
      </c>
    </row>
    <row r="1122" spans="1:20" hidden="1" outlineLevel="1" x14ac:dyDescent="0.3">
      <c r="A1122" s="583" t="s">
        <v>2179</v>
      </c>
      <c r="B1122" s="591">
        <v>12</v>
      </c>
      <c r="C1122" s="588" t="s">
        <v>1564</v>
      </c>
      <c r="D1122" s="588" t="s">
        <v>1505</v>
      </c>
      <c r="E1122" s="589" t="s">
        <v>410</v>
      </c>
      <c r="F1122" s="593" t="s">
        <v>5117</v>
      </c>
      <c r="G1122" s="237" t="s">
        <v>410</v>
      </c>
      <c r="H1122" s="237" t="s">
        <v>410</v>
      </c>
      <c r="I1122" s="237" t="s">
        <v>410</v>
      </c>
      <c r="J1122" s="237" t="s">
        <v>410</v>
      </c>
      <c r="K1122" s="237" t="s">
        <v>410</v>
      </c>
      <c r="L1122" s="237" t="s">
        <v>410</v>
      </c>
      <c r="M1122" s="237" t="s">
        <v>410</v>
      </c>
      <c r="N1122" s="237" t="s">
        <v>410</v>
      </c>
      <c r="O1122" s="237" t="s">
        <v>410</v>
      </c>
      <c r="P1122" s="237" t="s">
        <v>410</v>
      </c>
      <c r="Q1122" s="237" t="s">
        <v>410</v>
      </c>
      <c r="R1122" s="237" t="s">
        <v>410</v>
      </c>
      <c r="S1122" s="10" t="s">
        <v>410</v>
      </c>
      <c r="T1122" s="10" t="s">
        <v>410</v>
      </c>
    </row>
    <row r="1123" spans="1:20" hidden="1" outlineLevel="1" x14ac:dyDescent="0.3">
      <c r="A1123" s="583" t="s">
        <v>2180</v>
      </c>
      <c r="B1123" s="591">
        <v>13</v>
      </c>
      <c r="C1123" s="588" t="s">
        <v>1564</v>
      </c>
      <c r="D1123" s="588" t="s">
        <v>1505</v>
      </c>
      <c r="E1123" s="589" t="s">
        <v>410</v>
      </c>
      <c r="F1123" s="593" t="s">
        <v>2185</v>
      </c>
      <c r="G1123" s="237" t="s">
        <v>410</v>
      </c>
      <c r="H1123" s="237" t="s">
        <v>410</v>
      </c>
      <c r="I1123" s="237" t="s">
        <v>410</v>
      </c>
      <c r="J1123" s="237" t="s">
        <v>410</v>
      </c>
      <c r="K1123" s="237" t="s">
        <v>410</v>
      </c>
      <c r="L1123" s="237" t="s">
        <v>410</v>
      </c>
      <c r="M1123" s="237" t="s">
        <v>410</v>
      </c>
      <c r="N1123" s="237" t="s">
        <v>410</v>
      </c>
      <c r="O1123" s="237" t="s">
        <v>410</v>
      </c>
      <c r="P1123" s="237" t="s">
        <v>410</v>
      </c>
      <c r="Q1123" s="237" t="s">
        <v>410</v>
      </c>
      <c r="R1123" s="237" t="s">
        <v>410</v>
      </c>
      <c r="S1123" s="10" t="s">
        <v>410</v>
      </c>
      <c r="T1123" s="10" t="s">
        <v>410</v>
      </c>
    </row>
    <row r="1124" spans="1:20" hidden="1" outlineLevel="1" x14ac:dyDescent="0.3">
      <c r="A1124" s="583" t="s">
        <v>2181</v>
      </c>
      <c r="B1124" s="591">
        <v>14</v>
      </c>
      <c r="C1124" s="588" t="s">
        <v>1564</v>
      </c>
      <c r="D1124" s="588" t="s">
        <v>1505</v>
      </c>
      <c r="E1124" s="589" t="s">
        <v>410</v>
      </c>
      <c r="F1124" s="592" t="s">
        <v>2186</v>
      </c>
      <c r="G1124" s="237" t="s">
        <v>410</v>
      </c>
      <c r="H1124" s="237" t="s">
        <v>410</v>
      </c>
      <c r="I1124" s="237" t="s">
        <v>410</v>
      </c>
      <c r="J1124" s="237" t="s">
        <v>410</v>
      </c>
      <c r="K1124" s="237" t="s">
        <v>410</v>
      </c>
      <c r="L1124" s="237" t="s">
        <v>410</v>
      </c>
      <c r="M1124" s="237" t="s">
        <v>410</v>
      </c>
      <c r="N1124" s="237" t="s">
        <v>410</v>
      </c>
      <c r="O1124" s="237" t="s">
        <v>410</v>
      </c>
      <c r="P1124" s="237" t="s">
        <v>410</v>
      </c>
      <c r="Q1124" s="237" t="s">
        <v>410</v>
      </c>
      <c r="R1124" s="237" t="s">
        <v>410</v>
      </c>
      <c r="S1124" s="10" t="s">
        <v>410</v>
      </c>
      <c r="T1124" s="10" t="s">
        <v>410</v>
      </c>
    </row>
    <row r="1125" spans="1:20" hidden="1" outlineLevel="1" x14ac:dyDescent="0.3">
      <c r="A1125" s="583" t="s">
        <v>2182</v>
      </c>
      <c r="B1125" s="591">
        <v>15</v>
      </c>
      <c r="C1125" s="588" t="s">
        <v>1564</v>
      </c>
      <c r="D1125" s="588" t="s">
        <v>1505</v>
      </c>
      <c r="E1125" s="589" t="s">
        <v>410</v>
      </c>
      <c r="F1125" s="593" t="s">
        <v>5118</v>
      </c>
      <c r="G1125" s="237" t="s">
        <v>410</v>
      </c>
      <c r="H1125" s="237" t="s">
        <v>410</v>
      </c>
      <c r="I1125" s="237" t="s">
        <v>410</v>
      </c>
      <c r="J1125" s="237" t="s">
        <v>410</v>
      </c>
      <c r="K1125" s="237" t="s">
        <v>410</v>
      </c>
      <c r="L1125" s="237" t="s">
        <v>410</v>
      </c>
      <c r="M1125" s="237" t="s">
        <v>410</v>
      </c>
      <c r="N1125" s="237" t="s">
        <v>410</v>
      </c>
      <c r="O1125" s="237" t="s">
        <v>410</v>
      </c>
      <c r="P1125" s="237" t="s">
        <v>410</v>
      </c>
      <c r="Q1125" s="237" t="s">
        <v>410</v>
      </c>
      <c r="R1125" s="237" t="s">
        <v>410</v>
      </c>
      <c r="S1125" s="10" t="s">
        <v>410</v>
      </c>
      <c r="T1125" s="10" t="s">
        <v>410</v>
      </c>
    </row>
    <row r="1126" spans="1:20" hidden="1" outlineLevel="1" x14ac:dyDescent="0.3">
      <c r="A1126" s="583" t="s">
        <v>2183</v>
      </c>
      <c r="B1126" s="591">
        <v>16</v>
      </c>
      <c r="C1126" s="588" t="s">
        <v>1564</v>
      </c>
      <c r="D1126" s="588" t="s">
        <v>1505</v>
      </c>
      <c r="E1126" s="589" t="s">
        <v>410</v>
      </c>
      <c r="F1126" s="593" t="s">
        <v>5119</v>
      </c>
      <c r="G1126" s="237" t="s">
        <v>410</v>
      </c>
      <c r="H1126" s="237" t="s">
        <v>410</v>
      </c>
      <c r="I1126" s="237" t="s">
        <v>410</v>
      </c>
      <c r="J1126" s="237" t="s">
        <v>410</v>
      </c>
      <c r="K1126" s="237" t="s">
        <v>410</v>
      </c>
      <c r="L1126" s="237" t="s">
        <v>410</v>
      </c>
      <c r="M1126" s="237" t="s">
        <v>410</v>
      </c>
      <c r="N1126" s="237" t="s">
        <v>410</v>
      </c>
      <c r="O1126" s="237" t="s">
        <v>410</v>
      </c>
      <c r="P1126" s="237" t="s">
        <v>410</v>
      </c>
      <c r="Q1126" s="237" t="s">
        <v>410</v>
      </c>
      <c r="R1126" s="237" t="s">
        <v>410</v>
      </c>
      <c r="S1126" s="10" t="s">
        <v>410</v>
      </c>
      <c r="T1126" s="10" t="s">
        <v>410</v>
      </c>
    </row>
    <row r="1127" spans="1:20" collapsed="1" x14ac:dyDescent="0.3">
      <c r="A1127" s="583" t="s">
        <v>1478</v>
      </c>
      <c r="B1127" s="591">
        <v>1</v>
      </c>
      <c r="C1127" s="588" t="s">
        <v>1256</v>
      </c>
      <c r="D1127" s="588" t="s">
        <v>216</v>
      </c>
      <c r="E1127" s="589" t="s">
        <v>410</v>
      </c>
      <c r="F1127" s="590" t="s">
        <v>2117</v>
      </c>
      <c r="G1127" s="590" t="s">
        <v>2118</v>
      </c>
      <c r="H1127" s="590" t="s">
        <v>2119</v>
      </c>
      <c r="I1127" s="590" t="s">
        <v>2120</v>
      </c>
      <c r="J1127" s="590" t="s">
        <v>2121</v>
      </c>
      <c r="K1127" s="590" t="s">
        <v>2122</v>
      </c>
      <c r="L1127" s="441" t="s">
        <v>410</v>
      </c>
      <c r="M1127" s="441" t="s">
        <v>410</v>
      </c>
      <c r="N1127" s="441" t="s">
        <v>410</v>
      </c>
      <c r="O1127" s="441" t="s">
        <v>410</v>
      </c>
      <c r="P1127" s="441" t="s">
        <v>410</v>
      </c>
      <c r="Q1127" s="441" t="s">
        <v>410</v>
      </c>
      <c r="R1127" s="441" t="s">
        <v>410</v>
      </c>
      <c r="S1127" s="441" t="s">
        <v>410</v>
      </c>
      <c r="T1127" s="441" t="s">
        <v>410</v>
      </c>
    </row>
    <row r="1128" spans="1:20" hidden="1" outlineLevel="1" x14ac:dyDescent="0.3">
      <c r="A1128" s="583" t="s">
        <v>1566</v>
      </c>
      <c r="B1128" s="591">
        <v>1</v>
      </c>
      <c r="C1128" s="588" t="s">
        <v>1256</v>
      </c>
      <c r="D1128" s="588" t="s">
        <v>216</v>
      </c>
      <c r="E1128" s="589" t="s">
        <v>410</v>
      </c>
      <c r="F1128" s="594" t="str">
        <f>CONCATENATE(TEXT(0+IF(CHR&lt;0,0,CHR)*1,"0")," mg")</f>
        <v>0 mg</v>
      </c>
      <c r="G1128" s="594" t="str">
        <f>CONCATENATE(TEXT(2+IF(CHR&lt;0,0,CHR)*1,"0")," mg")</f>
        <v>2 mg</v>
      </c>
      <c r="H1128" s="594" t="str">
        <f>CONCATENATE(TEXT(4+IF(CHR&lt;0,0,CHR)*1,"0")," mg")</f>
        <v>4 mg</v>
      </c>
      <c r="I1128" s="594" t="str">
        <f>CONCATENATE(TEXT(4+IF(CHR&lt;0,0,CHR)*2,"0")," mg")</f>
        <v>4 mg</v>
      </c>
      <c r="J1128" s="594" t="str">
        <f>CONCATENATE(TEXT(6+IF(CHR&lt;0,0,CHR)*2,"0")," mg")</f>
        <v>6 mg</v>
      </c>
      <c r="K1128" s="594" t="str">
        <f>CONCATENATE(TEXT(8+IF(CHR&lt;0,0,CHR)*2,"0")," mg")</f>
        <v>8 mg</v>
      </c>
      <c r="L1128" s="594" t="str">
        <f>CONCATENATE(TEXT(10+IF(CHR&lt;0,0,CHR)*2,"0")," mg")</f>
        <v>10 mg</v>
      </c>
      <c r="M1128" s="594" t="str">
        <f>CONCATENATE(TEXT(12+IF(CHR&lt;0,0,CHR)*2,"0")," mg")</f>
        <v>12 mg</v>
      </c>
      <c r="N1128" s="594" t="str">
        <f>CONCATENATE(TEXT(14+IF(CHR&lt;0,0,CHR)*2,"0")," mg")</f>
        <v>14 mg</v>
      </c>
      <c r="O1128" s="594" t="str">
        <f>CONCATENATE(TEXT(15+IF(CHR&lt;0,0,CHR)*3,"0")," mg")</f>
        <v>15 mg</v>
      </c>
      <c r="P1128" s="441" t="s">
        <v>410</v>
      </c>
      <c r="Q1128" s="441" t="s">
        <v>410</v>
      </c>
      <c r="R1128" s="441" t="s">
        <v>410</v>
      </c>
      <c r="S1128" s="441" t="s">
        <v>410</v>
      </c>
      <c r="T1128" s="441" t="s">
        <v>410</v>
      </c>
    </row>
    <row r="1129" spans="1:20" hidden="1" outlineLevel="1" x14ac:dyDescent="0.3">
      <c r="A1129" s="583" t="s">
        <v>1572</v>
      </c>
      <c r="B1129" s="591">
        <v>1</v>
      </c>
      <c r="C1129" s="588" t="s">
        <v>1256</v>
      </c>
      <c r="D1129" s="588" t="s">
        <v>216</v>
      </c>
      <c r="E1129" s="589" t="s">
        <v>410</v>
      </c>
      <c r="F1129" s="594" t="str">
        <f>CONCATENATE(TEXT(0+IF(ZRČ&lt;0,0,ZRČ)*1,"0")," mg")</f>
        <v>0 mg</v>
      </c>
      <c r="G1129" s="594" t="str">
        <f>CONCATENATE(TEXT(2+IF(ZRČ&lt;0,0,ZRČ)*1,"0")," mg")</f>
        <v>2 mg</v>
      </c>
      <c r="H1129" s="594" t="str">
        <f>CONCATENATE(TEXT(4+IF(ZRČ&lt;0,0,ZRČ)*1,"0")," mg")</f>
        <v>4 mg</v>
      </c>
      <c r="I1129" s="594" t="str">
        <f>CONCATENATE(TEXT(4+IF(ZRČ&lt;0,0,ZRČ)*2,"0")," mg")</f>
        <v>4 mg</v>
      </c>
      <c r="J1129" s="594" t="str">
        <f>CONCATENATE(TEXT(6+IF(ZRČ&lt;0,0,ZRČ)*2,"0")," mg")</f>
        <v>6 mg</v>
      </c>
      <c r="K1129" s="594" t="str">
        <f>CONCATENATE(TEXT(8+IF(ZRČ&lt;0,0,ZRČ)*2,"0")," mg")</f>
        <v>8 mg</v>
      </c>
      <c r="L1129" s="594" t="str">
        <f>CONCATENATE(TEXT(10+IF(ZRČ&lt;0,0,ZRČ)*2,"0")," mg")</f>
        <v>10 mg</v>
      </c>
      <c r="M1129" s="594" t="str">
        <f>CONCATENATE(TEXT(12+IF(ZRČ&lt;0,0,ZRČ)*2,"0")," mg")</f>
        <v>12 mg</v>
      </c>
      <c r="N1129" s="594" t="str">
        <f>CONCATENATE(TEXT(14+IF(ZRČ&lt;0,0,ZRČ)*2,"0")," mg")</f>
        <v>14 mg</v>
      </c>
      <c r="O1129" s="594" t="str">
        <f>CONCATENATE(TEXT(15+IF(ZRČ&lt;0,0,ZRČ)*3,"0")," mg")</f>
        <v>15 mg</v>
      </c>
      <c r="P1129" s="441" t="s">
        <v>410</v>
      </c>
      <c r="Q1129" s="441" t="s">
        <v>410</v>
      </c>
      <c r="R1129" s="441" t="s">
        <v>410</v>
      </c>
      <c r="S1129" s="441" t="s">
        <v>410</v>
      </c>
      <c r="T1129" s="441" t="s">
        <v>410</v>
      </c>
    </row>
    <row r="1130" spans="1:20" hidden="1" outlineLevel="1" x14ac:dyDescent="0.3">
      <c r="A1130" s="583" t="s">
        <v>3029</v>
      </c>
      <c r="B1130" s="591">
        <v>1</v>
      </c>
      <c r="C1130" s="588" t="s">
        <v>1256</v>
      </c>
      <c r="D1130" s="588" t="s">
        <v>216</v>
      </c>
      <c r="E1130" s="589" t="s">
        <v>410</v>
      </c>
      <c r="F1130" s="594" t="str">
        <f>CONCATENATE(TEXT(0+IF(OBR&lt;0,0,OBR)*1,"0")," mg")</f>
        <v>0 mg</v>
      </c>
      <c r="G1130" s="594" t="str">
        <f>CONCATENATE(TEXT(2+IF(OBR&lt;0,0,OBR)*1,"0")," mg")</f>
        <v>2 mg</v>
      </c>
      <c r="H1130" s="594" t="str">
        <f>CONCATENATE(TEXT(4+IF(OBR&lt;0,0,OBR)*1,"0")," mg")</f>
        <v>4 mg</v>
      </c>
      <c r="I1130" s="594" t="str">
        <f>CONCATENATE(TEXT(4+IF(OBR&lt;0,0,OBR)*2,"0")," mg")</f>
        <v>4 mg</v>
      </c>
      <c r="J1130" s="594" t="str">
        <f>CONCATENATE(TEXT(6+IF(OBR&lt;0,0,OBR)*2,"0")," mg")</f>
        <v>6 mg</v>
      </c>
      <c r="K1130" s="594" t="str">
        <f>CONCATENATE(TEXT(8+IF(OBR&lt;0,0,OBR)*2,"0")," mg")</f>
        <v>8 mg</v>
      </c>
      <c r="L1130" s="594" t="str">
        <f>CONCATENATE(TEXT(10+IF(OBR&lt;0,0,OBR)*2,"0")," mg")</f>
        <v>10 mg</v>
      </c>
      <c r="M1130" s="594" t="str">
        <f>CONCATENATE(TEXT(12+IF(OBR&lt;0,0,OBR)*2,"0")," mg")</f>
        <v>12 mg</v>
      </c>
      <c r="N1130" s="594" t="str">
        <f>CONCATENATE(TEXT(14+IF(OBR&lt;0,0,OBR)*2,"0")," mg")</f>
        <v>14 mg</v>
      </c>
      <c r="O1130" s="594" t="str">
        <f>CONCATENATE(TEXT(15+IF(OBR&lt;0,0,OBR)*3,"0")," mg")</f>
        <v>15 mg</v>
      </c>
      <c r="P1130" s="441" t="s">
        <v>410</v>
      </c>
      <c r="Q1130" s="441" t="s">
        <v>410</v>
      </c>
      <c r="R1130" s="441" t="s">
        <v>410</v>
      </c>
      <c r="S1130" s="441" t="s">
        <v>410</v>
      </c>
      <c r="T1130" s="441" t="s">
        <v>410</v>
      </c>
    </row>
    <row r="1131" spans="1:20" hidden="1" outlineLevel="1" x14ac:dyDescent="0.3">
      <c r="A1131" s="583" t="s">
        <v>1575</v>
      </c>
      <c r="B1131" s="591">
        <v>1</v>
      </c>
      <c r="C1131" s="588" t="s">
        <v>1256</v>
      </c>
      <c r="D1131" s="588" t="s">
        <v>216</v>
      </c>
      <c r="E1131" s="589" t="s">
        <v>410</v>
      </c>
      <c r="F1131" s="594" t="str">
        <f>CONCATENATE(TEXT(0+IF(VOL&lt;0,0,VOL)*1,"0")," mg")</f>
        <v>0 mg</v>
      </c>
      <c r="G1131" s="594" t="str">
        <f>CONCATENATE(TEXT(2+IF(VOL&lt;0,0,VOL)*1,"0")," mg")</f>
        <v>2 mg</v>
      </c>
      <c r="H1131" s="594" t="str">
        <f>CONCATENATE(TEXT(4+IF(VOL&lt;0,0,VOL)*1,"0")," mg")</f>
        <v>4 mg</v>
      </c>
      <c r="I1131" s="594" t="str">
        <f>CONCATENATE(TEXT(4+IF(VOL&lt;0,0,VOL)*2,"0")," mg")</f>
        <v>4 mg</v>
      </c>
      <c r="J1131" s="594" t="str">
        <f>CONCATENATE(TEXT(6+IF(VOL&lt;0,0,VOL)*2,"0")," mg")</f>
        <v>6 mg</v>
      </c>
      <c r="K1131" s="594" t="str">
        <f>CONCATENATE(TEXT(8+IF(VOL&lt;0,0,VOL)*2,"0")," mg")</f>
        <v>8 mg</v>
      </c>
      <c r="L1131" s="594" t="str">
        <f>CONCATENATE(TEXT(10+IF(VOL&lt;0,0,VOL)*2,"0")," mg")</f>
        <v>10 mg</v>
      </c>
      <c r="M1131" s="594" t="str">
        <f>CONCATENATE(TEXT(12+IF(VOL&lt;0,0,VOL)*2,"0")," mg")</f>
        <v>12 mg</v>
      </c>
      <c r="N1131" s="594" t="str">
        <f>CONCATENATE(TEXT(14+IF(VOL&lt;0,0,VOL)*2,"0")," mg")</f>
        <v>14 mg</v>
      </c>
      <c r="O1131" s="594" t="str">
        <f>CONCATENATE(TEXT(15+IF(VOL&lt;0,0,VOL)*3,"0")," mg")</f>
        <v>15 mg</v>
      </c>
      <c r="P1131" s="441" t="s">
        <v>410</v>
      </c>
      <c r="Q1131" s="441" t="s">
        <v>410</v>
      </c>
      <c r="R1131" s="441" t="s">
        <v>410</v>
      </c>
      <c r="S1131" s="441" t="s">
        <v>410</v>
      </c>
      <c r="T1131" s="441" t="s">
        <v>410</v>
      </c>
    </row>
    <row r="1132" spans="1:20" hidden="1" outlineLevel="1" x14ac:dyDescent="0.3">
      <c r="A1132" s="583" t="s">
        <v>1622</v>
      </c>
      <c r="B1132" s="591">
        <v>1</v>
      </c>
      <c r="C1132" s="588" t="s">
        <v>1256</v>
      </c>
      <c r="D1132" s="588" t="s">
        <v>216</v>
      </c>
      <c r="E1132" s="855" t="s">
        <v>410</v>
      </c>
      <c r="F1132" s="592" t="s">
        <v>5565</v>
      </c>
      <c r="G1132" s="592" t="s">
        <v>5566</v>
      </c>
      <c r="H1132" s="592" t="s">
        <v>5567</v>
      </c>
      <c r="I1132" s="441" t="s">
        <v>410</v>
      </c>
      <c r="J1132" s="441" t="s">
        <v>410</v>
      </c>
      <c r="K1132" s="441" t="s">
        <v>410</v>
      </c>
      <c r="L1132" s="441" t="s">
        <v>410</v>
      </c>
      <c r="M1132" s="441" t="s">
        <v>410</v>
      </c>
      <c r="N1132" s="441" t="s">
        <v>410</v>
      </c>
      <c r="O1132" s="441" t="s">
        <v>410</v>
      </c>
      <c r="P1132" s="441" t="s">
        <v>410</v>
      </c>
      <c r="Q1132" s="441" t="s">
        <v>410</v>
      </c>
      <c r="R1132" s="441" t="s">
        <v>410</v>
      </c>
      <c r="S1132" s="441" t="s">
        <v>410</v>
      </c>
      <c r="T1132" s="441" t="s">
        <v>410</v>
      </c>
    </row>
    <row r="1133" spans="1:20" hidden="1" outlineLevel="1" x14ac:dyDescent="0.3">
      <c r="A1133" s="583" t="s">
        <v>3030</v>
      </c>
      <c r="B1133" s="591">
        <v>1</v>
      </c>
      <c r="C1133" s="583" t="s">
        <v>1256</v>
      </c>
      <c r="D1133" s="583" t="s">
        <v>216</v>
      </c>
      <c r="E1133" s="583" t="s">
        <v>410</v>
      </c>
      <c r="F1133" s="583" t="s">
        <v>3146</v>
      </c>
      <c r="G1133" s="583" t="s">
        <v>3031</v>
      </c>
      <c r="H1133" s="583" t="s">
        <v>3032</v>
      </c>
      <c r="I1133" s="583" t="s">
        <v>3147</v>
      </c>
      <c r="J1133" s="583" t="s">
        <v>3148</v>
      </c>
      <c r="K1133" s="583" t="s">
        <v>3149</v>
      </c>
      <c r="L1133" s="583" t="s">
        <v>4778</v>
      </c>
      <c r="M1133" t="s">
        <v>410</v>
      </c>
      <c r="N1133" t="s">
        <v>410</v>
      </c>
      <c r="O1133" t="s">
        <v>410</v>
      </c>
      <c r="P1133" t="s">
        <v>410</v>
      </c>
      <c r="Q1133" t="s">
        <v>410</v>
      </c>
      <c r="R1133" t="s">
        <v>410</v>
      </c>
      <c r="S1133" t="s">
        <v>410</v>
      </c>
      <c r="T1133" t="s">
        <v>410</v>
      </c>
    </row>
    <row r="1134" spans="1:20" hidden="1" outlineLevel="1" x14ac:dyDescent="0.3">
      <c r="A1134" s="583" t="s">
        <v>1665</v>
      </c>
      <c r="B1134" s="591">
        <v>1</v>
      </c>
      <c r="C1134" s="583" t="s">
        <v>1256</v>
      </c>
      <c r="D1134" s="583" t="s">
        <v>216</v>
      </c>
      <c r="E1134" s="592" t="s">
        <v>410</v>
      </c>
      <c r="F1134" s="593" t="s">
        <v>2500</v>
      </c>
      <c r="G1134" s="593" t="s">
        <v>2501</v>
      </c>
      <c r="H1134" s="593" t="s">
        <v>2502</v>
      </c>
      <c r="I1134" s="593" t="s">
        <v>3162</v>
      </c>
      <c r="J1134" s="593" t="s">
        <v>2503</v>
      </c>
      <c r="K1134" s="237" t="s">
        <v>410</v>
      </c>
      <c r="L1134" s="237" t="s">
        <v>410</v>
      </c>
      <c r="M1134" s="237" t="s">
        <v>410</v>
      </c>
      <c r="N1134" s="237" t="s">
        <v>410</v>
      </c>
      <c r="O1134" s="237" t="s">
        <v>410</v>
      </c>
      <c r="P1134" s="237" t="s">
        <v>410</v>
      </c>
      <c r="Q1134" s="237" t="s">
        <v>410</v>
      </c>
      <c r="R1134" s="237" t="s">
        <v>410</v>
      </c>
      <c r="S1134" s="10" t="s">
        <v>410</v>
      </c>
      <c r="T1134" s="10" t="s">
        <v>410</v>
      </c>
    </row>
    <row r="1135" spans="1:20" hidden="1" outlineLevel="1" x14ac:dyDescent="0.3">
      <c r="A1135" s="583" t="s">
        <v>1673</v>
      </c>
      <c r="B1135" s="591">
        <v>1</v>
      </c>
      <c r="C1135" s="583" t="s">
        <v>1256</v>
      </c>
      <c r="D1135" s="583" t="s">
        <v>216</v>
      </c>
      <c r="E1135" s="594">
        <v>0</v>
      </c>
      <c r="F1135" s="594">
        <v>1</v>
      </c>
      <c r="G1135" s="594">
        <v>2</v>
      </c>
      <c r="H1135" s="594">
        <v>3</v>
      </c>
      <c r="I1135" s="594">
        <v>4</v>
      </c>
      <c r="J1135" s="594">
        <v>5</v>
      </c>
      <c r="K1135" s="594">
        <v>6</v>
      </c>
      <c r="L1135" s="237" t="s">
        <v>410</v>
      </c>
      <c r="M1135" s="237" t="s">
        <v>410</v>
      </c>
      <c r="N1135" s="237" t="s">
        <v>410</v>
      </c>
      <c r="O1135" s="237" t="s">
        <v>410</v>
      </c>
      <c r="P1135" s="237" t="s">
        <v>410</v>
      </c>
      <c r="Q1135" s="237" t="s">
        <v>410</v>
      </c>
      <c r="R1135" s="237" t="s">
        <v>410</v>
      </c>
      <c r="S1135" s="10" t="s">
        <v>410</v>
      </c>
      <c r="T1135" s="10" t="s">
        <v>410</v>
      </c>
    </row>
    <row r="1136" spans="1:20" hidden="1" outlineLevel="1" x14ac:dyDescent="0.3">
      <c r="A1136" s="583" t="s">
        <v>1674</v>
      </c>
      <c r="B1136" s="591">
        <v>1</v>
      </c>
      <c r="C1136" s="583" t="s">
        <v>1256</v>
      </c>
      <c r="D1136" s="583" t="s">
        <v>216</v>
      </c>
      <c r="E1136" s="592" t="s">
        <v>410</v>
      </c>
      <c r="F1136" s="593" t="s">
        <v>3176</v>
      </c>
      <c r="G1136" s="593" t="s">
        <v>4173</v>
      </c>
      <c r="H1136" s="593" t="s">
        <v>4174</v>
      </c>
      <c r="I1136" s="593" t="s">
        <v>4175</v>
      </c>
      <c r="J1136" s="237" t="s">
        <v>410</v>
      </c>
      <c r="K1136" s="237" t="s">
        <v>410</v>
      </c>
      <c r="L1136" s="237" t="s">
        <v>410</v>
      </c>
      <c r="M1136" s="237" t="s">
        <v>410</v>
      </c>
      <c r="N1136" s="237" t="s">
        <v>410</v>
      </c>
      <c r="O1136" s="237" t="s">
        <v>410</v>
      </c>
      <c r="P1136" s="237" t="s">
        <v>410</v>
      </c>
      <c r="Q1136" s="237" t="s">
        <v>410</v>
      </c>
      <c r="R1136" s="237" t="s">
        <v>410</v>
      </c>
      <c r="S1136" s="10" t="s">
        <v>410</v>
      </c>
      <c r="T1136" s="10" t="s">
        <v>410</v>
      </c>
    </row>
    <row r="1137" spans="1:20" hidden="1" outlineLevel="1" x14ac:dyDescent="0.3">
      <c r="A1137" s="583" t="s">
        <v>1862</v>
      </c>
      <c r="B1137" s="591">
        <v>1</v>
      </c>
      <c r="C1137" s="583" t="s">
        <v>1256</v>
      </c>
      <c r="D1137" s="583" t="s">
        <v>216</v>
      </c>
      <c r="E1137" s="592" t="s">
        <v>3120</v>
      </c>
      <c r="F1137" s="593" t="s">
        <v>3121</v>
      </c>
      <c r="G1137" s="593" t="s">
        <v>3122</v>
      </c>
      <c r="H1137" s="593" t="s">
        <v>3123</v>
      </c>
      <c r="I1137" s="237" t="s">
        <v>410</v>
      </c>
      <c r="J1137" s="237" t="s">
        <v>410</v>
      </c>
      <c r="K1137" s="237" t="s">
        <v>410</v>
      </c>
      <c r="L1137" s="237" t="s">
        <v>410</v>
      </c>
      <c r="M1137" s="237" t="s">
        <v>410</v>
      </c>
      <c r="N1137" s="237" t="s">
        <v>410</v>
      </c>
      <c r="O1137" s="237" t="s">
        <v>410</v>
      </c>
      <c r="P1137" s="237" t="s">
        <v>410</v>
      </c>
      <c r="Q1137" s="237" t="s">
        <v>410</v>
      </c>
      <c r="R1137" s="237" t="s">
        <v>410</v>
      </c>
      <c r="S1137" s="10" t="s">
        <v>410</v>
      </c>
      <c r="T1137" s="10" t="s">
        <v>410</v>
      </c>
    </row>
    <row r="1138" spans="1:20" hidden="1" outlineLevel="1" x14ac:dyDescent="0.3">
      <c r="A1138" s="583" t="s">
        <v>5543</v>
      </c>
      <c r="B1138" s="591">
        <v>1</v>
      </c>
      <c r="C1138" s="583" t="s">
        <v>1256</v>
      </c>
      <c r="D1138" s="583" t="s">
        <v>216</v>
      </c>
      <c r="E1138" s="593" t="s">
        <v>5539</v>
      </c>
      <c r="F1138" s="593" t="s">
        <v>5538</v>
      </c>
      <c r="G1138" s="593" t="s">
        <v>5540</v>
      </c>
      <c r="H1138" s="593" t="s">
        <v>5544</v>
      </c>
      <c r="I1138" s="593" t="s">
        <v>5541</v>
      </c>
      <c r="J1138" s="593" t="s">
        <v>5542</v>
      </c>
      <c r="K1138" s="237" t="s">
        <v>410</v>
      </c>
      <c r="L1138" s="237" t="s">
        <v>410</v>
      </c>
      <c r="M1138" s="237" t="s">
        <v>410</v>
      </c>
      <c r="N1138" s="237" t="s">
        <v>410</v>
      </c>
      <c r="O1138" s="237" t="s">
        <v>410</v>
      </c>
      <c r="P1138" s="237" t="s">
        <v>410</v>
      </c>
      <c r="Q1138" s="237" t="s">
        <v>410</v>
      </c>
      <c r="R1138" s="237" t="s">
        <v>410</v>
      </c>
      <c r="S1138" s="10" t="s">
        <v>410</v>
      </c>
      <c r="T1138" s="10" t="s">
        <v>410</v>
      </c>
    </row>
    <row r="1139" spans="1:20" hidden="1" outlineLevel="1" x14ac:dyDescent="0.3">
      <c r="A1139" s="583" t="s">
        <v>1911</v>
      </c>
      <c r="B1139" s="591">
        <v>1</v>
      </c>
      <c r="C1139" s="583" t="s">
        <v>1256</v>
      </c>
      <c r="D1139" s="583" t="s">
        <v>216</v>
      </c>
      <c r="E1139" s="594" t="s">
        <v>4176</v>
      </c>
      <c r="F1139" s="594" t="s">
        <v>4177</v>
      </c>
      <c r="G1139" s="594" t="s">
        <v>4178</v>
      </c>
      <c r="H1139" s="594" t="s">
        <v>4179</v>
      </c>
      <c r="I1139" s="594" t="s">
        <v>4180</v>
      </c>
      <c r="J1139" s="594" t="s">
        <v>4181</v>
      </c>
      <c r="K1139" s="593" t="s">
        <v>410</v>
      </c>
      <c r="L1139" s="237" t="s">
        <v>410</v>
      </c>
      <c r="M1139" s="237" t="s">
        <v>410</v>
      </c>
      <c r="N1139" s="237" t="s">
        <v>410</v>
      </c>
      <c r="O1139" s="237" t="s">
        <v>410</v>
      </c>
      <c r="P1139" s="237" t="s">
        <v>410</v>
      </c>
      <c r="Q1139" s="237" t="s">
        <v>410</v>
      </c>
      <c r="R1139" s="237" t="s">
        <v>410</v>
      </c>
      <c r="S1139" s="10" t="s">
        <v>410</v>
      </c>
      <c r="T1139" s="10" t="s">
        <v>410</v>
      </c>
    </row>
    <row r="1140" spans="1:20" hidden="1" outlineLevel="1" x14ac:dyDescent="0.3">
      <c r="A1140" s="583" t="s">
        <v>1955</v>
      </c>
      <c r="B1140" s="591">
        <v>1</v>
      </c>
      <c r="C1140" s="583" t="s">
        <v>1256</v>
      </c>
      <c r="D1140" s="583" t="s">
        <v>216</v>
      </c>
      <c r="E1140" s="593" t="s">
        <v>410</v>
      </c>
      <c r="F1140" s="593" t="s">
        <v>2288</v>
      </c>
      <c r="G1140" s="593" t="s">
        <v>2289</v>
      </c>
      <c r="H1140" s="593" t="s">
        <v>2290</v>
      </c>
      <c r="I1140" s="593" t="s">
        <v>2291</v>
      </c>
      <c r="J1140" s="593" t="s">
        <v>2292</v>
      </c>
      <c r="K1140" s="593" t="s">
        <v>2293</v>
      </c>
      <c r="L1140" s="237" t="s">
        <v>410</v>
      </c>
      <c r="M1140" s="237" t="s">
        <v>410</v>
      </c>
      <c r="N1140" s="237" t="s">
        <v>410</v>
      </c>
      <c r="O1140" s="237" t="s">
        <v>410</v>
      </c>
      <c r="P1140" s="237" t="s">
        <v>410</v>
      </c>
      <c r="Q1140" s="237" t="s">
        <v>410</v>
      </c>
      <c r="R1140" s="237" t="s">
        <v>410</v>
      </c>
      <c r="S1140" s="237" t="s">
        <v>410</v>
      </c>
      <c r="T1140" s="237" t="s">
        <v>410</v>
      </c>
    </row>
    <row r="1141" spans="1:20" hidden="1" outlineLevel="1" x14ac:dyDescent="0.3">
      <c r="A1141" s="583" t="s">
        <v>1998</v>
      </c>
      <c r="B1141" s="591">
        <v>1</v>
      </c>
      <c r="C1141" s="583" t="s">
        <v>1256</v>
      </c>
      <c r="D1141" s="583" t="s">
        <v>216</v>
      </c>
      <c r="E1141" s="593" t="s">
        <v>410</v>
      </c>
      <c r="F1141" s="593" t="s">
        <v>4430</v>
      </c>
      <c r="G1141" s="593" t="s">
        <v>1999</v>
      </c>
      <c r="H1141" s="593" t="s">
        <v>2000</v>
      </c>
      <c r="I1141" s="593" t="s">
        <v>2001</v>
      </c>
      <c r="J1141" s="593" t="s">
        <v>4182</v>
      </c>
      <c r="K1141" s="593" t="s">
        <v>2002</v>
      </c>
      <c r="L1141" s="237" t="s">
        <v>410</v>
      </c>
      <c r="M1141" s="237" t="s">
        <v>410</v>
      </c>
      <c r="N1141" s="237" t="s">
        <v>410</v>
      </c>
      <c r="O1141" s="237" t="s">
        <v>410</v>
      </c>
      <c r="P1141" s="237" t="s">
        <v>410</v>
      </c>
      <c r="Q1141" s="237" t="s">
        <v>410</v>
      </c>
      <c r="R1141" s="237" t="s">
        <v>410</v>
      </c>
      <c r="S1141" s="237" t="s">
        <v>410</v>
      </c>
      <c r="T1141" s="237" t="s">
        <v>410</v>
      </c>
    </row>
    <row r="1142" spans="1:20" hidden="1" outlineLevel="1" x14ac:dyDescent="0.3">
      <c r="A1142" s="583" t="s">
        <v>1883</v>
      </c>
      <c r="B1142" s="591">
        <v>2</v>
      </c>
      <c r="C1142" s="583" t="s">
        <v>1256</v>
      </c>
      <c r="D1142" s="583" t="s">
        <v>216</v>
      </c>
      <c r="E1142" s="592" t="s">
        <v>410</v>
      </c>
      <c r="F1142" s="593" t="s">
        <v>3131</v>
      </c>
      <c r="G1142" s="593" t="s">
        <v>3133</v>
      </c>
      <c r="H1142" s="593" t="s">
        <v>3134</v>
      </c>
      <c r="I1142" s="593" t="s">
        <v>3135</v>
      </c>
      <c r="J1142" s="593" t="s">
        <v>3136</v>
      </c>
      <c r="K1142" s="593" t="s">
        <v>3137</v>
      </c>
      <c r="L1142" s="237" t="s">
        <v>410</v>
      </c>
      <c r="M1142" s="237" t="s">
        <v>410</v>
      </c>
      <c r="N1142" s="237" t="s">
        <v>410</v>
      </c>
      <c r="O1142" s="237" t="s">
        <v>410</v>
      </c>
      <c r="P1142" s="237" t="s">
        <v>410</v>
      </c>
      <c r="Q1142" s="237" t="s">
        <v>410</v>
      </c>
      <c r="R1142" s="237" t="s">
        <v>410</v>
      </c>
      <c r="S1142" s="10" t="s">
        <v>410</v>
      </c>
      <c r="T1142" s="10" t="s">
        <v>410</v>
      </c>
    </row>
    <row r="1143" spans="1:20" hidden="1" outlineLevel="1" x14ac:dyDescent="0.3">
      <c r="A1143" s="583" t="s">
        <v>3033</v>
      </c>
      <c r="B1143" s="591">
        <v>2</v>
      </c>
      <c r="C1143" s="583" t="s">
        <v>1256</v>
      </c>
      <c r="D1143" s="583" t="s">
        <v>216</v>
      </c>
      <c r="E1143" s="593" t="s">
        <v>3034</v>
      </c>
      <c r="F1143" s="593" t="s">
        <v>3035</v>
      </c>
      <c r="G1143" s="593" t="s">
        <v>3036</v>
      </c>
      <c r="H1143" s="593" t="s">
        <v>3038</v>
      </c>
      <c r="I1143" s="593" t="s">
        <v>3037</v>
      </c>
      <c r="J1143" s="237" t="s">
        <v>410</v>
      </c>
      <c r="K1143" s="237" t="s">
        <v>410</v>
      </c>
      <c r="L1143" s="237" t="s">
        <v>410</v>
      </c>
      <c r="M1143" s="237" t="s">
        <v>410</v>
      </c>
      <c r="N1143" s="237" t="s">
        <v>410</v>
      </c>
      <c r="O1143" s="237" t="s">
        <v>410</v>
      </c>
      <c r="P1143" s="237" t="s">
        <v>410</v>
      </c>
      <c r="Q1143" s="237" t="s">
        <v>410</v>
      </c>
      <c r="R1143" s="237" t="s">
        <v>410</v>
      </c>
      <c r="S1143" s="10" t="s">
        <v>410</v>
      </c>
      <c r="T1143" s="10" t="s">
        <v>410</v>
      </c>
    </row>
    <row r="1144" spans="1:20" hidden="1" outlineLevel="1" x14ac:dyDescent="0.3">
      <c r="A1144" s="583" t="s">
        <v>1489</v>
      </c>
      <c r="B1144" s="591">
        <v>6</v>
      </c>
      <c r="C1144" s="588" t="s">
        <v>1256</v>
      </c>
      <c r="D1144" s="588" t="s">
        <v>216</v>
      </c>
      <c r="E1144" s="589" t="s">
        <v>410</v>
      </c>
      <c r="F1144" s="590" t="s">
        <v>3117</v>
      </c>
      <c r="G1144" s="590" t="s">
        <v>3118</v>
      </c>
      <c r="H1144" s="590" t="s">
        <v>3179</v>
      </c>
      <c r="I1144" s="590" t="s">
        <v>3180</v>
      </c>
      <c r="J1144" s="590" t="s">
        <v>3181</v>
      </c>
      <c r="K1144" s="590" t="s">
        <v>3178</v>
      </c>
      <c r="L1144" s="441" t="s">
        <v>410</v>
      </c>
      <c r="M1144" s="441" t="s">
        <v>410</v>
      </c>
      <c r="N1144" s="441" t="s">
        <v>410</v>
      </c>
      <c r="O1144" s="441" t="s">
        <v>410</v>
      </c>
      <c r="P1144" s="441" t="s">
        <v>410</v>
      </c>
      <c r="Q1144" s="441" t="s">
        <v>410</v>
      </c>
      <c r="R1144" s="441" t="s">
        <v>410</v>
      </c>
      <c r="S1144" s="441" t="s">
        <v>410</v>
      </c>
      <c r="T1144" s="441" t="s">
        <v>410</v>
      </c>
    </row>
    <row r="1145" spans="1:20" hidden="1" outlineLevel="1" x14ac:dyDescent="0.3">
      <c r="A1145" s="583" t="s">
        <v>5505</v>
      </c>
      <c r="B1145" s="591">
        <v>6</v>
      </c>
      <c r="C1145" s="583" t="s">
        <v>1256</v>
      </c>
      <c r="D1145" s="583" t="s">
        <v>216</v>
      </c>
      <c r="E1145" s="592" t="s">
        <v>410</v>
      </c>
      <c r="F1145" s="593" t="s">
        <v>3126</v>
      </c>
      <c r="G1145" s="593" t="s">
        <v>3127</v>
      </c>
      <c r="H1145" s="593" t="s">
        <v>3128</v>
      </c>
      <c r="I1145" s="593" t="s">
        <v>3129</v>
      </c>
      <c r="J1145" s="593" t="s">
        <v>3130</v>
      </c>
      <c r="K1145" s="237" t="s">
        <v>410</v>
      </c>
      <c r="L1145" s="237" t="s">
        <v>410</v>
      </c>
      <c r="M1145" s="237" t="s">
        <v>410</v>
      </c>
      <c r="N1145" s="237" t="s">
        <v>410</v>
      </c>
      <c r="O1145" s="237" t="s">
        <v>410</v>
      </c>
      <c r="P1145" s="237" t="s">
        <v>410</v>
      </c>
      <c r="Q1145" s="237" t="s">
        <v>410</v>
      </c>
      <c r="R1145" s="237" t="s">
        <v>410</v>
      </c>
      <c r="S1145" s="10" t="s">
        <v>410</v>
      </c>
      <c r="T1145" s="10" t="s">
        <v>410</v>
      </c>
    </row>
    <row r="1146" spans="1:20" hidden="1" outlineLevel="1" x14ac:dyDescent="0.3">
      <c r="A1146" s="583" t="s">
        <v>5502</v>
      </c>
      <c r="B1146" s="591">
        <v>6</v>
      </c>
      <c r="C1146" s="583" t="s">
        <v>1256</v>
      </c>
      <c r="D1146" s="583" t="s">
        <v>216</v>
      </c>
      <c r="E1146" s="592" t="s">
        <v>410</v>
      </c>
      <c r="F1146" s="593" t="s">
        <v>5496</v>
      </c>
      <c r="G1146" s="593" t="s">
        <v>5497</v>
      </c>
      <c r="H1146" s="593" t="s">
        <v>5498</v>
      </c>
      <c r="I1146" s="593" t="s">
        <v>5499</v>
      </c>
      <c r="J1146" s="593" t="s">
        <v>5500</v>
      </c>
      <c r="K1146" s="593" t="s">
        <v>410</v>
      </c>
      <c r="L1146" s="237" t="s">
        <v>410</v>
      </c>
      <c r="M1146" s="237" t="s">
        <v>410</v>
      </c>
      <c r="N1146" s="237" t="s">
        <v>410</v>
      </c>
      <c r="O1146" s="237" t="s">
        <v>410</v>
      </c>
      <c r="P1146" s="237" t="s">
        <v>410</v>
      </c>
      <c r="Q1146" s="237" t="s">
        <v>410</v>
      </c>
      <c r="R1146" s="237" t="s">
        <v>410</v>
      </c>
      <c r="S1146" s="10" t="s">
        <v>410</v>
      </c>
      <c r="T1146" s="10" t="s">
        <v>410</v>
      </c>
    </row>
    <row r="1147" spans="1:20" hidden="1" outlineLevel="1" x14ac:dyDescent="0.3">
      <c r="A1147" s="583" t="s">
        <v>1922</v>
      </c>
      <c r="B1147" s="591">
        <v>6</v>
      </c>
      <c r="C1147" s="583" t="s">
        <v>1256</v>
      </c>
      <c r="D1147" s="583" t="s">
        <v>216</v>
      </c>
      <c r="E1147" s="592" t="s">
        <v>410</v>
      </c>
      <c r="F1147" s="593" t="s">
        <v>107</v>
      </c>
      <c r="G1147" s="593" t="s">
        <v>1924</v>
      </c>
      <c r="H1147" s="593" t="s">
        <v>1925</v>
      </c>
      <c r="I1147" s="593" t="s">
        <v>3154</v>
      </c>
      <c r="J1147" s="593" t="s">
        <v>3155</v>
      </c>
      <c r="K1147" s="237" t="s">
        <v>410</v>
      </c>
      <c r="L1147" s="237" t="s">
        <v>410</v>
      </c>
      <c r="M1147" s="237" t="s">
        <v>410</v>
      </c>
      <c r="N1147" s="237" t="s">
        <v>410</v>
      </c>
      <c r="O1147" s="237" t="s">
        <v>410</v>
      </c>
      <c r="P1147" s="237" t="s">
        <v>410</v>
      </c>
      <c r="Q1147" s="237" t="s">
        <v>410</v>
      </c>
      <c r="R1147" s="237" t="s">
        <v>410</v>
      </c>
      <c r="S1147" s="10" t="s">
        <v>410</v>
      </c>
      <c r="T1147" s="10" t="s">
        <v>410</v>
      </c>
    </row>
    <row r="1148" spans="1:20" hidden="1" outlineLevel="1" x14ac:dyDescent="0.3">
      <c r="A1148" s="583" t="s">
        <v>1926</v>
      </c>
      <c r="B1148" s="591">
        <v>6</v>
      </c>
      <c r="C1148" s="583" t="s">
        <v>1256</v>
      </c>
      <c r="D1148" s="583" t="s">
        <v>216</v>
      </c>
      <c r="E1148" s="592" t="s">
        <v>410</v>
      </c>
      <c r="F1148" s="593" t="s">
        <v>1829</v>
      </c>
      <c r="G1148" s="593" t="s">
        <v>3156</v>
      </c>
      <c r="H1148" s="593" t="s">
        <v>1927</v>
      </c>
      <c r="I1148" s="593" t="s">
        <v>3157</v>
      </c>
      <c r="J1148" s="593" t="s">
        <v>3158</v>
      </c>
      <c r="K1148" s="237" t="s">
        <v>410</v>
      </c>
      <c r="L1148" s="237" t="s">
        <v>410</v>
      </c>
      <c r="M1148" s="237" t="s">
        <v>410</v>
      </c>
      <c r="N1148" s="237" t="s">
        <v>410</v>
      </c>
      <c r="O1148" s="237" t="s">
        <v>410</v>
      </c>
      <c r="P1148" s="237" t="s">
        <v>410</v>
      </c>
      <c r="Q1148" s="237" t="s">
        <v>410</v>
      </c>
      <c r="R1148" s="237" t="s">
        <v>410</v>
      </c>
      <c r="S1148" s="10" t="s">
        <v>410</v>
      </c>
      <c r="T1148" s="10" t="s">
        <v>410</v>
      </c>
    </row>
    <row r="1149" spans="1:20" hidden="1" outlineLevel="1" x14ac:dyDescent="0.3">
      <c r="A1149" s="583" t="s">
        <v>1994</v>
      </c>
      <c r="B1149" s="591">
        <v>6</v>
      </c>
      <c r="C1149" s="583" t="s">
        <v>1256</v>
      </c>
      <c r="D1149" s="583" t="s">
        <v>216</v>
      </c>
      <c r="E1149" s="593" t="s">
        <v>410</v>
      </c>
      <c r="F1149" s="593" t="s">
        <v>67</v>
      </c>
      <c r="G1149" s="593" t="s">
        <v>3159</v>
      </c>
      <c r="H1149" s="593" t="s">
        <v>3160</v>
      </c>
      <c r="I1149" s="237" t="s">
        <v>410</v>
      </c>
      <c r="J1149" s="237" t="s">
        <v>410</v>
      </c>
      <c r="K1149" s="237" t="s">
        <v>410</v>
      </c>
      <c r="L1149" s="237" t="s">
        <v>410</v>
      </c>
      <c r="M1149" s="237" t="s">
        <v>410</v>
      </c>
      <c r="N1149" s="237" t="s">
        <v>410</v>
      </c>
      <c r="O1149" s="237" t="s">
        <v>410</v>
      </c>
      <c r="P1149" s="237" t="s">
        <v>410</v>
      </c>
      <c r="Q1149" s="237" t="s">
        <v>410</v>
      </c>
      <c r="R1149" s="237" t="s">
        <v>410</v>
      </c>
      <c r="S1149" s="237" t="s">
        <v>410</v>
      </c>
      <c r="T1149" s="237" t="s">
        <v>410</v>
      </c>
    </row>
    <row r="1150" spans="1:20" hidden="1" outlineLevel="1" x14ac:dyDescent="0.3">
      <c r="A1150" s="583" t="s">
        <v>1638</v>
      </c>
      <c r="B1150" s="591">
        <v>11</v>
      </c>
      <c r="C1150" s="583" t="s">
        <v>1256</v>
      </c>
      <c r="D1150" s="583" t="s">
        <v>216</v>
      </c>
      <c r="E1150" s="592" t="s">
        <v>410</v>
      </c>
      <c r="F1150" s="237"/>
      <c r="G1150" s="237"/>
      <c r="H1150" s="237"/>
      <c r="I1150" s="237"/>
      <c r="J1150" s="237"/>
      <c r="K1150" s="237"/>
      <c r="L1150" s="237"/>
      <c r="M1150" s="237" t="s">
        <v>410</v>
      </c>
      <c r="N1150" s="237" t="s">
        <v>410</v>
      </c>
      <c r="O1150" s="237" t="s">
        <v>410</v>
      </c>
      <c r="P1150" s="237" t="s">
        <v>410</v>
      </c>
      <c r="Q1150" s="237" t="s">
        <v>410</v>
      </c>
      <c r="R1150" s="237" t="s">
        <v>410</v>
      </c>
      <c r="S1150" s="10" t="s">
        <v>410</v>
      </c>
      <c r="T1150" s="10" t="s">
        <v>410</v>
      </c>
    </row>
    <row r="1151" spans="1:20" hidden="1" outlineLevel="1" x14ac:dyDescent="0.3">
      <c r="A1151" s="583" t="s">
        <v>1645</v>
      </c>
      <c r="B1151" s="591">
        <v>13</v>
      </c>
      <c r="C1151" s="583" t="s">
        <v>1256</v>
      </c>
      <c r="D1151" s="583" t="s">
        <v>216</v>
      </c>
      <c r="E1151" s="592" t="s">
        <v>410</v>
      </c>
      <c r="F1151" s="593" t="s">
        <v>1646</v>
      </c>
      <c r="G1151" s="593" t="s">
        <v>1647</v>
      </c>
      <c r="H1151" s="593" t="s">
        <v>1648</v>
      </c>
      <c r="I1151" s="593" t="s">
        <v>1649</v>
      </c>
      <c r="J1151" s="593" t="s">
        <v>1650</v>
      </c>
      <c r="K1151" s="593" t="s">
        <v>1651</v>
      </c>
      <c r="L1151" s="593" t="s">
        <v>1652</v>
      </c>
      <c r="M1151" s="593" t="s">
        <v>1653</v>
      </c>
      <c r="N1151" s="237" t="s">
        <v>410</v>
      </c>
      <c r="O1151" s="237" t="s">
        <v>410</v>
      </c>
      <c r="P1151" s="237" t="s">
        <v>410</v>
      </c>
      <c r="Q1151" s="237" t="s">
        <v>410</v>
      </c>
      <c r="R1151" s="237" t="s">
        <v>410</v>
      </c>
      <c r="S1151" s="10" t="s">
        <v>410</v>
      </c>
      <c r="T1151" s="10" t="s">
        <v>410</v>
      </c>
    </row>
    <row r="1152" spans="1:20" hidden="1" outlineLevel="1" x14ac:dyDescent="0.3">
      <c r="A1152" s="583" t="s">
        <v>1884</v>
      </c>
      <c r="B1152" s="591">
        <v>14</v>
      </c>
      <c r="C1152" s="583" t="s">
        <v>1256</v>
      </c>
      <c r="D1152" s="583" t="s">
        <v>216</v>
      </c>
      <c r="E1152" s="592" t="s">
        <v>410</v>
      </c>
      <c r="F1152" s="593" t="s">
        <v>3132</v>
      </c>
      <c r="G1152" s="593" t="s">
        <v>3138</v>
      </c>
      <c r="H1152" s="593" t="s">
        <v>3139</v>
      </c>
      <c r="I1152" s="593" t="s">
        <v>3140</v>
      </c>
      <c r="J1152" s="593" t="s">
        <v>3141</v>
      </c>
      <c r="K1152" s="593" t="s">
        <v>3142</v>
      </c>
      <c r="L1152" s="237" t="s">
        <v>410</v>
      </c>
      <c r="M1152" s="237" t="s">
        <v>410</v>
      </c>
      <c r="N1152" s="237" t="s">
        <v>410</v>
      </c>
      <c r="O1152" s="237" t="s">
        <v>410</v>
      </c>
      <c r="P1152" s="237" t="s">
        <v>410</v>
      </c>
      <c r="Q1152" s="237" t="s">
        <v>410</v>
      </c>
      <c r="R1152" s="237" t="s">
        <v>410</v>
      </c>
      <c r="S1152" s="10" t="s">
        <v>410</v>
      </c>
      <c r="T1152" s="10" t="s">
        <v>410</v>
      </c>
    </row>
    <row r="1153" spans="1:20" hidden="1" outlineLevel="1" x14ac:dyDescent="0.3">
      <c r="A1153" s="583" t="s">
        <v>4440</v>
      </c>
      <c r="B1153" s="591">
        <v>16</v>
      </c>
      <c r="C1153" s="583" t="s">
        <v>1256</v>
      </c>
      <c r="D1153" s="583" t="s">
        <v>216</v>
      </c>
      <c r="E1153" s="592" t="s">
        <v>410</v>
      </c>
      <c r="F1153" s="593" t="s">
        <v>4445</v>
      </c>
      <c r="G1153" s="593" t="s">
        <v>4441</v>
      </c>
      <c r="H1153" s="593" t="s">
        <v>4442</v>
      </c>
      <c r="I1153" s="593" t="s">
        <v>4443</v>
      </c>
      <c r="J1153" s="593" t="s">
        <v>4444</v>
      </c>
      <c r="K1153" s="237" t="s">
        <v>410</v>
      </c>
      <c r="L1153" s="237" t="s">
        <v>410</v>
      </c>
      <c r="M1153" s="237" t="s">
        <v>410</v>
      </c>
      <c r="N1153" s="237" t="s">
        <v>410</v>
      </c>
      <c r="O1153" s="237" t="s">
        <v>410</v>
      </c>
      <c r="P1153" s="237" t="s">
        <v>410</v>
      </c>
      <c r="Q1153" s="237" t="s">
        <v>410</v>
      </c>
      <c r="R1153" s="237" t="s">
        <v>410</v>
      </c>
      <c r="S1153" s="10" t="s">
        <v>410</v>
      </c>
      <c r="T1153" s="10" t="s">
        <v>410</v>
      </c>
    </row>
    <row r="1154" spans="1:20" hidden="1" outlineLevel="1" x14ac:dyDescent="0.3">
      <c r="A1154" s="583" t="s">
        <v>5563</v>
      </c>
      <c r="B1154" s="591">
        <v>16</v>
      </c>
      <c r="C1154" s="583" t="s">
        <v>1256</v>
      </c>
      <c r="D1154" s="583" t="s">
        <v>216</v>
      </c>
      <c r="E1154" s="592" t="s">
        <v>410</v>
      </c>
      <c r="F1154" s="593" t="s">
        <v>5564</v>
      </c>
      <c r="G1154" s="593" t="s">
        <v>3125</v>
      </c>
      <c r="H1154" s="593" t="s">
        <v>2209</v>
      </c>
      <c r="I1154" s="593" t="s">
        <v>2210</v>
      </c>
      <c r="J1154" s="593" t="s">
        <v>2211</v>
      </c>
      <c r="K1154" s="907" t="s">
        <v>410</v>
      </c>
      <c r="L1154" s="907" t="s">
        <v>410</v>
      </c>
      <c r="M1154" s="907" t="s">
        <v>410</v>
      </c>
      <c r="N1154" s="237" t="s">
        <v>410</v>
      </c>
      <c r="O1154" s="237" t="s">
        <v>410</v>
      </c>
      <c r="P1154" s="237" t="s">
        <v>410</v>
      </c>
      <c r="Q1154" s="237" t="s">
        <v>410</v>
      </c>
      <c r="R1154" s="237" t="s">
        <v>410</v>
      </c>
      <c r="S1154" s="10" t="s">
        <v>410</v>
      </c>
      <c r="T1154" s="10" t="s">
        <v>410</v>
      </c>
    </row>
    <row r="1155" spans="1:20" hidden="1" outlineLevel="1" x14ac:dyDescent="0.3">
      <c r="A1155" s="583" t="s">
        <v>5537</v>
      </c>
      <c r="B1155" s="591">
        <v>16</v>
      </c>
      <c r="C1155" s="583" t="s">
        <v>1256</v>
      </c>
      <c r="D1155" s="583" t="s">
        <v>216</v>
      </c>
      <c r="E1155" s="592" t="s">
        <v>410</v>
      </c>
      <c r="F1155" s="593" t="s">
        <v>4183</v>
      </c>
      <c r="G1155" s="593" t="s">
        <v>3518</v>
      </c>
      <c r="H1155" s="593" t="s">
        <v>3519</v>
      </c>
      <c r="I1155" s="593" t="s">
        <v>4184</v>
      </c>
      <c r="J1155" s="593" t="s">
        <v>4185</v>
      </c>
      <c r="K1155" s="237" t="s">
        <v>410</v>
      </c>
      <c r="L1155" s="237" t="s">
        <v>410</v>
      </c>
      <c r="M1155" s="237" t="s">
        <v>410</v>
      </c>
      <c r="N1155" s="237" t="s">
        <v>410</v>
      </c>
      <c r="O1155" s="237" t="s">
        <v>410</v>
      </c>
      <c r="P1155" s="237" t="s">
        <v>410</v>
      </c>
      <c r="Q1155" s="237" t="s">
        <v>410</v>
      </c>
      <c r="R1155" s="237" t="s">
        <v>410</v>
      </c>
      <c r="S1155" s="10" t="s">
        <v>410</v>
      </c>
      <c r="T1155" s="10" t="s">
        <v>410</v>
      </c>
    </row>
    <row r="1156" spans="1:20" hidden="1" outlineLevel="1" x14ac:dyDescent="0.3">
      <c r="A1156" s="583" t="s">
        <v>1930</v>
      </c>
      <c r="B1156" s="591">
        <v>16</v>
      </c>
      <c r="C1156" s="583" t="s">
        <v>1256</v>
      </c>
      <c r="D1156" s="583" t="s">
        <v>216</v>
      </c>
      <c r="E1156" s="592" t="s">
        <v>410</v>
      </c>
      <c r="F1156" s="593" t="s">
        <v>3177</v>
      </c>
      <c r="G1156" s="593"/>
      <c r="H1156" s="593"/>
      <c r="I1156" s="593"/>
      <c r="J1156" s="593"/>
      <c r="K1156" s="593"/>
      <c r="L1156" s="593"/>
      <c r="M1156" s="593"/>
      <c r="N1156" s="237" t="s">
        <v>410</v>
      </c>
      <c r="O1156" s="237" t="s">
        <v>410</v>
      </c>
      <c r="P1156" s="237" t="s">
        <v>410</v>
      </c>
      <c r="Q1156" s="237" t="s">
        <v>410</v>
      </c>
      <c r="R1156" s="237" t="s">
        <v>410</v>
      </c>
      <c r="S1156" s="10" t="s">
        <v>410</v>
      </c>
      <c r="T1156" s="10" t="s">
        <v>410</v>
      </c>
    </row>
    <row r="1157" spans="1:20" hidden="1" outlineLevel="1" x14ac:dyDescent="0.3">
      <c r="A1157" s="583" t="s">
        <v>4446</v>
      </c>
      <c r="B1157" s="591">
        <v>21</v>
      </c>
      <c r="C1157" s="583" t="s">
        <v>1256</v>
      </c>
      <c r="D1157" s="583" t="s">
        <v>216</v>
      </c>
      <c r="E1157" s="592" t="s">
        <v>410</v>
      </c>
      <c r="F1157" s="593" t="s">
        <v>4447</v>
      </c>
      <c r="G1157" s="593" t="s">
        <v>4191</v>
      </c>
      <c r="H1157" s="593" t="s">
        <v>4192</v>
      </c>
      <c r="I1157" s="237" t="s">
        <v>410</v>
      </c>
      <c r="J1157" s="237" t="s">
        <v>410</v>
      </c>
      <c r="K1157" s="237" t="s">
        <v>410</v>
      </c>
      <c r="L1157" s="237" t="s">
        <v>410</v>
      </c>
      <c r="M1157" s="237" t="s">
        <v>410</v>
      </c>
      <c r="N1157" s="237" t="s">
        <v>410</v>
      </c>
      <c r="O1157" s="237" t="s">
        <v>410</v>
      </c>
      <c r="P1157" s="237" t="s">
        <v>410</v>
      </c>
      <c r="Q1157" s="237" t="s">
        <v>410</v>
      </c>
      <c r="R1157" s="237" t="s">
        <v>410</v>
      </c>
      <c r="S1157" s="10" t="s">
        <v>410</v>
      </c>
      <c r="T1157" s="10" t="s">
        <v>410</v>
      </c>
    </row>
    <row r="1158" spans="1:20" hidden="1" outlineLevel="1" x14ac:dyDescent="0.3">
      <c r="A1158" s="583" t="s">
        <v>2067</v>
      </c>
      <c r="B1158" s="591">
        <v>0</v>
      </c>
      <c r="C1158" s="588" t="s">
        <v>1564</v>
      </c>
      <c r="D1158" s="588" t="s">
        <v>216</v>
      </c>
      <c r="E1158" s="595"/>
      <c r="F1158" s="9" t="s">
        <v>410</v>
      </c>
      <c r="G1158" s="9" t="s">
        <v>410</v>
      </c>
      <c r="H1158" s="9" t="s">
        <v>410</v>
      </c>
      <c r="I1158" s="9" t="s">
        <v>410</v>
      </c>
      <c r="J1158" s="9" t="s">
        <v>410</v>
      </c>
      <c r="K1158" s="9" t="s">
        <v>410</v>
      </c>
      <c r="L1158" s="9" t="s">
        <v>410</v>
      </c>
      <c r="M1158" s="9" t="s">
        <v>410</v>
      </c>
      <c r="N1158" s="9" t="s">
        <v>410</v>
      </c>
      <c r="O1158" s="9" t="s">
        <v>410</v>
      </c>
      <c r="P1158" s="9" t="s">
        <v>410</v>
      </c>
      <c r="Q1158" s="9" t="s">
        <v>410</v>
      </c>
      <c r="R1158" s="9" t="s">
        <v>410</v>
      </c>
      <c r="S1158" s="9" t="s">
        <v>410</v>
      </c>
      <c r="T1158" s="9" t="s">
        <v>410</v>
      </c>
    </row>
    <row r="1159" spans="1:20" hidden="1" outlineLevel="1" x14ac:dyDescent="0.3">
      <c r="A1159" s="583" t="s">
        <v>2204</v>
      </c>
      <c r="B1159" s="591">
        <v>0</v>
      </c>
      <c r="C1159" s="583" t="s">
        <v>1564</v>
      </c>
      <c r="D1159" s="583" t="s">
        <v>216</v>
      </c>
      <c r="E1159" s="592" t="s">
        <v>2205</v>
      </c>
      <c r="F1159" s="593" t="s">
        <v>410</v>
      </c>
      <c r="G1159" s="237" t="s">
        <v>410</v>
      </c>
      <c r="H1159" s="237" t="s">
        <v>410</v>
      </c>
      <c r="I1159" s="237" t="s">
        <v>410</v>
      </c>
      <c r="J1159" s="237" t="s">
        <v>410</v>
      </c>
      <c r="K1159" s="237" t="s">
        <v>410</v>
      </c>
      <c r="L1159" s="237" t="s">
        <v>410</v>
      </c>
      <c r="M1159" s="237" t="s">
        <v>410</v>
      </c>
      <c r="N1159" s="237" t="s">
        <v>410</v>
      </c>
      <c r="O1159" s="237" t="s">
        <v>410</v>
      </c>
      <c r="P1159" s="237" t="s">
        <v>410</v>
      </c>
      <c r="Q1159" s="237" t="s">
        <v>410</v>
      </c>
      <c r="R1159" s="237" t="s">
        <v>410</v>
      </c>
      <c r="S1159" s="10" t="s">
        <v>410</v>
      </c>
      <c r="T1159" s="10" t="s">
        <v>410</v>
      </c>
    </row>
    <row r="1160" spans="1:20" hidden="1" outlineLevel="1" x14ac:dyDescent="0.3">
      <c r="A1160" s="583" t="s">
        <v>2066</v>
      </c>
      <c r="B1160" s="591">
        <v>0</v>
      </c>
      <c r="C1160" s="583" t="s">
        <v>1564</v>
      </c>
      <c r="D1160" s="583" t="s">
        <v>216</v>
      </c>
      <c r="E1160" s="592"/>
      <c r="F1160" t="s">
        <v>410</v>
      </c>
      <c r="G1160" t="s">
        <v>410</v>
      </c>
      <c r="H1160" t="s">
        <v>410</v>
      </c>
      <c r="I1160" t="s">
        <v>410</v>
      </c>
      <c r="J1160" t="s">
        <v>410</v>
      </c>
      <c r="K1160" t="s">
        <v>410</v>
      </c>
      <c r="L1160" t="s">
        <v>410</v>
      </c>
      <c r="M1160" t="s">
        <v>410</v>
      </c>
      <c r="N1160" t="s">
        <v>410</v>
      </c>
      <c r="O1160" t="s">
        <v>410</v>
      </c>
      <c r="P1160" t="s">
        <v>410</v>
      </c>
      <c r="Q1160" t="s">
        <v>410</v>
      </c>
      <c r="R1160" t="s">
        <v>410</v>
      </c>
      <c r="S1160" t="s">
        <v>410</v>
      </c>
      <c r="T1160" t="s">
        <v>410</v>
      </c>
    </row>
    <row r="1161" spans="1:20" hidden="1" outlineLevel="1" x14ac:dyDescent="0.3">
      <c r="A1161" s="583" t="s">
        <v>3026</v>
      </c>
      <c r="B1161" s="591">
        <v>0</v>
      </c>
      <c r="C1161" s="583" t="s">
        <v>1564</v>
      </c>
      <c r="D1161" s="583" t="s">
        <v>216</v>
      </c>
      <c r="E1161" s="592"/>
      <c r="F1161" s="592" t="s">
        <v>410</v>
      </c>
      <c r="G1161" s="592" t="s">
        <v>410</v>
      </c>
      <c r="H1161" s="592" t="s">
        <v>410</v>
      </c>
      <c r="I1161" s="10" t="s">
        <v>410</v>
      </c>
      <c r="J1161" s="10" t="s">
        <v>410</v>
      </c>
      <c r="K1161" s="10" t="s">
        <v>410</v>
      </c>
      <c r="L1161" s="10" t="s">
        <v>410</v>
      </c>
      <c r="M1161" s="10" t="s">
        <v>410</v>
      </c>
      <c r="N1161" s="10" t="s">
        <v>410</v>
      </c>
      <c r="O1161" s="10" t="s">
        <v>410</v>
      </c>
      <c r="P1161" s="10" t="s">
        <v>410</v>
      </c>
      <c r="Q1161" s="10" t="s">
        <v>410</v>
      </c>
      <c r="R1161" s="10" t="s">
        <v>410</v>
      </c>
      <c r="S1161" s="10" t="s">
        <v>410</v>
      </c>
      <c r="T1161" s="10" t="s">
        <v>410</v>
      </c>
    </row>
    <row r="1162" spans="1:20" hidden="1" outlineLevel="1" x14ac:dyDescent="0.3">
      <c r="A1162" s="583" t="s">
        <v>3145</v>
      </c>
      <c r="B1162" s="591">
        <v>1</v>
      </c>
      <c r="C1162" s="583" t="s">
        <v>1564</v>
      </c>
      <c r="D1162" s="583" t="s">
        <v>216</v>
      </c>
      <c r="E1162" s="593" t="s">
        <v>410</v>
      </c>
      <c r="F1162" s="593" t="s">
        <v>3039</v>
      </c>
      <c r="G1162" s="593" t="s">
        <v>3040</v>
      </c>
      <c r="H1162" s="593" t="s">
        <v>3041</v>
      </c>
      <c r="I1162" s="593" t="s">
        <v>4634</v>
      </c>
      <c r="J1162" s="593" t="s">
        <v>3042</v>
      </c>
      <c r="K1162" s="593" t="s">
        <v>3043</v>
      </c>
      <c r="L1162" s="593" t="s">
        <v>3044</v>
      </c>
      <c r="M1162" s="593" t="s">
        <v>3045</v>
      </c>
      <c r="N1162" s="237" t="s">
        <v>410</v>
      </c>
      <c r="O1162" s="237" t="s">
        <v>410</v>
      </c>
      <c r="P1162" s="237" t="s">
        <v>410</v>
      </c>
      <c r="Q1162" s="237" t="s">
        <v>410</v>
      </c>
      <c r="R1162" s="237" t="s">
        <v>410</v>
      </c>
      <c r="S1162" s="237" t="s">
        <v>410</v>
      </c>
      <c r="T1162" s="237" t="s">
        <v>410</v>
      </c>
    </row>
    <row r="1163" spans="1:20" hidden="1" outlineLevel="1" x14ac:dyDescent="0.3">
      <c r="A1163" s="583" t="s">
        <v>2196</v>
      </c>
      <c r="B1163" s="591">
        <v>1</v>
      </c>
      <c r="C1163" s="583" t="s">
        <v>1564</v>
      </c>
      <c r="D1163" s="583" t="s">
        <v>216</v>
      </c>
      <c r="E1163" s="592" t="s">
        <v>410</v>
      </c>
      <c r="F1163" s="592" t="s">
        <v>3164</v>
      </c>
      <c r="G1163" s="592" t="s">
        <v>3165</v>
      </c>
      <c r="H1163" s="592" t="s">
        <v>3166</v>
      </c>
      <c r="I1163" s="592" t="s">
        <v>3167</v>
      </c>
      <c r="J1163" s="592" t="s">
        <v>3168</v>
      </c>
      <c r="K1163" s="583" t="s">
        <v>410</v>
      </c>
      <c r="L1163" t="s">
        <v>410</v>
      </c>
      <c r="M1163" t="s">
        <v>410</v>
      </c>
      <c r="N1163" t="s">
        <v>410</v>
      </c>
      <c r="O1163" t="s">
        <v>410</v>
      </c>
      <c r="P1163" t="s">
        <v>410</v>
      </c>
      <c r="Q1163" t="s">
        <v>410</v>
      </c>
      <c r="R1163" t="s">
        <v>410</v>
      </c>
      <c r="S1163" t="s">
        <v>410</v>
      </c>
      <c r="T1163" t="s">
        <v>410</v>
      </c>
    </row>
    <row r="1164" spans="1:20" hidden="1" outlineLevel="1" x14ac:dyDescent="0.3">
      <c r="A1164" s="583" t="s">
        <v>1875</v>
      </c>
      <c r="B1164" s="591">
        <v>1</v>
      </c>
      <c r="C1164" s="583" t="s">
        <v>1564</v>
      </c>
      <c r="D1164" s="583" t="s">
        <v>216</v>
      </c>
      <c r="E1164" s="592" t="s">
        <v>410</v>
      </c>
      <c r="F1164" s="593" t="s">
        <v>4983</v>
      </c>
      <c r="G1164" s="237" t="s">
        <v>410</v>
      </c>
      <c r="H1164" s="237" t="s">
        <v>410</v>
      </c>
      <c r="I1164" s="237" t="s">
        <v>410</v>
      </c>
      <c r="J1164" s="237" t="s">
        <v>410</v>
      </c>
      <c r="K1164" s="237" t="s">
        <v>410</v>
      </c>
      <c r="L1164" s="237" t="s">
        <v>410</v>
      </c>
      <c r="M1164" s="237" t="s">
        <v>410</v>
      </c>
      <c r="N1164" s="237" t="s">
        <v>410</v>
      </c>
      <c r="O1164" s="237" t="s">
        <v>410</v>
      </c>
      <c r="P1164" s="237" t="s">
        <v>410</v>
      </c>
      <c r="Q1164" s="237" t="s">
        <v>410</v>
      </c>
      <c r="R1164" s="237" t="s">
        <v>410</v>
      </c>
      <c r="S1164" s="10" t="s">
        <v>410</v>
      </c>
      <c r="T1164" s="10" t="s">
        <v>410</v>
      </c>
    </row>
    <row r="1165" spans="1:20" hidden="1" outlineLevel="1" x14ac:dyDescent="0.3">
      <c r="A1165" s="583" t="s">
        <v>1876</v>
      </c>
      <c r="B1165" s="591">
        <v>1</v>
      </c>
      <c r="C1165" s="583" t="s">
        <v>1564</v>
      </c>
      <c r="D1165" s="583" t="s">
        <v>216</v>
      </c>
      <c r="E1165" s="592" t="s">
        <v>410</v>
      </c>
      <c r="F1165" s="593" t="s">
        <v>4978</v>
      </c>
      <c r="G1165" s="237" t="s">
        <v>410</v>
      </c>
      <c r="H1165" s="237" t="s">
        <v>410</v>
      </c>
      <c r="I1165" s="237" t="s">
        <v>410</v>
      </c>
      <c r="J1165" s="237" t="s">
        <v>410</v>
      </c>
      <c r="K1165" s="237" t="s">
        <v>410</v>
      </c>
      <c r="L1165" s="237" t="s">
        <v>410</v>
      </c>
      <c r="M1165" s="237" t="s">
        <v>410</v>
      </c>
      <c r="N1165" s="237" t="s">
        <v>410</v>
      </c>
      <c r="O1165" s="237" t="s">
        <v>410</v>
      </c>
      <c r="P1165" s="237" t="s">
        <v>410</v>
      </c>
      <c r="Q1165" s="237" t="s">
        <v>410</v>
      </c>
      <c r="R1165" s="237" t="s">
        <v>410</v>
      </c>
      <c r="S1165" s="10" t="s">
        <v>410</v>
      </c>
      <c r="T1165" s="10" t="s">
        <v>410</v>
      </c>
    </row>
    <row r="1166" spans="1:20" hidden="1" outlineLevel="1" x14ac:dyDescent="0.3">
      <c r="A1166" s="583" t="s">
        <v>2294</v>
      </c>
      <c r="B1166" s="591">
        <v>1</v>
      </c>
      <c r="C1166" s="583" t="s">
        <v>1564</v>
      </c>
      <c r="D1166" s="583" t="s">
        <v>216</v>
      </c>
      <c r="E1166" s="583" t="s">
        <v>410</v>
      </c>
      <c r="F1166" s="583" t="s">
        <v>3143</v>
      </c>
      <c r="G1166" s="583" t="s">
        <v>3143</v>
      </c>
      <c r="H1166" s="583" t="s">
        <v>3144</v>
      </c>
      <c r="I1166" s="583" t="s">
        <v>3144</v>
      </c>
      <c r="J1166" s="583" t="s">
        <v>4171</v>
      </c>
      <c r="K1166" s="583" t="s">
        <v>4171</v>
      </c>
      <c r="L1166" t="s">
        <v>410</v>
      </c>
      <c r="M1166" t="s">
        <v>410</v>
      </c>
      <c r="N1166" t="s">
        <v>410</v>
      </c>
      <c r="O1166" t="s">
        <v>410</v>
      </c>
      <c r="P1166" t="s">
        <v>410</v>
      </c>
      <c r="Q1166" t="s">
        <v>410</v>
      </c>
      <c r="R1166" t="s">
        <v>410</v>
      </c>
      <c r="S1166" t="s">
        <v>410</v>
      </c>
      <c r="T1166" t="s">
        <v>410</v>
      </c>
    </row>
    <row r="1167" spans="1:20" hidden="1" outlineLevel="1" x14ac:dyDescent="0.3">
      <c r="A1167" s="583" t="s">
        <v>2043</v>
      </c>
      <c r="B1167" s="591">
        <v>2</v>
      </c>
      <c r="C1167" s="583" t="s">
        <v>1564</v>
      </c>
      <c r="D1167" s="583" t="s">
        <v>216</v>
      </c>
      <c r="E1167" s="593" t="s">
        <v>410</v>
      </c>
      <c r="F1167" s="593" t="s">
        <v>3046</v>
      </c>
      <c r="G1167" s="593" t="s">
        <v>3047</v>
      </c>
      <c r="H1167" s="593" t="s">
        <v>3049</v>
      </c>
      <c r="I1167" s="593" t="s">
        <v>3050</v>
      </c>
      <c r="J1167" s="593" t="s">
        <v>3048</v>
      </c>
      <c r="K1167" s="593" t="s">
        <v>3051</v>
      </c>
      <c r="L1167" s="593" t="s">
        <v>3052</v>
      </c>
      <c r="M1167" s="593" t="s">
        <v>3053</v>
      </c>
      <c r="N1167" s="237" t="s">
        <v>410</v>
      </c>
      <c r="O1167" s="237" t="s">
        <v>410</v>
      </c>
      <c r="P1167" t="s">
        <v>410</v>
      </c>
      <c r="Q1167" s="237" t="s">
        <v>410</v>
      </c>
      <c r="R1167" s="237" t="s">
        <v>410</v>
      </c>
      <c r="S1167" s="237" t="s">
        <v>410</v>
      </c>
      <c r="T1167" s="237" t="s">
        <v>410</v>
      </c>
    </row>
    <row r="1168" spans="1:20" hidden="1" outlineLevel="1" x14ac:dyDescent="0.3">
      <c r="A1168" s="583" t="s">
        <v>2197</v>
      </c>
      <c r="B1168" s="591">
        <v>2</v>
      </c>
      <c r="C1168" s="583" t="s">
        <v>1564</v>
      </c>
      <c r="D1168" s="583" t="s">
        <v>216</v>
      </c>
      <c r="E1168" s="592" t="s">
        <v>410</v>
      </c>
      <c r="F1168" s="583" t="s">
        <v>410</v>
      </c>
      <c r="G1168" s="583" t="s">
        <v>3169</v>
      </c>
      <c r="H1168" s="583" t="s">
        <v>3170</v>
      </c>
      <c r="I1168" s="583" t="s">
        <v>3171</v>
      </c>
      <c r="J1168" s="583" t="s">
        <v>3172</v>
      </c>
      <c r="K1168" s="583" t="s">
        <v>410</v>
      </c>
      <c r="L1168" t="s">
        <v>410</v>
      </c>
      <c r="M1168" t="s">
        <v>410</v>
      </c>
      <c r="N1168" t="s">
        <v>410</v>
      </c>
      <c r="O1168" t="s">
        <v>410</v>
      </c>
      <c r="P1168" t="s">
        <v>410</v>
      </c>
      <c r="Q1168" t="s">
        <v>410</v>
      </c>
      <c r="R1168" t="s">
        <v>410</v>
      </c>
      <c r="S1168" t="s">
        <v>410</v>
      </c>
      <c r="T1168" t="s">
        <v>410</v>
      </c>
    </row>
    <row r="1169" spans="1:20" hidden="1" outlineLevel="1" x14ac:dyDescent="0.3">
      <c r="A1169" s="583" t="s">
        <v>1877</v>
      </c>
      <c r="B1169" s="591">
        <v>2</v>
      </c>
      <c r="C1169" s="583" t="s">
        <v>1564</v>
      </c>
      <c r="D1169" s="583" t="s">
        <v>216</v>
      </c>
      <c r="E1169" s="592" t="s">
        <v>410</v>
      </c>
      <c r="F1169" s="593" t="s">
        <v>4979</v>
      </c>
      <c r="G1169" s="237" t="s">
        <v>410</v>
      </c>
      <c r="H1169" s="237" t="s">
        <v>410</v>
      </c>
      <c r="I1169" s="237" t="s">
        <v>410</v>
      </c>
      <c r="J1169" s="237" t="s">
        <v>410</v>
      </c>
      <c r="K1169" s="237" t="s">
        <v>410</v>
      </c>
      <c r="L1169" s="237" t="s">
        <v>410</v>
      </c>
      <c r="M1169" s="237" t="s">
        <v>410</v>
      </c>
      <c r="N1169" s="237" t="s">
        <v>410</v>
      </c>
      <c r="O1169" s="237" t="s">
        <v>410</v>
      </c>
      <c r="P1169" s="237" t="s">
        <v>410</v>
      </c>
      <c r="Q1169" s="237" t="s">
        <v>410</v>
      </c>
      <c r="R1169" s="237" t="s">
        <v>410</v>
      </c>
      <c r="S1169" s="10" t="s">
        <v>410</v>
      </c>
      <c r="T1169" s="10" t="s">
        <v>410</v>
      </c>
    </row>
    <row r="1170" spans="1:20" hidden="1" outlineLevel="1" x14ac:dyDescent="0.3">
      <c r="A1170" s="583" t="s">
        <v>2295</v>
      </c>
      <c r="B1170" s="591">
        <v>2</v>
      </c>
      <c r="C1170" s="583" t="s">
        <v>1564</v>
      </c>
      <c r="D1170" s="583" t="s">
        <v>216</v>
      </c>
      <c r="E1170" s="583" t="s">
        <v>410</v>
      </c>
      <c r="F1170" s="583" t="s">
        <v>410</v>
      </c>
      <c r="G1170" s="593" t="s">
        <v>2131</v>
      </c>
      <c r="H1170" s="593" t="s">
        <v>2131</v>
      </c>
      <c r="I1170" s="593" t="s">
        <v>2132</v>
      </c>
      <c r="J1170" s="593" t="s">
        <v>2132</v>
      </c>
      <c r="K1170" s="593" t="s">
        <v>2133</v>
      </c>
      <c r="L1170" t="s">
        <v>410</v>
      </c>
      <c r="M1170" t="s">
        <v>410</v>
      </c>
      <c r="N1170" t="s">
        <v>410</v>
      </c>
      <c r="O1170" t="s">
        <v>410</v>
      </c>
      <c r="P1170" t="s">
        <v>410</v>
      </c>
      <c r="Q1170" t="s">
        <v>410</v>
      </c>
      <c r="R1170" t="s">
        <v>410</v>
      </c>
      <c r="S1170" t="s">
        <v>410</v>
      </c>
      <c r="T1170" t="s">
        <v>410</v>
      </c>
    </row>
    <row r="1171" spans="1:20" hidden="1" outlineLevel="1" x14ac:dyDescent="0.3">
      <c r="A1171" s="583" t="s">
        <v>3150</v>
      </c>
      <c r="B1171" s="591">
        <v>3</v>
      </c>
      <c r="C1171" s="583" t="s">
        <v>1564</v>
      </c>
      <c r="D1171" s="583" t="s">
        <v>216</v>
      </c>
      <c r="E1171" s="593" t="s">
        <v>410</v>
      </c>
      <c r="F1171" s="593" t="s">
        <v>3054</v>
      </c>
      <c r="G1171" s="593" t="s">
        <v>3055</v>
      </c>
      <c r="H1171" s="593" t="s">
        <v>3056</v>
      </c>
      <c r="I1171" s="593" t="s">
        <v>3057</v>
      </c>
      <c r="J1171" s="593" t="s">
        <v>3059</v>
      </c>
      <c r="K1171" s="593" t="s">
        <v>3060</v>
      </c>
      <c r="L1171" s="593" t="s">
        <v>3058</v>
      </c>
      <c r="M1171" s="593" t="s">
        <v>3061</v>
      </c>
      <c r="N1171" s="237" t="s">
        <v>410</v>
      </c>
      <c r="O1171" s="237" t="s">
        <v>410</v>
      </c>
      <c r="P1171" s="237" t="s">
        <v>410</v>
      </c>
      <c r="Q1171" s="237" t="s">
        <v>410</v>
      </c>
      <c r="R1171" s="237" t="s">
        <v>410</v>
      </c>
      <c r="S1171" s="237" t="s">
        <v>410</v>
      </c>
      <c r="T1171" s="237" t="s">
        <v>410</v>
      </c>
    </row>
    <row r="1172" spans="1:20" hidden="1" outlineLevel="1" x14ac:dyDescent="0.3">
      <c r="A1172" s="583" t="s">
        <v>2198</v>
      </c>
      <c r="B1172" s="591">
        <v>3</v>
      </c>
      <c r="C1172" s="583" t="s">
        <v>1564</v>
      </c>
      <c r="D1172" s="583" t="s">
        <v>216</v>
      </c>
      <c r="E1172" s="592" t="s">
        <v>410</v>
      </c>
      <c r="F1172" s="583" t="s">
        <v>410</v>
      </c>
      <c r="G1172" s="583" t="s">
        <v>410</v>
      </c>
      <c r="H1172" s="592" t="s">
        <v>3173</v>
      </c>
      <c r="I1172" s="592" t="s">
        <v>3173</v>
      </c>
      <c r="J1172" s="592" t="s">
        <v>3174</v>
      </c>
      <c r="K1172" s="583" t="s">
        <v>410</v>
      </c>
      <c r="L1172" t="s">
        <v>410</v>
      </c>
      <c r="M1172" t="s">
        <v>410</v>
      </c>
      <c r="N1172" t="s">
        <v>410</v>
      </c>
      <c r="O1172" t="s">
        <v>410</v>
      </c>
      <c r="P1172" t="s">
        <v>410</v>
      </c>
      <c r="Q1172" t="s">
        <v>410</v>
      </c>
      <c r="R1172" t="s">
        <v>410</v>
      </c>
      <c r="S1172" t="s">
        <v>410</v>
      </c>
      <c r="T1172" t="s">
        <v>410</v>
      </c>
    </row>
    <row r="1173" spans="1:20" hidden="1" outlineLevel="1" x14ac:dyDescent="0.3">
      <c r="A1173" s="583" t="s">
        <v>1878</v>
      </c>
      <c r="B1173" s="591">
        <v>3</v>
      </c>
      <c r="C1173" s="583" t="s">
        <v>1564</v>
      </c>
      <c r="D1173" s="583" t="s">
        <v>216</v>
      </c>
      <c r="E1173" s="592" t="s">
        <v>410</v>
      </c>
      <c r="F1173" s="593" t="s">
        <v>4980</v>
      </c>
      <c r="G1173" s="237" t="s">
        <v>410</v>
      </c>
      <c r="H1173" s="237" t="s">
        <v>410</v>
      </c>
      <c r="I1173" s="237" t="s">
        <v>410</v>
      </c>
      <c r="J1173" s="237" t="s">
        <v>410</v>
      </c>
      <c r="K1173" s="237" t="s">
        <v>410</v>
      </c>
      <c r="L1173" s="237" t="s">
        <v>410</v>
      </c>
      <c r="M1173" s="237" t="s">
        <v>410</v>
      </c>
      <c r="N1173" s="237" t="s">
        <v>410</v>
      </c>
      <c r="O1173" s="237" t="s">
        <v>410</v>
      </c>
      <c r="P1173" s="237" t="s">
        <v>410</v>
      </c>
      <c r="Q1173" s="237" t="s">
        <v>410</v>
      </c>
      <c r="R1173" s="237" t="s">
        <v>410</v>
      </c>
      <c r="S1173" s="10" t="s">
        <v>410</v>
      </c>
      <c r="T1173" s="10" t="s">
        <v>410</v>
      </c>
    </row>
    <row r="1174" spans="1:20" hidden="1" outlineLevel="1" x14ac:dyDescent="0.3">
      <c r="A1174" s="583" t="s">
        <v>2296</v>
      </c>
      <c r="B1174" s="591">
        <v>3</v>
      </c>
      <c r="C1174" s="583" t="s">
        <v>1564</v>
      </c>
      <c r="D1174" s="583" t="s">
        <v>216</v>
      </c>
      <c r="E1174" s="583" t="s">
        <v>410</v>
      </c>
      <c r="F1174" s="583" t="s">
        <v>410</v>
      </c>
      <c r="G1174" s="583" t="s">
        <v>410</v>
      </c>
      <c r="H1174" s="593" t="s">
        <v>2134</v>
      </c>
      <c r="I1174" s="593" t="s">
        <v>2134</v>
      </c>
      <c r="J1174" s="593" t="s">
        <v>2135</v>
      </c>
      <c r="K1174" s="593" t="s">
        <v>2135</v>
      </c>
      <c r="L1174" t="s">
        <v>410</v>
      </c>
      <c r="M1174" t="s">
        <v>410</v>
      </c>
      <c r="N1174" t="s">
        <v>410</v>
      </c>
      <c r="O1174" t="s">
        <v>410</v>
      </c>
      <c r="P1174" t="s">
        <v>410</v>
      </c>
      <c r="Q1174" t="s">
        <v>410</v>
      </c>
      <c r="R1174" t="s">
        <v>410</v>
      </c>
      <c r="S1174" t="s">
        <v>410</v>
      </c>
      <c r="T1174" t="s">
        <v>410</v>
      </c>
    </row>
    <row r="1175" spans="1:20" hidden="1" outlineLevel="1" x14ac:dyDescent="0.3">
      <c r="A1175" s="583" t="s">
        <v>3163</v>
      </c>
      <c r="B1175" s="591">
        <v>4</v>
      </c>
      <c r="C1175" s="583" t="s">
        <v>1564</v>
      </c>
      <c r="D1175" s="583" t="s">
        <v>216</v>
      </c>
      <c r="E1175" s="592" t="s">
        <v>410</v>
      </c>
      <c r="F1175" s="583" t="s">
        <v>410</v>
      </c>
      <c r="G1175" s="583" t="s">
        <v>410</v>
      </c>
      <c r="H1175" s="583" t="s">
        <v>410</v>
      </c>
      <c r="I1175" s="592" t="s">
        <v>3175</v>
      </c>
      <c r="J1175" s="592" t="s">
        <v>3175</v>
      </c>
      <c r="K1175" s="583" t="s">
        <v>410</v>
      </c>
      <c r="L1175" t="s">
        <v>410</v>
      </c>
      <c r="M1175" t="s">
        <v>410</v>
      </c>
      <c r="N1175" t="s">
        <v>410</v>
      </c>
      <c r="O1175" t="s">
        <v>410</v>
      </c>
      <c r="P1175" t="s">
        <v>410</v>
      </c>
      <c r="Q1175" t="s">
        <v>410</v>
      </c>
      <c r="R1175" t="s">
        <v>410</v>
      </c>
      <c r="S1175" t="s">
        <v>410</v>
      </c>
      <c r="T1175" t="s">
        <v>410</v>
      </c>
    </row>
    <row r="1176" spans="1:20" hidden="1" outlineLevel="1" x14ac:dyDescent="0.3">
      <c r="A1176" s="583" t="s">
        <v>1879</v>
      </c>
      <c r="B1176" s="591">
        <v>4</v>
      </c>
      <c r="C1176" s="583" t="s">
        <v>1564</v>
      </c>
      <c r="D1176" s="583" t="s">
        <v>216</v>
      </c>
      <c r="E1176" s="592" t="s">
        <v>410</v>
      </c>
      <c r="F1176" s="593" t="s">
        <v>4981</v>
      </c>
      <c r="G1176" s="237" t="s">
        <v>410</v>
      </c>
      <c r="H1176" s="237" t="s">
        <v>410</v>
      </c>
      <c r="I1176" s="237" t="s">
        <v>410</v>
      </c>
      <c r="J1176" s="237" t="s">
        <v>410</v>
      </c>
      <c r="K1176" s="237" t="s">
        <v>410</v>
      </c>
      <c r="L1176" s="237" t="s">
        <v>410</v>
      </c>
      <c r="M1176" s="237" t="s">
        <v>410</v>
      </c>
      <c r="N1176" s="237" t="s">
        <v>410</v>
      </c>
      <c r="O1176" s="237" t="s">
        <v>410</v>
      </c>
      <c r="P1176" s="237" t="s">
        <v>410</v>
      </c>
      <c r="Q1176" s="237" t="s">
        <v>410</v>
      </c>
      <c r="R1176" s="237" t="s">
        <v>410</v>
      </c>
      <c r="S1176" s="10" t="s">
        <v>410</v>
      </c>
      <c r="T1176" s="10" t="s">
        <v>410</v>
      </c>
    </row>
    <row r="1177" spans="1:20" hidden="1" outlineLevel="1" x14ac:dyDescent="0.3">
      <c r="A1177" s="583" t="s">
        <v>2299</v>
      </c>
      <c r="B1177" s="591">
        <v>4</v>
      </c>
      <c r="C1177" s="583" t="s">
        <v>1564</v>
      </c>
      <c r="D1177" s="583" t="s">
        <v>216</v>
      </c>
      <c r="E1177" s="583" t="s">
        <v>410</v>
      </c>
      <c r="F1177" s="583" t="s">
        <v>410</v>
      </c>
      <c r="G1177" s="583" t="s">
        <v>410</v>
      </c>
      <c r="H1177" s="583" t="s">
        <v>410</v>
      </c>
      <c r="I1177" s="593" t="s">
        <v>2297</v>
      </c>
      <c r="J1177" s="593" t="s">
        <v>2297</v>
      </c>
      <c r="K1177" s="593" t="s">
        <v>2298</v>
      </c>
      <c r="L1177" t="s">
        <v>410</v>
      </c>
      <c r="M1177" t="s">
        <v>410</v>
      </c>
      <c r="N1177" t="s">
        <v>410</v>
      </c>
      <c r="O1177" t="s">
        <v>410</v>
      </c>
      <c r="P1177" t="s">
        <v>410</v>
      </c>
      <c r="Q1177" t="s">
        <v>410</v>
      </c>
      <c r="R1177" t="s">
        <v>410</v>
      </c>
      <c r="S1177" t="s">
        <v>410</v>
      </c>
      <c r="T1177" t="s">
        <v>410</v>
      </c>
    </row>
    <row r="1178" spans="1:20" hidden="1" outlineLevel="1" x14ac:dyDescent="0.3">
      <c r="A1178" s="583" t="s">
        <v>2199</v>
      </c>
      <c r="B1178" s="591">
        <v>5</v>
      </c>
      <c r="C1178" s="583" t="s">
        <v>1564</v>
      </c>
      <c r="D1178" s="583" t="s">
        <v>216</v>
      </c>
      <c r="E1178" s="592" t="s">
        <v>410</v>
      </c>
      <c r="F1178" s="583" t="s">
        <v>410</v>
      </c>
      <c r="G1178" s="583" t="s">
        <v>410</v>
      </c>
      <c r="H1178" s="583" t="s">
        <v>410</v>
      </c>
      <c r="I1178" s="583" t="s">
        <v>410</v>
      </c>
      <c r="J1178" s="592" t="s">
        <v>2200</v>
      </c>
      <c r="K1178" s="583" t="s">
        <v>410</v>
      </c>
      <c r="L1178" t="s">
        <v>410</v>
      </c>
      <c r="M1178" t="s">
        <v>410</v>
      </c>
      <c r="N1178" t="s">
        <v>410</v>
      </c>
      <c r="O1178" t="s">
        <v>410</v>
      </c>
      <c r="P1178" t="s">
        <v>410</v>
      </c>
      <c r="Q1178" t="s">
        <v>410</v>
      </c>
      <c r="R1178" t="s">
        <v>410</v>
      </c>
      <c r="S1178" t="s">
        <v>410</v>
      </c>
      <c r="T1178" t="s">
        <v>410</v>
      </c>
    </row>
    <row r="1179" spans="1:20" hidden="1" outlineLevel="1" x14ac:dyDescent="0.3">
      <c r="A1179" s="583" t="s">
        <v>1880</v>
      </c>
      <c r="B1179" s="591">
        <v>5</v>
      </c>
      <c r="C1179" s="583" t="s">
        <v>1564</v>
      </c>
      <c r="D1179" s="583" t="s">
        <v>216</v>
      </c>
      <c r="E1179" s="592" t="s">
        <v>410</v>
      </c>
      <c r="F1179" s="593" t="s">
        <v>4982</v>
      </c>
      <c r="G1179" s="237" t="s">
        <v>410</v>
      </c>
      <c r="H1179" s="237" t="s">
        <v>410</v>
      </c>
      <c r="I1179" s="237" t="s">
        <v>410</v>
      </c>
      <c r="J1179" s="237" t="s">
        <v>410</v>
      </c>
      <c r="K1179" s="237" t="s">
        <v>410</v>
      </c>
      <c r="L1179" s="237" t="s">
        <v>410</v>
      </c>
      <c r="M1179" s="237" t="s">
        <v>410</v>
      </c>
      <c r="N1179" s="237" t="s">
        <v>410</v>
      </c>
      <c r="O1179" s="237" t="s">
        <v>410</v>
      </c>
      <c r="P1179" s="237" t="s">
        <v>410</v>
      </c>
      <c r="Q1179" s="237" t="s">
        <v>410</v>
      </c>
      <c r="R1179" s="237" t="s">
        <v>410</v>
      </c>
      <c r="S1179" s="10" t="s">
        <v>410</v>
      </c>
      <c r="T1179" s="10" t="s">
        <v>410</v>
      </c>
    </row>
    <row r="1180" spans="1:20" hidden="1" outlineLevel="1" x14ac:dyDescent="0.3">
      <c r="A1180" s="583" t="s">
        <v>2300</v>
      </c>
      <c r="B1180" s="591">
        <v>5</v>
      </c>
      <c r="C1180" s="583" t="s">
        <v>1564</v>
      </c>
      <c r="D1180" s="583" t="s">
        <v>216</v>
      </c>
      <c r="E1180" s="583" t="s">
        <v>410</v>
      </c>
      <c r="F1180" s="583" t="s">
        <v>410</v>
      </c>
      <c r="G1180" s="583" t="s">
        <v>410</v>
      </c>
      <c r="H1180" s="583" t="s">
        <v>410</v>
      </c>
      <c r="I1180" s="583" t="s">
        <v>410</v>
      </c>
      <c r="J1180" s="593" t="s">
        <v>1809</v>
      </c>
      <c r="K1180" s="593" t="s">
        <v>1809</v>
      </c>
      <c r="L1180" t="s">
        <v>410</v>
      </c>
      <c r="M1180" t="s">
        <v>410</v>
      </c>
      <c r="N1180" t="s">
        <v>410</v>
      </c>
      <c r="O1180" t="s">
        <v>410</v>
      </c>
      <c r="P1180" t="s">
        <v>410</v>
      </c>
      <c r="Q1180" t="s">
        <v>410</v>
      </c>
      <c r="R1180" t="s">
        <v>410</v>
      </c>
      <c r="S1180" t="s">
        <v>410</v>
      </c>
      <c r="T1180" t="s">
        <v>410</v>
      </c>
    </row>
    <row r="1181" spans="1:20" hidden="1" outlineLevel="1" x14ac:dyDescent="0.3">
      <c r="A1181" s="583" t="s">
        <v>1639</v>
      </c>
      <c r="B1181" s="591">
        <v>6</v>
      </c>
      <c r="C1181" s="583" t="s">
        <v>1564</v>
      </c>
      <c r="D1181" s="583" t="s">
        <v>216</v>
      </c>
      <c r="E1181" s="592" t="s">
        <v>410</v>
      </c>
      <c r="F1181" s="593" t="s">
        <v>3069</v>
      </c>
      <c r="G1181" s="593" t="s">
        <v>3067</v>
      </c>
      <c r="H1181" s="593" t="s">
        <v>3062</v>
      </c>
      <c r="I1181" s="593" t="s">
        <v>3063</v>
      </c>
      <c r="J1181" s="593" t="s">
        <v>3064</v>
      </c>
      <c r="K1181" s="593" t="s">
        <v>3065</v>
      </c>
      <c r="L1181" s="593" t="s">
        <v>3066</v>
      </c>
      <c r="M1181" s="593" t="s">
        <v>3068</v>
      </c>
      <c r="N1181" s="237" t="s">
        <v>410</v>
      </c>
      <c r="O1181" s="237" t="s">
        <v>410</v>
      </c>
      <c r="P1181" s="237" t="s">
        <v>410</v>
      </c>
      <c r="Q1181" s="237" t="s">
        <v>410</v>
      </c>
      <c r="R1181" s="237" t="s">
        <v>410</v>
      </c>
      <c r="S1181" s="10" t="s">
        <v>410</v>
      </c>
      <c r="T1181" s="10" t="s">
        <v>410</v>
      </c>
    </row>
    <row r="1182" spans="1:20" hidden="1" outlineLevel="1" x14ac:dyDescent="0.3">
      <c r="A1182" s="583" t="s">
        <v>2301</v>
      </c>
      <c r="B1182" s="591">
        <v>6</v>
      </c>
      <c r="C1182" s="583" t="s">
        <v>1564</v>
      </c>
      <c r="D1182" s="583" t="s">
        <v>216</v>
      </c>
      <c r="E1182" s="583" t="s">
        <v>410</v>
      </c>
      <c r="F1182" s="583" t="s">
        <v>410</v>
      </c>
      <c r="G1182" s="583" t="s">
        <v>410</v>
      </c>
      <c r="H1182" s="583" t="s">
        <v>410</v>
      </c>
      <c r="I1182" s="583" t="s">
        <v>410</v>
      </c>
      <c r="J1182" s="583" t="s">
        <v>410</v>
      </c>
      <c r="K1182" s="593" t="s">
        <v>1485</v>
      </c>
      <c r="L1182" t="s">
        <v>410</v>
      </c>
      <c r="M1182" t="s">
        <v>410</v>
      </c>
      <c r="N1182" t="s">
        <v>410</v>
      </c>
      <c r="O1182" t="s">
        <v>410</v>
      </c>
      <c r="P1182" t="s">
        <v>410</v>
      </c>
      <c r="Q1182" t="s">
        <v>410</v>
      </c>
      <c r="R1182" t="s">
        <v>410</v>
      </c>
      <c r="S1182" t="s">
        <v>410</v>
      </c>
      <c r="T1182" t="s">
        <v>410</v>
      </c>
    </row>
    <row r="1183" spans="1:20" hidden="1" outlineLevel="1" x14ac:dyDescent="0.3">
      <c r="A1183" s="583" t="s">
        <v>3151</v>
      </c>
      <c r="B1183" s="591">
        <v>11</v>
      </c>
      <c r="C1183" s="583" t="s">
        <v>1564</v>
      </c>
      <c r="D1183" s="583" t="s">
        <v>216</v>
      </c>
      <c r="E1183" s="593" t="s">
        <v>410</v>
      </c>
      <c r="F1183" s="593" t="s">
        <v>3070</v>
      </c>
      <c r="G1183" s="593" t="s">
        <v>3071</v>
      </c>
      <c r="H1183" s="593" t="s">
        <v>3072</v>
      </c>
      <c r="I1183" s="593" t="s">
        <v>3073</v>
      </c>
      <c r="J1183" s="593" t="s">
        <v>3074</v>
      </c>
      <c r="K1183" s="593" t="s">
        <v>3075</v>
      </c>
      <c r="L1183" s="593" t="s">
        <v>3076</v>
      </c>
      <c r="M1183" s="593" t="s">
        <v>1068</v>
      </c>
      <c r="N1183" s="237" t="s">
        <v>410</v>
      </c>
      <c r="O1183" s="237" t="s">
        <v>410</v>
      </c>
      <c r="P1183" s="237" t="s">
        <v>410</v>
      </c>
      <c r="Q1183" s="237" t="s">
        <v>410</v>
      </c>
      <c r="R1183" s="237" t="s">
        <v>410</v>
      </c>
      <c r="S1183" s="237" t="s">
        <v>410</v>
      </c>
      <c r="T1183" s="237" t="s">
        <v>410</v>
      </c>
    </row>
    <row r="1184" spans="1:20" hidden="1" outlineLevel="1" x14ac:dyDescent="0.3">
      <c r="A1184" s="583" t="s">
        <v>3077</v>
      </c>
      <c r="B1184" s="591">
        <v>16</v>
      </c>
      <c r="C1184" s="583" t="s">
        <v>1564</v>
      </c>
      <c r="D1184" s="583" t="s">
        <v>216</v>
      </c>
      <c r="E1184" s="592" t="s">
        <v>410</v>
      </c>
      <c r="F1184" s="593" t="s">
        <v>3078</v>
      </c>
      <c r="G1184" s="593" t="s">
        <v>3080</v>
      </c>
      <c r="H1184" s="593" t="s">
        <v>3081</v>
      </c>
      <c r="I1184" s="593" t="s">
        <v>3079</v>
      </c>
      <c r="J1184" s="593" t="s">
        <v>3084</v>
      </c>
      <c r="K1184" s="593" t="s">
        <v>3082</v>
      </c>
      <c r="L1184" s="593" t="s">
        <v>3083</v>
      </c>
      <c r="M1184" s="593" t="s">
        <v>3085</v>
      </c>
      <c r="N1184" s="237" t="s">
        <v>410</v>
      </c>
      <c r="O1184" s="237" t="s">
        <v>410</v>
      </c>
      <c r="P1184" s="237" t="s">
        <v>410</v>
      </c>
      <c r="Q1184" s="237" t="s">
        <v>410</v>
      </c>
      <c r="R1184" s="237" t="s">
        <v>410</v>
      </c>
      <c r="S1184" s="10" t="s">
        <v>410</v>
      </c>
      <c r="T1184" s="10" t="s">
        <v>410</v>
      </c>
    </row>
    <row r="1185" spans="1:20" hidden="1" outlineLevel="1" x14ac:dyDescent="0.3">
      <c r="A1185" s="583" t="s">
        <v>4779</v>
      </c>
      <c r="B1185" s="591">
        <v>21</v>
      </c>
      <c r="C1185" s="583" t="s">
        <v>1564</v>
      </c>
      <c r="D1185" s="583" t="s">
        <v>216</v>
      </c>
      <c r="E1185" s="589" t="s">
        <v>410</v>
      </c>
      <c r="F1185" s="593" t="s">
        <v>4780</v>
      </c>
      <c r="G1185" s="593" t="s">
        <v>4781</v>
      </c>
      <c r="H1185" s="593" t="s">
        <v>4782</v>
      </c>
      <c r="I1185" s="593" t="s">
        <v>4783</v>
      </c>
      <c r="J1185" s="593" t="s">
        <v>4784</v>
      </c>
      <c r="K1185" s="593" t="s">
        <v>4785</v>
      </c>
      <c r="L1185" s="593" t="s">
        <v>647</v>
      </c>
      <c r="M1185" s="593" t="s">
        <v>4786</v>
      </c>
      <c r="N1185" s="237" t="s">
        <v>410</v>
      </c>
      <c r="O1185" s="237" t="s">
        <v>410</v>
      </c>
      <c r="P1185" s="237" t="s">
        <v>410</v>
      </c>
      <c r="Q1185" s="237" t="s">
        <v>410</v>
      </c>
      <c r="R1185" s="237" t="s">
        <v>410</v>
      </c>
      <c r="S1185" s="10" t="s">
        <v>410</v>
      </c>
      <c r="T1185" s="10" t="s">
        <v>410</v>
      </c>
    </row>
    <row r="1186" spans="1:20" collapsed="1" x14ac:dyDescent="0.3">
      <c r="A1186" s="583" t="s">
        <v>1463</v>
      </c>
      <c r="B1186" s="591">
        <v>1</v>
      </c>
      <c r="C1186" s="588" t="s">
        <v>1256</v>
      </c>
      <c r="D1186" s="588" t="s">
        <v>1508</v>
      </c>
      <c r="E1186" s="589" t="s">
        <v>410</v>
      </c>
      <c r="F1186" s="590" t="s">
        <v>1465</v>
      </c>
      <c r="G1186" s="590" t="s">
        <v>1466</v>
      </c>
      <c r="H1186" s="590" t="s">
        <v>1467</v>
      </c>
      <c r="I1186" s="590" t="s">
        <v>1468</v>
      </c>
      <c r="J1186" s="590" t="s">
        <v>1469</v>
      </c>
      <c r="K1186" s="590" t="s">
        <v>1470</v>
      </c>
      <c r="L1186" s="441" t="s">
        <v>410</v>
      </c>
      <c r="M1186" s="441" t="s">
        <v>410</v>
      </c>
      <c r="N1186" s="441" t="s">
        <v>410</v>
      </c>
      <c r="O1186" s="441" t="s">
        <v>410</v>
      </c>
      <c r="P1186" s="441" t="s">
        <v>410</v>
      </c>
      <c r="Q1186" s="441" t="s">
        <v>410</v>
      </c>
      <c r="R1186" s="441" t="s">
        <v>410</v>
      </c>
      <c r="S1186" s="441" t="s">
        <v>410</v>
      </c>
      <c r="T1186" s="441" t="s">
        <v>410</v>
      </c>
    </row>
    <row r="1187" spans="1:20" hidden="1" outlineLevel="1" x14ac:dyDescent="0.3">
      <c r="A1187" s="583" t="s">
        <v>1593</v>
      </c>
      <c r="B1187" s="591">
        <v>1</v>
      </c>
      <c r="C1187" s="588" t="s">
        <v>1256</v>
      </c>
      <c r="D1187" s="588" t="s">
        <v>1508</v>
      </c>
      <c r="E1187" s="593" t="s">
        <v>1594</v>
      </c>
      <c r="F1187" s="593" t="s">
        <v>1595</v>
      </c>
      <c r="G1187" s="593" t="s">
        <v>1596</v>
      </c>
      <c r="H1187" s="593" t="s">
        <v>1597</v>
      </c>
      <c r="I1187" s="441" t="s">
        <v>410</v>
      </c>
      <c r="J1187" s="441" t="s">
        <v>410</v>
      </c>
      <c r="K1187" s="441" t="s">
        <v>410</v>
      </c>
      <c r="L1187" s="441" t="s">
        <v>410</v>
      </c>
      <c r="M1187" s="441" t="s">
        <v>410</v>
      </c>
      <c r="N1187" s="441" t="s">
        <v>410</v>
      </c>
      <c r="O1187" s="441" t="s">
        <v>410</v>
      </c>
      <c r="P1187" s="441" t="s">
        <v>410</v>
      </c>
      <c r="Q1187" s="441" t="s">
        <v>410</v>
      </c>
      <c r="R1187" s="441" t="s">
        <v>410</v>
      </c>
      <c r="S1187" s="441" t="s">
        <v>410</v>
      </c>
      <c r="T1187" s="441" t="s">
        <v>410</v>
      </c>
    </row>
    <row r="1188" spans="1:20" hidden="1" outlineLevel="1" x14ac:dyDescent="0.3">
      <c r="A1188" s="583" t="s">
        <v>1610</v>
      </c>
      <c r="B1188" s="591">
        <v>1</v>
      </c>
      <c r="C1188" s="588" t="s">
        <v>1256</v>
      </c>
      <c r="D1188" s="588" t="s">
        <v>1508</v>
      </c>
      <c r="E1188" s="590" t="s">
        <v>2161</v>
      </c>
      <c r="F1188" s="590" t="s">
        <v>2161</v>
      </c>
      <c r="G1188" s="590" t="s">
        <v>2162</v>
      </c>
      <c r="H1188" s="590" t="s">
        <v>2163</v>
      </c>
      <c r="I1188" s="590" t="s">
        <v>2164</v>
      </c>
      <c r="J1188" s="590" t="s">
        <v>2165</v>
      </c>
      <c r="K1188" s="590" t="s">
        <v>2166</v>
      </c>
      <c r="L1188" s="441" t="s">
        <v>410</v>
      </c>
      <c r="M1188" s="441" t="s">
        <v>410</v>
      </c>
      <c r="N1188" s="441" t="s">
        <v>410</v>
      </c>
      <c r="O1188" s="441" t="s">
        <v>410</v>
      </c>
      <c r="P1188" s="441" t="s">
        <v>410</v>
      </c>
      <c r="Q1188" s="441" t="s">
        <v>410</v>
      </c>
      <c r="R1188" s="441" t="s">
        <v>410</v>
      </c>
      <c r="S1188" s="441" t="s">
        <v>410</v>
      </c>
      <c r="T1188" s="441" t="s">
        <v>410</v>
      </c>
    </row>
    <row r="1189" spans="1:20" hidden="1" outlineLevel="1" x14ac:dyDescent="0.3">
      <c r="A1189" s="583" t="s">
        <v>1622</v>
      </c>
      <c r="B1189" s="591">
        <v>1</v>
      </c>
      <c r="C1189" s="588" t="s">
        <v>1256</v>
      </c>
      <c r="D1189" s="588" t="s">
        <v>1508</v>
      </c>
      <c r="E1189" s="855" t="s">
        <v>410</v>
      </c>
      <c r="F1189" s="592" t="s">
        <v>5565</v>
      </c>
      <c r="G1189" s="592" t="s">
        <v>5566</v>
      </c>
      <c r="H1189" s="592" t="s">
        <v>5567</v>
      </c>
      <c r="I1189" s="441" t="s">
        <v>410</v>
      </c>
      <c r="J1189" s="441" t="s">
        <v>410</v>
      </c>
      <c r="K1189" s="441" t="s">
        <v>410</v>
      </c>
      <c r="L1189" s="441" t="s">
        <v>410</v>
      </c>
      <c r="M1189" s="441" t="s">
        <v>410</v>
      </c>
      <c r="N1189" s="441" t="s">
        <v>410</v>
      </c>
      <c r="O1189" s="441" t="s">
        <v>410</v>
      </c>
      <c r="P1189" s="441" t="s">
        <v>410</v>
      </c>
      <c r="Q1189" s="441" t="s">
        <v>410</v>
      </c>
      <c r="R1189" s="441" t="s">
        <v>410</v>
      </c>
      <c r="S1189" s="441" t="s">
        <v>410</v>
      </c>
      <c r="T1189" s="441" t="s">
        <v>410</v>
      </c>
    </row>
    <row r="1190" spans="1:20" hidden="1" outlineLevel="1" x14ac:dyDescent="0.3">
      <c r="A1190" s="583" t="s">
        <v>4211</v>
      </c>
      <c r="B1190" s="591">
        <v>1</v>
      </c>
      <c r="C1190" s="588" t="s">
        <v>1256</v>
      </c>
      <c r="D1190" s="588" t="s">
        <v>1508</v>
      </c>
      <c r="E1190" s="592" t="s">
        <v>66</v>
      </c>
      <c r="F1190" s="592" t="s">
        <v>4324</v>
      </c>
      <c r="G1190" s="592" t="s">
        <v>68</v>
      </c>
      <c r="H1190" s="592" t="s">
        <v>70</v>
      </c>
      <c r="I1190" s="441" t="s">
        <v>410</v>
      </c>
      <c r="J1190" s="441" t="s">
        <v>410</v>
      </c>
      <c r="K1190" s="441" t="s">
        <v>410</v>
      </c>
      <c r="L1190" s="441" t="s">
        <v>410</v>
      </c>
      <c r="M1190" s="441" t="s">
        <v>410</v>
      </c>
      <c r="N1190" s="441" t="s">
        <v>410</v>
      </c>
      <c r="O1190" s="441" t="s">
        <v>410</v>
      </c>
      <c r="P1190" s="441" t="s">
        <v>410</v>
      </c>
      <c r="Q1190" s="441" t="s">
        <v>410</v>
      </c>
      <c r="R1190" s="441" t="s">
        <v>410</v>
      </c>
      <c r="S1190" s="441" t="s">
        <v>410</v>
      </c>
      <c r="T1190" s="441" t="s">
        <v>410</v>
      </c>
    </row>
    <row r="1191" spans="1:20" hidden="1" outlineLevel="1" x14ac:dyDescent="0.3">
      <c r="A1191" s="583" t="s">
        <v>1665</v>
      </c>
      <c r="B1191" s="591">
        <v>1</v>
      </c>
      <c r="C1191" s="583" t="s">
        <v>1256</v>
      </c>
      <c r="D1191" s="583" t="s">
        <v>1508</v>
      </c>
      <c r="E1191" s="592" t="s">
        <v>410</v>
      </c>
      <c r="F1191" s="593" t="s">
        <v>2500</v>
      </c>
      <c r="G1191" s="593" t="s">
        <v>2501</v>
      </c>
      <c r="H1191" s="593" t="s">
        <v>2502</v>
      </c>
      <c r="I1191" s="593" t="s">
        <v>3162</v>
      </c>
      <c r="J1191" s="593" t="s">
        <v>2503</v>
      </c>
      <c r="K1191" s="237" t="s">
        <v>410</v>
      </c>
      <c r="L1191" s="237" t="s">
        <v>410</v>
      </c>
      <c r="M1191" s="237" t="s">
        <v>410</v>
      </c>
      <c r="N1191" s="237" t="s">
        <v>410</v>
      </c>
      <c r="O1191" s="237" t="s">
        <v>410</v>
      </c>
      <c r="P1191" s="237" t="s">
        <v>410</v>
      </c>
      <c r="Q1191" s="237" t="s">
        <v>410</v>
      </c>
      <c r="R1191" s="237" t="s">
        <v>410</v>
      </c>
      <c r="S1191" s="10" t="s">
        <v>410</v>
      </c>
      <c r="T1191" s="10" t="s">
        <v>410</v>
      </c>
    </row>
    <row r="1192" spans="1:20" hidden="1" outlineLevel="1" x14ac:dyDescent="0.3">
      <c r="A1192" s="583" t="s">
        <v>1675</v>
      </c>
      <c r="B1192" s="591">
        <v>1</v>
      </c>
      <c r="C1192" s="583" t="s">
        <v>1256</v>
      </c>
      <c r="D1192" s="583" t="s">
        <v>1508</v>
      </c>
      <c r="E1192" s="10" t="s">
        <v>410</v>
      </c>
      <c r="F1192" s="237"/>
      <c r="G1192" s="237"/>
      <c r="H1192" s="237"/>
      <c r="I1192" s="237"/>
      <c r="J1192" s="237"/>
      <c r="K1192" s="237"/>
      <c r="L1192" s="237"/>
      <c r="M1192" s="237"/>
      <c r="N1192" s="237"/>
      <c r="O1192" s="237"/>
      <c r="P1192" s="237" t="s">
        <v>410</v>
      </c>
      <c r="Q1192" s="237" t="s">
        <v>410</v>
      </c>
      <c r="R1192" s="237" t="s">
        <v>410</v>
      </c>
      <c r="S1192" s="10" t="s">
        <v>410</v>
      </c>
      <c r="T1192" s="10" t="s">
        <v>410</v>
      </c>
    </row>
    <row r="1193" spans="1:20" hidden="1" outlineLevel="1" x14ac:dyDescent="0.3">
      <c r="A1193" s="583" t="s">
        <v>1781</v>
      </c>
      <c r="B1193" s="591">
        <v>1</v>
      </c>
      <c r="C1193" s="583" t="s">
        <v>1256</v>
      </c>
      <c r="D1193" s="583" t="s">
        <v>1508</v>
      </c>
      <c r="E1193" s="592" t="s">
        <v>410</v>
      </c>
      <c r="F1193" s="593" t="s">
        <v>4335</v>
      </c>
      <c r="G1193" s="593" t="s">
        <v>4340</v>
      </c>
      <c r="H1193" s="593" t="s">
        <v>4339</v>
      </c>
      <c r="I1193" s="593" t="s">
        <v>4338</v>
      </c>
      <c r="J1193" s="593" t="s">
        <v>4337</v>
      </c>
      <c r="K1193" s="593" t="s">
        <v>4336</v>
      </c>
      <c r="L1193" s="593" t="s">
        <v>4341</v>
      </c>
      <c r="M1193" s="10" t="s">
        <v>410</v>
      </c>
      <c r="N1193" s="10" t="s">
        <v>410</v>
      </c>
      <c r="O1193" s="10" t="s">
        <v>410</v>
      </c>
      <c r="P1193" s="10" t="s">
        <v>410</v>
      </c>
      <c r="Q1193" s="10" t="s">
        <v>410</v>
      </c>
      <c r="R1193" s="10" t="s">
        <v>410</v>
      </c>
      <c r="S1193" s="10" t="s">
        <v>410</v>
      </c>
      <c r="T1193" s="10" t="s">
        <v>410</v>
      </c>
    </row>
    <row r="1194" spans="1:20" hidden="1" outlineLevel="1" x14ac:dyDescent="0.3">
      <c r="A1194" s="583" t="s">
        <v>1932</v>
      </c>
      <c r="B1194" s="591">
        <v>1</v>
      </c>
      <c r="C1194" s="583" t="s">
        <v>1256</v>
      </c>
      <c r="D1194" s="583" t="s">
        <v>1508</v>
      </c>
      <c r="E1194" s="614" t="s">
        <v>4203</v>
      </c>
      <c r="F1194" s="614" t="s">
        <v>4204</v>
      </c>
      <c r="G1194" s="614" t="s">
        <v>4205</v>
      </c>
      <c r="H1194" s="614" t="s">
        <v>4206</v>
      </c>
      <c r="I1194" s="614" t="s">
        <v>4207</v>
      </c>
      <c r="J1194" s="614" t="s">
        <v>4208</v>
      </c>
      <c r="K1194" s="614" t="s">
        <v>4209</v>
      </c>
      <c r="L1194" s="237" t="s">
        <v>410</v>
      </c>
      <c r="M1194" s="237" t="s">
        <v>410</v>
      </c>
      <c r="N1194" s="237" t="s">
        <v>410</v>
      </c>
      <c r="O1194" s="237" t="s">
        <v>410</v>
      </c>
      <c r="P1194" s="237" t="s">
        <v>410</v>
      </c>
      <c r="Q1194" s="237" t="s">
        <v>410</v>
      </c>
      <c r="R1194" s="237" t="s">
        <v>410</v>
      </c>
      <c r="S1194" s="10" t="s">
        <v>410</v>
      </c>
      <c r="T1194" s="10" t="s">
        <v>410</v>
      </c>
    </row>
    <row r="1195" spans="1:20" hidden="1" outlineLevel="1" x14ac:dyDescent="0.3">
      <c r="A1195" s="583" t="s">
        <v>1949</v>
      </c>
      <c r="B1195" s="591">
        <v>1</v>
      </c>
      <c r="C1195" s="583" t="s">
        <v>1256</v>
      </c>
      <c r="D1195" s="583" t="s">
        <v>1508</v>
      </c>
      <c r="E1195" s="594" t="str">
        <f>CONCATENATE(TEXT(sSms,"0")," %")</f>
        <v>5 %</v>
      </c>
      <c r="F1195" s="594" t="str">
        <f>CONCATENATE(TEXT(sSms+10,"0")," %")</f>
        <v>15 %</v>
      </c>
      <c r="G1195" s="594" t="str">
        <f>CONCATENATE(TEXT(sSms+20,"0")," %")</f>
        <v>25 %</v>
      </c>
      <c r="H1195" s="594" t="str">
        <f>CONCATENATE(TEXT(sSms+30,"0")," %")</f>
        <v>35 %</v>
      </c>
      <c r="I1195" s="594" t="str">
        <f>CONCATENATE(TEXT(sSms+40,"0")," %")</f>
        <v>45 %</v>
      </c>
      <c r="J1195" s="594" t="str">
        <f>CONCATENATE(TEXT(sSms+50,"0")," %")</f>
        <v>55 %</v>
      </c>
      <c r="K1195" s="237" t="s">
        <v>410</v>
      </c>
      <c r="L1195" s="237" t="s">
        <v>410</v>
      </c>
      <c r="M1195" s="237" t="s">
        <v>410</v>
      </c>
      <c r="N1195" s="237" t="s">
        <v>410</v>
      </c>
      <c r="O1195" s="237" t="s">
        <v>410</v>
      </c>
      <c r="P1195" s="237" t="s">
        <v>410</v>
      </c>
      <c r="Q1195" s="237" t="s">
        <v>410</v>
      </c>
      <c r="R1195" s="237" t="s">
        <v>410</v>
      </c>
      <c r="S1195" s="237" t="s">
        <v>410</v>
      </c>
      <c r="T1195" s="237" t="s">
        <v>410</v>
      </c>
    </row>
    <row r="1196" spans="1:20" hidden="1" outlineLevel="1" x14ac:dyDescent="0.3">
      <c r="A1196" s="583" t="s">
        <v>1872</v>
      </c>
      <c r="B1196" s="591">
        <v>4</v>
      </c>
      <c r="C1196" s="583" t="s">
        <v>1256</v>
      </c>
      <c r="D1196" s="583" t="s">
        <v>1508</v>
      </c>
      <c r="E1196" s="855" t="s">
        <v>410</v>
      </c>
      <c r="F1196" s="593" t="s">
        <v>4449</v>
      </c>
      <c r="G1196" s="593" t="s">
        <v>4213</v>
      </c>
      <c r="H1196" s="593" t="s">
        <v>4214</v>
      </c>
      <c r="I1196" s="237" t="s">
        <v>410</v>
      </c>
      <c r="J1196" s="237" t="s">
        <v>410</v>
      </c>
      <c r="K1196" s="237" t="s">
        <v>410</v>
      </c>
      <c r="L1196" s="237" t="s">
        <v>410</v>
      </c>
      <c r="M1196" s="237" t="s">
        <v>410</v>
      </c>
      <c r="N1196" s="237" t="s">
        <v>410</v>
      </c>
      <c r="O1196" s="237" t="s">
        <v>410</v>
      </c>
      <c r="P1196" s="237" t="s">
        <v>410</v>
      </c>
      <c r="Q1196" s="237" t="s">
        <v>410</v>
      </c>
      <c r="R1196" s="237" t="s">
        <v>410</v>
      </c>
      <c r="S1196" s="10" t="s">
        <v>410</v>
      </c>
      <c r="T1196" s="10" t="s">
        <v>410</v>
      </c>
    </row>
    <row r="1197" spans="1:20" hidden="1" outlineLevel="1" x14ac:dyDescent="0.3">
      <c r="A1197" s="583" t="s">
        <v>5485</v>
      </c>
      <c r="B1197" s="591">
        <v>5</v>
      </c>
      <c r="C1197" s="583" t="s">
        <v>1256</v>
      </c>
      <c r="D1197" s="583" t="s">
        <v>1508</v>
      </c>
      <c r="E1197" s="592" t="s">
        <v>410</v>
      </c>
      <c r="F1197" s="593" t="s">
        <v>3269</v>
      </c>
      <c r="G1197" s="593" t="s">
        <v>3270</v>
      </c>
      <c r="H1197" s="593" t="s">
        <v>3271</v>
      </c>
      <c r="I1197" s="593" t="s">
        <v>3272</v>
      </c>
      <c r="J1197" s="593" t="s">
        <v>4303</v>
      </c>
      <c r="K1197" s="237" t="s">
        <v>410</v>
      </c>
      <c r="L1197" s="237" t="s">
        <v>410</v>
      </c>
      <c r="M1197" s="237" t="s">
        <v>410</v>
      </c>
      <c r="N1197" s="237" t="s">
        <v>410</v>
      </c>
      <c r="O1197" s="237" t="s">
        <v>410</v>
      </c>
      <c r="P1197" s="237" t="s">
        <v>410</v>
      </c>
      <c r="Q1197" s="237" t="s">
        <v>410</v>
      </c>
      <c r="R1197" s="237" t="s">
        <v>410</v>
      </c>
      <c r="S1197" s="10" t="s">
        <v>410</v>
      </c>
      <c r="T1197" s="10" t="s">
        <v>410</v>
      </c>
    </row>
    <row r="1198" spans="1:20" hidden="1" outlineLevel="1" x14ac:dyDescent="0.3">
      <c r="A1198" s="583" t="s">
        <v>1774</v>
      </c>
      <c r="B1198" s="591">
        <v>6</v>
      </c>
      <c r="C1198" s="583" t="s">
        <v>1256</v>
      </c>
      <c r="D1198" s="583" t="s">
        <v>1508</v>
      </c>
      <c r="E1198" s="592" t="s">
        <v>410</v>
      </c>
      <c r="F1198" s="593" t="s">
        <v>67</v>
      </c>
      <c r="G1198" s="593" t="s">
        <v>3159</v>
      </c>
      <c r="H1198" s="593" t="s">
        <v>3160</v>
      </c>
      <c r="I1198" s="593" t="s">
        <v>3274</v>
      </c>
      <c r="J1198" s="237" t="s">
        <v>410</v>
      </c>
      <c r="K1198" s="237" t="s">
        <v>410</v>
      </c>
      <c r="L1198" s="237" t="s">
        <v>410</v>
      </c>
      <c r="M1198" s="237" t="s">
        <v>410</v>
      </c>
      <c r="N1198" s="237" t="s">
        <v>410</v>
      </c>
      <c r="O1198" s="237" t="s">
        <v>410</v>
      </c>
      <c r="P1198" s="237" t="s">
        <v>410</v>
      </c>
      <c r="Q1198" s="237" t="s">
        <v>410</v>
      </c>
      <c r="R1198" s="237" t="s">
        <v>410</v>
      </c>
      <c r="S1198" s="10" t="s">
        <v>410</v>
      </c>
      <c r="T1198" s="10" t="s">
        <v>410</v>
      </c>
    </row>
    <row r="1199" spans="1:20" hidden="1" outlineLevel="1" x14ac:dyDescent="0.3">
      <c r="A1199" s="583" t="s">
        <v>1972</v>
      </c>
      <c r="B1199" s="591">
        <v>6</v>
      </c>
      <c r="C1199" s="583" t="s">
        <v>1256</v>
      </c>
      <c r="D1199" s="583" t="s">
        <v>1508</v>
      </c>
      <c r="E1199" s="237" t="s">
        <v>410</v>
      </c>
      <c r="F1199" s="237"/>
      <c r="G1199" s="237"/>
      <c r="H1199" s="237"/>
      <c r="I1199" s="237"/>
      <c r="J1199" s="237"/>
      <c r="K1199" s="237"/>
      <c r="L1199" s="237"/>
      <c r="M1199" s="237"/>
      <c r="N1199" s="237"/>
      <c r="O1199" s="237"/>
      <c r="P1199" s="237" t="s">
        <v>410</v>
      </c>
      <c r="Q1199" s="237" t="s">
        <v>410</v>
      </c>
      <c r="R1199" s="237" t="s">
        <v>410</v>
      </c>
      <c r="S1199" s="237" t="s">
        <v>410</v>
      </c>
      <c r="T1199" s="237" t="s">
        <v>410</v>
      </c>
    </row>
    <row r="1200" spans="1:20" hidden="1" outlineLevel="1" x14ac:dyDescent="0.3">
      <c r="A1200" s="583" t="s">
        <v>3483</v>
      </c>
      <c r="B1200" s="591">
        <v>6</v>
      </c>
      <c r="C1200" s="583" t="s">
        <v>1256</v>
      </c>
      <c r="D1200" s="583" t="s">
        <v>1508</v>
      </c>
      <c r="E1200" s="593" t="s">
        <v>410</v>
      </c>
      <c r="F1200" s="593" t="s">
        <v>3484</v>
      </c>
      <c r="G1200" s="593" t="s">
        <v>3485</v>
      </c>
      <c r="H1200" s="593" t="s">
        <v>3486</v>
      </c>
      <c r="I1200" s="593" t="s">
        <v>3487</v>
      </c>
      <c r="J1200" s="593" t="s">
        <v>3488</v>
      </c>
      <c r="K1200" s="593" t="s">
        <v>3489</v>
      </c>
      <c r="L1200" s="237" t="s">
        <v>410</v>
      </c>
      <c r="M1200" s="237" t="s">
        <v>410</v>
      </c>
      <c r="N1200" s="237" t="s">
        <v>410</v>
      </c>
      <c r="O1200" s="237" t="s">
        <v>410</v>
      </c>
      <c r="P1200" s="237" t="s">
        <v>410</v>
      </c>
      <c r="Q1200" s="237" t="s">
        <v>410</v>
      </c>
      <c r="R1200" s="237" t="s">
        <v>410</v>
      </c>
      <c r="S1200" s="237" t="s">
        <v>410</v>
      </c>
      <c r="T1200" s="237" t="s">
        <v>410</v>
      </c>
    </row>
    <row r="1201" spans="1:20" hidden="1" outlineLevel="1" x14ac:dyDescent="0.3">
      <c r="A1201" s="583" t="s">
        <v>1788</v>
      </c>
      <c r="B1201" s="591">
        <v>8</v>
      </c>
      <c r="C1201" s="583" t="s">
        <v>1256</v>
      </c>
      <c r="D1201" s="583" t="s">
        <v>1508</v>
      </c>
      <c r="E1201" s="592" t="s">
        <v>410</v>
      </c>
      <c r="F1201" s="593" t="s">
        <v>4448</v>
      </c>
      <c r="G1201" s="593" t="s">
        <v>67</v>
      </c>
      <c r="H1201" s="593" t="s">
        <v>68</v>
      </c>
      <c r="I1201" s="593" t="s">
        <v>70</v>
      </c>
      <c r="J1201" s="593" t="s">
        <v>72</v>
      </c>
      <c r="K1201" s="593" t="s">
        <v>74</v>
      </c>
      <c r="L1201" s="237" t="s">
        <v>410</v>
      </c>
      <c r="M1201" s="237" t="s">
        <v>410</v>
      </c>
      <c r="N1201" s="237" t="s">
        <v>410</v>
      </c>
      <c r="O1201" s="237" t="s">
        <v>410</v>
      </c>
      <c r="P1201" s="237" t="s">
        <v>410</v>
      </c>
      <c r="Q1201" s="237" t="s">
        <v>410</v>
      </c>
      <c r="R1201" s="237" t="s">
        <v>410</v>
      </c>
      <c r="S1201" s="10" t="s">
        <v>410</v>
      </c>
      <c r="T1201" s="10" t="s">
        <v>410</v>
      </c>
    </row>
    <row r="1202" spans="1:20" hidden="1" outlineLevel="1" x14ac:dyDescent="0.3">
      <c r="A1202" s="583" t="s">
        <v>3479</v>
      </c>
      <c r="B1202" s="591">
        <v>8</v>
      </c>
      <c r="C1202" s="583" t="s">
        <v>1256</v>
      </c>
      <c r="D1202" s="583" t="s">
        <v>1508</v>
      </c>
      <c r="E1202" s="592" t="s">
        <v>410</v>
      </c>
      <c r="F1202"/>
      <c r="G1202"/>
      <c r="H1202"/>
      <c r="I1202"/>
      <c r="J1202"/>
      <c r="K1202"/>
      <c r="L1202"/>
      <c r="M1202" t="s">
        <v>410</v>
      </c>
      <c r="N1202" t="s">
        <v>410</v>
      </c>
      <c r="O1202" t="s">
        <v>410</v>
      </c>
      <c r="P1202" t="s">
        <v>410</v>
      </c>
      <c r="Q1202" t="s">
        <v>410</v>
      </c>
      <c r="R1202" t="s">
        <v>410</v>
      </c>
      <c r="S1202" t="s">
        <v>410</v>
      </c>
      <c r="T1202" t="s">
        <v>410</v>
      </c>
    </row>
    <row r="1203" spans="1:20" hidden="1" outlineLevel="1" x14ac:dyDescent="0.3">
      <c r="A1203" s="583" t="s">
        <v>1638</v>
      </c>
      <c r="B1203" s="591">
        <v>11</v>
      </c>
      <c r="C1203" s="583" t="s">
        <v>1256</v>
      </c>
      <c r="D1203" s="583" t="s">
        <v>1508</v>
      </c>
      <c r="E1203" s="592" t="s">
        <v>410</v>
      </c>
      <c r="F1203" s="237"/>
      <c r="G1203" s="237"/>
      <c r="H1203" s="237"/>
      <c r="I1203" s="237"/>
      <c r="J1203" s="237"/>
      <c r="K1203" s="237"/>
      <c r="L1203" s="237"/>
      <c r="M1203" s="237" t="s">
        <v>410</v>
      </c>
      <c r="N1203" s="237" t="s">
        <v>410</v>
      </c>
      <c r="O1203" s="237" t="s">
        <v>410</v>
      </c>
      <c r="P1203" s="237" t="s">
        <v>410</v>
      </c>
      <c r="Q1203" s="237" t="s">
        <v>410</v>
      </c>
      <c r="R1203" s="237" t="s">
        <v>410</v>
      </c>
      <c r="S1203" s="10" t="s">
        <v>410</v>
      </c>
      <c r="T1203" s="10" t="s">
        <v>410</v>
      </c>
    </row>
    <row r="1204" spans="1:20" hidden="1" outlineLevel="1" x14ac:dyDescent="0.3">
      <c r="A1204" s="583" t="s">
        <v>1928</v>
      </c>
      <c r="B1204" s="591">
        <v>11</v>
      </c>
      <c r="C1204" s="583" t="s">
        <v>1256</v>
      </c>
      <c r="D1204" s="583" t="s">
        <v>1508</v>
      </c>
      <c r="E1204" s="592" t="s">
        <v>410</v>
      </c>
      <c r="F1204" s="593" t="s">
        <v>3289</v>
      </c>
      <c r="G1204" s="593" t="s">
        <v>3290</v>
      </c>
      <c r="H1204" s="593" t="s">
        <v>3291</v>
      </c>
      <c r="I1204" s="593" t="s">
        <v>3292</v>
      </c>
      <c r="J1204" s="237" t="s">
        <v>410</v>
      </c>
      <c r="K1204" s="237" t="s">
        <v>410</v>
      </c>
      <c r="L1204" s="237" t="s">
        <v>410</v>
      </c>
      <c r="M1204" s="237" t="s">
        <v>410</v>
      </c>
      <c r="N1204" s="237" t="s">
        <v>410</v>
      </c>
      <c r="O1204" s="237" t="s">
        <v>410</v>
      </c>
      <c r="P1204" s="237" t="s">
        <v>410</v>
      </c>
      <c r="Q1204" s="237" t="s">
        <v>410</v>
      </c>
      <c r="R1204" s="237" t="s">
        <v>410</v>
      </c>
      <c r="S1204" s="10" t="s">
        <v>410</v>
      </c>
      <c r="T1204" s="10" t="s">
        <v>410</v>
      </c>
    </row>
    <row r="1205" spans="1:20" hidden="1" outlineLevel="1" x14ac:dyDescent="0.3">
      <c r="A1205" s="583" t="s">
        <v>1959</v>
      </c>
      <c r="B1205" s="591">
        <v>11</v>
      </c>
      <c r="C1205" s="583" t="s">
        <v>1256</v>
      </c>
      <c r="D1205" s="583" t="s">
        <v>1508</v>
      </c>
      <c r="E1205" s="593" t="s">
        <v>410</v>
      </c>
      <c r="F1205" s="237"/>
      <c r="G1205" s="237"/>
      <c r="H1205" s="237"/>
      <c r="I1205" s="237"/>
      <c r="J1205" s="237"/>
      <c r="K1205" s="237" t="s">
        <v>410</v>
      </c>
      <c r="L1205" s="237" t="s">
        <v>410</v>
      </c>
      <c r="M1205" s="237" t="s">
        <v>410</v>
      </c>
      <c r="N1205" s="237" t="s">
        <v>410</v>
      </c>
      <c r="O1205" s="237" t="s">
        <v>410</v>
      </c>
      <c r="P1205" s="237" t="s">
        <v>410</v>
      </c>
      <c r="Q1205" s="237" t="s">
        <v>410</v>
      </c>
      <c r="R1205" s="237" t="s">
        <v>410</v>
      </c>
      <c r="S1205" s="237" t="s">
        <v>410</v>
      </c>
      <c r="T1205" s="237" t="s">
        <v>410</v>
      </c>
    </row>
    <row r="1206" spans="1:20" hidden="1" outlineLevel="1" x14ac:dyDescent="0.3">
      <c r="A1206" s="583" t="s">
        <v>5545</v>
      </c>
      <c r="B1206" s="591">
        <v>11</v>
      </c>
      <c r="C1206" s="583" t="s">
        <v>1256</v>
      </c>
      <c r="D1206" s="583" t="s">
        <v>1508</v>
      </c>
      <c r="E1206" s="593" t="s">
        <v>181</v>
      </c>
      <c r="F1206" s="593" t="s">
        <v>5546</v>
      </c>
      <c r="G1206" s="593" t="s">
        <v>5547</v>
      </c>
      <c r="H1206" s="593" t="s">
        <v>5548</v>
      </c>
      <c r="I1206" s="237" t="s">
        <v>410</v>
      </c>
      <c r="J1206" s="237" t="s">
        <v>410</v>
      </c>
      <c r="K1206" s="237" t="s">
        <v>410</v>
      </c>
      <c r="L1206" s="237" t="s">
        <v>410</v>
      </c>
      <c r="M1206" s="237" t="s">
        <v>410</v>
      </c>
      <c r="N1206" s="237" t="s">
        <v>410</v>
      </c>
      <c r="O1206" s="237" t="s">
        <v>410</v>
      </c>
      <c r="P1206" s="237" t="s">
        <v>410</v>
      </c>
      <c r="Q1206" s="237" t="s">
        <v>410</v>
      </c>
      <c r="R1206" s="237" t="s">
        <v>410</v>
      </c>
      <c r="S1206" s="237" t="s">
        <v>410</v>
      </c>
      <c r="T1206" s="237" t="s">
        <v>410</v>
      </c>
    </row>
    <row r="1207" spans="1:20" hidden="1" outlineLevel="1" x14ac:dyDescent="0.3">
      <c r="A1207" s="583" t="s">
        <v>1676</v>
      </c>
      <c r="B1207" s="591">
        <v>16</v>
      </c>
      <c r="C1207" s="583" t="s">
        <v>1256</v>
      </c>
      <c r="D1207" s="583" t="s">
        <v>1508</v>
      </c>
      <c r="E1207" s="10" t="s">
        <v>410</v>
      </c>
      <c r="F1207" s="237"/>
      <c r="G1207" s="237"/>
      <c r="H1207" s="237"/>
      <c r="I1207" s="237"/>
      <c r="J1207" s="237"/>
      <c r="K1207" s="237"/>
      <c r="L1207" s="237"/>
      <c r="M1207" s="237"/>
      <c r="N1207" s="237"/>
      <c r="O1207" s="237"/>
      <c r="P1207" s="237" t="s">
        <v>410</v>
      </c>
      <c r="Q1207" s="237" t="s">
        <v>410</v>
      </c>
      <c r="R1207" s="237" t="s">
        <v>410</v>
      </c>
      <c r="S1207" s="10" t="s">
        <v>410</v>
      </c>
      <c r="T1207" s="10" t="s">
        <v>410</v>
      </c>
    </row>
    <row r="1208" spans="1:20" hidden="1" outlineLevel="1" x14ac:dyDescent="0.3">
      <c r="A1208" s="583" t="s">
        <v>1736</v>
      </c>
      <c r="B1208" s="591">
        <v>16</v>
      </c>
      <c r="C1208" s="583" t="s">
        <v>1256</v>
      </c>
      <c r="D1208" s="583" t="s">
        <v>1508</v>
      </c>
      <c r="E1208" s="592" t="s">
        <v>410</v>
      </c>
      <c r="F1208" s="593" t="s">
        <v>3473</v>
      </c>
      <c r="G1208" s="593" t="s">
        <v>3475</v>
      </c>
      <c r="H1208" s="593" t="s">
        <v>3474</v>
      </c>
      <c r="I1208" s="593" t="s">
        <v>3476</v>
      </c>
      <c r="J1208" s="593" t="s">
        <v>3477</v>
      </c>
      <c r="K1208" s="237" t="s">
        <v>410</v>
      </c>
      <c r="L1208" s="237" t="s">
        <v>410</v>
      </c>
      <c r="M1208" s="237" t="s">
        <v>410</v>
      </c>
      <c r="N1208" s="237" t="s">
        <v>410</v>
      </c>
      <c r="O1208" s="237" t="s">
        <v>410</v>
      </c>
      <c r="P1208" s="237" t="s">
        <v>410</v>
      </c>
      <c r="Q1208" s="237" t="s">
        <v>410</v>
      </c>
      <c r="R1208" s="237" t="s">
        <v>410</v>
      </c>
      <c r="S1208" s="10" t="s">
        <v>410</v>
      </c>
      <c r="T1208" s="10" t="s">
        <v>410</v>
      </c>
    </row>
    <row r="1209" spans="1:20" hidden="1" outlineLevel="1" x14ac:dyDescent="0.3">
      <c r="A1209" s="583" t="s">
        <v>1873</v>
      </c>
      <c r="B1209" s="591">
        <v>16</v>
      </c>
      <c r="C1209" s="583" t="s">
        <v>1256</v>
      </c>
      <c r="D1209" s="583" t="s">
        <v>1508</v>
      </c>
      <c r="E1209" s="592" t="s">
        <v>410</v>
      </c>
      <c r="F1209" s="593" t="s">
        <v>3275</v>
      </c>
      <c r="G1209" s="593" t="s">
        <v>3276</v>
      </c>
      <c r="H1209" s="593" t="s">
        <v>3277</v>
      </c>
      <c r="I1209" s="593" t="s">
        <v>3278</v>
      </c>
      <c r="J1209" s="593" t="s">
        <v>3279</v>
      </c>
      <c r="K1209" s="593" t="s">
        <v>3280</v>
      </c>
      <c r="L1209" s="237" t="s">
        <v>410</v>
      </c>
      <c r="M1209" s="237" t="s">
        <v>410</v>
      </c>
      <c r="N1209" s="237" t="s">
        <v>410</v>
      </c>
      <c r="O1209" s="237" t="s">
        <v>410</v>
      </c>
      <c r="P1209" s="237" t="s">
        <v>410</v>
      </c>
      <c r="Q1209" s="237" t="s">
        <v>410</v>
      </c>
      <c r="R1209" s="237" t="s">
        <v>410</v>
      </c>
      <c r="S1209" s="10" t="s">
        <v>410</v>
      </c>
      <c r="T1209" s="10" t="s">
        <v>410</v>
      </c>
    </row>
    <row r="1210" spans="1:20" hidden="1" outlineLevel="1" x14ac:dyDescent="0.3">
      <c r="A1210" s="583" t="s">
        <v>1930</v>
      </c>
      <c r="B1210" s="591">
        <v>16</v>
      </c>
      <c r="C1210" s="583" t="s">
        <v>1256</v>
      </c>
      <c r="D1210" s="583" t="s">
        <v>1508</v>
      </c>
      <c r="E1210" s="592" t="s">
        <v>410</v>
      </c>
      <c r="F1210" s="593" t="s">
        <v>3177</v>
      </c>
      <c r="G1210" s="593"/>
      <c r="H1210" s="593"/>
      <c r="I1210" s="593"/>
      <c r="J1210" s="593"/>
      <c r="K1210" s="593"/>
      <c r="L1210" s="593"/>
      <c r="M1210" s="593"/>
      <c r="N1210" s="237" t="s">
        <v>410</v>
      </c>
      <c r="O1210" s="237" t="s">
        <v>410</v>
      </c>
      <c r="P1210" s="237" t="s">
        <v>410</v>
      </c>
      <c r="Q1210" s="237" t="s">
        <v>410</v>
      </c>
      <c r="R1210" s="237" t="s">
        <v>410</v>
      </c>
      <c r="S1210" s="10" t="s">
        <v>410</v>
      </c>
      <c r="T1210" s="10" t="s">
        <v>410</v>
      </c>
    </row>
    <row r="1211" spans="1:20" hidden="1" outlineLevel="1" x14ac:dyDescent="0.3">
      <c r="A1211" s="583" t="s">
        <v>1970</v>
      </c>
      <c r="B1211" s="591">
        <v>16</v>
      </c>
      <c r="C1211" s="583" t="s">
        <v>1256</v>
      </c>
      <c r="D1211" s="583" t="s">
        <v>1508</v>
      </c>
      <c r="E1211" s="593" t="s">
        <v>410</v>
      </c>
      <c r="F1211" s="593"/>
      <c r="G1211" s="593"/>
      <c r="H1211" s="593"/>
      <c r="I1211" s="593"/>
      <c r="J1211" s="593"/>
      <c r="K1211" s="237" t="s">
        <v>410</v>
      </c>
      <c r="L1211" s="237" t="s">
        <v>410</v>
      </c>
      <c r="M1211" s="237" t="s">
        <v>410</v>
      </c>
      <c r="N1211" s="237" t="s">
        <v>410</v>
      </c>
      <c r="O1211" s="237" t="s">
        <v>410</v>
      </c>
      <c r="P1211" s="237" t="s">
        <v>410</v>
      </c>
      <c r="Q1211" s="237" t="s">
        <v>410</v>
      </c>
      <c r="R1211" s="237" t="s">
        <v>410</v>
      </c>
      <c r="S1211" s="237" t="s">
        <v>410</v>
      </c>
      <c r="T1211" s="237" t="s">
        <v>410</v>
      </c>
    </row>
    <row r="1212" spans="1:20" hidden="1" outlineLevel="1" x14ac:dyDescent="0.3">
      <c r="A1212" s="583" t="s">
        <v>2910</v>
      </c>
      <c r="B1212" s="591">
        <v>0</v>
      </c>
      <c r="C1212" s="588" t="s">
        <v>1564</v>
      </c>
      <c r="D1212" s="588" t="s">
        <v>1508</v>
      </c>
      <c r="E1212" s="615" t="s">
        <v>2950</v>
      </c>
      <c r="F1212" s="9" t="s">
        <v>410</v>
      </c>
      <c r="G1212" s="9" t="s">
        <v>410</v>
      </c>
      <c r="H1212" s="9" t="s">
        <v>410</v>
      </c>
      <c r="I1212" s="9" t="s">
        <v>410</v>
      </c>
      <c r="J1212" s="9" t="s">
        <v>410</v>
      </c>
      <c r="K1212" s="9" t="s">
        <v>410</v>
      </c>
      <c r="L1212" s="9" t="s">
        <v>410</v>
      </c>
      <c r="M1212" s="9" t="s">
        <v>410</v>
      </c>
      <c r="N1212" s="9" t="s">
        <v>410</v>
      </c>
      <c r="O1212" s="9" t="s">
        <v>410</v>
      </c>
      <c r="P1212" s="9" t="s">
        <v>410</v>
      </c>
      <c r="Q1212" s="9" t="s">
        <v>410</v>
      </c>
      <c r="R1212" s="9" t="s">
        <v>410</v>
      </c>
      <c r="S1212" s="9" t="s">
        <v>410</v>
      </c>
      <c r="T1212" s="9" t="s">
        <v>410</v>
      </c>
    </row>
    <row r="1213" spans="1:20" hidden="1" outlineLevel="1" x14ac:dyDescent="0.3">
      <c r="A1213" s="583" t="s">
        <v>3286</v>
      </c>
      <c r="B1213" s="591">
        <v>0</v>
      </c>
      <c r="C1213" s="588" t="s">
        <v>1564</v>
      </c>
      <c r="D1213" s="588" t="s">
        <v>1508</v>
      </c>
      <c r="E1213" s="615" t="s">
        <v>3287</v>
      </c>
      <c r="F1213" s="9" t="s">
        <v>410</v>
      </c>
      <c r="G1213" s="9" t="s">
        <v>410</v>
      </c>
      <c r="H1213" s="9" t="s">
        <v>410</v>
      </c>
      <c r="I1213" s="9" t="s">
        <v>410</v>
      </c>
      <c r="J1213" s="9" t="s">
        <v>410</v>
      </c>
      <c r="K1213" s="9" t="s">
        <v>410</v>
      </c>
      <c r="L1213" s="9" t="s">
        <v>410</v>
      </c>
      <c r="M1213" s="9" t="s">
        <v>410</v>
      </c>
      <c r="N1213" s="9" t="s">
        <v>410</v>
      </c>
      <c r="O1213" s="9" t="s">
        <v>410</v>
      </c>
      <c r="P1213" s="9" t="s">
        <v>410</v>
      </c>
      <c r="Q1213" s="9" t="s">
        <v>410</v>
      </c>
      <c r="R1213" s="9" t="s">
        <v>410</v>
      </c>
      <c r="S1213" s="9" t="s">
        <v>410</v>
      </c>
      <c r="T1213" s="9" t="s">
        <v>410</v>
      </c>
    </row>
    <row r="1214" spans="1:20" hidden="1" outlineLevel="1" x14ac:dyDescent="0.3">
      <c r="A1214" s="583" t="s">
        <v>2067</v>
      </c>
      <c r="B1214" s="591">
        <v>0</v>
      </c>
      <c r="C1214" s="588" t="s">
        <v>1564</v>
      </c>
      <c r="D1214" s="588" t="s">
        <v>1508</v>
      </c>
      <c r="E1214" s="595"/>
      <c r="F1214" s="9" t="s">
        <v>410</v>
      </c>
      <c r="G1214" s="9" t="s">
        <v>410</v>
      </c>
      <c r="H1214" s="9" t="s">
        <v>410</v>
      </c>
      <c r="I1214" s="9" t="s">
        <v>410</v>
      </c>
      <c r="J1214" s="9" t="s">
        <v>410</v>
      </c>
      <c r="K1214" s="9" t="s">
        <v>410</v>
      </c>
      <c r="L1214" s="9" t="s">
        <v>410</v>
      </c>
      <c r="M1214" s="9" t="s">
        <v>410</v>
      </c>
      <c r="N1214" s="9" t="s">
        <v>410</v>
      </c>
      <c r="O1214" s="9" t="s">
        <v>410</v>
      </c>
      <c r="P1214" s="9" t="s">
        <v>410</v>
      </c>
      <c r="Q1214" s="9" t="s">
        <v>410</v>
      </c>
      <c r="R1214" s="9" t="s">
        <v>410</v>
      </c>
      <c r="S1214" s="9" t="s">
        <v>410</v>
      </c>
      <c r="T1214" s="9" t="s">
        <v>410</v>
      </c>
    </row>
    <row r="1215" spans="1:20" hidden="1" outlineLevel="1" x14ac:dyDescent="0.3">
      <c r="A1215" s="583" t="s">
        <v>2066</v>
      </c>
      <c r="B1215" s="591">
        <v>0</v>
      </c>
      <c r="C1215" s="583" t="s">
        <v>1564</v>
      </c>
      <c r="D1215" s="583" t="s">
        <v>1508</v>
      </c>
      <c r="F1215" t="s">
        <v>410</v>
      </c>
      <c r="G1215" t="s">
        <v>410</v>
      </c>
      <c r="H1215" t="s">
        <v>410</v>
      </c>
      <c r="I1215" t="s">
        <v>410</v>
      </c>
      <c r="J1215" t="s">
        <v>410</v>
      </c>
      <c r="K1215" t="s">
        <v>410</v>
      </c>
      <c r="L1215" t="s">
        <v>410</v>
      </c>
      <c r="M1215" t="s">
        <v>410</v>
      </c>
      <c r="N1215" t="s">
        <v>410</v>
      </c>
      <c r="O1215" t="s">
        <v>410</v>
      </c>
      <c r="P1215" t="s">
        <v>410</v>
      </c>
      <c r="Q1215" t="s">
        <v>410</v>
      </c>
      <c r="R1215" t="s">
        <v>410</v>
      </c>
      <c r="S1215" t="s">
        <v>410</v>
      </c>
      <c r="T1215" t="s">
        <v>410</v>
      </c>
    </row>
    <row r="1216" spans="1:20" hidden="1" outlineLevel="1" x14ac:dyDescent="0.3">
      <c r="A1216" s="583" t="s">
        <v>2196</v>
      </c>
      <c r="B1216" s="591">
        <v>1</v>
      </c>
      <c r="C1216" s="583" t="s">
        <v>1564</v>
      </c>
      <c r="D1216" s="583" t="s">
        <v>1508</v>
      </c>
      <c r="E1216" s="592" t="s">
        <v>410</v>
      </c>
      <c r="F1216" s="592" t="s">
        <v>3164</v>
      </c>
      <c r="G1216" s="592" t="s">
        <v>3165</v>
      </c>
      <c r="H1216" s="592" t="s">
        <v>3166</v>
      </c>
      <c r="I1216" s="592" t="s">
        <v>3167</v>
      </c>
      <c r="J1216" s="592" t="s">
        <v>3168</v>
      </c>
      <c r="K1216" s="583" t="s">
        <v>410</v>
      </c>
      <c r="L1216" t="s">
        <v>410</v>
      </c>
      <c r="M1216" t="s">
        <v>410</v>
      </c>
      <c r="N1216" t="s">
        <v>410</v>
      </c>
      <c r="O1216" t="s">
        <v>410</v>
      </c>
      <c r="P1216" t="s">
        <v>410</v>
      </c>
      <c r="Q1216" t="s">
        <v>410</v>
      </c>
      <c r="R1216" t="s">
        <v>410</v>
      </c>
      <c r="S1216" t="s">
        <v>410</v>
      </c>
      <c r="T1216" t="s">
        <v>410</v>
      </c>
    </row>
    <row r="1217" spans="1:20" hidden="1" outlineLevel="1" x14ac:dyDescent="0.3">
      <c r="A1217" s="583" t="s">
        <v>1687</v>
      </c>
      <c r="B1217" s="591">
        <v>1</v>
      </c>
      <c r="C1217" s="583" t="s">
        <v>1564</v>
      </c>
      <c r="D1217" s="583" t="s">
        <v>1508</v>
      </c>
      <c r="E1217" s="592" t="s">
        <v>410</v>
      </c>
      <c r="F1217" s="593" t="s">
        <v>5521</v>
      </c>
      <c r="G1217" s="237" t="s">
        <v>410</v>
      </c>
      <c r="H1217" s="237" t="s">
        <v>410</v>
      </c>
      <c r="I1217" s="237" t="s">
        <v>410</v>
      </c>
      <c r="J1217" s="237" t="s">
        <v>410</v>
      </c>
      <c r="K1217" s="237" t="s">
        <v>410</v>
      </c>
      <c r="L1217" s="237" t="s">
        <v>410</v>
      </c>
      <c r="M1217" s="237" t="s">
        <v>410</v>
      </c>
      <c r="N1217" s="237" t="s">
        <v>410</v>
      </c>
      <c r="O1217" s="237" t="s">
        <v>410</v>
      </c>
      <c r="P1217" s="237" t="s">
        <v>410</v>
      </c>
      <c r="Q1217" s="237" t="s">
        <v>410</v>
      </c>
      <c r="R1217" s="237" t="s">
        <v>410</v>
      </c>
      <c r="S1217" s="10" t="s">
        <v>410</v>
      </c>
      <c r="T1217" s="10" t="s">
        <v>410</v>
      </c>
    </row>
    <row r="1218" spans="1:20" hidden="1" outlineLevel="1" x14ac:dyDescent="0.3">
      <c r="A1218" s="583" t="s">
        <v>1695</v>
      </c>
      <c r="B1218" s="591">
        <v>1</v>
      </c>
      <c r="C1218" s="583" t="s">
        <v>1564</v>
      </c>
      <c r="D1218" s="583" t="s">
        <v>1508</v>
      </c>
      <c r="E1218" s="592" t="s">
        <v>410</v>
      </c>
      <c r="F1218" s="593" t="s">
        <v>5520</v>
      </c>
      <c r="G1218" s="237" t="s">
        <v>410</v>
      </c>
      <c r="H1218" s="237" t="s">
        <v>410</v>
      </c>
      <c r="I1218" s="237" t="s">
        <v>410</v>
      </c>
      <c r="J1218" s="237" t="s">
        <v>410</v>
      </c>
      <c r="K1218" s="237" t="s">
        <v>410</v>
      </c>
      <c r="L1218" s="237" t="s">
        <v>410</v>
      </c>
      <c r="M1218" s="237" t="s">
        <v>410</v>
      </c>
      <c r="N1218" s="237" t="s">
        <v>410</v>
      </c>
      <c r="O1218" s="237" t="s">
        <v>410</v>
      </c>
      <c r="P1218" s="237" t="s">
        <v>410</v>
      </c>
      <c r="Q1218" s="237" t="s">
        <v>410</v>
      </c>
      <c r="R1218" s="237" t="s">
        <v>410</v>
      </c>
      <c r="S1218" s="10" t="s">
        <v>410</v>
      </c>
      <c r="T1218" s="10" t="s">
        <v>410</v>
      </c>
    </row>
    <row r="1219" spans="1:20" hidden="1" outlineLevel="1" x14ac:dyDescent="0.3">
      <c r="A1219" s="583" t="s">
        <v>1705</v>
      </c>
      <c r="B1219" s="591">
        <v>1</v>
      </c>
      <c r="C1219" s="583" t="s">
        <v>1564</v>
      </c>
      <c r="D1219" s="583" t="s">
        <v>1508</v>
      </c>
      <c r="E1219" s="592" t="s">
        <v>410</v>
      </c>
      <c r="F1219" s="593"/>
      <c r="G1219" s="237" t="s">
        <v>410</v>
      </c>
      <c r="H1219" s="237" t="s">
        <v>410</v>
      </c>
      <c r="I1219" s="237" t="s">
        <v>410</v>
      </c>
      <c r="J1219" s="237" t="s">
        <v>410</v>
      </c>
      <c r="K1219" s="237" t="s">
        <v>410</v>
      </c>
      <c r="L1219" s="237" t="s">
        <v>410</v>
      </c>
      <c r="M1219" s="237" t="s">
        <v>410</v>
      </c>
      <c r="N1219" s="237" t="s">
        <v>410</v>
      </c>
      <c r="O1219" s="237" t="s">
        <v>410</v>
      </c>
      <c r="P1219" s="237" t="s">
        <v>410</v>
      </c>
      <c r="Q1219" s="237" t="s">
        <v>410</v>
      </c>
      <c r="R1219" s="237" t="s">
        <v>410</v>
      </c>
      <c r="S1219" s="10" t="s">
        <v>410</v>
      </c>
      <c r="T1219" s="10" t="s">
        <v>410</v>
      </c>
    </row>
    <row r="1220" spans="1:20" hidden="1" outlineLevel="1" x14ac:dyDescent="0.3">
      <c r="A1220" s="583" t="s">
        <v>2197</v>
      </c>
      <c r="B1220" s="591">
        <v>2</v>
      </c>
      <c r="C1220" s="583" t="s">
        <v>1564</v>
      </c>
      <c r="D1220" s="583" t="s">
        <v>1508</v>
      </c>
      <c r="E1220" s="592" t="s">
        <v>410</v>
      </c>
      <c r="F1220" s="583" t="s">
        <v>410</v>
      </c>
      <c r="G1220" s="583" t="s">
        <v>3169</v>
      </c>
      <c r="H1220" s="583" t="s">
        <v>3170</v>
      </c>
      <c r="I1220" s="583" t="s">
        <v>3171</v>
      </c>
      <c r="J1220" s="583" t="s">
        <v>3172</v>
      </c>
      <c r="K1220" s="583" t="s">
        <v>410</v>
      </c>
      <c r="L1220" t="s">
        <v>410</v>
      </c>
      <c r="M1220" t="s">
        <v>410</v>
      </c>
      <c r="N1220" t="s">
        <v>410</v>
      </c>
      <c r="O1220" t="s">
        <v>410</v>
      </c>
      <c r="P1220" t="s">
        <v>410</v>
      </c>
      <c r="Q1220" t="s">
        <v>410</v>
      </c>
      <c r="R1220" t="s">
        <v>410</v>
      </c>
      <c r="S1220" t="s">
        <v>410</v>
      </c>
      <c r="T1220" t="s">
        <v>410</v>
      </c>
    </row>
    <row r="1221" spans="1:20" hidden="1" outlineLevel="1" x14ac:dyDescent="0.3">
      <c r="A1221" s="583" t="s">
        <v>5159</v>
      </c>
      <c r="B1221" s="591">
        <v>2</v>
      </c>
      <c r="C1221" s="583" t="s">
        <v>1564</v>
      </c>
      <c r="D1221" s="583" t="s">
        <v>1508</v>
      </c>
      <c r="E1221" s="592" t="s">
        <v>410</v>
      </c>
      <c r="F1221" s="593" t="s">
        <v>3625</v>
      </c>
      <c r="G1221" s="237" t="s">
        <v>410</v>
      </c>
      <c r="H1221" s="237" t="s">
        <v>410</v>
      </c>
      <c r="I1221" s="237" t="s">
        <v>410</v>
      </c>
      <c r="J1221" s="237" t="s">
        <v>410</v>
      </c>
      <c r="K1221" s="237" t="s">
        <v>410</v>
      </c>
      <c r="L1221" s="237" t="s">
        <v>410</v>
      </c>
      <c r="M1221" s="237" t="s">
        <v>410</v>
      </c>
      <c r="N1221" s="237" t="s">
        <v>410</v>
      </c>
      <c r="O1221" s="237" t="s">
        <v>410</v>
      </c>
      <c r="P1221" s="237" t="s">
        <v>410</v>
      </c>
      <c r="Q1221" s="237" t="s">
        <v>410</v>
      </c>
      <c r="R1221" s="237" t="s">
        <v>410</v>
      </c>
      <c r="S1221" s="10" t="s">
        <v>410</v>
      </c>
      <c r="T1221" s="10" t="s">
        <v>410</v>
      </c>
    </row>
    <row r="1222" spans="1:20" hidden="1" outlineLevel="1" x14ac:dyDescent="0.3">
      <c r="A1222" s="583" t="s">
        <v>4439</v>
      </c>
      <c r="B1222" s="591">
        <v>2</v>
      </c>
      <c r="C1222" s="583" t="s">
        <v>1564</v>
      </c>
      <c r="D1222" s="583" t="s">
        <v>1508</v>
      </c>
      <c r="E1222" s="592" t="s">
        <v>410</v>
      </c>
      <c r="F1222" s="593" t="s">
        <v>3622</v>
      </c>
      <c r="G1222" s="237" t="s">
        <v>410</v>
      </c>
      <c r="H1222" s="237" t="s">
        <v>410</v>
      </c>
      <c r="I1222" s="237" t="s">
        <v>410</v>
      </c>
      <c r="J1222" s="237" t="s">
        <v>410</v>
      </c>
      <c r="K1222" s="237" t="s">
        <v>410</v>
      </c>
      <c r="L1222" s="237" t="s">
        <v>410</v>
      </c>
      <c r="M1222" s="237" t="s">
        <v>410</v>
      </c>
      <c r="N1222" s="237" t="s">
        <v>410</v>
      </c>
      <c r="O1222" s="237" t="s">
        <v>410</v>
      </c>
      <c r="P1222" s="237" t="s">
        <v>410</v>
      </c>
      <c r="Q1222" s="237" t="s">
        <v>410</v>
      </c>
      <c r="R1222" s="237" t="s">
        <v>410</v>
      </c>
      <c r="S1222" s="10" t="s">
        <v>410</v>
      </c>
      <c r="T1222" s="10" t="s">
        <v>410</v>
      </c>
    </row>
    <row r="1223" spans="1:20" hidden="1" outlineLevel="1" x14ac:dyDescent="0.3">
      <c r="A1223" s="583" t="s">
        <v>5162</v>
      </c>
      <c r="B1223" s="591">
        <v>2</v>
      </c>
      <c r="C1223" s="583" t="s">
        <v>1564</v>
      </c>
      <c r="D1223" s="583" t="s">
        <v>1508</v>
      </c>
      <c r="E1223" s="592" t="s">
        <v>410</v>
      </c>
      <c r="F1223" s="593" t="s">
        <v>4326</v>
      </c>
      <c r="G1223" s="237" t="s">
        <v>410</v>
      </c>
      <c r="H1223" s="237" t="s">
        <v>410</v>
      </c>
      <c r="I1223" s="237" t="s">
        <v>410</v>
      </c>
      <c r="J1223" s="237" t="s">
        <v>410</v>
      </c>
      <c r="K1223" s="237" t="s">
        <v>410</v>
      </c>
      <c r="L1223" s="237" t="s">
        <v>410</v>
      </c>
      <c r="M1223" s="237" t="s">
        <v>410</v>
      </c>
      <c r="N1223" s="237" t="s">
        <v>410</v>
      </c>
      <c r="O1223" s="237" t="s">
        <v>410</v>
      </c>
      <c r="P1223" s="237" t="s">
        <v>410</v>
      </c>
      <c r="Q1223" s="237" t="s">
        <v>410</v>
      </c>
      <c r="R1223" s="237" t="s">
        <v>410</v>
      </c>
      <c r="S1223" s="10" t="s">
        <v>410</v>
      </c>
      <c r="T1223" s="10" t="s">
        <v>410</v>
      </c>
    </row>
    <row r="1224" spans="1:20" hidden="1" outlineLevel="1" x14ac:dyDescent="0.3">
      <c r="A1224" s="583" t="s">
        <v>1698</v>
      </c>
      <c r="B1224" s="591">
        <v>2</v>
      </c>
      <c r="C1224" s="583" t="s">
        <v>1564</v>
      </c>
      <c r="D1224" s="583" t="s">
        <v>1508</v>
      </c>
      <c r="E1224" s="592" t="s">
        <v>410</v>
      </c>
      <c r="F1224" s="593" t="s">
        <v>3622</v>
      </c>
      <c r="G1224" s="237" t="s">
        <v>410</v>
      </c>
      <c r="H1224" s="237" t="s">
        <v>410</v>
      </c>
      <c r="I1224" s="237" t="s">
        <v>410</v>
      </c>
      <c r="J1224" s="237" t="s">
        <v>410</v>
      </c>
      <c r="K1224" s="237" t="s">
        <v>410</v>
      </c>
      <c r="L1224" s="237" t="s">
        <v>410</v>
      </c>
      <c r="M1224" s="237" t="s">
        <v>410</v>
      </c>
      <c r="N1224" s="237" t="s">
        <v>410</v>
      </c>
      <c r="O1224" s="237" t="s">
        <v>410</v>
      </c>
      <c r="P1224" s="237" t="s">
        <v>410</v>
      </c>
      <c r="Q1224" s="237" t="s">
        <v>410</v>
      </c>
      <c r="R1224" s="237" t="s">
        <v>410</v>
      </c>
      <c r="S1224" s="10" t="s">
        <v>410</v>
      </c>
      <c r="T1224" s="10" t="s">
        <v>410</v>
      </c>
    </row>
    <row r="1225" spans="1:20" hidden="1" outlineLevel="1" x14ac:dyDescent="0.3">
      <c r="A1225" s="583" t="s">
        <v>5167</v>
      </c>
      <c r="B1225" s="591">
        <v>2</v>
      </c>
      <c r="C1225" s="583" t="s">
        <v>1564</v>
      </c>
      <c r="D1225" s="583" t="s">
        <v>1508</v>
      </c>
      <c r="E1225" s="592" t="s">
        <v>410</v>
      </c>
      <c r="F1225" s="593" t="s">
        <v>3622</v>
      </c>
      <c r="G1225" s="237" t="s">
        <v>410</v>
      </c>
      <c r="H1225" s="237" t="s">
        <v>410</v>
      </c>
      <c r="I1225" s="237" t="s">
        <v>410</v>
      </c>
      <c r="J1225" s="237" t="s">
        <v>410</v>
      </c>
      <c r="K1225" s="237" t="s">
        <v>410</v>
      </c>
      <c r="L1225" s="237" t="s">
        <v>410</v>
      </c>
      <c r="M1225" s="237" t="s">
        <v>410</v>
      </c>
      <c r="N1225" s="237" t="s">
        <v>410</v>
      </c>
      <c r="O1225" s="237" t="s">
        <v>410</v>
      </c>
      <c r="P1225" s="237" t="s">
        <v>410</v>
      </c>
      <c r="Q1225" s="237" t="s">
        <v>410</v>
      </c>
      <c r="R1225" s="237" t="s">
        <v>410</v>
      </c>
      <c r="S1225" s="10" t="s">
        <v>410</v>
      </c>
      <c r="T1225" s="10" t="s">
        <v>410</v>
      </c>
    </row>
    <row r="1226" spans="1:20" hidden="1" outlineLevel="1" x14ac:dyDescent="0.3">
      <c r="A1226" s="583" t="s">
        <v>2198</v>
      </c>
      <c r="B1226" s="591">
        <v>3</v>
      </c>
      <c r="C1226" s="583" t="s">
        <v>1564</v>
      </c>
      <c r="D1226" s="583" t="s">
        <v>1508</v>
      </c>
      <c r="E1226" s="592" t="s">
        <v>410</v>
      </c>
      <c r="F1226" s="583" t="s">
        <v>410</v>
      </c>
      <c r="G1226" s="583" t="s">
        <v>410</v>
      </c>
      <c r="H1226" s="592" t="s">
        <v>3173</v>
      </c>
      <c r="I1226" s="592" t="s">
        <v>3173</v>
      </c>
      <c r="J1226" s="592" t="s">
        <v>3174</v>
      </c>
      <c r="K1226" s="583" t="s">
        <v>410</v>
      </c>
      <c r="L1226" t="s">
        <v>410</v>
      </c>
      <c r="M1226" t="s">
        <v>410</v>
      </c>
      <c r="N1226" t="s">
        <v>410</v>
      </c>
      <c r="O1226" t="s">
        <v>410</v>
      </c>
      <c r="P1226" t="s">
        <v>410</v>
      </c>
      <c r="Q1226" t="s">
        <v>410</v>
      </c>
      <c r="R1226" t="s">
        <v>410</v>
      </c>
      <c r="S1226" t="s">
        <v>410</v>
      </c>
      <c r="T1226" t="s">
        <v>410</v>
      </c>
    </row>
    <row r="1227" spans="1:20" hidden="1" outlineLevel="1" x14ac:dyDescent="0.3">
      <c r="A1227" s="583" t="s">
        <v>5158</v>
      </c>
      <c r="B1227" s="591">
        <v>3</v>
      </c>
      <c r="C1227" s="583" t="s">
        <v>1564</v>
      </c>
      <c r="D1227" s="583" t="s">
        <v>1508</v>
      </c>
      <c r="E1227" s="592" t="s">
        <v>410</v>
      </c>
      <c r="F1227" s="593" t="s">
        <v>4328</v>
      </c>
      <c r="G1227" s="237" t="s">
        <v>410</v>
      </c>
      <c r="H1227" s="237" t="s">
        <v>410</v>
      </c>
      <c r="I1227" s="237" t="s">
        <v>410</v>
      </c>
      <c r="J1227" s="237" t="s">
        <v>410</v>
      </c>
      <c r="K1227" s="237" t="s">
        <v>410</v>
      </c>
      <c r="L1227" s="237" t="s">
        <v>410</v>
      </c>
      <c r="M1227" s="237" t="s">
        <v>410</v>
      </c>
      <c r="N1227" s="237" t="s">
        <v>410</v>
      </c>
      <c r="O1227" s="237" t="s">
        <v>410</v>
      </c>
      <c r="P1227" s="237" t="s">
        <v>410</v>
      </c>
      <c r="Q1227" s="237" t="s">
        <v>410</v>
      </c>
      <c r="R1227" s="237" t="s">
        <v>410</v>
      </c>
      <c r="S1227" s="10" t="s">
        <v>410</v>
      </c>
      <c r="T1227" s="10" t="s">
        <v>410</v>
      </c>
    </row>
    <row r="1228" spans="1:20" hidden="1" outlineLevel="1" x14ac:dyDescent="0.3">
      <c r="A1228" s="583" t="s">
        <v>1678</v>
      </c>
      <c r="B1228" s="591">
        <v>3</v>
      </c>
      <c r="C1228" s="583" t="s">
        <v>1564</v>
      </c>
      <c r="D1228" s="583" t="s">
        <v>1508</v>
      </c>
      <c r="E1228" s="592" t="s">
        <v>410</v>
      </c>
      <c r="F1228" s="593" t="s">
        <v>3624</v>
      </c>
      <c r="G1228" s="237" t="s">
        <v>410</v>
      </c>
      <c r="H1228" s="237" t="s">
        <v>410</v>
      </c>
      <c r="I1228" s="237" t="s">
        <v>410</v>
      </c>
      <c r="J1228" s="237" t="s">
        <v>410</v>
      </c>
      <c r="K1228" s="237" t="s">
        <v>410</v>
      </c>
      <c r="L1228" s="237" t="s">
        <v>410</v>
      </c>
      <c r="M1228" s="237" t="s">
        <v>410</v>
      </c>
      <c r="N1228" s="237" t="s">
        <v>410</v>
      </c>
      <c r="O1228" s="237" t="s">
        <v>410</v>
      </c>
      <c r="P1228" s="237" t="s">
        <v>410</v>
      </c>
      <c r="Q1228" s="237" t="s">
        <v>410</v>
      </c>
      <c r="R1228" s="237" t="s">
        <v>410</v>
      </c>
      <c r="S1228" s="10" t="s">
        <v>410</v>
      </c>
      <c r="T1228" s="10" t="s">
        <v>410</v>
      </c>
    </row>
    <row r="1229" spans="1:20" hidden="1" outlineLevel="1" x14ac:dyDescent="0.3">
      <c r="A1229" s="583" t="s">
        <v>5163</v>
      </c>
      <c r="B1229" s="591">
        <v>3</v>
      </c>
      <c r="C1229" s="583" t="s">
        <v>1564</v>
      </c>
      <c r="D1229" s="583" t="s">
        <v>1508</v>
      </c>
      <c r="E1229" s="592" t="s">
        <v>410</v>
      </c>
      <c r="F1229" s="593" t="s">
        <v>5164</v>
      </c>
      <c r="G1229" s="237" t="s">
        <v>410</v>
      </c>
      <c r="H1229" s="237" t="s">
        <v>410</v>
      </c>
      <c r="I1229" s="237" t="s">
        <v>410</v>
      </c>
      <c r="J1229" s="237" t="s">
        <v>410</v>
      </c>
      <c r="K1229" s="237" t="s">
        <v>410</v>
      </c>
      <c r="L1229" s="237" t="s">
        <v>410</v>
      </c>
      <c r="M1229" s="237" t="s">
        <v>410</v>
      </c>
      <c r="N1229" s="237" t="s">
        <v>410</v>
      </c>
      <c r="O1229" s="237" t="s">
        <v>410</v>
      </c>
      <c r="P1229" s="237" t="s">
        <v>410</v>
      </c>
      <c r="Q1229" s="237" t="s">
        <v>410</v>
      </c>
      <c r="R1229" s="237" t="s">
        <v>410</v>
      </c>
      <c r="S1229" s="10" t="s">
        <v>410</v>
      </c>
      <c r="T1229" s="10" t="s">
        <v>410</v>
      </c>
    </row>
    <row r="1230" spans="1:20" hidden="1" outlineLevel="1" x14ac:dyDescent="0.3">
      <c r="A1230" s="583" t="s">
        <v>1697</v>
      </c>
      <c r="B1230" s="591">
        <v>3</v>
      </c>
      <c r="C1230" s="583" t="s">
        <v>1564</v>
      </c>
      <c r="D1230" s="583" t="s">
        <v>1508</v>
      </c>
      <c r="E1230" s="592" t="s">
        <v>410</v>
      </c>
      <c r="F1230" s="593" t="s">
        <v>4328</v>
      </c>
      <c r="G1230" s="237" t="s">
        <v>410</v>
      </c>
      <c r="H1230" s="237" t="s">
        <v>410</v>
      </c>
      <c r="I1230" s="237" t="s">
        <v>410</v>
      </c>
      <c r="J1230" s="237" t="s">
        <v>410</v>
      </c>
      <c r="K1230" s="237" t="s">
        <v>410</v>
      </c>
      <c r="L1230" s="237" t="s">
        <v>410</v>
      </c>
      <c r="M1230" s="237" t="s">
        <v>410</v>
      </c>
      <c r="N1230" s="237" t="s">
        <v>410</v>
      </c>
      <c r="O1230" s="237" t="s">
        <v>410</v>
      </c>
      <c r="P1230" s="237" t="s">
        <v>410</v>
      </c>
      <c r="Q1230" s="237" t="s">
        <v>410</v>
      </c>
      <c r="R1230" s="237" t="s">
        <v>410</v>
      </c>
      <c r="S1230" s="10" t="s">
        <v>410</v>
      </c>
      <c r="T1230" s="10" t="s">
        <v>410</v>
      </c>
    </row>
    <row r="1231" spans="1:20" hidden="1" outlineLevel="1" x14ac:dyDescent="0.3">
      <c r="A1231" s="583" t="s">
        <v>5168</v>
      </c>
      <c r="B1231" s="591">
        <v>3</v>
      </c>
      <c r="C1231" s="583" t="s">
        <v>1564</v>
      </c>
      <c r="D1231" s="583" t="s">
        <v>1508</v>
      </c>
      <c r="E1231" s="592" t="s">
        <v>410</v>
      </c>
      <c r="F1231" s="593" t="s">
        <v>5169</v>
      </c>
      <c r="G1231" s="237" t="s">
        <v>410</v>
      </c>
      <c r="H1231" s="237" t="s">
        <v>410</v>
      </c>
      <c r="I1231" s="237" t="s">
        <v>410</v>
      </c>
      <c r="J1231" s="237" t="s">
        <v>410</v>
      </c>
      <c r="K1231" s="237" t="s">
        <v>410</v>
      </c>
      <c r="L1231" s="237" t="s">
        <v>410</v>
      </c>
      <c r="M1231" s="237" t="s">
        <v>410</v>
      </c>
      <c r="N1231" s="237" t="s">
        <v>410</v>
      </c>
      <c r="O1231" s="237" t="s">
        <v>410</v>
      </c>
      <c r="P1231" s="237" t="s">
        <v>410</v>
      </c>
      <c r="Q1231" s="237" t="s">
        <v>410</v>
      </c>
      <c r="R1231" s="237" t="s">
        <v>410</v>
      </c>
      <c r="S1231" s="10" t="s">
        <v>410</v>
      </c>
      <c r="T1231" s="10" t="s">
        <v>410</v>
      </c>
    </row>
    <row r="1232" spans="1:20" hidden="1" outlineLevel="1" x14ac:dyDescent="0.3">
      <c r="A1232" s="583" t="s">
        <v>1710</v>
      </c>
      <c r="B1232" s="591">
        <v>3</v>
      </c>
      <c r="C1232" s="583" t="s">
        <v>1564</v>
      </c>
      <c r="D1232" s="583" t="s">
        <v>1508</v>
      </c>
      <c r="E1232" s="592" t="s">
        <v>410</v>
      </c>
      <c r="F1232" s="593" t="s">
        <v>5170</v>
      </c>
      <c r="G1232" s="237" t="s">
        <v>410</v>
      </c>
      <c r="H1232" s="237" t="s">
        <v>410</v>
      </c>
      <c r="I1232" s="237" t="s">
        <v>410</v>
      </c>
      <c r="J1232" s="237" t="s">
        <v>410</v>
      </c>
      <c r="K1232" s="237" t="s">
        <v>410</v>
      </c>
      <c r="L1232" s="237" t="s">
        <v>410</v>
      </c>
      <c r="M1232" s="237" t="s">
        <v>410</v>
      </c>
      <c r="N1232" s="237" t="s">
        <v>410</v>
      </c>
      <c r="O1232" s="237" t="s">
        <v>410</v>
      </c>
      <c r="P1232" s="237" t="s">
        <v>410</v>
      </c>
      <c r="Q1232" s="237" t="s">
        <v>410</v>
      </c>
      <c r="R1232" s="237" t="s">
        <v>410</v>
      </c>
      <c r="S1232" s="10" t="s">
        <v>410</v>
      </c>
      <c r="T1232" s="10" t="s">
        <v>410</v>
      </c>
    </row>
    <row r="1233" spans="1:20" hidden="1" outlineLevel="1" x14ac:dyDescent="0.3">
      <c r="A1233" s="583" t="s">
        <v>3163</v>
      </c>
      <c r="B1233" s="591">
        <v>4</v>
      </c>
      <c r="C1233" s="583" t="s">
        <v>1564</v>
      </c>
      <c r="D1233" s="583" t="s">
        <v>1508</v>
      </c>
      <c r="E1233" s="592" t="s">
        <v>410</v>
      </c>
      <c r="F1233" s="583" t="s">
        <v>410</v>
      </c>
      <c r="G1233" s="583" t="s">
        <v>410</v>
      </c>
      <c r="H1233" s="583" t="s">
        <v>410</v>
      </c>
      <c r="I1233" s="592" t="s">
        <v>3175</v>
      </c>
      <c r="J1233" s="592" t="s">
        <v>3175</v>
      </c>
      <c r="K1233" s="583" t="s">
        <v>410</v>
      </c>
      <c r="L1233" t="s">
        <v>410</v>
      </c>
      <c r="M1233" t="s">
        <v>410</v>
      </c>
      <c r="N1233" t="s">
        <v>410</v>
      </c>
      <c r="O1233" t="s">
        <v>410</v>
      </c>
      <c r="P1233" t="s">
        <v>410</v>
      </c>
      <c r="Q1233" t="s">
        <v>410</v>
      </c>
      <c r="R1233" t="s">
        <v>410</v>
      </c>
      <c r="S1233" t="s">
        <v>410</v>
      </c>
      <c r="T1233" t="s">
        <v>410</v>
      </c>
    </row>
    <row r="1234" spans="1:20" hidden="1" outlineLevel="1" x14ac:dyDescent="0.3">
      <c r="A1234" s="583" t="s">
        <v>5161</v>
      </c>
      <c r="B1234" s="591">
        <v>4</v>
      </c>
      <c r="C1234" s="583" t="s">
        <v>1564</v>
      </c>
      <c r="D1234" s="583" t="s">
        <v>1508</v>
      </c>
      <c r="E1234" s="592" t="s">
        <v>410</v>
      </c>
      <c r="F1234" s="593" t="s">
        <v>3628</v>
      </c>
      <c r="G1234" s="237" t="s">
        <v>410</v>
      </c>
      <c r="H1234" s="237" t="s">
        <v>410</v>
      </c>
      <c r="I1234" s="237" t="s">
        <v>410</v>
      </c>
      <c r="J1234" s="237" t="s">
        <v>410</v>
      </c>
      <c r="K1234" s="237" t="s">
        <v>410</v>
      </c>
      <c r="L1234" s="237" t="s">
        <v>410</v>
      </c>
      <c r="M1234" s="237" t="s">
        <v>410</v>
      </c>
      <c r="N1234" s="237" t="s">
        <v>410</v>
      </c>
      <c r="O1234" s="237" t="s">
        <v>410</v>
      </c>
      <c r="P1234" s="237" t="s">
        <v>410</v>
      </c>
      <c r="Q1234" s="237" t="s">
        <v>410</v>
      </c>
      <c r="R1234" s="237" t="s">
        <v>410</v>
      </c>
      <c r="S1234" s="10" t="s">
        <v>410</v>
      </c>
      <c r="T1234" s="10" t="s">
        <v>410</v>
      </c>
    </row>
    <row r="1235" spans="1:20" hidden="1" outlineLevel="1" x14ac:dyDescent="0.3">
      <c r="A1235" s="583" t="s">
        <v>4327</v>
      </c>
      <c r="B1235" s="591">
        <v>4</v>
      </c>
      <c r="C1235" s="583" t="s">
        <v>1564</v>
      </c>
      <c r="D1235" s="583" t="s">
        <v>1508</v>
      </c>
      <c r="E1235" s="592" t="s">
        <v>410</v>
      </c>
      <c r="F1235" s="593" t="s">
        <v>3629</v>
      </c>
      <c r="G1235" s="237" t="s">
        <v>410</v>
      </c>
      <c r="H1235" s="237" t="s">
        <v>410</v>
      </c>
      <c r="I1235" s="237" t="s">
        <v>410</v>
      </c>
      <c r="J1235" s="237" t="s">
        <v>410</v>
      </c>
      <c r="K1235" s="237" t="s">
        <v>410</v>
      </c>
      <c r="L1235" s="237" t="s">
        <v>410</v>
      </c>
      <c r="M1235" s="237" t="s">
        <v>410</v>
      </c>
      <c r="N1235" s="237" t="s">
        <v>410</v>
      </c>
      <c r="O1235" s="237" t="s">
        <v>410</v>
      </c>
      <c r="P1235" s="237" t="s">
        <v>410</v>
      </c>
      <c r="Q1235" s="237" t="s">
        <v>410</v>
      </c>
      <c r="R1235" s="237" t="s">
        <v>410</v>
      </c>
      <c r="S1235" s="10" t="s">
        <v>410</v>
      </c>
      <c r="T1235" s="10" t="s">
        <v>410</v>
      </c>
    </row>
    <row r="1236" spans="1:20" hidden="1" outlineLevel="1" x14ac:dyDescent="0.3">
      <c r="A1236" s="583" t="s">
        <v>2199</v>
      </c>
      <c r="B1236" s="591">
        <v>5</v>
      </c>
      <c r="C1236" s="583" t="s">
        <v>1564</v>
      </c>
      <c r="D1236" s="583" t="s">
        <v>1508</v>
      </c>
      <c r="E1236" s="592" t="s">
        <v>410</v>
      </c>
      <c r="F1236" s="583" t="s">
        <v>410</v>
      </c>
      <c r="G1236" s="583" t="s">
        <v>410</v>
      </c>
      <c r="H1236" s="583" t="s">
        <v>410</v>
      </c>
      <c r="I1236" s="583" t="s">
        <v>410</v>
      </c>
      <c r="J1236" s="592" t="s">
        <v>2200</v>
      </c>
      <c r="K1236" s="583" t="s">
        <v>410</v>
      </c>
      <c r="L1236" t="s">
        <v>410</v>
      </c>
      <c r="M1236" t="s">
        <v>410</v>
      </c>
      <c r="N1236" t="s">
        <v>410</v>
      </c>
      <c r="O1236" t="s">
        <v>410</v>
      </c>
      <c r="P1236" t="s">
        <v>410</v>
      </c>
      <c r="Q1236" t="s">
        <v>410</v>
      </c>
      <c r="R1236" t="s">
        <v>410</v>
      </c>
      <c r="S1236" t="s">
        <v>410</v>
      </c>
      <c r="T1236" t="s">
        <v>410</v>
      </c>
    </row>
    <row r="1237" spans="1:20" hidden="1" outlineLevel="1" x14ac:dyDescent="0.3">
      <c r="A1237" s="583" t="s">
        <v>1715</v>
      </c>
      <c r="B1237" s="591">
        <v>5</v>
      </c>
      <c r="C1237" s="583" t="s">
        <v>1564</v>
      </c>
      <c r="D1237" s="583" t="s">
        <v>1508</v>
      </c>
      <c r="E1237" s="592" t="s">
        <v>410</v>
      </c>
      <c r="F1237" s="593" t="s">
        <v>3631</v>
      </c>
      <c r="G1237" s="237" t="s">
        <v>410</v>
      </c>
      <c r="H1237" s="237" t="s">
        <v>410</v>
      </c>
      <c r="I1237" s="237" t="s">
        <v>410</v>
      </c>
      <c r="J1237" s="237" t="s">
        <v>410</v>
      </c>
      <c r="K1237" s="237" t="s">
        <v>410</v>
      </c>
      <c r="L1237" s="237" t="s">
        <v>410</v>
      </c>
      <c r="M1237" s="237" t="s">
        <v>410</v>
      </c>
      <c r="N1237" s="237" t="s">
        <v>410</v>
      </c>
      <c r="O1237" s="237" t="s">
        <v>410</v>
      </c>
      <c r="P1237" s="237" t="s">
        <v>410</v>
      </c>
      <c r="Q1237" s="237" t="s">
        <v>410</v>
      </c>
      <c r="R1237" s="237" t="s">
        <v>410</v>
      </c>
      <c r="S1237" s="10" t="s">
        <v>410</v>
      </c>
      <c r="T1237" s="10" t="s">
        <v>410</v>
      </c>
    </row>
    <row r="1238" spans="1:20" hidden="1" outlineLevel="1" x14ac:dyDescent="0.3">
      <c r="A1238" s="583" t="s">
        <v>1716</v>
      </c>
      <c r="B1238" s="591">
        <v>6</v>
      </c>
      <c r="C1238" s="583" t="s">
        <v>1564</v>
      </c>
      <c r="D1238" s="583" t="s">
        <v>1508</v>
      </c>
      <c r="E1238" s="592" t="s">
        <v>410</v>
      </c>
      <c r="F1238" s="593" t="s">
        <v>3632</v>
      </c>
      <c r="G1238" s="237" t="s">
        <v>410</v>
      </c>
      <c r="H1238" s="237" t="s">
        <v>410</v>
      </c>
      <c r="I1238" s="237" t="s">
        <v>410</v>
      </c>
      <c r="J1238" s="237" t="s">
        <v>410</v>
      </c>
      <c r="K1238" s="237" t="s">
        <v>410</v>
      </c>
      <c r="L1238" s="237" t="s">
        <v>410</v>
      </c>
      <c r="M1238" s="237" t="s">
        <v>410</v>
      </c>
      <c r="N1238" s="237" t="s">
        <v>410</v>
      </c>
      <c r="O1238" s="237" t="s">
        <v>410</v>
      </c>
      <c r="P1238" s="237" t="s">
        <v>410</v>
      </c>
      <c r="Q1238" s="237" t="s">
        <v>410</v>
      </c>
      <c r="R1238" s="237" t="s">
        <v>410</v>
      </c>
      <c r="S1238" s="10" t="s">
        <v>410</v>
      </c>
      <c r="T1238" s="10" t="s">
        <v>410</v>
      </c>
    </row>
    <row r="1239" spans="1:20" hidden="1" outlineLevel="1" x14ac:dyDescent="0.3">
      <c r="A1239" s="583" t="s">
        <v>1931</v>
      </c>
      <c r="B1239" s="591">
        <v>6</v>
      </c>
      <c r="C1239" s="583" t="s">
        <v>1564</v>
      </c>
      <c r="D1239" s="583" t="s">
        <v>1508</v>
      </c>
      <c r="E1239" s="592" t="s">
        <v>410</v>
      </c>
      <c r="F1239" s="593" t="s">
        <v>3480</v>
      </c>
      <c r="G1239" s="593" t="s">
        <v>3481</v>
      </c>
      <c r="H1239" s="593" t="s">
        <v>3482</v>
      </c>
      <c r="I1239" s="237" t="s">
        <v>410</v>
      </c>
      <c r="J1239" s="237" t="s">
        <v>410</v>
      </c>
      <c r="K1239" s="237" t="s">
        <v>410</v>
      </c>
      <c r="L1239" s="237" t="s">
        <v>410</v>
      </c>
      <c r="M1239" s="237" t="s">
        <v>410</v>
      </c>
      <c r="N1239" s="237" t="s">
        <v>410</v>
      </c>
      <c r="O1239" s="237" t="s">
        <v>410</v>
      </c>
      <c r="P1239" s="237" t="s">
        <v>410</v>
      </c>
      <c r="Q1239" s="237" t="s">
        <v>410</v>
      </c>
      <c r="R1239" s="237" t="s">
        <v>410</v>
      </c>
      <c r="S1239" s="10" t="s">
        <v>410</v>
      </c>
      <c r="T1239" s="10" t="s">
        <v>410</v>
      </c>
    </row>
    <row r="1240" spans="1:20" hidden="1" outlineLevel="1" x14ac:dyDescent="0.3">
      <c r="A1240" s="583" t="s">
        <v>1681</v>
      </c>
      <c r="B1240" s="591">
        <v>16</v>
      </c>
      <c r="C1240" s="583" t="s">
        <v>1564</v>
      </c>
      <c r="D1240" s="583" t="s">
        <v>1508</v>
      </c>
      <c r="E1240" s="592" t="s">
        <v>410</v>
      </c>
      <c r="F1240" s="593" t="s">
        <v>3623</v>
      </c>
      <c r="G1240" s="237" t="s">
        <v>410</v>
      </c>
      <c r="H1240" s="237" t="s">
        <v>410</v>
      </c>
      <c r="I1240" s="237" t="s">
        <v>410</v>
      </c>
      <c r="J1240" s="237" t="s">
        <v>410</v>
      </c>
      <c r="K1240" s="237" t="s">
        <v>410</v>
      </c>
      <c r="L1240" s="237" t="s">
        <v>410</v>
      </c>
      <c r="M1240" s="237" t="s">
        <v>410</v>
      </c>
      <c r="N1240" s="237" t="s">
        <v>410</v>
      </c>
      <c r="O1240" s="237" t="s">
        <v>410</v>
      </c>
      <c r="P1240" s="237" t="s">
        <v>410</v>
      </c>
      <c r="Q1240" s="237" t="s">
        <v>410</v>
      </c>
      <c r="R1240" s="237" t="s">
        <v>410</v>
      </c>
      <c r="S1240" s="10" t="s">
        <v>410</v>
      </c>
      <c r="T1240" s="10" t="s">
        <v>410</v>
      </c>
    </row>
    <row r="1241" spans="1:20" hidden="1" outlineLevel="1" x14ac:dyDescent="0.3">
      <c r="A1241" s="583" t="s">
        <v>1685</v>
      </c>
      <c r="B1241" s="591">
        <v>16</v>
      </c>
      <c r="C1241" s="583" t="s">
        <v>1564</v>
      </c>
      <c r="D1241" s="583" t="s">
        <v>1508</v>
      </c>
      <c r="E1241" s="592" t="s">
        <v>410</v>
      </c>
      <c r="F1241" s="593" t="s">
        <v>3629</v>
      </c>
      <c r="G1241" s="237" t="s">
        <v>410</v>
      </c>
      <c r="H1241" s="237" t="s">
        <v>410</v>
      </c>
      <c r="I1241" s="237" t="s">
        <v>410</v>
      </c>
      <c r="J1241" s="237" t="s">
        <v>410</v>
      </c>
      <c r="K1241" s="237" t="s">
        <v>410</v>
      </c>
      <c r="L1241" s="237" t="s">
        <v>410</v>
      </c>
      <c r="M1241" s="237" t="s">
        <v>410</v>
      </c>
      <c r="N1241" s="237" t="s">
        <v>410</v>
      </c>
      <c r="O1241" s="237" t="s">
        <v>410</v>
      </c>
      <c r="P1241" s="237" t="s">
        <v>410</v>
      </c>
      <c r="Q1241" s="237" t="s">
        <v>410</v>
      </c>
      <c r="R1241" s="237" t="s">
        <v>410</v>
      </c>
      <c r="S1241" s="10" t="s">
        <v>410</v>
      </c>
      <c r="T1241" s="10" t="s">
        <v>410</v>
      </c>
    </row>
    <row r="1242" spans="1:20" hidden="1" outlineLevel="1" x14ac:dyDescent="0.3">
      <c r="A1242" s="583" t="s">
        <v>1683</v>
      </c>
      <c r="B1242" s="591">
        <v>16</v>
      </c>
      <c r="C1242" s="583" t="s">
        <v>1564</v>
      </c>
      <c r="D1242" s="583" t="s">
        <v>1508</v>
      </c>
      <c r="E1242" s="592" t="s">
        <v>410</v>
      </c>
      <c r="F1242" s="593" t="s">
        <v>3629</v>
      </c>
      <c r="G1242" s="237" t="s">
        <v>410</v>
      </c>
      <c r="H1242" s="237" t="s">
        <v>410</v>
      </c>
      <c r="I1242" s="237" t="s">
        <v>410</v>
      </c>
      <c r="J1242" s="237" t="s">
        <v>410</v>
      </c>
      <c r="K1242" s="237" t="s">
        <v>410</v>
      </c>
      <c r="L1242" s="237" t="s">
        <v>410</v>
      </c>
      <c r="M1242" s="237" t="s">
        <v>410</v>
      </c>
      <c r="N1242" s="237" t="s">
        <v>410</v>
      </c>
      <c r="O1242" s="237" t="s">
        <v>410</v>
      </c>
      <c r="P1242" s="237" t="s">
        <v>410</v>
      </c>
      <c r="Q1242" s="237" t="s">
        <v>410</v>
      </c>
      <c r="R1242" s="237" t="s">
        <v>410</v>
      </c>
      <c r="S1242" s="10" t="s">
        <v>410</v>
      </c>
      <c r="T1242" s="10" t="s">
        <v>410</v>
      </c>
    </row>
    <row r="1243" spans="1:20" hidden="1" outlineLevel="1" x14ac:dyDescent="0.3">
      <c r="A1243" s="583" t="s">
        <v>5165</v>
      </c>
      <c r="B1243" s="591">
        <v>16</v>
      </c>
      <c r="C1243" s="583" t="s">
        <v>1564</v>
      </c>
      <c r="D1243" s="583" t="s">
        <v>1508</v>
      </c>
      <c r="E1243" s="592" t="s">
        <v>410</v>
      </c>
      <c r="F1243" s="593" t="s">
        <v>5166</v>
      </c>
      <c r="G1243" s="237" t="s">
        <v>410</v>
      </c>
      <c r="H1243" s="237" t="s">
        <v>410</v>
      </c>
      <c r="I1243" s="237" t="s">
        <v>410</v>
      </c>
      <c r="J1243" s="237" t="s">
        <v>410</v>
      </c>
      <c r="K1243" s="237" t="s">
        <v>410</v>
      </c>
      <c r="L1243" s="237" t="s">
        <v>410</v>
      </c>
      <c r="M1243" s="237" t="s">
        <v>410</v>
      </c>
      <c r="N1243" s="237" t="s">
        <v>410</v>
      </c>
      <c r="O1243" s="237" t="s">
        <v>410</v>
      </c>
      <c r="P1243" s="237" t="s">
        <v>410</v>
      </c>
      <c r="Q1243" s="237" t="s">
        <v>410</v>
      </c>
      <c r="R1243" s="237" t="s">
        <v>410</v>
      </c>
      <c r="S1243" s="10" t="s">
        <v>410</v>
      </c>
      <c r="T1243" s="10" t="s">
        <v>410</v>
      </c>
    </row>
    <row r="1244" spans="1:20" hidden="1" outlineLevel="1" x14ac:dyDescent="0.3">
      <c r="A1244" s="583" t="s">
        <v>1689</v>
      </c>
      <c r="B1244" s="591">
        <v>16</v>
      </c>
      <c r="C1244" s="583" t="s">
        <v>1564</v>
      </c>
      <c r="D1244" s="583" t="s">
        <v>1508</v>
      </c>
      <c r="E1244" s="592" t="s">
        <v>410</v>
      </c>
      <c r="F1244" s="593" t="s">
        <v>3622</v>
      </c>
      <c r="G1244" s="237" t="s">
        <v>410</v>
      </c>
      <c r="H1244" s="237" t="s">
        <v>410</v>
      </c>
      <c r="I1244" s="237" t="s">
        <v>410</v>
      </c>
      <c r="J1244" s="237" t="s">
        <v>410</v>
      </c>
      <c r="K1244" s="237" t="s">
        <v>410</v>
      </c>
      <c r="L1244" s="237" t="s">
        <v>410</v>
      </c>
      <c r="M1244" s="237" t="s">
        <v>410</v>
      </c>
      <c r="N1244" s="237" t="s">
        <v>410</v>
      </c>
      <c r="O1244" s="237" t="s">
        <v>410</v>
      </c>
      <c r="P1244" s="237" t="s">
        <v>410</v>
      </c>
      <c r="Q1244" s="237" t="s">
        <v>410</v>
      </c>
      <c r="R1244" s="237" t="s">
        <v>410</v>
      </c>
      <c r="S1244" s="10" t="s">
        <v>410</v>
      </c>
      <c r="T1244" s="10" t="s">
        <v>410</v>
      </c>
    </row>
    <row r="1245" spans="1:20" hidden="1" outlineLevel="1" x14ac:dyDescent="0.3">
      <c r="A1245" s="583" t="s">
        <v>1700</v>
      </c>
      <c r="B1245" s="591">
        <v>16</v>
      </c>
      <c r="C1245" s="583" t="s">
        <v>1564</v>
      </c>
      <c r="D1245" s="583" t="s">
        <v>1508</v>
      </c>
      <c r="E1245" s="592" t="s">
        <v>410</v>
      </c>
      <c r="F1245" s="593" t="s">
        <v>5522</v>
      </c>
      <c r="G1245" s="237" t="s">
        <v>410</v>
      </c>
      <c r="H1245" s="237" t="s">
        <v>410</v>
      </c>
      <c r="I1245" s="237" t="s">
        <v>410</v>
      </c>
      <c r="J1245" s="237" t="s">
        <v>410</v>
      </c>
      <c r="K1245" s="237" t="s">
        <v>410</v>
      </c>
      <c r="L1245" s="237" t="s">
        <v>410</v>
      </c>
      <c r="M1245" s="237" t="s">
        <v>410</v>
      </c>
      <c r="N1245" s="237" t="s">
        <v>410</v>
      </c>
      <c r="O1245" s="237" t="s">
        <v>410</v>
      </c>
      <c r="P1245" s="237" t="s">
        <v>410</v>
      </c>
      <c r="Q1245" s="237" t="s">
        <v>410</v>
      </c>
      <c r="R1245" s="237" t="s">
        <v>410</v>
      </c>
      <c r="S1245" s="10" t="s">
        <v>410</v>
      </c>
      <c r="T1245" s="10" t="s">
        <v>410</v>
      </c>
    </row>
    <row r="1246" spans="1:20" hidden="1" outlineLevel="1" x14ac:dyDescent="0.3">
      <c r="A1246" s="583" t="s">
        <v>1706</v>
      </c>
      <c r="B1246" s="591">
        <v>16</v>
      </c>
      <c r="C1246" s="583" t="s">
        <v>1564</v>
      </c>
      <c r="D1246" s="583" t="s">
        <v>1508</v>
      </c>
      <c r="E1246" s="592" t="s">
        <v>410</v>
      </c>
      <c r="F1246" s="593" t="s">
        <v>3625</v>
      </c>
      <c r="G1246" s="237" t="s">
        <v>410</v>
      </c>
      <c r="H1246" s="237" t="s">
        <v>410</v>
      </c>
      <c r="I1246" s="237" t="s">
        <v>410</v>
      </c>
      <c r="J1246" s="237" t="s">
        <v>410</v>
      </c>
      <c r="K1246" s="237" t="s">
        <v>410</v>
      </c>
      <c r="L1246" s="237" t="s">
        <v>410</v>
      </c>
      <c r="M1246" s="237" t="s">
        <v>410</v>
      </c>
      <c r="N1246" s="237" t="s">
        <v>410</v>
      </c>
      <c r="O1246" s="237" t="s">
        <v>410</v>
      </c>
      <c r="P1246" s="237" t="s">
        <v>410</v>
      </c>
      <c r="Q1246" s="237" t="s">
        <v>410</v>
      </c>
      <c r="R1246" s="237" t="s">
        <v>410</v>
      </c>
      <c r="S1246" s="10" t="s">
        <v>410</v>
      </c>
      <c r="T1246" s="10" t="s">
        <v>410</v>
      </c>
    </row>
    <row r="1247" spans="1:20" hidden="1" outlineLevel="1" x14ac:dyDescent="0.3">
      <c r="A1247" s="583" t="s">
        <v>1711</v>
      </c>
      <c r="B1247" s="591">
        <v>16</v>
      </c>
      <c r="C1247" s="583" t="s">
        <v>1564</v>
      </c>
      <c r="D1247" s="583" t="s">
        <v>1508</v>
      </c>
      <c r="E1247" s="592" t="s">
        <v>410</v>
      </c>
      <c r="F1247" s="593" t="s">
        <v>3628</v>
      </c>
      <c r="G1247" s="237" t="s">
        <v>410</v>
      </c>
      <c r="H1247" s="237" t="s">
        <v>410</v>
      </c>
      <c r="I1247" s="237" t="s">
        <v>410</v>
      </c>
      <c r="J1247" s="237" t="s">
        <v>410</v>
      </c>
      <c r="K1247" s="237" t="s">
        <v>410</v>
      </c>
      <c r="L1247" s="237" t="s">
        <v>410</v>
      </c>
      <c r="M1247" s="237" t="s">
        <v>410</v>
      </c>
      <c r="N1247" s="237" t="s">
        <v>410</v>
      </c>
      <c r="O1247" s="237" t="s">
        <v>410</v>
      </c>
      <c r="P1247" s="237" t="s">
        <v>410</v>
      </c>
      <c r="Q1247" s="237" t="s">
        <v>410</v>
      </c>
      <c r="R1247" s="237" t="s">
        <v>410</v>
      </c>
      <c r="S1247" s="10" t="s">
        <v>410</v>
      </c>
      <c r="T1247" s="10" t="s">
        <v>410</v>
      </c>
    </row>
    <row r="1248" spans="1:20" hidden="1" outlineLevel="1" x14ac:dyDescent="0.3">
      <c r="A1248" s="583" t="s">
        <v>1717</v>
      </c>
      <c r="B1248" s="591">
        <v>16</v>
      </c>
      <c r="C1248" s="583" t="s">
        <v>1564</v>
      </c>
      <c r="D1248" s="583" t="s">
        <v>1508</v>
      </c>
      <c r="E1248" s="592" t="s">
        <v>410</v>
      </c>
      <c r="F1248" s="593" t="s">
        <v>3635</v>
      </c>
      <c r="G1248" s="237" t="s">
        <v>410</v>
      </c>
      <c r="H1248" s="237" t="s">
        <v>410</v>
      </c>
      <c r="I1248" s="237" t="s">
        <v>410</v>
      </c>
      <c r="J1248" s="237" t="s">
        <v>410</v>
      </c>
      <c r="K1248" s="237" t="s">
        <v>410</v>
      </c>
      <c r="L1248" s="237" t="s">
        <v>410</v>
      </c>
      <c r="M1248" s="237" t="s">
        <v>410</v>
      </c>
      <c r="N1248" s="237" t="s">
        <v>410</v>
      </c>
      <c r="O1248" s="237" t="s">
        <v>410</v>
      </c>
      <c r="P1248" s="237" t="s">
        <v>410</v>
      </c>
      <c r="Q1248" s="237" t="s">
        <v>410</v>
      </c>
      <c r="R1248" s="237" t="s">
        <v>410</v>
      </c>
      <c r="S1248" s="10" t="s">
        <v>410</v>
      </c>
      <c r="T1248" s="10" t="s">
        <v>410</v>
      </c>
    </row>
    <row r="1249" spans="1:20" hidden="1" outlineLevel="1" x14ac:dyDescent="0.3">
      <c r="A1249" s="583" t="s">
        <v>3594</v>
      </c>
      <c r="B1249" s="591">
        <v>17</v>
      </c>
      <c r="C1249" s="583" t="s">
        <v>1564</v>
      </c>
      <c r="D1249" s="583" t="s">
        <v>1508</v>
      </c>
      <c r="E1249" s="592" t="s">
        <v>410</v>
      </c>
      <c r="F1249" s="593" t="s">
        <v>5160</v>
      </c>
      <c r="G1249" s="237" t="s">
        <v>410</v>
      </c>
      <c r="H1249" s="237" t="s">
        <v>410</v>
      </c>
      <c r="I1249" s="237" t="s">
        <v>410</v>
      </c>
      <c r="J1249" s="237" t="s">
        <v>410</v>
      </c>
      <c r="K1249" s="237" t="s">
        <v>410</v>
      </c>
      <c r="L1249" s="237" t="s">
        <v>410</v>
      </c>
      <c r="M1249" s="237" t="s">
        <v>410</v>
      </c>
      <c r="N1249" s="237" t="s">
        <v>410</v>
      </c>
      <c r="O1249" s="237" t="s">
        <v>410</v>
      </c>
      <c r="P1249" s="237" t="s">
        <v>410</v>
      </c>
      <c r="Q1249" s="237" t="s">
        <v>410</v>
      </c>
      <c r="R1249" s="237" t="s">
        <v>410</v>
      </c>
      <c r="S1249" s="10" t="s">
        <v>410</v>
      </c>
      <c r="T1249" s="10" t="s">
        <v>410</v>
      </c>
    </row>
    <row r="1250" spans="1:20" hidden="1" outlineLevel="1" x14ac:dyDescent="0.3">
      <c r="A1250" s="583" t="s">
        <v>1691</v>
      </c>
      <c r="B1250" s="591">
        <v>17</v>
      </c>
      <c r="C1250" s="583" t="s">
        <v>1564</v>
      </c>
      <c r="D1250" s="583" t="s">
        <v>1508</v>
      </c>
      <c r="E1250" s="592" t="s">
        <v>410</v>
      </c>
      <c r="F1250" s="593" t="s">
        <v>4332</v>
      </c>
      <c r="G1250" s="237" t="s">
        <v>410</v>
      </c>
      <c r="H1250" s="237" t="s">
        <v>410</v>
      </c>
      <c r="I1250" s="237" t="s">
        <v>410</v>
      </c>
      <c r="J1250" s="237" t="s">
        <v>410</v>
      </c>
      <c r="K1250" s="237" t="s">
        <v>410</v>
      </c>
      <c r="L1250" s="237" t="s">
        <v>410</v>
      </c>
      <c r="M1250" s="237" t="s">
        <v>410</v>
      </c>
      <c r="N1250" s="237" t="s">
        <v>410</v>
      </c>
      <c r="O1250" s="237" t="s">
        <v>410</v>
      </c>
      <c r="P1250" s="237" t="s">
        <v>410</v>
      </c>
      <c r="Q1250" s="237" t="s">
        <v>410</v>
      </c>
      <c r="R1250" s="237" t="s">
        <v>410</v>
      </c>
      <c r="S1250" s="10" t="s">
        <v>410</v>
      </c>
      <c r="T1250" s="10" t="s">
        <v>410</v>
      </c>
    </row>
    <row r="1251" spans="1:20" hidden="1" outlineLevel="1" x14ac:dyDescent="0.3">
      <c r="A1251" s="583" t="s">
        <v>1702</v>
      </c>
      <c r="B1251" s="591">
        <v>17</v>
      </c>
      <c r="C1251" s="583" t="s">
        <v>1564</v>
      </c>
      <c r="D1251" s="583" t="s">
        <v>1508</v>
      </c>
      <c r="E1251" s="592" t="s">
        <v>410</v>
      </c>
      <c r="F1251" s="593" t="s">
        <v>3630</v>
      </c>
      <c r="G1251" s="237" t="s">
        <v>410</v>
      </c>
      <c r="H1251" s="237" t="s">
        <v>410</v>
      </c>
      <c r="I1251" s="237" t="s">
        <v>410</v>
      </c>
      <c r="J1251" s="237" t="s">
        <v>410</v>
      </c>
      <c r="K1251" s="237" t="s">
        <v>410</v>
      </c>
      <c r="L1251" s="237" t="s">
        <v>410</v>
      </c>
      <c r="M1251" s="237" t="s">
        <v>410</v>
      </c>
      <c r="N1251" s="237" t="s">
        <v>410</v>
      </c>
      <c r="O1251" s="237" t="s">
        <v>410</v>
      </c>
      <c r="P1251" s="237" t="s">
        <v>410</v>
      </c>
      <c r="Q1251" s="237" t="s">
        <v>410</v>
      </c>
      <c r="R1251" s="237" t="s">
        <v>410</v>
      </c>
      <c r="S1251" s="10" t="s">
        <v>410</v>
      </c>
      <c r="T1251" s="10" t="s">
        <v>410</v>
      </c>
    </row>
    <row r="1252" spans="1:20" hidden="1" outlineLevel="1" x14ac:dyDescent="0.3">
      <c r="A1252" s="583" t="s">
        <v>1712</v>
      </c>
      <c r="B1252" s="591">
        <v>17</v>
      </c>
      <c r="C1252" s="583" t="s">
        <v>1564</v>
      </c>
      <c r="D1252" s="583" t="s">
        <v>1508</v>
      </c>
      <c r="E1252" s="592" t="s">
        <v>410</v>
      </c>
      <c r="F1252" s="593" t="s">
        <v>3633</v>
      </c>
      <c r="G1252" s="237" t="s">
        <v>410</v>
      </c>
      <c r="H1252" s="237" t="s">
        <v>410</v>
      </c>
      <c r="I1252" s="237" t="s">
        <v>410</v>
      </c>
      <c r="J1252" s="237" t="s">
        <v>410</v>
      </c>
      <c r="K1252" s="237" t="s">
        <v>410</v>
      </c>
      <c r="L1252" s="237" t="s">
        <v>410</v>
      </c>
      <c r="M1252" s="237" t="s">
        <v>410</v>
      </c>
      <c r="N1252" s="237" t="s">
        <v>410</v>
      </c>
      <c r="O1252" s="237" t="s">
        <v>410</v>
      </c>
      <c r="P1252" s="237" t="s">
        <v>410</v>
      </c>
      <c r="Q1252" s="237" t="s">
        <v>410</v>
      </c>
      <c r="R1252" s="237" t="s">
        <v>410</v>
      </c>
      <c r="S1252" s="10" t="s">
        <v>410</v>
      </c>
      <c r="T1252" s="10" t="s">
        <v>410</v>
      </c>
    </row>
    <row r="1253" spans="1:20" hidden="1" outlineLevel="1" x14ac:dyDescent="0.3">
      <c r="A1253" s="583" t="s">
        <v>5171</v>
      </c>
      <c r="B1253" s="591">
        <v>18</v>
      </c>
      <c r="C1253" s="583" t="s">
        <v>1564</v>
      </c>
      <c r="D1253" s="583" t="s">
        <v>1508</v>
      </c>
      <c r="E1253" s="592" t="s">
        <v>410</v>
      </c>
      <c r="F1253" s="593" t="s">
        <v>3634</v>
      </c>
      <c r="G1253" s="237" t="s">
        <v>410</v>
      </c>
      <c r="H1253" s="237" t="s">
        <v>410</v>
      </c>
      <c r="I1253" s="237" t="s">
        <v>410</v>
      </c>
      <c r="J1253" s="237" t="s">
        <v>410</v>
      </c>
      <c r="K1253" s="237" t="s">
        <v>410</v>
      </c>
      <c r="L1253" s="237" t="s">
        <v>410</v>
      </c>
      <c r="M1253" s="237" t="s">
        <v>410</v>
      </c>
      <c r="N1253" s="237" t="s">
        <v>410</v>
      </c>
      <c r="O1253" s="237" t="s">
        <v>410</v>
      </c>
      <c r="P1253" s="237" t="s">
        <v>410</v>
      </c>
      <c r="Q1253" s="237" t="s">
        <v>410</v>
      </c>
      <c r="R1253" s="237" t="s">
        <v>410</v>
      </c>
      <c r="S1253" s="10" t="s">
        <v>410</v>
      </c>
      <c r="T1253" s="10" t="s">
        <v>410</v>
      </c>
    </row>
    <row r="1254" spans="1:20" collapsed="1" x14ac:dyDescent="0.3">
      <c r="A1254" s="583" t="s">
        <v>1478</v>
      </c>
      <c r="B1254" s="591">
        <v>1</v>
      </c>
      <c r="C1254" s="588" t="s">
        <v>1256</v>
      </c>
      <c r="D1254" s="588" t="s">
        <v>1512</v>
      </c>
      <c r="E1254" s="589" t="s">
        <v>410</v>
      </c>
      <c r="F1254" s="590" t="s">
        <v>2117</v>
      </c>
      <c r="G1254" s="590" t="s">
        <v>2118</v>
      </c>
      <c r="H1254" s="590" t="s">
        <v>2119</v>
      </c>
      <c r="I1254" s="590" t="s">
        <v>2120</v>
      </c>
      <c r="J1254" s="590" t="s">
        <v>2121</v>
      </c>
      <c r="K1254" s="590" t="s">
        <v>2122</v>
      </c>
      <c r="L1254" s="441" t="s">
        <v>410</v>
      </c>
      <c r="M1254" s="441" t="s">
        <v>410</v>
      </c>
      <c r="N1254" s="441" t="s">
        <v>410</v>
      </c>
      <c r="O1254" s="441" t="s">
        <v>410</v>
      </c>
      <c r="P1254" s="441" t="s">
        <v>410</v>
      </c>
      <c r="Q1254" s="441" t="s">
        <v>410</v>
      </c>
      <c r="R1254" s="441" t="s">
        <v>410</v>
      </c>
      <c r="S1254" s="441" t="s">
        <v>410</v>
      </c>
      <c r="T1254" s="441" t="s">
        <v>410</v>
      </c>
    </row>
    <row r="1255" spans="1:20" hidden="1" outlineLevel="1" x14ac:dyDescent="0.3">
      <c r="A1255" s="583" t="s">
        <v>5054</v>
      </c>
      <c r="B1255" s="591">
        <v>1</v>
      </c>
      <c r="C1255" s="588" t="s">
        <v>1256</v>
      </c>
      <c r="D1255" s="588" t="s">
        <v>1512</v>
      </c>
      <c r="E1255" s="592" t="s">
        <v>410</v>
      </c>
      <c r="F1255" s="590" t="s">
        <v>67</v>
      </c>
      <c r="G1255" s="590" t="s">
        <v>68</v>
      </c>
      <c r="H1255" s="590" t="s">
        <v>70</v>
      </c>
      <c r="I1255" s="590" t="s">
        <v>72</v>
      </c>
      <c r="J1255" s="441" t="s">
        <v>410</v>
      </c>
      <c r="K1255" s="441" t="s">
        <v>410</v>
      </c>
      <c r="L1255" s="441" t="s">
        <v>410</v>
      </c>
      <c r="M1255" s="441" t="s">
        <v>410</v>
      </c>
      <c r="N1255" s="441" t="s">
        <v>410</v>
      </c>
      <c r="O1255" s="441" t="s">
        <v>410</v>
      </c>
      <c r="P1255" s="441" t="s">
        <v>410</v>
      </c>
      <c r="Q1255" s="441" t="s">
        <v>410</v>
      </c>
      <c r="R1255" s="441" t="s">
        <v>410</v>
      </c>
      <c r="S1255" s="441" t="s">
        <v>410</v>
      </c>
      <c r="T1255" s="441" t="s">
        <v>410</v>
      </c>
    </row>
    <row r="1256" spans="1:20" hidden="1" outlineLevel="1" x14ac:dyDescent="0.3">
      <c r="A1256" s="583" t="s">
        <v>5123</v>
      </c>
      <c r="B1256" s="591">
        <v>1</v>
      </c>
      <c r="C1256" s="588" t="s">
        <v>1256</v>
      </c>
      <c r="D1256" s="588" t="s">
        <v>1512</v>
      </c>
      <c r="E1256" s="589" t="s">
        <v>410</v>
      </c>
      <c r="F1256" s="590" t="s">
        <v>5099</v>
      </c>
      <c r="G1256" s="441" t="s">
        <v>410</v>
      </c>
      <c r="H1256" s="441" t="s">
        <v>410</v>
      </c>
      <c r="I1256" s="441" t="s">
        <v>410</v>
      </c>
      <c r="J1256" s="441" t="s">
        <v>410</v>
      </c>
      <c r="K1256" s="441" t="s">
        <v>410</v>
      </c>
      <c r="L1256" s="441" t="s">
        <v>410</v>
      </c>
      <c r="M1256" s="441" t="s">
        <v>410</v>
      </c>
      <c r="N1256" s="441" t="s">
        <v>410</v>
      </c>
      <c r="O1256" s="441" t="s">
        <v>410</v>
      </c>
      <c r="P1256" s="441" t="s">
        <v>410</v>
      </c>
      <c r="Q1256" s="441" t="s">
        <v>410</v>
      </c>
      <c r="R1256" s="441" t="s">
        <v>410</v>
      </c>
      <c r="S1256" s="441" t="s">
        <v>410</v>
      </c>
      <c r="T1256" s="441" t="s">
        <v>410</v>
      </c>
    </row>
    <row r="1257" spans="1:20" hidden="1" outlineLevel="1" x14ac:dyDescent="0.3">
      <c r="A1257" s="583" t="s">
        <v>5055</v>
      </c>
      <c r="B1257" s="591">
        <v>1</v>
      </c>
      <c r="C1257" s="588" t="s">
        <v>1256</v>
      </c>
      <c r="D1257" s="588" t="s">
        <v>1512</v>
      </c>
      <c r="E1257" s="592" t="s">
        <v>410</v>
      </c>
      <c r="F1257" s="590" t="s">
        <v>67</v>
      </c>
      <c r="G1257" s="590" t="s">
        <v>68</v>
      </c>
      <c r="H1257" s="590" t="s">
        <v>70</v>
      </c>
      <c r="I1257" s="590" t="s">
        <v>72</v>
      </c>
      <c r="J1257" s="590" t="s">
        <v>74</v>
      </c>
      <c r="K1257" s="441" t="s">
        <v>410</v>
      </c>
      <c r="L1257" s="441" t="s">
        <v>410</v>
      </c>
      <c r="M1257" s="441" t="s">
        <v>410</v>
      </c>
      <c r="N1257" s="441" t="s">
        <v>410</v>
      </c>
      <c r="O1257" s="441" t="s">
        <v>410</v>
      </c>
      <c r="P1257" s="441" t="s">
        <v>410</v>
      </c>
      <c r="Q1257" s="441" t="s">
        <v>410</v>
      </c>
      <c r="R1257" s="441" t="s">
        <v>410</v>
      </c>
      <c r="S1257" s="441" t="s">
        <v>410</v>
      </c>
      <c r="T1257" s="441" t="s">
        <v>410</v>
      </c>
    </row>
    <row r="1258" spans="1:20" hidden="1" outlineLevel="1" x14ac:dyDescent="0.3">
      <c r="A1258" s="583" t="s">
        <v>1662</v>
      </c>
      <c r="B1258" s="591">
        <v>1</v>
      </c>
      <c r="C1258" s="583" t="s">
        <v>1256</v>
      </c>
      <c r="D1258" s="583" t="s">
        <v>1512</v>
      </c>
      <c r="E1258" s="592" t="s">
        <v>410</v>
      </c>
      <c r="F1258" s="593" t="s">
        <v>5577</v>
      </c>
      <c r="G1258" s="593" t="s">
        <v>5578</v>
      </c>
      <c r="H1258" s="593" t="s">
        <v>5579</v>
      </c>
      <c r="I1258" s="593" t="s">
        <v>5684</v>
      </c>
      <c r="J1258" s="593" t="s">
        <v>5580</v>
      </c>
      <c r="K1258" s="593" t="s">
        <v>5685</v>
      </c>
      <c r="L1258" s="237" t="s">
        <v>410</v>
      </c>
      <c r="M1258" s="237" t="s">
        <v>410</v>
      </c>
      <c r="N1258" s="237" t="s">
        <v>410</v>
      </c>
      <c r="O1258" s="237" t="s">
        <v>410</v>
      </c>
      <c r="P1258" s="237" t="s">
        <v>410</v>
      </c>
      <c r="Q1258" s="237" t="s">
        <v>410</v>
      </c>
      <c r="R1258" s="237" t="s">
        <v>410</v>
      </c>
      <c r="S1258" s="10" t="s">
        <v>410</v>
      </c>
      <c r="T1258" s="10" t="s">
        <v>410</v>
      </c>
    </row>
    <row r="1259" spans="1:20" hidden="1" outlineLevel="1" x14ac:dyDescent="0.3">
      <c r="A1259" s="583" t="s">
        <v>5056</v>
      </c>
      <c r="B1259" s="591">
        <v>1</v>
      </c>
      <c r="C1259" s="588" t="s">
        <v>1256</v>
      </c>
      <c r="D1259" s="588" t="s">
        <v>1512</v>
      </c>
      <c r="E1259" s="592" t="s">
        <v>410</v>
      </c>
      <c r="F1259" s="593" t="s">
        <v>67</v>
      </c>
      <c r="G1259" s="593" t="s">
        <v>68</v>
      </c>
      <c r="H1259" s="593" t="s">
        <v>70</v>
      </c>
      <c r="I1259" s="593" t="s">
        <v>72</v>
      </c>
      <c r="J1259" s="910" t="s">
        <v>410</v>
      </c>
      <c r="K1259" s="237" t="s">
        <v>410</v>
      </c>
      <c r="L1259" s="237" t="s">
        <v>410</v>
      </c>
      <c r="M1259" s="237" t="s">
        <v>410</v>
      </c>
      <c r="N1259" s="237" t="s">
        <v>410</v>
      </c>
      <c r="O1259" s="237" t="s">
        <v>410</v>
      </c>
      <c r="P1259" s="237" t="s">
        <v>410</v>
      </c>
      <c r="Q1259" s="237" t="s">
        <v>410</v>
      </c>
      <c r="R1259" s="237" t="s">
        <v>410</v>
      </c>
      <c r="S1259" s="10" t="s">
        <v>410</v>
      </c>
      <c r="T1259" s="10" t="s">
        <v>410</v>
      </c>
    </row>
    <row r="1260" spans="1:20" hidden="1" outlineLevel="1" x14ac:dyDescent="0.3">
      <c r="A1260" s="583" t="s">
        <v>1767</v>
      </c>
      <c r="B1260" s="591">
        <v>1</v>
      </c>
      <c r="C1260" s="583" t="s">
        <v>1256</v>
      </c>
      <c r="D1260" s="583" t="s">
        <v>1512</v>
      </c>
      <c r="E1260" s="593" t="s">
        <v>3250</v>
      </c>
      <c r="F1260" s="593" t="s">
        <v>3251</v>
      </c>
      <c r="G1260" s="593" t="s">
        <v>3252</v>
      </c>
      <c r="H1260" s="593" t="s">
        <v>3253</v>
      </c>
      <c r="I1260" s="593" t="s">
        <v>3254</v>
      </c>
      <c r="J1260" s="910" t="s">
        <v>410</v>
      </c>
      <c r="K1260" s="237" t="s">
        <v>410</v>
      </c>
      <c r="L1260" s="237" t="s">
        <v>410</v>
      </c>
      <c r="M1260" s="237" t="s">
        <v>410</v>
      </c>
      <c r="N1260" s="237" t="s">
        <v>410</v>
      </c>
      <c r="O1260" s="237" t="s">
        <v>410</v>
      </c>
      <c r="P1260" s="237" t="s">
        <v>410</v>
      </c>
      <c r="Q1260" s="237" t="s">
        <v>410</v>
      </c>
      <c r="R1260" s="237" t="s">
        <v>410</v>
      </c>
      <c r="S1260" s="10" t="s">
        <v>410</v>
      </c>
      <c r="T1260" s="10" t="s">
        <v>410</v>
      </c>
    </row>
    <row r="1261" spans="1:20" hidden="1" outlineLevel="1" x14ac:dyDescent="0.3">
      <c r="A1261" s="583" t="s">
        <v>1769</v>
      </c>
      <c r="B1261" s="591">
        <v>1</v>
      </c>
      <c r="C1261" s="583" t="s">
        <v>1256</v>
      </c>
      <c r="D1261" s="583" t="s">
        <v>1512</v>
      </c>
      <c r="E1261" s="592" t="s">
        <v>410</v>
      </c>
      <c r="F1261" s="592" t="s">
        <v>5026</v>
      </c>
      <c r="G1261" s="237" t="s">
        <v>410</v>
      </c>
      <c r="H1261" s="237" t="s">
        <v>410</v>
      </c>
      <c r="I1261" s="237" t="s">
        <v>410</v>
      </c>
      <c r="J1261" s="237" t="s">
        <v>410</v>
      </c>
      <c r="K1261" s="237" t="s">
        <v>410</v>
      </c>
      <c r="L1261" s="237" t="s">
        <v>410</v>
      </c>
      <c r="M1261" s="237" t="s">
        <v>410</v>
      </c>
      <c r="N1261" s="237" t="s">
        <v>410</v>
      </c>
      <c r="O1261" s="237" t="s">
        <v>410</v>
      </c>
      <c r="P1261" s="237" t="s">
        <v>410</v>
      </c>
      <c r="Q1261" s="237" t="s">
        <v>410</v>
      </c>
      <c r="R1261" s="237" t="s">
        <v>410</v>
      </c>
      <c r="S1261" s="10" t="s">
        <v>410</v>
      </c>
      <c r="T1261" s="10" t="s">
        <v>410</v>
      </c>
    </row>
    <row r="1262" spans="1:20" hidden="1" outlineLevel="1" x14ac:dyDescent="0.3">
      <c r="A1262" s="583" t="s">
        <v>5100</v>
      </c>
      <c r="B1262" s="591">
        <v>1</v>
      </c>
      <c r="C1262" s="583" t="s">
        <v>1256</v>
      </c>
      <c r="D1262" s="583" t="s">
        <v>1512</v>
      </c>
      <c r="E1262" s="592" t="s">
        <v>410</v>
      </c>
      <c r="F1262" s="592" t="s">
        <v>5040</v>
      </c>
      <c r="G1262" s="237" t="s">
        <v>410</v>
      </c>
      <c r="H1262" s="237" t="s">
        <v>410</v>
      </c>
      <c r="I1262" s="237" t="s">
        <v>410</v>
      </c>
      <c r="J1262" s="237" t="s">
        <v>410</v>
      </c>
      <c r="K1262" s="237" t="s">
        <v>410</v>
      </c>
      <c r="L1262" s="237" t="s">
        <v>410</v>
      </c>
      <c r="M1262" s="237" t="s">
        <v>410</v>
      </c>
      <c r="N1262" s="237" t="s">
        <v>410</v>
      </c>
      <c r="O1262" s="237" t="s">
        <v>410</v>
      </c>
      <c r="P1262" s="237" t="s">
        <v>410</v>
      </c>
      <c r="Q1262" s="237" t="s">
        <v>410</v>
      </c>
      <c r="R1262" s="237" t="s">
        <v>410</v>
      </c>
      <c r="S1262" s="10" t="s">
        <v>410</v>
      </c>
      <c r="T1262" s="10" t="s">
        <v>410</v>
      </c>
    </row>
    <row r="1263" spans="1:20" hidden="1" outlineLevel="1" x14ac:dyDescent="0.3">
      <c r="A1263" s="583" t="s">
        <v>1898</v>
      </c>
      <c r="B1263" s="591">
        <v>1</v>
      </c>
      <c r="C1263" s="583" t="s">
        <v>1256</v>
      </c>
      <c r="D1263" s="583" t="s">
        <v>1512</v>
      </c>
      <c r="E1263" s="592" t="s">
        <v>410</v>
      </c>
      <c r="F1263" s="593" t="s">
        <v>1839</v>
      </c>
      <c r="G1263" s="593" t="s">
        <v>1847</v>
      </c>
      <c r="H1263" s="593" t="s">
        <v>2960</v>
      </c>
      <c r="I1263" s="593" t="s">
        <v>1899</v>
      </c>
      <c r="J1263" s="237" t="s">
        <v>410</v>
      </c>
      <c r="K1263" s="237" t="s">
        <v>410</v>
      </c>
      <c r="L1263" s="237" t="s">
        <v>410</v>
      </c>
      <c r="M1263" s="237" t="s">
        <v>410</v>
      </c>
      <c r="N1263" s="237" t="s">
        <v>410</v>
      </c>
      <c r="O1263" s="237" t="s">
        <v>410</v>
      </c>
      <c r="P1263" s="237" t="s">
        <v>410</v>
      </c>
      <c r="Q1263" s="237" t="s">
        <v>410</v>
      </c>
      <c r="R1263" s="237" t="s">
        <v>410</v>
      </c>
      <c r="S1263" s="10" t="s">
        <v>410</v>
      </c>
      <c r="T1263" s="10" t="s">
        <v>410</v>
      </c>
    </row>
    <row r="1264" spans="1:20" hidden="1" outlineLevel="1" x14ac:dyDescent="0.3">
      <c r="A1264" s="583" t="s">
        <v>5057</v>
      </c>
      <c r="B1264" s="591">
        <v>1</v>
      </c>
      <c r="C1264" s="583" t="s">
        <v>1256</v>
      </c>
      <c r="D1264" s="583" t="s">
        <v>1512</v>
      </c>
      <c r="E1264" s="592" t="s">
        <v>410</v>
      </c>
      <c r="F1264" s="593" t="s">
        <v>5027</v>
      </c>
      <c r="G1264" s="237" t="s">
        <v>410</v>
      </c>
      <c r="H1264" s="237" t="s">
        <v>410</v>
      </c>
      <c r="I1264" s="237" t="s">
        <v>410</v>
      </c>
      <c r="J1264" s="237" t="s">
        <v>410</v>
      </c>
      <c r="K1264" s="237" t="s">
        <v>410</v>
      </c>
      <c r="L1264" s="237" t="s">
        <v>410</v>
      </c>
      <c r="M1264" s="237" t="s">
        <v>410</v>
      </c>
      <c r="N1264" s="237" t="s">
        <v>410</v>
      </c>
      <c r="O1264" s="237" t="s">
        <v>410</v>
      </c>
      <c r="P1264" s="237" t="s">
        <v>410</v>
      </c>
      <c r="Q1264" s="237" t="s">
        <v>410</v>
      </c>
      <c r="R1264" s="237" t="s">
        <v>410</v>
      </c>
      <c r="S1264" s="10" t="s">
        <v>410</v>
      </c>
      <c r="T1264" s="10" t="s">
        <v>410</v>
      </c>
    </row>
    <row r="1265" spans="1:20" hidden="1" outlineLevel="1" x14ac:dyDescent="0.3">
      <c r="A1265" s="583" t="s">
        <v>5124</v>
      </c>
      <c r="B1265" s="591">
        <v>1</v>
      </c>
      <c r="C1265" s="583" t="s">
        <v>1256</v>
      </c>
      <c r="D1265" s="583" t="s">
        <v>1512</v>
      </c>
      <c r="E1265" s="592" t="s">
        <v>410</v>
      </c>
      <c r="F1265" s="593" t="s">
        <v>2176</v>
      </c>
      <c r="G1265" s="237" t="s">
        <v>410</v>
      </c>
      <c r="H1265" s="237" t="s">
        <v>410</v>
      </c>
      <c r="I1265" s="237" t="s">
        <v>410</v>
      </c>
      <c r="J1265" s="237" t="s">
        <v>410</v>
      </c>
      <c r="K1265" s="237" t="s">
        <v>410</v>
      </c>
      <c r="L1265" s="237" t="s">
        <v>410</v>
      </c>
      <c r="M1265" s="237" t="s">
        <v>410</v>
      </c>
      <c r="N1265" s="237" t="s">
        <v>410</v>
      </c>
      <c r="O1265" s="237" t="s">
        <v>410</v>
      </c>
      <c r="P1265" s="237" t="s">
        <v>410</v>
      </c>
      <c r="Q1265" s="237" t="s">
        <v>410</v>
      </c>
      <c r="R1265" s="237" t="s">
        <v>410</v>
      </c>
      <c r="S1265" s="10" t="s">
        <v>410</v>
      </c>
      <c r="T1265" s="10" t="s">
        <v>410</v>
      </c>
    </row>
    <row r="1266" spans="1:20" hidden="1" outlineLevel="1" x14ac:dyDescent="0.3">
      <c r="A1266" s="583" t="s">
        <v>5058</v>
      </c>
      <c r="B1266" s="591">
        <v>1</v>
      </c>
      <c r="C1266" s="583" t="s">
        <v>1256</v>
      </c>
      <c r="D1266" s="583" t="s">
        <v>1512</v>
      </c>
      <c r="E1266" s="592" t="s">
        <v>410</v>
      </c>
      <c r="F1266" s="593" t="s">
        <v>67</v>
      </c>
      <c r="G1266" s="593" t="s">
        <v>68</v>
      </c>
      <c r="H1266" s="593" t="s">
        <v>70</v>
      </c>
      <c r="I1266" s="593" t="s">
        <v>72</v>
      </c>
      <c r="J1266" s="593" t="s">
        <v>74</v>
      </c>
      <c r="K1266" s="237" t="s">
        <v>410</v>
      </c>
      <c r="L1266" s="237" t="s">
        <v>410</v>
      </c>
      <c r="M1266" s="237" t="s">
        <v>410</v>
      </c>
      <c r="N1266" s="237" t="s">
        <v>410</v>
      </c>
      <c r="O1266" s="237" t="s">
        <v>410</v>
      </c>
      <c r="P1266" s="237" t="s">
        <v>410</v>
      </c>
      <c r="Q1266" s="237" t="s">
        <v>410</v>
      </c>
      <c r="R1266" s="237" t="s">
        <v>410</v>
      </c>
      <c r="S1266" s="10" t="s">
        <v>410</v>
      </c>
      <c r="T1266" s="10" t="s">
        <v>410</v>
      </c>
    </row>
    <row r="1267" spans="1:20" hidden="1" outlineLevel="1" x14ac:dyDescent="0.3">
      <c r="A1267" s="583" t="s">
        <v>1982</v>
      </c>
      <c r="B1267" s="591">
        <v>1</v>
      </c>
      <c r="C1267" s="583" t="s">
        <v>1256</v>
      </c>
      <c r="D1267" s="583" t="s">
        <v>1512</v>
      </c>
      <c r="E1267" s="593" t="s">
        <v>410</v>
      </c>
      <c r="F1267" s="593" t="s">
        <v>4343</v>
      </c>
      <c r="G1267" s="593" t="s">
        <v>4344</v>
      </c>
      <c r="H1267" s="593" t="s">
        <v>4345</v>
      </c>
      <c r="I1267" s="593" t="s">
        <v>4346</v>
      </c>
      <c r="J1267" s="593" t="s">
        <v>4347</v>
      </c>
      <c r="K1267" s="593" t="s">
        <v>4348</v>
      </c>
      <c r="L1267" s="237" t="s">
        <v>410</v>
      </c>
      <c r="M1267" s="237" t="s">
        <v>410</v>
      </c>
      <c r="N1267" s="237" t="s">
        <v>410</v>
      </c>
      <c r="O1267" s="237" t="s">
        <v>410</v>
      </c>
      <c r="P1267" s="237" t="s">
        <v>410</v>
      </c>
      <c r="Q1267" s="237" t="s">
        <v>410</v>
      </c>
      <c r="R1267" s="237" t="s">
        <v>410</v>
      </c>
      <c r="S1267" s="237" t="s">
        <v>410</v>
      </c>
      <c r="T1267" s="237" t="s">
        <v>410</v>
      </c>
    </row>
    <row r="1268" spans="1:20" hidden="1" outlineLevel="1" x14ac:dyDescent="0.3">
      <c r="A1268" s="583" t="s">
        <v>5059</v>
      </c>
      <c r="B1268" s="591">
        <v>1</v>
      </c>
      <c r="C1268" s="588" t="s">
        <v>1256</v>
      </c>
      <c r="D1268" s="588" t="s">
        <v>1512</v>
      </c>
      <c r="E1268" s="592" t="s">
        <v>410</v>
      </c>
      <c r="F1268" s="592" t="s">
        <v>5028</v>
      </c>
      <c r="G1268" s="592" t="s">
        <v>5029</v>
      </c>
      <c r="H1268" s="592" t="s">
        <v>5030</v>
      </c>
      <c r="I1268" s="592" t="s">
        <v>5031</v>
      </c>
      <c r="J1268" s="592" t="s">
        <v>5032</v>
      </c>
      <c r="K1268" s="441" t="s">
        <v>410</v>
      </c>
      <c r="L1268" s="441" t="s">
        <v>410</v>
      </c>
      <c r="M1268" s="441" t="s">
        <v>410</v>
      </c>
      <c r="N1268" s="441" t="s">
        <v>410</v>
      </c>
      <c r="O1268" s="441" t="s">
        <v>410</v>
      </c>
      <c r="P1268" s="441" t="s">
        <v>410</v>
      </c>
      <c r="Q1268" s="441" t="s">
        <v>410</v>
      </c>
      <c r="R1268" s="441" t="s">
        <v>410</v>
      </c>
      <c r="S1268" s="441" t="s">
        <v>410</v>
      </c>
      <c r="T1268" s="441" t="s">
        <v>410</v>
      </c>
    </row>
    <row r="1269" spans="1:20" hidden="1" outlineLevel="1" x14ac:dyDescent="0.3">
      <c r="A1269" s="583" t="s">
        <v>1945</v>
      </c>
      <c r="B1269" s="591">
        <v>2</v>
      </c>
      <c r="C1269" s="583" t="s">
        <v>1256</v>
      </c>
      <c r="D1269" s="583" t="s">
        <v>1512</v>
      </c>
      <c r="E1269" s="593" t="s">
        <v>410</v>
      </c>
      <c r="F1269" s="593" t="s">
        <v>3243</v>
      </c>
      <c r="G1269" s="593" t="s">
        <v>4027</v>
      </c>
      <c r="H1269" s="593" t="s">
        <v>4028</v>
      </c>
      <c r="I1269" s="593" t="s">
        <v>4029</v>
      </c>
      <c r="J1269" s="593" t="s">
        <v>4030</v>
      </c>
      <c r="K1269" s="593" t="s">
        <v>4031</v>
      </c>
      <c r="L1269" s="593" t="s">
        <v>410</v>
      </c>
      <c r="M1269" s="593" t="s">
        <v>410</v>
      </c>
      <c r="N1269" s="237" t="s">
        <v>410</v>
      </c>
      <c r="O1269" s="237" t="s">
        <v>410</v>
      </c>
      <c r="P1269" s="237" t="s">
        <v>410</v>
      </c>
      <c r="Q1269" s="237" t="s">
        <v>410</v>
      </c>
      <c r="R1269" s="237" t="s">
        <v>410</v>
      </c>
      <c r="S1269" s="237" t="s">
        <v>410</v>
      </c>
      <c r="T1269" s="237" t="s">
        <v>410</v>
      </c>
    </row>
    <row r="1270" spans="1:20" hidden="1" outlineLevel="1" x14ac:dyDescent="0.3">
      <c r="A1270" s="583" t="s">
        <v>1838</v>
      </c>
      <c r="B1270" s="591">
        <v>3</v>
      </c>
      <c r="C1270" s="583" t="s">
        <v>1256</v>
      </c>
      <c r="D1270" s="583" t="s">
        <v>1512</v>
      </c>
      <c r="E1270" s="592" t="s">
        <v>410</v>
      </c>
      <c r="F1270" s="593" t="s">
        <v>1839</v>
      </c>
      <c r="G1270" s="593" t="s">
        <v>1840</v>
      </c>
      <c r="H1270" s="593" t="s">
        <v>3198</v>
      </c>
      <c r="I1270" s="593" t="s">
        <v>1841</v>
      </c>
      <c r="J1270" s="593" t="s">
        <v>1842</v>
      </c>
      <c r="K1270" s="237" t="s">
        <v>410</v>
      </c>
      <c r="L1270" s="237" t="s">
        <v>410</v>
      </c>
      <c r="M1270" s="237" t="s">
        <v>410</v>
      </c>
      <c r="N1270" s="237" t="s">
        <v>410</v>
      </c>
      <c r="O1270" s="237" t="s">
        <v>410</v>
      </c>
      <c r="P1270" s="237" t="s">
        <v>410</v>
      </c>
      <c r="Q1270" s="237" t="s">
        <v>410</v>
      </c>
      <c r="R1270" s="237" t="s">
        <v>410</v>
      </c>
      <c r="S1270" s="10" t="s">
        <v>410</v>
      </c>
      <c r="T1270" s="10" t="s">
        <v>410</v>
      </c>
    </row>
    <row r="1271" spans="1:20" hidden="1" outlineLevel="1" x14ac:dyDescent="0.3">
      <c r="A1271" s="583" t="s">
        <v>1852</v>
      </c>
      <c r="B1271" s="591">
        <v>5</v>
      </c>
      <c r="C1271" s="583" t="s">
        <v>1256</v>
      </c>
      <c r="D1271" s="583" t="s">
        <v>1512</v>
      </c>
      <c r="E1271" s="592" t="s">
        <v>410</v>
      </c>
      <c r="F1271" s="593" t="s">
        <v>3230</v>
      </c>
      <c r="G1271" s="593" t="s">
        <v>3231</v>
      </c>
      <c r="H1271" s="593" t="s">
        <v>3232</v>
      </c>
      <c r="I1271" s="593" t="s">
        <v>3233</v>
      </c>
      <c r="J1271" s="593" t="s">
        <v>3234</v>
      </c>
      <c r="K1271" s="237" t="s">
        <v>410</v>
      </c>
      <c r="L1271" s="237" t="s">
        <v>410</v>
      </c>
      <c r="M1271" s="237" t="s">
        <v>410</v>
      </c>
      <c r="N1271" s="237" t="s">
        <v>410</v>
      </c>
      <c r="O1271" s="237" t="s">
        <v>410</v>
      </c>
      <c r="P1271" s="237" t="s">
        <v>410</v>
      </c>
      <c r="Q1271" s="237" t="s">
        <v>410</v>
      </c>
      <c r="R1271" s="237" t="s">
        <v>410</v>
      </c>
      <c r="S1271" s="10" t="s">
        <v>410</v>
      </c>
      <c r="T1271" s="10" t="s">
        <v>410</v>
      </c>
    </row>
    <row r="1272" spans="1:20" hidden="1" outlineLevel="1" x14ac:dyDescent="0.3">
      <c r="A1272" s="583" t="s">
        <v>1504</v>
      </c>
      <c r="B1272" s="591">
        <v>6</v>
      </c>
      <c r="C1272" s="588" t="s">
        <v>1256</v>
      </c>
      <c r="D1272" s="588" t="s">
        <v>1512</v>
      </c>
      <c r="E1272" s="589" t="s">
        <v>410</v>
      </c>
      <c r="F1272" s="590" t="s">
        <v>3216</v>
      </c>
      <c r="G1272" s="590" t="s">
        <v>3217</v>
      </c>
      <c r="H1272" s="590" t="s">
        <v>3218</v>
      </c>
      <c r="I1272" s="589" t="s">
        <v>410</v>
      </c>
      <c r="J1272" s="441" t="s">
        <v>410</v>
      </c>
      <c r="K1272" s="441" t="s">
        <v>410</v>
      </c>
      <c r="L1272" s="441" t="s">
        <v>410</v>
      </c>
      <c r="M1272" s="441" t="s">
        <v>410</v>
      </c>
      <c r="N1272" s="441" t="s">
        <v>410</v>
      </c>
      <c r="O1272" s="441" t="s">
        <v>410</v>
      </c>
      <c r="P1272" s="441" t="s">
        <v>410</v>
      </c>
      <c r="Q1272" s="441" t="s">
        <v>410</v>
      </c>
      <c r="R1272" s="441" t="s">
        <v>410</v>
      </c>
      <c r="S1272" s="441" t="s">
        <v>410</v>
      </c>
      <c r="T1272" s="441" t="s">
        <v>410</v>
      </c>
    </row>
    <row r="1273" spans="1:20" hidden="1" outlineLevel="1" x14ac:dyDescent="0.3">
      <c r="A1273" s="583" t="s">
        <v>1590</v>
      </c>
      <c r="B1273" s="591">
        <v>6</v>
      </c>
      <c r="C1273" s="588" t="s">
        <v>1256</v>
      </c>
      <c r="D1273" s="588" t="s">
        <v>1512</v>
      </c>
      <c r="E1273" s="589" t="s">
        <v>410</v>
      </c>
      <c r="F1273" s="237" t="s">
        <v>3219</v>
      </c>
      <c r="G1273" s="237" t="s">
        <v>1519</v>
      </c>
      <c r="H1273" s="237" t="s">
        <v>1520</v>
      </c>
      <c r="I1273" s="237" t="s">
        <v>1521</v>
      </c>
      <c r="J1273" s="441" t="s">
        <v>410</v>
      </c>
      <c r="K1273" s="441" t="s">
        <v>410</v>
      </c>
      <c r="L1273" s="441" t="s">
        <v>410</v>
      </c>
      <c r="M1273" s="441" t="s">
        <v>410</v>
      </c>
      <c r="N1273" s="441" t="s">
        <v>410</v>
      </c>
      <c r="O1273" s="441" t="s">
        <v>410</v>
      </c>
      <c r="P1273" s="441" t="s">
        <v>410</v>
      </c>
      <c r="Q1273" s="441" t="s">
        <v>410</v>
      </c>
      <c r="R1273" s="441" t="s">
        <v>410</v>
      </c>
      <c r="S1273" s="441" t="s">
        <v>410</v>
      </c>
      <c r="T1273" s="441" t="s">
        <v>410</v>
      </c>
    </row>
    <row r="1274" spans="1:20" hidden="1" outlineLevel="1" x14ac:dyDescent="0.3">
      <c r="A1274" s="583" t="s">
        <v>1723</v>
      </c>
      <c r="B1274" s="591">
        <v>6</v>
      </c>
      <c r="C1274" s="583" t="s">
        <v>1256</v>
      </c>
      <c r="D1274" s="583" t="s">
        <v>1512</v>
      </c>
      <c r="E1274" s="592" t="s">
        <v>410</v>
      </c>
      <c r="F1274" s="593" t="s">
        <v>68</v>
      </c>
      <c r="G1274" s="593" t="s">
        <v>74</v>
      </c>
      <c r="H1274" s="593" t="s">
        <v>1823</v>
      </c>
      <c r="I1274" s="593" t="s">
        <v>410</v>
      </c>
      <c r="J1274" s="593" t="s">
        <v>410</v>
      </c>
      <c r="K1274" s="237" t="s">
        <v>410</v>
      </c>
      <c r="L1274" s="237" t="s">
        <v>410</v>
      </c>
      <c r="M1274" s="237" t="s">
        <v>410</v>
      </c>
      <c r="N1274" s="237" t="s">
        <v>410</v>
      </c>
      <c r="O1274" s="237" t="s">
        <v>410</v>
      </c>
      <c r="P1274" s="237" t="s">
        <v>410</v>
      </c>
      <c r="Q1274" s="237" t="s">
        <v>410</v>
      </c>
      <c r="R1274" s="237" t="s">
        <v>410</v>
      </c>
      <c r="S1274" s="10" t="s">
        <v>410</v>
      </c>
      <c r="T1274" s="10" t="s">
        <v>410</v>
      </c>
    </row>
    <row r="1275" spans="1:20" hidden="1" outlineLevel="1" x14ac:dyDescent="0.3">
      <c r="A1275" s="583" t="s">
        <v>1846</v>
      </c>
      <c r="B1275" s="591">
        <v>6</v>
      </c>
      <c r="C1275" s="583" t="s">
        <v>1256</v>
      </c>
      <c r="D1275" s="583" t="s">
        <v>1512</v>
      </c>
      <c r="E1275" s="592" t="s">
        <v>410</v>
      </c>
      <c r="F1275" s="593" t="s">
        <v>1591</v>
      </c>
      <c r="G1275" s="593" t="s">
        <v>1847</v>
      </c>
      <c r="H1275" s="593" t="s">
        <v>3198</v>
      </c>
      <c r="I1275" s="593" t="s">
        <v>1841</v>
      </c>
      <c r="J1275" s="593" t="s">
        <v>1842</v>
      </c>
      <c r="K1275" s="237" t="s">
        <v>410</v>
      </c>
      <c r="L1275" s="237" t="s">
        <v>410</v>
      </c>
      <c r="M1275" s="237" t="s">
        <v>410</v>
      </c>
      <c r="N1275" s="237" t="s">
        <v>410</v>
      </c>
      <c r="O1275" s="237" t="s">
        <v>410</v>
      </c>
      <c r="P1275" s="237" t="s">
        <v>410</v>
      </c>
      <c r="Q1275" s="237" t="s">
        <v>410</v>
      </c>
      <c r="R1275" s="237" t="s">
        <v>410</v>
      </c>
      <c r="S1275" s="10" t="s">
        <v>410</v>
      </c>
      <c r="T1275" s="10" t="s">
        <v>410</v>
      </c>
    </row>
    <row r="1276" spans="1:20" hidden="1" outlineLevel="1" x14ac:dyDescent="0.3">
      <c r="A1276" s="583" t="s">
        <v>1914</v>
      </c>
      <c r="B1276" s="591">
        <v>6</v>
      </c>
      <c r="C1276" s="583" t="s">
        <v>1256</v>
      </c>
      <c r="D1276" s="583" t="s">
        <v>1512</v>
      </c>
      <c r="E1276" s="592" t="s">
        <v>410</v>
      </c>
      <c r="F1276" s="593" t="s">
        <v>1839</v>
      </c>
      <c r="G1276" s="593" t="s">
        <v>4450</v>
      </c>
      <c r="H1276" s="593" t="s">
        <v>4451</v>
      </c>
      <c r="I1276" s="593" t="s">
        <v>4452</v>
      </c>
      <c r="J1276" s="593" t="s">
        <v>4453</v>
      </c>
      <c r="K1276" s="237" t="s">
        <v>410</v>
      </c>
      <c r="L1276" s="237" t="s">
        <v>410</v>
      </c>
      <c r="M1276" s="237" t="s">
        <v>410</v>
      </c>
      <c r="N1276" s="237" t="s">
        <v>410</v>
      </c>
      <c r="O1276" s="237" t="s">
        <v>410</v>
      </c>
      <c r="P1276" s="237" t="s">
        <v>410</v>
      </c>
      <c r="Q1276" s="237" t="s">
        <v>410</v>
      </c>
      <c r="R1276" s="237" t="s">
        <v>410</v>
      </c>
      <c r="S1276" s="10" t="s">
        <v>410</v>
      </c>
      <c r="T1276" s="10" t="s">
        <v>410</v>
      </c>
    </row>
    <row r="1277" spans="1:20" hidden="1" outlineLevel="1" x14ac:dyDescent="0.3">
      <c r="A1277" s="583" t="s">
        <v>1921</v>
      </c>
      <c r="B1277" s="591">
        <v>6</v>
      </c>
      <c r="C1277" s="583" t="s">
        <v>1256</v>
      </c>
      <c r="D1277" s="583" t="s">
        <v>1512</v>
      </c>
      <c r="E1277" s="592" t="s">
        <v>410</v>
      </c>
      <c r="F1277" s="593" t="s">
        <v>3239</v>
      </c>
      <c r="G1277" s="593" t="s">
        <v>3240</v>
      </c>
      <c r="H1277" s="593" t="s">
        <v>3241</v>
      </c>
      <c r="I1277" s="592"/>
      <c r="J1277" s="593" t="s">
        <v>3242</v>
      </c>
      <c r="K1277" s="237" t="s">
        <v>410</v>
      </c>
      <c r="L1277" s="237" t="s">
        <v>410</v>
      </c>
      <c r="M1277" s="237" t="s">
        <v>410</v>
      </c>
      <c r="N1277" s="237" t="s">
        <v>410</v>
      </c>
      <c r="O1277" s="237" t="s">
        <v>410</v>
      </c>
      <c r="P1277" s="237" t="s">
        <v>410</v>
      </c>
      <c r="Q1277" s="237" t="s">
        <v>410</v>
      </c>
      <c r="R1277" s="237" t="s">
        <v>410</v>
      </c>
      <c r="S1277" s="10" t="s">
        <v>410</v>
      </c>
      <c r="T1277" s="10" t="s">
        <v>410</v>
      </c>
    </row>
    <row r="1278" spans="1:20" hidden="1" outlineLevel="1" x14ac:dyDescent="0.3">
      <c r="A1278" s="583" t="s">
        <v>5125</v>
      </c>
      <c r="B1278" s="591">
        <v>8</v>
      </c>
      <c r="C1278" s="588" t="s">
        <v>1256</v>
      </c>
      <c r="D1278" s="588" t="s">
        <v>1512</v>
      </c>
      <c r="E1278" s="592" t="s">
        <v>410</v>
      </c>
      <c r="F1278" s="589" t="s">
        <v>5101</v>
      </c>
      <c r="G1278" s="441" t="s">
        <v>410</v>
      </c>
      <c r="H1278" s="441" t="s">
        <v>410</v>
      </c>
      <c r="I1278" s="441" t="s">
        <v>410</v>
      </c>
      <c r="J1278" s="441" t="s">
        <v>410</v>
      </c>
      <c r="K1278" s="441" t="s">
        <v>410</v>
      </c>
      <c r="L1278" s="441" t="s">
        <v>410</v>
      </c>
      <c r="M1278" s="441" t="s">
        <v>410</v>
      </c>
      <c r="N1278" s="441" t="s">
        <v>410</v>
      </c>
      <c r="O1278" s="441" t="s">
        <v>410</v>
      </c>
      <c r="P1278" s="441" t="s">
        <v>410</v>
      </c>
      <c r="Q1278" s="441" t="s">
        <v>410</v>
      </c>
      <c r="R1278" s="441" t="s">
        <v>410</v>
      </c>
      <c r="S1278" s="441" t="s">
        <v>410</v>
      </c>
      <c r="T1278" s="441" t="s">
        <v>410</v>
      </c>
    </row>
    <row r="1279" spans="1:20" hidden="1" outlineLevel="1" x14ac:dyDescent="0.3">
      <c r="A1279" s="583" t="s">
        <v>5060</v>
      </c>
      <c r="B1279" s="591">
        <v>8</v>
      </c>
      <c r="C1279" s="588" t="s">
        <v>1256</v>
      </c>
      <c r="D1279" s="588" t="s">
        <v>1512</v>
      </c>
      <c r="E1279" s="592" t="s">
        <v>410</v>
      </c>
      <c r="F1279" s="589" t="s">
        <v>5033</v>
      </c>
      <c r="G1279" s="441" t="s">
        <v>410</v>
      </c>
      <c r="H1279" s="441" t="s">
        <v>410</v>
      </c>
      <c r="I1279" s="441" t="s">
        <v>410</v>
      </c>
      <c r="J1279" s="441" t="s">
        <v>410</v>
      </c>
      <c r="K1279" s="441" t="s">
        <v>410</v>
      </c>
      <c r="L1279" s="441" t="s">
        <v>410</v>
      </c>
      <c r="M1279" s="441" t="s">
        <v>410</v>
      </c>
      <c r="N1279" s="441" t="s">
        <v>410</v>
      </c>
      <c r="O1279" s="441" t="s">
        <v>410</v>
      </c>
      <c r="P1279" s="441" t="s">
        <v>410</v>
      </c>
      <c r="Q1279" s="441" t="s">
        <v>410</v>
      </c>
      <c r="R1279" s="441" t="s">
        <v>410</v>
      </c>
      <c r="S1279" s="441" t="s">
        <v>410</v>
      </c>
      <c r="T1279" s="441" t="s">
        <v>410</v>
      </c>
    </row>
    <row r="1280" spans="1:20" hidden="1" outlineLevel="1" x14ac:dyDescent="0.3">
      <c r="A1280" s="583" t="s">
        <v>5061</v>
      </c>
      <c r="B1280" s="591">
        <v>8</v>
      </c>
      <c r="C1280" s="588" t="s">
        <v>1256</v>
      </c>
      <c r="D1280" s="588" t="s">
        <v>1512</v>
      </c>
      <c r="E1280" s="592" t="s">
        <v>410</v>
      </c>
      <c r="F1280" s="589" t="s">
        <v>5033</v>
      </c>
      <c r="G1280" s="441" t="s">
        <v>410</v>
      </c>
      <c r="H1280" s="441" t="s">
        <v>410</v>
      </c>
      <c r="I1280" s="441" t="s">
        <v>410</v>
      </c>
      <c r="J1280" s="441" t="s">
        <v>410</v>
      </c>
      <c r="K1280" s="441" t="s">
        <v>410</v>
      </c>
      <c r="L1280" s="441" t="s">
        <v>410</v>
      </c>
      <c r="M1280" s="441" t="s">
        <v>410</v>
      </c>
      <c r="N1280" s="441" t="s">
        <v>410</v>
      </c>
      <c r="O1280" s="441" t="s">
        <v>410</v>
      </c>
      <c r="P1280" s="441" t="s">
        <v>410</v>
      </c>
      <c r="Q1280" s="441" t="s">
        <v>410</v>
      </c>
      <c r="R1280" s="441" t="s">
        <v>410</v>
      </c>
      <c r="S1280" s="441" t="s">
        <v>410</v>
      </c>
      <c r="T1280" s="441" t="s">
        <v>410</v>
      </c>
    </row>
    <row r="1281" spans="1:20" hidden="1" outlineLevel="1" x14ac:dyDescent="0.3">
      <c r="A1281" s="583" t="s">
        <v>5062</v>
      </c>
      <c r="B1281" s="591">
        <v>8</v>
      </c>
      <c r="C1281" s="588" t="s">
        <v>1256</v>
      </c>
      <c r="D1281" s="588" t="s">
        <v>1512</v>
      </c>
      <c r="E1281" s="592" t="s">
        <v>410</v>
      </c>
      <c r="F1281" s="589" t="s">
        <v>5034</v>
      </c>
      <c r="G1281" s="441" t="s">
        <v>410</v>
      </c>
      <c r="H1281" s="441" t="s">
        <v>410</v>
      </c>
      <c r="I1281" s="441" t="s">
        <v>410</v>
      </c>
      <c r="J1281" s="441" t="s">
        <v>410</v>
      </c>
      <c r="K1281" s="441" t="s">
        <v>410</v>
      </c>
      <c r="L1281" s="441" t="s">
        <v>410</v>
      </c>
      <c r="M1281" s="441" t="s">
        <v>410</v>
      </c>
      <c r="N1281" s="441" t="s">
        <v>410</v>
      </c>
      <c r="O1281" s="441" t="s">
        <v>410</v>
      </c>
      <c r="P1281" s="441" t="s">
        <v>410</v>
      </c>
      <c r="Q1281" s="441" t="s">
        <v>410</v>
      </c>
      <c r="R1281" s="441" t="s">
        <v>410</v>
      </c>
      <c r="S1281" s="441" t="s">
        <v>410</v>
      </c>
      <c r="T1281" s="441" t="s">
        <v>410</v>
      </c>
    </row>
    <row r="1282" spans="1:20" hidden="1" outlineLevel="1" x14ac:dyDescent="0.3">
      <c r="A1282" s="583" t="s">
        <v>5063</v>
      </c>
      <c r="B1282" s="591">
        <v>8</v>
      </c>
      <c r="C1282" s="588" t="s">
        <v>1256</v>
      </c>
      <c r="D1282" s="588" t="s">
        <v>1512</v>
      </c>
      <c r="E1282" s="592" t="s">
        <v>410</v>
      </c>
      <c r="F1282" s="589" t="s">
        <v>68</v>
      </c>
      <c r="G1282" s="589" t="s">
        <v>72</v>
      </c>
      <c r="H1282" s="589" t="s">
        <v>5036</v>
      </c>
      <c r="I1282" s="589" t="s">
        <v>5037</v>
      </c>
      <c r="J1282" s="441" t="s">
        <v>410</v>
      </c>
      <c r="K1282" s="441" t="s">
        <v>410</v>
      </c>
      <c r="L1282" s="441" t="s">
        <v>410</v>
      </c>
      <c r="M1282" s="441" t="s">
        <v>410</v>
      </c>
      <c r="N1282" s="441" t="s">
        <v>410</v>
      </c>
      <c r="O1282" s="441" t="s">
        <v>410</v>
      </c>
      <c r="P1282" s="441" t="s">
        <v>410</v>
      </c>
      <c r="Q1282" s="441" t="s">
        <v>410</v>
      </c>
      <c r="R1282" s="441" t="s">
        <v>410</v>
      </c>
      <c r="S1282" s="441" t="s">
        <v>410</v>
      </c>
      <c r="T1282" s="441" t="s">
        <v>410</v>
      </c>
    </row>
    <row r="1283" spans="1:20" hidden="1" outlineLevel="1" x14ac:dyDescent="0.3">
      <c r="A1283" s="583" t="s">
        <v>5064</v>
      </c>
      <c r="B1283" s="591">
        <v>8</v>
      </c>
      <c r="C1283" s="588" t="s">
        <v>1256</v>
      </c>
      <c r="D1283" s="588" t="s">
        <v>1512</v>
      </c>
      <c r="E1283" s="592" t="s">
        <v>410</v>
      </c>
      <c r="F1283" s="589" t="s">
        <v>5103</v>
      </c>
      <c r="G1283" s="441" t="s">
        <v>410</v>
      </c>
      <c r="H1283" s="441" t="s">
        <v>410</v>
      </c>
      <c r="I1283" s="441" t="s">
        <v>410</v>
      </c>
      <c r="J1283" s="441" t="s">
        <v>410</v>
      </c>
      <c r="K1283" s="441" t="s">
        <v>410</v>
      </c>
      <c r="L1283" s="441" t="s">
        <v>410</v>
      </c>
      <c r="M1283" s="441" t="s">
        <v>410</v>
      </c>
      <c r="N1283" s="441" t="s">
        <v>410</v>
      </c>
      <c r="O1283" s="441" t="s">
        <v>410</v>
      </c>
      <c r="P1283" s="441" t="s">
        <v>410</v>
      </c>
      <c r="Q1283" s="441" t="s">
        <v>410</v>
      </c>
      <c r="R1283" s="441" t="s">
        <v>410</v>
      </c>
      <c r="S1283" s="441" t="s">
        <v>410</v>
      </c>
      <c r="T1283" s="441" t="s">
        <v>410</v>
      </c>
    </row>
    <row r="1284" spans="1:20" hidden="1" outlineLevel="1" x14ac:dyDescent="0.3">
      <c r="A1284" s="583" t="s">
        <v>5127</v>
      </c>
      <c r="B1284" s="591">
        <v>8</v>
      </c>
      <c r="C1284" s="588" t="s">
        <v>1256</v>
      </c>
      <c r="D1284" s="588" t="s">
        <v>1512</v>
      </c>
      <c r="E1284" s="592" t="s">
        <v>410</v>
      </c>
      <c r="F1284" s="589" t="s">
        <v>5126</v>
      </c>
      <c r="G1284" s="441" t="s">
        <v>410</v>
      </c>
      <c r="H1284" s="441" t="s">
        <v>410</v>
      </c>
      <c r="I1284" s="441" t="s">
        <v>410</v>
      </c>
      <c r="J1284" s="441" t="s">
        <v>410</v>
      </c>
      <c r="K1284" s="441" t="s">
        <v>410</v>
      </c>
      <c r="L1284" s="441" t="s">
        <v>410</v>
      </c>
      <c r="M1284" s="441" t="s">
        <v>410</v>
      </c>
      <c r="N1284" s="441" t="s">
        <v>410</v>
      </c>
      <c r="O1284" s="441" t="s">
        <v>410</v>
      </c>
      <c r="P1284" s="441" t="s">
        <v>410</v>
      </c>
      <c r="Q1284" s="441" t="s">
        <v>410</v>
      </c>
      <c r="R1284" s="441" t="s">
        <v>410</v>
      </c>
      <c r="S1284" s="441" t="s">
        <v>410</v>
      </c>
      <c r="T1284" s="441" t="s">
        <v>410</v>
      </c>
    </row>
    <row r="1285" spans="1:20" hidden="1" outlineLevel="1" x14ac:dyDescent="0.3">
      <c r="A1285" s="583" t="s">
        <v>5128</v>
      </c>
      <c r="B1285" s="591">
        <v>8</v>
      </c>
      <c r="C1285" s="588" t="s">
        <v>1256</v>
      </c>
      <c r="D1285" s="588" t="s">
        <v>1512</v>
      </c>
      <c r="E1285" s="592" t="s">
        <v>410</v>
      </c>
      <c r="F1285" s="589" t="s">
        <v>2176</v>
      </c>
      <c r="G1285" s="441" t="s">
        <v>410</v>
      </c>
      <c r="H1285" s="441" t="s">
        <v>410</v>
      </c>
      <c r="I1285" s="441" t="s">
        <v>410</v>
      </c>
      <c r="J1285" s="441" t="s">
        <v>410</v>
      </c>
      <c r="K1285" s="441" t="s">
        <v>410</v>
      </c>
      <c r="L1285" s="441" t="s">
        <v>410</v>
      </c>
      <c r="M1285" s="441" t="s">
        <v>410</v>
      </c>
      <c r="N1285" s="441" t="s">
        <v>410</v>
      </c>
      <c r="O1285" s="441" t="s">
        <v>410</v>
      </c>
      <c r="P1285" s="441" t="s">
        <v>410</v>
      </c>
      <c r="Q1285" s="441" t="s">
        <v>410</v>
      </c>
      <c r="R1285" s="441" t="s">
        <v>410</v>
      </c>
      <c r="S1285" s="441" t="s">
        <v>410</v>
      </c>
      <c r="T1285" s="441" t="s">
        <v>410</v>
      </c>
    </row>
    <row r="1286" spans="1:20" hidden="1" outlineLevel="1" x14ac:dyDescent="0.3">
      <c r="A1286" s="583" t="s">
        <v>5066</v>
      </c>
      <c r="B1286" s="591">
        <v>8</v>
      </c>
      <c r="C1286" s="588" t="s">
        <v>1256</v>
      </c>
      <c r="D1286" s="588" t="s">
        <v>1512</v>
      </c>
      <c r="E1286" s="592" t="s">
        <v>410</v>
      </c>
      <c r="F1286" s="589" t="s">
        <v>5040</v>
      </c>
      <c r="G1286" s="441" t="s">
        <v>410</v>
      </c>
      <c r="H1286" s="441" t="s">
        <v>410</v>
      </c>
      <c r="I1286" s="441" t="s">
        <v>410</v>
      </c>
      <c r="J1286" s="441" t="s">
        <v>410</v>
      </c>
      <c r="K1286" s="441" t="s">
        <v>410</v>
      </c>
      <c r="L1286" s="441" t="s">
        <v>410</v>
      </c>
      <c r="M1286" s="441" t="s">
        <v>410</v>
      </c>
      <c r="N1286" s="441" t="s">
        <v>410</v>
      </c>
      <c r="O1286" s="441" t="s">
        <v>410</v>
      </c>
      <c r="P1286" s="441" t="s">
        <v>410</v>
      </c>
      <c r="Q1286" s="441" t="s">
        <v>410</v>
      </c>
      <c r="R1286" s="441" t="s">
        <v>410</v>
      </c>
      <c r="S1286" s="441" t="s">
        <v>410</v>
      </c>
      <c r="T1286" s="441" t="s">
        <v>410</v>
      </c>
    </row>
    <row r="1287" spans="1:20" hidden="1" outlineLevel="1" x14ac:dyDescent="0.3">
      <c r="A1287" s="583" t="s">
        <v>5105</v>
      </c>
      <c r="B1287" s="591">
        <v>8</v>
      </c>
      <c r="C1287" s="588" t="s">
        <v>1256</v>
      </c>
      <c r="D1287" s="588" t="s">
        <v>1512</v>
      </c>
      <c r="E1287" s="592" t="s">
        <v>410</v>
      </c>
      <c r="F1287" s="589" t="s">
        <v>5134</v>
      </c>
      <c r="G1287" s="441" t="s">
        <v>410</v>
      </c>
      <c r="H1287" s="441" t="s">
        <v>410</v>
      </c>
      <c r="I1287" s="441" t="s">
        <v>410</v>
      </c>
      <c r="J1287" s="441" t="s">
        <v>410</v>
      </c>
      <c r="K1287" s="441" t="s">
        <v>410</v>
      </c>
      <c r="L1287" s="441" t="s">
        <v>410</v>
      </c>
      <c r="M1287" s="441" t="s">
        <v>410</v>
      </c>
      <c r="N1287" s="441" t="s">
        <v>410</v>
      </c>
      <c r="O1287" s="441" t="s">
        <v>410</v>
      </c>
      <c r="P1287" s="441" t="s">
        <v>410</v>
      </c>
      <c r="Q1287" s="441" t="s">
        <v>410</v>
      </c>
      <c r="R1287" s="441" t="s">
        <v>410</v>
      </c>
      <c r="S1287" s="441" t="s">
        <v>410</v>
      </c>
      <c r="T1287" s="441" t="s">
        <v>410</v>
      </c>
    </row>
    <row r="1288" spans="1:20" hidden="1" outlineLevel="1" x14ac:dyDescent="0.3">
      <c r="A1288" s="583" t="s">
        <v>5065</v>
      </c>
      <c r="B1288" s="591">
        <v>8</v>
      </c>
      <c r="C1288" s="588" t="s">
        <v>1256</v>
      </c>
      <c r="D1288" s="588" t="s">
        <v>1512</v>
      </c>
      <c r="E1288" s="592" t="s">
        <v>410</v>
      </c>
      <c r="F1288" s="589" t="s">
        <v>5135</v>
      </c>
      <c r="G1288" s="441" t="s">
        <v>410</v>
      </c>
      <c r="H1288" s="441" t="s">
        <v>410</v>
      </c>
      <c r="I1288" s="441" t="s">
        <v>410</v>
      </c>
      <c r="J1288" s="441" t="s">
        <v>410</v>
      </c>
      <c r="K1288" s="441" t="s">
        <v>410</v>
      </c>
      <c r="L1288" s="441" t="s">
        <v>410</v>
      </c>
      <c r="M1288" s="441" t="s">
        <v>410</v>
      </c>
      <c r="N1288" s="441" t="s">
        <v>410</v>
      </c>
      <c r="O1288" s="441" t="s">
        <v>410</v>
      </c>
      <c r="P1288" s="441" t="s">
        <v>410</v>
      </c>
      <c r="Q1288" s="441" t="s">
        <v>410</v>
      </c>
      <c r="R1288" s="441" t="s">
        <v>410</v>
      </c>
      <c r="S1288" s="441" t="s">
        <v>410</v>
      </c>
      <c r="T1288" s="441" t="s">
        <v>410</v>
      </c>
    </row>
    <row r="1289" spans="1:20" hidden="1" outlineLevel="1" x14ac:dyDescent="0.3">
      <c r="A1289" s="583" t="s">
        <v>5067</v>
      </c>
      <c r="B1289" s="591">
        <v>8</v>
      </c>
      <c r="C1289" s="588" t="s">
        <v>1256</v>
      </c>
      <c r="D1289" s="588" t="s">
        <v>1512</v>
      </c>
      <c r="E1289" s="592" t="s">
        <v>410</v>
      </c>
      <c r="F1289" s="589" t="s">
        <v>5041</v>
      </c>
      <c r="G1289" s="441" t="s">
        <v>410</v>
      </c>
      <c r="H1289" s="441" t="s">
        <v>410</v>
      </c>
      <c r="I1289" s="441" t="s">
        <v>410</v>
      </c>
      <c r="J1289" s="441" t="s">
        <v>410</v>
      </c>
      <c r="K1289" s="441" t="s">
        <v>410</v>
      </c>
      <c r="L1289" s="441" t="s">
        <v>410</v>
      </c>
      <c r="M1289" s="441" t="s">
        <v>410</v>
      </c>
      <c r="N1289" s="441" t="s">
        <v>410</v>
      </c>
      <c r="O1289" s="441" t="s">
        <v>410</v>
      </c>
      <c r="P1289" s="441" t="s">
        <v>410</v>
      </c>
      <c r="Q1289" s="441" t="s">
        <v>410</v>
      </c>
      <c r="R1289" s="441" t="s">
        <v>410</v>
      </c>
      <c r="S1289" s="441" t="s">
        <v>410</v>
      </c>
      <c r="T1289" s="441" t="s">
        <v>410</v>
      </c>
    </row>
    <row r="1290" spans="1:20" hidden="1" outlineLevel="1" x14ac:dyDescent="0.3">
      <c r="A1290" s="583" t="s">
        <v>5068</v>
      </c>
      <c r="B1290" s="591">
        <v>8</v>
      </c>
      <c r="C1290" s="588" t="s">
        <v>1256</v>
      </c>
      <c r="D1290" s="588" t="s">
        <v>1512</v>
      </c>
      <c r="E1290" s="592" t="s">
        <v>410</v>
      </c>
      <c r="F1290" s="589" t="s">
        <v>5042</v>
      </c>
      <c r="G1290" s="441" t="s">
        <v>410</v>
      </c>
      <c r="H1290" s="441" t="s">
        <v>410</v>
      </c>
      <c r="I1290" s="441" t="s">
        <v>410</v>
      </c>
      <c r="J1290" s="441" t="s">
        <v>410</v>
      </c>
      <c r="K1290" s="441" t="s">
        <v>410</v>
      </c>
      <c r="L1290" s="441" t="s">
        <v>410</v>
      </c>
      <c r="M1290" s="441" t="s">
        <v>410</v>
      </c>
      <c r="N1290" s="441" t="s">
        <v>410</v>
      </c>
      <c r="O1290" s="441" t="s">
        <v>410</v>
      </c>
      <c r="P1290" s="441" t="s">
        <v>410</v>
      </c>
      <c r="Q1290" s="441" t="s">
        <v>410</v>
      </c>
      <c r="R1290" s="441" t="s">
        <v>410</v>
      </c>
      <c r="S1290" s="441" t="s">
        <v>410</v>
      </c>
      <c r="T1290" s="441" t="s">
        <v>410</v>
      </c>
    </row>
    <row r="1291" spans="1:20" hidden="1" outlineLevel="1" x14ac:dyDescent="0.3">
      <c r="A1291" s="583" t="s">
        <v>5070</v>
      </c>
      <c r="B1291" s="591">
        <v>8</v>
      </c>
      <c r="C1291" s="588" t="s">
        <v>1256</v>
      </c>
      <c r="D1291" s="588" t="s">
        <v>1512</v>
      </c>
      <c r="E1291" s="592" t="s">
        <v>410</v>
      </c>
      <c r="F1291" s="589" t="s">
        <v>5044</v>
      </c>
      <c r="G1291" s="441" t="s">
        <v>410</v>
      </c>
      <c r="H1291" s="441" t="s">
        <v>410</v>
      </c>
      <c r="I1291" s="441" t="s">
        <v>410</v>
      </c>
      <c r="J1291" s="441" t="s">
        <v>410</v>
      </c>
      <c r="K1291" s="441" t="s">
        <v>410</v>
      </c>
      <c r="L1291" s="441" t="s">
        <v>410</v>
      </c>
      <c r="M1291" s="441" t="s">
        <v>410</v>
      </c>
      <c r="N1291" s="441" t="s">
        <v>410</v>
      </c>
      <c r="O1291" s="441" t="s">
        <v>410</v>
      </c>
      <c r="P1291" s="441" t="s">
        <v>410</v>
      </c>
      <c r="Q1291" s="441" t="s">
        <v>410</v>
      </c>
      <c r="R1291" s="441" t="s">
        <v>410</v>
      </c>
      <c r="S1291" s="441" t="s">
        <v>410</v>
      </c>
      <c r="T1291" s="441" t="s">
        <v>410</v>
      </c>
    </row>
    <row r="1292" spans="1:20" hidden="1" outlineLevel="1" x14ac:dyDescent="0.3">
      <c r="A1292" s="583" t="s">
        <v>5129</v>
      </c>
      <c r="B1292" s="591">
        <v>8</v>
      </c>
      <c r="C1292" s="588" t="s">
        <v>1256</v>
      </c>
      <c r="D1292" s="588" t="s">
        <v>1512</v>
      </c>
      <c r="E1292" s="592" t="s">
        <v>410</v>
      </c>
      <c r="F1292" s="589" t="s">
        <v>5136</v>
      </c>
      <c r="G1292" s="441" t="s">
        <v>410</v>
      </c>
      <c r="H1292" s="441" t="s">
        <v>410</v>
      </c>
      <c r="I1292" s="441" t="s">
        <v>410</v>
      </c>
      <c r="J1292" s="441" t="s">
        <v>410</v>
      </c>
      <c r="K1292" s="441" t="s">
        <v>410</v>
      </c>
      <c r="L1292" s="441" t="s">
        <v>410</v>
      </c>
      <c r="M1292" s="441" t="s">
        <v>410</v>
      </c>
      <c r="N1292" s="441" t="s">
        <v>410</v>
      </c>
      <c r="O1292" s="441" t="s">
        <v>410</v>
      </c>
      <c r="P1292" s="441" t="s">
        <v>410</v>
      </c>
      <c r="Q1292" s="441" t="s">
        <v>410</v>
      </c>
      <c r="R1292" s="441" t="s">
        <v>410</v>
      </c>
      <c r="S1292" s="441" t="s">
        <v>410</v>
      </c>
      <c r="T1292" s="441" t="s">
        <v>410</v>
      </c>
    </row>
    <row r="1293" spans="1:20" hidden="1" outlineLevel="1" x14ac:dyDescent="0.3">
      <c r="A1293" s="583" t="s">
        <v>5130</v>
      </c>
      <c r="B1293" s="591">
        <v>8</v>
      </c>
      <c r="C1293" s="588" t="s">
        <v>1256</v>
      </c>
      <c r="D1293" s="588" t="s">
        <v>1512</v>
      </c>
      <c r="E1293" s="592" t="s">
        <v>410</v>
      </c>
      <c r="F1293" s="589" t="s">
        <v>5137</v>
      </c>
      <c r="G1293" s="441" t="s">
        <v>410</v>
      </c>
      <c r="H1293" s="441" t="s">
        <v>410</v>
      </c>
      <c r="I1293" s="441" t="s">
        <v>410</v>
      </c>
      <c r="J1293" s="441" t="s">
        <v>410</v>
      </c>
      <c r="K1293" s="441" t="s">
        <v>410</v>
      </c>
      <c r="L1293" s="441" t="s">
        <v>410</v>
      </c>
      <c r="M1293" s="441" t="s">
        <v>410</v>
      </c>
      <c r="N1293" s="441" t="s">
        <v>410</v>
      </c>
      <c r="O1293" s="441" t="s">
        <v>410</v>
      </c>
      <c r="P1293" s="441" t="s">
        <v>410</v>
      </c>
      <c r="Q1293" s="441" t="s">
        <v>410</v>
      </c>
      <c r="R1293" s="441" t="s">
        <v>410</v>
      </c>
      <c r="S1293" s="441" t="s">
        <v>410</v>
      </c>
      <c r="T1293" s="441" t="s">
        <v>410</v>
      </c>
    </row>
    <row r="1294" spans="1:20" hidden="1" outlineLevel="1" x14ac:dyDescent="0.3">
      <c r="A1294" s="583" t="s">
        <v>5131</v>
      </c>
      <c r="B1294" s="591">
        <v>8</v>
      </c>
      <c r="C1294" s="588" t="s">
        <v>1256</v>
      </c>
      <c r="D1294" s="588" t="s">
        <v>1512</v>
      </c>
      <c r="E1294" s="592" t="s">
        <v>410</v>
      </c>
      <c r="F1294" s="589" t="s">
        <v>5138</v>
      </c>
      <c r="G1294" s="441" t="s">
        <v>410</v>
      </c>
      <c r="H1294" s="441" t="s">
        <v>410</v>
      </c>
      <c r="I1294" s="441" t="s">
        <v>410</v>
      </c>
      <c r="J1294" s="441" t="s">
        <v>410</v>
      </c>
      <c r="K1294" s="441" t="s">
        <v>410</v>
      </c>
      <c r="L1294" s="441" t="s">
        <v>410</v>
      </c>
      <c r="M1294" s="441" t="s">
        <v>410</v>
      </c>
      <c r="N1294" s="441" t="s">
        <v>410</v>
      </c>
      <c r="O1294" s="441" t="s">
        <v>410</v>
      </c>
      <c r="P1294" s="441" t="s">
        <v>410</v>
      </c>
      <c r="Q1294" s="441" t="s">
        <v>410</v>
      </c>
      <c r="R1294" s="441" t="s">
        <v>410</v>
      </c>
      <c r="S1294" s="441" t="s">
        <v>410</v>
      </c>
      <c r="T1294" s="441" t="s">
        <v>410</v>
      </c>
    </row>
    <row r="1295" spans="1:20" hidden="1" outlineLevel="1" x14ac:dyDescent="0.3">
      <c r="A1295" s="583" t="s">
        <v>5132</v>
      </c>
      <c r="B1295" s="591">
        <v>8</v>
      </c>
      <c r="C1295" s="588" t="s">
        <v>1256</v>
      </c>
      <c r="D1295" s="588" t="s">
        <v>1512</v>
      </c>
      <c r="E1295" s="592" t="s">
        <v>410</v>
      </c>
      <c r="F1295" s="589" t="s">
        <v>5139</v>
      </c>
      <c r="G1295" s="441" t="s">
        <v>410</v>
      </c>
      <c r="H1295" s="441" t="s">
        <v>410</v>
      </c>
      <c r="I1295" s="441" t="s">
        <v>410</v>
      </c>
      <c r="J1295" s="441" t="s">
        <v>410</v>
      </c>
      <c r="K1295" s="441" t="s">
        <v>410</v>
      </c>
      <c r="L1295" s="441" t="s">
        <v>410</v>
      </c>
      <c r="M1295" s="441" t="s">
        <v>410</v>
      </c>
      <c r="N1295" s="441" t="s">
        <v>410</v>
      </c>
      <c r="O1295" s="441" t="s">
        <v>410</v>
      </c>
      <c r="P1295" s="441" t="s">
        <v>410</v>
      </c>
      <c r="Q1295" s="441" t="s">
        <v>410</v>
      </c>
      <c r="R1295" s="441" t="s">
        <v>410</v>
      </c>
      <c r="S1295" s="441" t="s">
        <v>410</v>
      </c>
      <c r="T1295" s="441" t="s">
        <v>410</v>
      </c>
    </row>
    <row r="1296" spans="1:20" hidden="1" outlineLevel="1" x14ac:dyDescent="0.3">
      <c r="A1296" s="583" t="s">
        <v>5133</v>
      </c>
      <c r="B1296" s="591">
        <v>8</v>
      </c>
      <c r="C1296" s="588" t="s">
        <v>1256</v>
      </c>
      <c r="D1296" s="588" t="s">
        <v>1512</v>
      </c>
      <c r="E1296" s="592" t="s">
        <v>410</v>
      </c>
      <c r="F1296" s="589" t="s">
        <v>5140</v>
      </c>
      <c r="G1296" s="441" t="s">
        <v>410</v>
      </c>
      <c r="H1296" s="441" t="s">
        <v>410</v>
      </c>
      <c r="I1296" s="441" t="s">
        <v>410</v>
      </c>
      <c r="J1296" s="441" t="s">
        <v>410</v>
      </c>
      <c r="K1296" s="441" t="s">
        <v>410</v>
      </c>
      <c r="L1296" s="441" t="s">
        <v>410</v>
      </c>
      <c r="M1296" s="441" t="s">
        <v>410</v>
      </c>
      <c r="N1296" s="441" t="s">
        <v>410</v>
      </c>
      <c r="O1296" s="441" t="s">
        <v>410</v>
      </c>
      <c r="P1296" s="441" t="s">
        <v>410</v>
      </c>
      <c r="Q1296" s="441" t="s">
        <v>410</v>
      </c>
      <c r="R1296" s="441" t="s">
        <v>410</v>
      </c>
      <c r="S1296" s="441" t="s">
        <v>410</v>
      </c>
      <c r="T1296" s="441" t="s">
        <v>410</v>
      </c>
    </row>
    <row r="1297" spans="1:20" hidden="1" outlineLevel="1" x14ac:dyDescent="0.3">
      <c r="A1297" s="583" t="s">
        <v>5073</v>
      </c>
      <c r="B1297" s="591">
        <v>8</v>
      </c>
      <c r="C1297" s="588" t="s">
        <v>1256</v>
      </c>
      <c r="D1297" s="588" t="s">
        <v>1512</v>
      </c>
      <c r="E1297" s="592" t="s">
        <v>410</v>
      </c>
      <c r="F1297" s="589" t="s">
        <v>5046</v>
      </c>
      <c r="G1297" s="441" t="s">
        <v>410</v>
      </c>
      <c r="H1297" s="441" t="s">
        <v>410</v>
      </c>
      <c r="I1297" s="441" t="s">
        <v>410</v>
      </c>
      <c r="J1297" s="441" t="s">
        <v>410</v>
      </c>
      <c r="K1297" s="441" t="s">
        <v>410</v>
      </c>
      <c r="L1297" s="441" t="s">
        <v>410</v>
      </c>
      <c r="M1297" s="441" t="s">
        <v>410</v>
      </c>
      <c r="N1297" s="441" t="s">
        <v>410</v>
      </c>
      <c r="O1297" s="441" t="s">
        <v>410</v>
      </c>
      <c r="P1297" s="441" t="s">
        <v>410</v>
      </c>
      <c r="Q1297" s="441" t="s">
        <v>410</v>
      </c>
      <c r="R1297" s="441" t="s">
        <v>410</v>
      </c>
      <c r="S1297" s="441" t="s">
        <v>410</v>
      </c>
      <c r="T1297" s="441" t="s">
        <v>410</v>
      </c>
    </row>
    <row r="1298" spans="1:20" hidden="1" outlineLevel="1" x14ac:dyDescent="0.3">
      <c r="A1298" s="583" t="s">
        <v>5074</v>
      </c>
      <c r="B1298" s="591">
        <v>8</v>
      </c>
      <c r="C1298" s="588" t="s">
        <v>1256</v>
      </c>
      <c r="D1298" s="588" t="s">
        <v>1512</v>
      </c>
      <c r="E1298" s="592" t="s">
        <v>410</v>
      </c>
      <c r="F1298" s="589" t="s">
        <v>5048</v>
      </c>
      <c r="G1298" s="441" t="s">
        <v>410</v>
      </c>
      <c r="H1298" s="441" t="s">
        <v>410</v>
      </c>
      <c r="I1298" s="441" t="s">
        <v>410</v>
      </c>
      <c r="J1298" s="441" t="s">
        <v>410</v>
      </c>
      <c r="K1298" s="441" t="s">
        <v>410</v>
      </c>
      <c r="L1298" s="441" t="s">
        <v>410</v>
      </c>
      <c r="M1298" s="441" t="s">
        <v>410</v>
      </c>
      <c r="N1298" s="441" t="s">
        <v>410</v>
      </c>
      <c r="O1298" s="441" t="s">
        <v>410</v>
      </c>
      <c r="P1298" s="441" t="s">
        <v>410</v>
      </c>
      <c r="Q1298" s="441" t="s">
        <v>410</v>
      </c>
      <c r="R1298" s="441" t="s">
        <v>410</v>
      </c>
      <c r="S1298" s="441" t="s">
        <v>410</v>
      </c>
      <c r="T1298" s="441" t="s">
        <v>410</v>
      </c>
    </row>
    <row r="1299" spans="1:20" hidden="1" outlineLevel="1" x14ac:dyDescent="0.3">
      <c r="A1299" s="583" t="s">
        <v>4036</v>
      </c>
      <c r="B1299" s="591">
        <v>11</v>
      </c>
      <c r="C1299" s="583" t="s">
        <v>1256</v>
      </c>
      <c r="D1299" s="583" t="s">
        <v>1512</v>
      </c>
      <c r="E1299" s="593" t="s">
        <v>410</v>
      </c>
      <c r="F1299" s="593" t="s">
        <v>4037</v>
      </c>
      <c r="G1299" s="593" t="s">
        <v>4038</v>
      </c>
      <c r="H1299" s="593" t="s">
        <v>4039</v>
      </c>
      <c r="I1299" s="594" t="str">
        <f>CONCATENATE("OU +",TEXT(bÚr,0)," (při běhu)")</f>
        <v>OU +1 (při běhu)</v>
      </c>
      <c r="J1299" s="237" t="s">
        <v>410</v>
      </c>
      <c r="K1299" s="237" t="s">
        <v>410</v>
      </c>
      <c r="L1299" s="237" t="s">
        <v>410</v>
      </c>
      <c r="M1299" s="237" t="s">
        <v>410</v>
      </c>
      <c r="N1299" s="237" t="s">
        <v>410</v>
      </c>
      <c r="O1299" s="237" t="s">
        <v>410</v>
      </c>
      <c r="P1299" s="237" t="s">
        <v>410</v>
      </c>
      <c r="Q1299" s="237" t="s">
        <v>410</v>
      </c>
      <c r="R1299" s="237" t="s">
        <v>410</v>
      </c>
      <c r="S1299" s="237" t="s">
        <v>410</v>
      </c>
      <c r="T1299" s="237" t="s">
        <v>410</v>
      </c>
    </row>
    <row r="1300" spans="1:20" hidden="1" outlineLevel="1" x14ac:dyDescent="0.3">
      <c r="A1300" s="583" t="s">
        <v>1660</v>
      </c>
      <c r="B1300" s="591">
        <v>16</v>
      </c>
      <c r="C1300" s="583" t="s">
        <v>1256</v>
      </c>
      <c r="D1300" s="583" t="s">
        <v>1512</v>
      </c>
      <c r="E1300" s="592" t="s">
        <v>410</v>
      </c>
      <c r="F1300" s="593" t="s">
        <v>3245</v>
      </c>
      <c r="G1300" s="593" t="s">
        <v>3246</v>
      </c>
      <c r="H1300" s="593" t="s">
        <v>3247</v>
      </c>
      <c r="I1300" s="593" t="s">
        <v>1661</v>
      </c>
      <c r="J1300" s="593" t="s">
        <v>3248</v>
      </c>
      <c r="K1300" s="593" t="s">
        <v>3249</v>
      </c>
      <c r="L1300" s="237" t="s">
        <v>410</v>
      </c>
      <c r="M1300" s="237" t="s">
        <v>410</v>
      </c>
      <c r="N1300" s="237" t="s">
        <v>410</v>
      </c>
      <c r="O1300" s="237" t="s">
        <v>410</v>
      </c>
      <c r="P1300" s="237" t="s">
        <v>410</v>
      </c>
      <c r="Q1300" s="237" t="s">
        <v>410</v>
      </c>
      <c r="R1300" s="237" t="s">
        <v>410</v>
      </c>
      <c r="S1300" s="10" t="s">
        <v>410</v>
      </c>
      <c r="T1300" s="10" t="s">
        <v>410</v>
      </c>
    </row>
    <row r="1301" spans="1:20" hidden="1" outlineLevel="1" x14ac:dyDescent="0.3">
      <c r="A1301" s="583" t="s">
        <v>1739</v>
      </c>
      <c r="B1301" s="591">
        <v>16</v>
      </c>
      <c r="C1301" s="583" t="s">
        <v>1256</v>
      </c>
      <c r="D1301" s="583" t="s">
        <v>1512</v>
      </c>
      <c r="E1301" s="592" t="s">
        <v>410</v>
      </c>
      <c r="F1301" s="593" t="s">
        <v>3224</v>
      </c>
      <c r="G1301" s="593" t="s">
        <v>3222</v>
      </c>
      <c r="H1301" s="593" t="s">
        <v>1724</v>
      </c>
      <c r="I1301" s="593" t="s">
        <v>2208</v>
      </c>
      <c r="J1301" s="593" t="s">
        <v>3223</v>
      </c>
      <c r="K1301" s="237" t="s">
        <v>410</v>
      </c>
      <c r="L1301" s="237" t="s">
        <v>410</v>
      </c>
      <c r="M1301" s="237" t="s">
        <v>410</v>
      </c>
      <c r="N1301" s="237" t="s">
        <v>410</v>
      </c>
      <c r="O1301" s="237" t="s">
        <v>410</v>
      </c>
      <c r="P1301" s="237" t="s">
        <v>410</v>
      </c>
      <c r="Q1301" s="237" t="s">
        <v>410</v>
      </c>
      <c r="R1301" s="237" t="s">
        <v>410</v>
      </c>
      <c r="S1301" s="10" t="s">
        <v>410</v>
      </c>
      <c r="T1301" s="10" t="s">
        <v>410</v>
      </c>
    </row>
    <row r="1302" spans="1:20" hidden="1" outlineLevel="1" x14ac:dyDescent="0.3">
      <c r="A1302" s="583" t="s">
        <v>1744</v>
      </c>
      <c r="B1302" s="591">
        <v>16</v>
      </c>
      <c r="C1302" s="583" t="s">
        <v>1256</v>
      </c>
      <c r="D1302" s="583" t="s">
        <v>1512</v>
      </c>
      <c r="E1302" s="592" t="s">
        <v>410</v>
      </c>
      <c r="F1302" s="593" t="s">
        <v>3229</v>
      </c>
      <c r="G1302" s="593" t="s">
        <v>3225</v>
      </c>
      <c r="H1302" s="593" t="s">
        <v>3226</v>
      </c>
      <c r="I1302" s="593" t="s">
        <v>3227</v>
      </c>
      <c r="J1302" s="593" t="s">
        <v>3228</v>
      </c>
      <c r="K1302" s="593" t="s">
        <v>410</v>
      </c>
      <c r="L1302" s="237" t="s">
        <v>410</v>
      </c>
      <c r="M1302" s="237" t="s">
        <v>410</v>
      </c>
      <c r="N1302" s="237" t="s">
        <v>410</v>
      </c>
      <c r="O1302" s="237" t="s">
        <v>410</v>
      </c>
      <c r="P1302" s="237" t="s">
        <v>410</v>
      </c>
      <c r="Q1302" s="237" t="s">
        <v>410</v>
      </c>
      <c r="R1302" s="237" t="s">
        <v>410</v>
      </c>
      <c r="S1302" s="10" t="s">
        <v>410</v>
      </c>
      <c r="T1302" s="10" t="s">
        <v>410</v>
      </c>
    </row>
    <row r="1303" spans="1:20" hidden="1" outlineLevel="1" x14ac:dyDescent="0.3">
      <c r="A1303" s="583" t="s">
        <v>2202</v>
      </c>
      <c r="B1303" s="591">
        <v>16</v>
      </c>
      <c r="C1303" s="583" t="s">
        <v>1256</v>
      </c>
      <c r="D1303" s="583" t="s">
        <v>1512</v>
      </c>
      <c r="E1303" s="592" t="s">
        <v>410</v>
      </c>
      <c r="F1303" s="593" t="s">
        <v>3221</v>
      </c>
      <c r="G1303" s="593" t="s">
        <v>1843</v>
      </c>
      <c r="H1303" s="593" t="s">
        <v>3220</v>
      </c>
      <c r="I1303" s="593" t="s">
        <v>1725</v>
      </c>
      <c r="J1303" s="593" t="s">
        <v>1726</v>
      </c>
      <c r="K1303" s="237" t="s">
        <v>410</v>
      </c>
      <c r="L1303" s="237" t="s">
        <v>410</v>
      </c>
      <c r="M1303" s="237" t="s">
        <v>410</v>
      </c>
      <c r="N1303" s="237" t="s">
        <v>410</v>
      </c>
      <c r="O1303" s="237" t="s">
        <v>410</v>
      </c>
      <c r="P1303" s="237" t="s">
        <v>410</v>
      </c>
      <c r="Q1303" s="237" t="s">
        <v>410</v>
      </c>
      <c r="R1303" s="237" t="s">
        <v>410</v>
      </c>
      <c r="S1303" s="10" t="s">
        <v>410</v>
      </c>
      <c r="T1303" s="10" t="s">
        <v>410</v>
      </c>
    </row>
    <row r="1304" spans="1:20" hidden="1" outlineLevel="1" x14ac:dyDescent="0.3">
      <c r="A1304" s="583" t="s">
        <v>1900</v>
      </c>
      <c r="B1304" s="591">
        <v>16</v>
      </c>
      <c r="C1304" s="583" t="s">
        <v>1256</v>
      </c>
      <c r="D1304" s="583" t="s">
        <v>1512</v>
      </c>
      <c r="E1304" s="592" t="s">
        <v>410</v>
      </c>
      <c r="F1304" s="593" t="s">
        <v>3235</v>
      </c>
      <c r="G1304" s="237"/>
      <c r="H1304" s="237"/>
      <c r="I1304" s="237"/>
      <c r="J1304" s="237" t="s">
        <v>410</v>
      </c>
      <c r="K1304" s="237" t="s">
        <v>410</v>
      </c>
      <c r="L1304" s="237" t="s">
        <v>410</v>
      </c>
      <c r="M1304" s="237" t="s">
        <v>410</v>
      </c>
      <c r="N1304" s="237" t="s">
        <v>410</v>
      </c>
      <c r="O1304" s="237" t="s">
        <v>410</v>
      </c>
      <c r="P1304" s="237" t="s">
        <v>410</v>
      </c>
      <c r="Q1304" s="237" t="s">
        <v>410</v>
      </c>
      <c r="R1304" s="237" t="s">
        <v>410</v>
      </c>
      <c r="S1304" s="10" t="s">
        <v>410</v>
      </c>
      <c r="T1304" s="10" t="s">
        <v>410</v>
      </c>
    </row>
    <row r="1305" spans="1:20" hidden="1" outlineLevel="1" x14ac:dyDescent="0.3">
      <c r="A1305" s="583" t="s">
        <v>5111</v>
      </c>
      <c r="B1305" s="591">
        <v>16</v>
      </c>
      <c r="C1305" s="583" t="s">
        <v>1256</v>
      </c>
      <c r="D1305" s="583" t="s">
        <v>1512</v>
      </c>
      <c r="E1305" s="592" t="s">
        <v>410</v>
      </c>
      <c r="F1305" s="593" t="s">
        <v>3236</v>
      </c>
      <c r="G1305" s="593" t="s">
        <v>3237</v>
      </c>
      <c r="H1305" s="593" t="s">
        <v>3238</v>
      </c>
      <c r="I1305" s="593" t="s">
        <v>410</v>
      </c>
      <c r="J1305" s="593" t="s">
        <v>410</v>
      </c>
      <c r="K1305" s="237" t="s">
        <v>410</v>
      </c>
      <c r="L1305" s="237" t="s">
        <v>410</v>
      </c>
      <c r="M1305" s="237" t="s">
        <v>410</v>
      </c>
      <c r="N1305" s="237" t="s">
        <v>410</v>
      </c>
      <c r="O1305" s="237" t="s">
        <v>410</v>
      </c>
      <c r="P1305" s="237" t="s">
        <v>410</v>
      </c>
      <c r="Q1305" s="237" t="s">
        <v>410</v>
      </c>
      <c r="R1305" s="237" t="s">
        <v>410</v>
      </c>
      <c r="S1305" s="10" t="s">
        <v>410</v>
      </c>
      <c r="T1305" s="10" t="s">
        <v>410</v>
      </c>
    </row>
    <row r="1306" spans="1:20" hidden="1" outlineLevel="1" x14ac:dyDescent="0.3">
      <c r="A1306" s="583" t="s">
        <v>5141</v>
      </c>
      <c r="B1306" s="591">
        <v>16</v>
      </c>
      <c r="C1306" s="583" t="s">
        <v>1256</v>
      </c>
      <c r="D1306" s="583" t="s">
        <v>1512</v>
      </c>
      <c r="E1306" s="593" t="s">
        <v>410</v>
      </c>
      <c r="F1306" s="593" t="s">
        <v>1481</v>
      </c>
      <c r="G1306" s="593" t="s">
        <v>3553</v>
      </c>
      <c r="H1306" s="593" t="s">
        <v>5142</v>
      </c>
      <c r="I1306" s="593" t="s">
        <v>5143</v>
      </c>
      <c r="J1306" s="593" t="s">
        <v>5144</v>
      </c>
      <c r="K1306" s="237" t="s">
        <v>410</v>
      </c>
      <c r="L1306" s="237" t="s">
        <v>410</v>
      </c>
      <c r="M1306" s="237" t="s">
        <v>410</v>
      </c>
      <c r="N1306" s="237" t="s">
        <v>410</v>
      </c>
      <c r="O1306" s="237" t="s">
        <v>410</v>
      </c>
      <c r="P1306" s="237" t="s">
        <v>410</v>
      </c>
      <c r="Q1306" s="237" t="s">
        <v>410</v>
      </c>
      <c r="R1306" s="237" t="s">
        <v>410</v>
      </c>
      <c r="S1306" s="237" t="s">
        <v>410</v>
      </c>
      <c r="T1306" s="237" t="s">
        <v>410</v>
      </c>
    </row>
    <row r="1307" spans="1:20" hidden="1" outlineLevel="1" x14ac:dyDescent="0.3">
      <c r="A1307" s="583" t="s">
        <v>5145</v>
      </c>
      <c r="B1307" s="591">
        <v>16</v>
      </c>
      <c r="C1307" s="583" t="s">
        <v>1256</v>
      </c>
      <c r="D1307" s="583" t="s">
        <v>1512</v>
      </c>
      <c r="E1307" s="593" t="s">
        <v>410</v>
      </c>
      <c r="F1307" s="593" t="s">
        <v>1943</v>
      </c>
      <c r="G1307" s="593" t="s">
        <v>1944</v>
      </c>
      <c r="H1307" s="593" t="s">
        <v>5121</v>
      </c>
      <c r="I1307" s="237" t="s">
        <v>410</v>
      </c>
      <c r="J1307" s="237" t="s">
        <v>410</v>
      </c>
      <c r="K1307" s="237" t="s">
        <v>410</v>
      </c>
      <c r="L1307" s="237" t="s">
        <v>410</v>
      </c>
      <c r="M1307" s="237" t="s">
        <v>410</v>
      </c>
      <c r="N1307" s="237" t="s">
        <v>410</v>
      </c>
      <c r="O1307" s="237" t="s">
        <v>410</v>
      </c>
      <c r="P1307" s="237" t="s">
        <v>410</v>
      </c>
      <c r="Q1307" s="237" t="s">
        <v>410</v>
      </c>
      <c r="R1307" s="237" t="s">
        <v>410</v>
      </c>
      <c r="S1307" s="237" t="s">
        <v>410</v>
      </c>
      <c r="T1307" s="237" t="s">
        <v>410</v>
      </c>
    </row>
    <row r="1308" spans="1:20" hidden="1" outlineLevel="1" x14ac:dyDescent="0.3">
      <c r="A1308" s="583" t="s">
        <v>1983</v>
      </c>
      <c r="B1308" s="591">
        <v>16</v>
      </c>
      <c r="C1308" s="583" t="s">
        <v>1256</v>
      </c>
      <c r="D1308" s="583" t="s">
        <v>1512</v>
      </c>
      <c r="E1308" s="593" t="s">
        <v>410</v>
      </c>
      <c r="F1308" s="593" t="s">
        <v>4349</v>
      </c>
      <c r="G1308" s="593" t="s">
        <v>4350</v>
      </c>
      <c r="H1308" s="593" t="s">
        <v>4351</v>
      </c>
      <c r="I1308" s="593" t="s">
        <v>4352</v>
      </c>
      <c r="J1308" s="593" t="s">
        <v>4353</v>
      </c>
      <c r="K1308" s="593" t="s">
        <v>4354</v>
      </c>
      <c r="L1308" s="237" t="s">
        <v>410</v>
      </c>
      <c r="M1308" s="237" t="s">
        <v>410</v>
      </c>
      <c r="N1308" s="237" t="s">
        <v>410</v>
      </c>
      <c r="O1308" s="237" t="s">
        <v>410</v>
      </c>
      <c r="P1308" s="237" t="s">
        <v>410</v>
      </c>
      <c r="Q1308" s="237" t="s">
        <v>410</v>
      </c>
      <c r="R1308" s="237" t="s">
        <v>410</v>
      </c>
      <c r="S1308" s="237" t="s">
        <v>410</v>
      </c>
      <c r="T1308" s="237" t="s">
        <v>410</v>
      </c>
    </row>
    <row r="1309" spans="1:20" hidden="1" outlineLevel="1" x14ac:dyDescent="0.3">
      <c r="A1309" s="583" t="s">
        <v>1946</v>
      </c>
      <c r="B1309" s="591">
        <v>21</v>
      </c>
      <c r="C1309" s="583" t="s">
        <v>1256</v>
      </c>
      <c r="D1309" s="583" t="s">
        <v>1512</v>
      </c>
      <c r="E1309" s="593" t="s">
        <v>410</v>
      </c>
      <c r="F1309" s="593" t="s">
        <v>3244</v>
      </c>
      <c r="G1309" s="593" t="s">
        <v>4025</v>
      </c>
      <c r="H1309" s="593" t="s">
        <v>4026</v>
      </c>
      <c r="I1309" s="237" t="s">
        <v>410</v>
      </c>
      <c r="J1309" s="237" t="s">
        <v>410</v>
      </c>
      <c r="K1309" s="237" t="s">
        <v>410</v>
      </c>
      <c r="L1309" s="237" t="s">
        <v>410</v>
      </c>
      <c r="M1309" s="237" t="s">
        <v>410</v>
      </c>
      <c r="N1309" s="237" t="s">
        <v>410</v>
      </c>
      <c r="O1309" s="237" t="s">
        <v>410</v>
      </c>
      <c r="P1309" s="237" t="s">
        <v>410</v>
      </c>
      <c r="Q1309" s="237" t="s">
        <v>410</v>
      </c>
      <c r="R1309" s="237" t="s">
        <v>410</v>
      </c>
      <c r="S1309" s="237" t="s">
        <v>410</v>
      </c>
      <c r="T1309" s="237" t="s">
        <v>410</v>
      </c>
    </row>
    <row r="1310" spans="1:20" hidden="1" outlineLevel="1" x14ac:dyDescent="0.3">
      <c r="A1310" s="583" t="s">
        <v>5120</v>
      </c>
      <c r="B1310" s="591">
        <v>21</v>
      </c>
      <c r="C1310" s="583" t="s">
        <v>1256</v>
      </c>
      <c r="D1310" s="583" t="s">
        <v>1512</v>
      </c>
      <c r="E1310" s="593" t="s">
        <v>410</v>
      </c>
      <c r="F1310" s="593" t="s">
        <v>4191</v>
      </c>
      <c r="G1310" s="593" t="s">
        <v>4192</v>
      </c>
      <c r="H1310" s="593" t="s">
        <v>5121</v>
      </c>
      <c r="I1310" s="237" t="s">
        <v>410</v>
      </c>
      <c r="J1310" s="237" t="s">
        <v>410</v>
      </c>
      <c r="K1310" s="237" t="s">
        <v>410</v>
      </c>
      <c r="L1310" s="237" t="s">
        <v>410</v>
      </c>
      <c r="M1310" s="237" t="s">
        <v>410</v>
      </c>
      <c r="N1310" s="237" t="s">
        <v>410</v>
      </c>
      <c r="O1310" s="237" t="s">
        <v>410</v>
      </c>
      <c r="P1310" s="237" t="s">
        <v>410</v>
      </c>
      <c r="Q1310" s="237" t="s">
        <v>410</v>
      </c>
      <c r="R1310" s="237" t="s">
        <v>410</v>
      </c>
      <c r="S1310" s="237" t="s">
        <v>410</v>
      </c>
      <c r="T1310" s="237" t="s">
        <v>410</v>
      </c>
    </row>
    <row r="1311" spans="1:20" hidden="1" outlineLevel="1" x14ac:dyDescent="0.3">
      <c r="A1311" s="583" t="s">
        <v>1961</v>
      </c>
      <c r="B1311" s="591">
        <v>21</v>
      </c>
      <c r="C1311" s="583" t="s">
        <v>1256</v>
      </c>
      <c r="D1311" s="583" t="s">
        <v>1512</v>
      </c>
      <c r="E1311" s="593" t="s">
        <v>410</v>
      </c>
      <c r="F1311" s="593" t="s">
        <v>5122</v>
      </c>
      <c r="G1311" s="593" t="s">
        <v>91</v>
      </c>
      <c r="H1311" s="593" t="s">
        <v>92</v>
      </c>
      <c r="I1311" s="593" t="s">
        <v>100</v>
      </c>
      <c r="J1311" s="593" t="s">
        <v>101</v>
      </c>
      <c r="K1311" s="593" t="s">
        <v>102</v>
      </c>
      <c r="L1311" s="593" t="s">
        <v>103</v>
      </c>
      <c r="M1311" s="593" t="s">
        <v>104</v>
      </c>
      <c r="N1311" s="237" t="s">
        <v>410</v>
      </c>
      <c r="O1311" s="237" t="s">
        <v>410</v>
      </c>
      <c r="P1311" s="237" t="s">
        <v>410</v>
      </c>
      <c r="Q1311" s="237" t="s">
        <v>410</v>
      </c>
      <c r="R1311" s="237" t="s">
        <v>410</v>
      </c>
      <c r="S1311" s="237" t="s">
        <v>410</v>
      </c>
      <c r="T1311" s="237" t="s">
        <v>410</v>
      </c>
    </row>
    <row r="1312" spans="1:20" hidden="1" outlineLevel="1" x14ac:dyDescent="0.3">
      <c r="A1312" s="583" t="s">
        <v>2238</v>
      </c>
      <c r="B1312" s="591">
        <v>0</v>
      </c>
      <c r="C1312" s="583" t="s">
        <v>1564</v>
      </c>
      <c r="D1312" s="583" t="s">
        <v>1512</v>
      </c>
      <c r="E1312" s="594" t="s">
        <v>5573</v>
      </c>
      <c r="F1312" t="s">
        <v>410</v>
      </c>
      <c r="G1312" t="s">
        <v>410</v>
      </c>
      <c r="H1312" t="s">
        <v>410</v>
      </c>
      <c r="I1312" t="s">
        <v>410</v>
      </c>
      <c r="J1312" t="s">
        <v>410</v>
      </c>
      <c r="K1312" t="s">
        <v>410</v>
      </c>
      <c r="L1312" t="s">
        <v>410</v>
      </c>
      <c r="M1312" t="s">
        <v>410</v>
      </c>
      <c r="N1312" t="s">
        <v>410</v>
      </c>
      <c r="O1312" t="s">
        <v>410</v>
      </c>
      <c r="P1312" t="s">
        <v>410</v>
      </c>
      <c r="Q1312" t="s">
        <v>410</v>
      </c>
      <c r="R1312" t="s">
        <v>410</v>
      </c>
      <c r="S1312" t="s">
        <v>410</v>
      </c>
      <c r="T1312" t="s">
        <v>410</v>
      </c>
    </row>
    <row r="1313" spans="1:20" collapsed="1" x14ac:dyDescent="0.3">
      <c r="A1313" s="583" t="s">
        <v>1478</v>
      </c>
      <c r="B1313" s="591">
        <v>1</v>
      </c>
      <c r="C1313" s="588" t="s">
        <v>1256</v>
      </c>
      <c r="D1313" s="588" t="s">
        <v>1490</v>
      </c>
      <c r="E1313" s="589" t="s">
        <v>410</v>
      </c>
      <c r="F1313" s="590" t="s">
        <v>2117</v>
      </c>
      <c r="G1313" s="590" t="s">
        <v>2118</v>
      </c>
      <c r="H1313" s="590" t="s">
        <v>2119</v>
      </c>
      <c r="I1313" s="590" t="s">
        <v>2120</v>
      </c>
      <c r="J1313" s="590" t="s">
        <v>2121</v>
      </c>
      <c r="K1313" s="590" t="s">
        <v>2122</v>
      </c>
      <c r="L1313" s="441" t="s">
        <v>410</v>
      </c>
      <c r="M1313" s="441" t="s">
        <v>410</v>
      </c>
      <c r="N1313" s="441" t="s">
        <v>410</v>
      </c>
      <c r="O1313" s="441" t="s">
        <v>410</v>
      </c>
      <c r="P1313" s="441" t="s">
        <v>410</v>
      </c>
      <c r="Q1313" s="441" t="s">
        <v>410</v>
      </c>
      <c r="R1313" s="441" t="s">
        <v>410</v>
      </c>
      <c r="S1313" s="441" t="s">
        <v>410</v>
      </c>
      <c r="T1313" s="441" t="s">
        <v>410</v>
      </c>
    </row>
    <row r="1314" spans="1:20" hidden="1" outlineLevel="1" x14ac:dyDescent="0.3">
      <c r="A1314" s="583" t="s">
        <v>5054</v>
      </c>
      <c r="B1314" s="591">
        <v>1</v>
      </c>
      <c r="C1314" s="583" t="s">
        <v>1256</v>
      </c>
      <c r="D1314" s="583" t="s">
        <v>1490</v>
      </c>
      <c r="E1314" s="592" t="s">
        <v>410</v>
      </c>
      <c r="F1314" s="593" t="s">
        <v>5205</v>
      </c>
      <c r="G1314" s="593" t="s">
        <v>5188</v>
      </c>
      <c r="H1314" s="593" t="s">
        <v>5189</v>
      </c>
      <c r="I1314" s="594" t="s">
        <v>5190</v>
      </c>
      <c r="J1314" s="237" t="s">
        <v>410</v>
      </c>
      <c r="K1314" s="237" t="s">
        <v>410</v>
      </c>
      <c r="L1314" s="237" t="s">
        <v>410</v>
      </c>
      <c r="M1314" s="237" t="s">
        <v>410</v>
      </c>
      <c r="N1314" s="237" t="s">
        <v>410</v>
      </c>
      <c r="O1314" s="237" t="s">
        <v>410</v>
      </c>
      <c r="P1314" s="237" t="s">
        <v>410</v>
      </c>
      <c r="Q1314" s="237" t="s">
        <v>410</v>
      </c>
      <c r="R1314" s="237" t="s">
        <v>410</v>
      </c>
      <c r="S1314" s="10" t="s">
        <v>410</v>
      </c>
      <c r="T1314" s="10" t="s">
        <v>410</v>
      </c>
    </row>
    <row r="1315" spans="1:20" hidden="1" outlineLevel="1" x14ac:dyDescent="0.3">
      <c r="A1315" s="583" t="s">
        <v>3368</v>
      </c>
      <c r="B1315" s="591">
        <v>1</v>
      </c>
      <c r="C1315" s="583" t="s">
        <v>1256</v>
      </c>
      <c r="D1315" s="583" t="s">
        <v>1490</v>
      </c>
      <c r="E1315" s="592" t="s">
        <v>410</v>
      </c>
      <c r="F1315" s="593" t="s">
        <v>5581</v>
      </c>
      <c r="G1315" s="593" t="s">
        <v>68</v>
      </c>
      <c r="H1315" s="593" t="s">
        <v>70</v>
      </c>
      <c r="I1315" s="593" t="s">
        <v>72</v>
      </c>
      <c r="J1315" s="593" t="s">
        <v>74</v>
      </c>
      <c r="K1315" s="237" t="s">
        <v>410</v>
      </c>
      <c r="L1315" s="237" t="s">
        <v>410</v>
      </c>
      <c r="M1315" s="237" t="s">
        <v>410</v>
      </c>
      <c r="N1315" s="237" t="s">
        <v>410</v>
      </c>
      <c r="O1315" s="237" t="s">
        <v>410</v>
      </c>
      <c r="P1315" s="237" t="s">
        <v>410</v>
      </c>
      <c r="Q1315" s="237" t="s">
        <v>410</v>
      </c>
      <c r="R1315" s="237" t="s">
        <v>410</v>
      </c>
      <c r="S1315" s="10" t="s">
        <v>410</v>
      </c>
      <c r="T1315" s="10" t="s">
        <v>410</v>
      </c>
    </row>
    <row r="1316" spans="1:20" hidden="1" outlineLevel="1" x14ac:dyDescent="0.3">
      <c r="A1316" s="583" t="s">
        <v>1673</v>
      </c>
      <c r="B1316" s="591">
        <v>1</v>
      </c>
      <c r="C1316" s="588" t="s">
        <v>1256</v>
      </c>
      <c r="D1316" s="588" t="s">
        <v>1490</v>
      </c>
      <c r="E1316" s="594">
        <v>0</v>
      </c>
      <c r="F1316" s="594">
        <v>1</v>
      </c>
      <c r="G1316" s="594">
        <v>2</v>
      </c>
      <c r="H1316" s="594">
        <v>3</v>
      </c>
      <c r="I1316" s="594">
        <v>4</v>
      </c>
      <c r="J1316" s="594">
        <v>5</v>
      </c>
      <c r="K1316" s="594">
        <v>6</v>
      </c>
      <c r="L1316" s="237" t="s">
        <v>410</v>
      </c>
      <c r="M1316" s="237" t="s">
        <v>410</v>
      </c>
      <c r="N1316" s="237" t="s">
        <v>410</v>
      </c>
      <c r="O1316" s="237" t="s">
        <v>410</v>
      </c>
      <c r="P1316" s="237" t="s">
        <v>410</v>
      </c>
      <c r="Q1316" s="237" t="s">
        <v>410</v>
      </c>
      <c r="R1316" s="237" t="s">
        <v>410</v>
      </c>
      <c r="S1316" s="10" t="s">
        <v>410</v>
      </c>
      <c r="T1316" s="10" t="s">
        <v>410</v>
      </c>
    </row>
    <row r="1317" spans="1:20" hidden="1" outlineLevel="1" x14ac:dyDescent="0.3">
      <c r="A1317" s="583" t="s">
        <v>1767</v>
      </c>
      <c r="B1317" s="591">
        <v>1</v>
      </c>
      <c r="C1317" s="583" t="s">
        <v>1256</v>
      </c>
      <c r="D1317" s="588" t="s">
        <v>1490</v>
      </c>
      <c r="E1317" s="593" t="s">
        <v>3250</v>
      </c>
      <c r="F1317" s="593" t="s">
        <v>3251</v>
      </c>
      <c r="G1317" s="593" t="s">
        <v>3252</v>
      </c>
      <c r="H1317" s="593" t="s">
        <v>3253</v>
      </c>
      <c r="I1317" s="593" t="s">
        <v>3254</v>
      </c>
      <c r="J1317" s="593" t="s">
        <v>410</v>
      </c>
      <c r="K1317" s="237" t="s">
        <v>410</v>
      </c>
      <c r="L1317" s="237" t="s">
        <v>410</v>
      </c>
      <c r="M1317" s="237" t="s">
        <v>410</v>
      </c>
      <c r="N1317" s="237" t="s">
        <v>410</v>
      </c>
      <c r="O1317" s="237" t="s">
        <v>410</v>
      </c>
      <c r="P1317" s="237" t="s">
        <v>410</v>
      </c>
      <c r="Q1317" s="237" t="s">
        <v>410</v>
      </c>
      <c r="R1317" s="237" t="s">
        <v>410</v>
      </c>
      <c r="S1317" s="10" t="s">
        <v>410</v>
      </c>
      <c r="T1317" s="10" t="s">
        <v>410</v>
      </c>
    </row>
    <row r="1318" spans="1:20" hidden="1" outlineLevel="1" x14ac:dyDescent="0.3">
      <c r="A1318" s="583" t="s">
        <v>1821</v>
      </c>
      <c r="B1318" s="591">
        <v>1</v>
      </c>
      <c r="C1318" s="583" t="s">
        <v>1256</v>
      </c>
      <c r="D1318" s="583" t="s">
        <v>1490</v>
      </c>
      <c r="E1318" s="592" t="s">
        <v>65</v>
      </c>
      <c r="F1318" s="593" t="s">
        <v>66</v>
      </c>
      <c r="G1318" s="593" t="s">
        <v>67</v>
      </c>
      <c r="H1318" s="593" t="s">
        <v>68</v>
      </c>
      <c r="I1318" s="593" t="s">
        <v>70</v>
      </c>
      <c r="J1318" s="237" t="s">
        <v>410</v>
      </c>
      <c r="K1318" s="237" t="s">
        <v>410</v>
      </c>
      <c r="L1318" s="237" t="s">
        <v>410</v>
      </c>
      <c r="M1318" s="237" t="s">
        <v>410</v>
      </c>
      <c r="N1318" s="237" t="s">
        <v>410</v>
      </c>
      <c r="O1318" s="237" t="s">
        <v>410</v>
      </c>
      <c r="P1318" s="237" t="s">
        <v>410</v>
      </c>
      <c r="Q1318" s="237" t="s">
        <v>410</v>
      </c>
      <c r="R1318" s="237" t="s">
        <v>410</v>
      </c>
      <c r="S1318" s="10" t="s">
        <v>410</v>
      </c>
      <c r="T1318" s="10" t="s">
        <v>410</v>
      </c>
    </row>
    <row r="1319" spans="1:20" hidden="1" outlineLevel="1" x14ac:dyDescent="0.3">
      <c r="A1319" s="583" t="s">
        <v>1867</v>
      </c>
      <c r="B1319" s="591">
        <v>1</v>
      </c>
      <c r="C1319" s="583" t="s">
        <v>1256</v>
      </c>
      <c r="D1319" s="583" t="s">
        <v>1490</v>
      </c>
      <c r="E1319" s="592" t="s">
        <v>410</v>
      </c>
      <c r="F1319" s="593" t="s">
        <v>2243</v>
      </c>
      <c r="G1319" s="593" t="s">
        <v>2244</v>
      </c>
      <c r="H1319" s="593" t="s">
        <v>2245</v>
      </c>
      <c r="I1319" s="593" t="s">
        <v>2246</v>
      </c>
      <c r="J1319" s="237" t="s">
        <v>410</v>
      </c>
      <c r="K1319" s="237" t="s">
        <v>410</v>
      </c>
      <c r="L1319" s="237" t="s">
        <v>410</v>
      </c>
      <c r="M1319" s="237" t="s">
        <v>410</v>
      </c>
      <c r="N1319" s="237" t="s">
        <v>410</v>
      </c>
      <c r="O1319" s="237" t="s">
        <v>410</v>
      </c>
      <c r="P1319" s="237" t="s">
        <v>410</v>
      </c>
      <c r="Q1319" s="237" t="s">
        <v>410</v>
      </c>
      <c r="R1319" s="237" t="s">
        <v>410</v>
      </c>
      <c r="S1319" s="10" t="s">
        <v>410</v>
      </c>
      <c r="T1319" s="10" t="s">
        <v>410</v>
      </c>
    </row>
    <row r="1320" spans="1:20" hidden="1" outlineLevel="1" x14ac:dyDescent="0.3">
      <c r="A1320" s="583" t="s">
        <v>1892</v>
      </c>
      <c r="B1320" s="591">
        <v>1</v>
      </c>
      <c r="C1320" s="583" t="s">
        <v>1256</v>
      </c>
      <c r="D1320" s="583" t="s">
        <v>1490</v>
      </c>
      <c r="E1320" s="592" t="s">
        <v>410</v>
      </c>
      <c r="F1320" s="593" t="s">
        <v>67</v>
      </c>
      <c r="G1320" s="593" t="s">
        <v>68</v>
      </c>
      <c r="H1320" s="593" t="s">
        <v>70</v>
      </c>
      <c r="I1320" s="594">
        <f>IF(CHR&lt;4,4,CHR)</f>
        <v>4</v>
      </c>
      <c r="J1320" s="237" t="s">
        <v>410</v>
      </c>
      <c r="K1320" s="237" t="s">
        <v>410</v>
      </c>
      <c r="L1320" s="237" t="s">
        <v>410</v>
      </c>
      <c r="M1320" s="237" t="s">
        <v>410</v>
      </c>
      <c r="N1320" s="237" t="s">
        <v>410</v>
      </c>
      <c r="O1320" s="237" t="s">
        <v>410</v>
      </c>
      <c r="P1320" s="237" t="s">
        <v>410</v>
      </c>
      <c r="Q1320" s="237" t="s">
        <v>410</v>
      </c>
      <c r="R1320" s="237" t="s">
        <v>410</v>
      </c>
      <c r="S1320" s="10" t="s">
        <v>410</v>
      </c>
      <c r="T1320" s="10" t="s">
        <v>410</v>
      </c>
    </row>
    <row r="1321" spans="1:20" hidden="1" outlineLevel="1" x14ac:dyDescent="0.3">
      <c r="A1321" s="583" t="s">
        <v>5057</v>
      </c>
      <c r="B1321" s="591">
        <v>1</v>
      </c>
      <c r="C1321" s="583" t="s">
        <v>1256</v>
      </c>
      <c r="D1321" s="583" t="s">
        <v>1490</v>
      </c>
      <c r="E1321" s="592" t="s">
        <v>410</v>
      </c>
      <c r="F1321" s="593"/>
      <c r="G1321" s="237" t="s">
        <v>410</v>
      </c>
      <c r="H1321" s="237" t="s">
        <v>410</v>
      </c>
      <c r="I1321" s="237" t="s">
        <v>410</v>
      </c>
      <c r="J1321" s="237" t="s">
        <v>410</v>
      </c>
      <c r="K1321" s="237" t="s">
        <v>410</v>
      </c>
      <c r="L1321" s="237" t="s">
        <v>410</v>
      </c>
      <c r="M1321" s="237" t="s">
        <v>410</v>
      </c>
      <c r="N1321" s="237" t="s">
        <v>410</v>
      </c>
      <c r="O1321" s="237" t="s">
        <v>410</v>
      </c>
      <c r="P1321" s="237" t="s">
        <v>410</v>
      </c>
      <c r="Q1321" s="237" t="s">
        <v>410</v>
      </c>
      <c r="R1321" s="237" t="s">
        <v>410</v>
      </c>
      <c r="S1321" s="10" t="s">
        <v>410</v>
      </c>
      <c r="T1321" s="10" t="s">
        <v>410</v>
      </c>
    </row>
    <row r="1322" spans="1:20" hidden="1" outlineLevel="1" x14ac:dyDescent="0.3">
      <c r="A1322" s="583" t="s">
        <v>1929</v>
      </c>
      <c r="B1322" s="591">
        <v>1</v>
      </c>
      <c r="C1322" s="583" t="s">
        <v>1256</v>
      </c>
      <c r="D1322" s="583" t="s">
        <v>1490</v>
      </c>
      <c r="E1322" s="592" t="s">
        <v>410</v>
      </c>
      <c r="F1322" s="593" t="s">
        <v>67</v>
      </c>
      <c r="G1322" s="593" t="s">
        <v>68</v>
      </c>
      <c r="H1322" s="593" t="s">
        <v>70</v>
      </c>
      <c r="I1322" s="593" t="s">
        <v>72</v>
      </c>
      <c r="J1322" s="237" t="s">
        <v>410</v>
      </c>
      <c r="K1322" s="237" t="s">
        <v>410</v>
      </c>
      <c r="L1322" s="237" t="s">
        <v>410</v>
      </c>
      <c r="M1322" s="237" t="s">
        <v>410</v>
      </c>
      <c r="N1322" s="237" t="s">
        <v>410</v>
      </c>
      <c r="O1322" s="237" t="s">
        <v>410</v>
      </c>
      <c r="P1322" s="237" t="s">
        <v>410</v>
      </c>
      <c r="Q1322" s="237" t="s">
        <v>410</v>
      </c>
      <c r="R1322" s="237" t="s">
        <v>410</v>
      </c>
      <c r="S1322" s="10" t="s">
        <v>410</v>
      </c>
      <c r="T1322" s="10" t="s">
        <v>410</v>
      </c>
    </row>
    <row r="1323" spans="1:20" hidden="1" outlineLevel="1" x14ac:dyDescent="0.3">
      <c r="A1323" s="583" t="s">
        <v>1937</v>
      </c>
      <c r="B1323" s="591">
        <v>1</v>
      </c>
      <c r="C1323" s="583" t="s">
        <v>1256</v>
      </c>
      <c r="D1323" s="583" t="s">
        <v>1490</v>
      </c>
      <c r="E1323" s="592" t="s">
        <v>410</v>
      </c>
      <c r="F1323" s="593" t="s">
        <v>67</v>
      </c>
      <c r="G1323" s="593" t="s">
        <v>68</v>
      </c>
      <c r="H1323" s="593" t="s">
        <v>70</v>
      </c>
      <c r="I1323" s="593" t="s">
        <v>72</v>
      </c>
      <c r="J1323" s="237" t="s">
        <v>410</v>
      </c>
      <c r="K1323" s="237" t="s">
        <v>410</v>
      </c>
      <c r="L1323" s="237" t="s">
        <v>410</v>
      </c>
      <c r="M1323" s="237" t="s">
        <v>410</v>
      </c>
      <c r="N1323" s="237" t="s">
        <v>410</v>
      </c>
      <c r="O1323" s="237" t="s">
        <v>410</v>
      </c>
      <c r="P1323" s="237" t="s">
        <v>410</v>
      </c>
      <c r="Q1323" s="237" t="s">
        <v>410</v>
      </c>
      <c r="R1323" s="237" t="s">
        <v>410</v>
      </c>
      <c r="S1323" s="10" t="s">
        <v>410</v>
      </c>
      <c r="T1323" s="10" t="s">
        <v>410</v>
      </c>
    </row>
    <row r="1324" spans="1:20" hidden="1" outlineLevel="1" x14ac:dyDescent="0.3">
      <c r="A1324" s="583" t="s">
        <v>5124</v>
      </c>
      <c r="B1324" s="591">
        <v>1</v>
      </c>
      <c r="C1324" s="583" t="s">
        <v>1256</v>
      </c>
      <c r="D1324" s="583" t="s">
        <v>1490</v>
      </c>
      <c r="E1324" s="592" t="s">
        <v>410</v>
      </c>
      <c r="F1324" s="593"/>
      <c r="G1324" s="237" t="s">
        <v>410</v>
      </c>
      <c r="H1324" s="237" t="s">
        <v>410</v>
      </c>
      <c r="I1324" s="237" t="s">
        <v>410</v>
      </c>
      <c r="J1324" s="237" t="s">
        <v>410</v>
      </c>
      <c r="K1324" s="237" t="s">
        <v>410</v>
      </c>
      <c r="L1324" s="237" t="s">
        <v>410</v>
      </c>
      <c r="M1324" s="237" t="s">
        <v>410</v>
      </c>
      <c r="N1324" s="237" t="s">
        <v>410</v>
      </c>
      <c r="O1324" s="237" t="s">
        <v>410</v>
      </c>
      <c r="P1324" s="237" t="s">
        <v>410</v>
      </c>
      <c r="Q1324" s="237" t="s">
        <v>410</v>
      </c>
      <c r="R1324" s="237" t="s">
        <v>410</v>
      </c>
      <c r="S1324" s="10" t="s">
        <v>410</v>
      </c>
      <c r="T1324" s="10" t="s">
        <v>410</v>
      </c>
    </row>
    <row r="1325" spans="1:20" hidden="1" outlineLevel="1" x14ac:dyDescent="0.3">
      <c r="A1325" s="583" t="s">
        <v>5203</v>
      </c>
      <c r="B1325" s="591">
        <v>1</v>
      </c>
      <c r="C1325" s="583" t="s">
        <v>1256</v>
      </c>
      <c r="D1325" s="583" t="s">
        <v>1490</v>
      </c>
      <c r="E1325" s="592" t="s">
        <v>410</v>
      </c>
      <c r="F1325" s="593" t="s">
        <v>1482</v>
      </c>
      <c r="G1325" s="593" t="s">
        <v>3433</v>
      </c>
      <c r="H1325" s="593" t="s">
        <v>3435</v>
      </c>
      <c r="I1325" s="594" t="s">
        <v>4298</v>
      </c>
      <c r="J1325" s="594" t="s">
        <v>4299</v>
      </c>
      <c r="K1325" s="237" t="s">
        <v>410</v>
      </c>
      <c r="L1325" s="237" t="s">
        <v>410</v>
      </c>
      <c r="M1325" s="237" t="s">
        <v>410</v>
      </c>
      <c r="N1325" s="237" t="s">
        <v>410</v>
      </c>
      <c r="O1325" s="237" t="s">
        <v>410</v>
      </c>
      <c r="P1325" s="237" t="s">
        <v>410</v>
      </c>
      <c r="Q1325" s="237" t="s">
        <v>410</v>
      </c>
      <c r="R1325" s="237" t="s">
        <v>410</v>
      </c>
      <c r="S1325" s="10" t="s">
        <v>410</v>
      </c>
      <c r="T1325" s="10" t="s">
        <v>410</v>
      </c>
    </row>
    <row r="1326" spans="1:20" hidden="1" outlineLevel="1" x14ac:dyDescent="0.3">
      <c r="A1326" s="583" t="s">
        <v>1477</v>
      </c>
      <c r="B1326" s="591">
        <v>2</v>
      </c>
      <c r="C1326" s="588" t="s">
        <v>1256</v>
      </c>
      <c r="D1326" s="588" t="s">
        <v>1490</v>
      </c>
      <c r="E1326" s="589" t="s">
        <v>410</v>
      </c>
      <c r="F1326" s="590" t="s">
        <v>1525</v>
      </c>
      <c r="G1326" s="590" t="s">
        <v>3316</v>
      </c>
      <c r="H1326" s="590" t="s">
        <v>4233</v>
      </c>
      <c r="I1326" s="590" t="s">
        <v>4234</v>
      </c>
      <c r="J1326" s="441" t="s">
        <v>410</v>
      </c>
      <c r="K1326" s="441" t="s">
        <v>410</v>
      </c>
      <c r="L1326" s="441" t="s">
        <v>410</v>
      </c>
      <c r="M1326" s="441" t="s">
        <v>410</v>
      </c>
      <c r="N1326" s="441" t="s">
        <v>410</v>
      </c>
      <c r="O1326" s="441" t="s">
        <v>410</v>
      </c>
      <c r="P1326" s="441" t="s">
        <v>410</v>
      </c>
      <c r="Q1326" s="441" t="s">
        <v>410</v>
      </c>
      <c r="R1326" s="441" t="s">
        <v>410</v>
      </c>
      <c r="S1326" s="441" t="s">
        <v>410</v>
      </c>
      <c r="T1326" s="441" t="s">
        <v>410</v>
      </c>
    </row>
    <row r="1327" spans="1:20" hidden="1" outlineLevel="1" x14ac:dyDescent="0.3">
      <c r="A1327" s="583" t="s">
        <v>1844</v>
      </c>
      <c r="B1327" s="591">
        <v>2</v>
      </c>
      <c r="C1327" s="583" t="s">
        <v>1256</v>
      </c>
      <c r="D1327" s="583" t="s">
        <v>1490</v>
      </c>
      <c r="E1327" s="592" t="s">
        <v>410</v>
      </c>
      <c r="F1327" s="593" t="s">
        <v>5492</v>
      </c>
      <c r="G1327" s="593" t="s">
        <v>5493</v>
      </c>
      <c r="H1327" s="593" t="s">
        <v>5494</v>
      </c>
      <c r="I1327" s="593" t="s">
        <v>5490</v>
      </c>
      <c r="J1327" s="593" t="s">
        <v>5491</v>
      </c>
      <c r="K1327" s="237" t="s">
        <v>410</v>
      </c>
      <c r="L1327" s="237" t="s">
        <v>410</v>
      </c>
      <c r="M1327" s="237" t="s">
        <v>410</v>
      </c>
      <c r="N1327" s="237" t="s">
        <v>410</v>
      </c>
      <c r="O1327" s="237" t="s">
        <v>410</v>
      </c>
      <c r="P1327" s="237" t="s">
        <v>410</v>
      </c>
      <c r="Q1327" s="237" t="s">
        <v>410</v>
      </c>
      <c r="R1327" s="237" t="s">
        <v>410</v>
      </c>
      <c r="S1327" s="10" t="s">
        <v>410</v>
      </c>
      <c r="T1327" s="10" t="s">
        <v>410</v>
      </c>
    </row>
    <row r="1328" spans="1:20" hidden="1" outlineLevel="1" x14ac:dyDescent="0.3">
      <c r="A1328" s="583" t="s">
        <v>1770</v>
      </c>
      <c r="B1328" s="591">
        <v>3</v>
      </c>
      <c r="C1328" s="583" t="s">
        <v>1256</v>
      </c>
      <c r="D1328" s="583" t="s">
        <v>1490</v>
      </c>
      <c r="E1328" s="592" t="s">
        <v>410</v>
      </c>
      <c r="F1328" s="594" t="str">
        <f>CONCATENATE(TEXT(69+'1-Vlastnosti'!$D$8,0),"%-3%/den")</f>
        <v>65%-3%/den</v>
      </c>
      <c r="G1328" s="594" t="str">
        <f>CONCATENATE(TEXT(84+'1-Vlastnosti'!$D$8,0),"%-2%/den")</f>
        <v>80%-2%/den</v>
      </c>
      <c r="H1328" s="594" t="str">
        <f>CONCATENATE(TEXT(99+'1-Vlastnosti'!$D$8,0),"%-1%/den")</f>
        <v>95%-1%/den</v>
      </c>
      <c r="I1328" s="593" t="s">
        <v>410</v>
      </c>
      <c r="J1328" s="593" t="s">
        <v>410</v>
      </c>
      <c r="K1328" s="237" t="s">
        <v>410</v>
      </c>
      <c r="L1328" s="237" t="s">
        <v>410</v>
      </c>
      <c r="M1328" s="237" t="s">
        <v>410</v>
      </c>
      <c r="N1328" s="237" t="s">
        <v>410</v>
      </c>
      <c r="O1328" s="237" t="s">
        <v>410</v>
      </c>
      <c r="P1328" s="237" t="s">
        <v>410</v>
      </c>
      <c r="Q1328" s="237" t="s">
        <v>410</v>
      </c>
      <c r="R1328" s="237" t="s">
        <v>410</v>
      </c>
      <c r="S1328" s="10" t="s">
        <v>410</v>
      </c>
      <c r="T1328" s="10" t="s">
        <v>410</v>
      </c>
    </row>
    <row r="1329" spans="1:20" hidden="1" outlineLevel="1" x14ac:dyDescent="0.3">
      <c r="A1329" s="583" t="s">
        <v>1838</v>
      </c>
      <c r="B1329" s="591">
        <v>3</v>
      </c>
      <c r="C1329" s="583" t="s">
        <v>1256</v>
      </c>
      <c r="D1329" s="583" t="s">
        <v>1490</v>
      </c>
      <c r="E1329" s="592" t="s">
        <v>410</v>
      </c>
      <c r="F1329" s="593" t="s">
        <v>1839</v>
      </c>
      <c r="G1329" s="593" t="s">
        <v>1840</v>
      </c>
      <c r="H1329" s="593" t="s">
        <v>3198</v>
      </c>
      <c r="I1329" s="593" t="s">
        <v>1841</v>
      </c>
      <c r="J1329" s="593" t="s">
        <v>1842</v>
      </c>
      <c r="K1329" s="237" t="s">
        <v>410</v>
      </c>
      <c r="L1329" s="237" t="s">
        <v>410</v>
      </c>
      <c r="M1329" s="237" t="s">
        <v>410</v>
      </c>
      <c r="N1329" s="237" t="s">
        <v>410</v>
      </c>
      <c r="O1329" s="237" t="s">
        <v>410</v>
      </c>
      <c r="P1329" s="237" t="s">
        <v>410</v>
      </c>
      <c r="Q1329" s="237" t="s">
        <v>410</v>
      </c>
      <c r="R1329" s="237" t="s">
        <v>410</v>
      </c>
      <c r="S1329" s="10" t="s">
        <v>410</v>
      </c>
      <c r="T1329" s="10" t="s">
        <v>410</v>
      </c>
    </row>
    <row r="1330" spans="1:20" hidden="1" outlineLevel="1" x14ac:dyDescent="0.3">
      <c r="A1330" s="583" t="s">
        <v>1915</v>
      </c>
      <c r="B1330" s="591">
        <v>3</v>
      </c>
      <c r="C1330" s="583" t="s">
        <v>1256</v>
      </c>
      <c r="D1330" s="583" t="s">
        <v>1490</v>
      </c>
      <c r="E1330" s="592" t="s">
        <v>410</v>
      </c>
      <c r="F1330" s="593" t="s">
        <v>1916</v>
      </c>
      <c r="G1330" s="593" t="s">
        <v>1917</v>
      </c>
      <c r="H1330" s="593" t="s">
        <v>3202</v>
      </c>
      <c r="I1330" s="237" t="s">
        <v>410</v>
      </c>
      <c r="J1330" s="237" t="s">
        <v>410</v>
      </c>
      <c r="K1330" s="237" t="s">
        <v>410</v>
      </c>
      <c r="L1330" s="237" t="s">
        <v>410</v>
      </c>
      <c r="M1330" s="237" t="s">
        <v>410</v>
      </c>
      <c r="N1330" s="237" t="s">
        <v>410</v>
      </c>
      <c r="O1330" s="237" t="s">
        <v>410</v>
      </c>
      <c r="P1330" s="237" t="s">
        <v>410</v>
      </c>
      <c r="Q1330" s="237" t="s">
        <v>410</v>
      </c>
      <c r="R1330" s="237" t="s">
        <v>410</v>
      </c>
      <c r="S1330" s="10" t="s">
        <v>410</v>
      </c>
      <c r="T1330" s="10" t="s">
        <v>410</v>
      </c>
    </row>
    <row r="1331" spans="1:20" hidden="1" outlineLevel="1" x14ac:dyDescent="0.3">
      <c r="A1331" s="583" t="s">
        <v>5485</v>
      </c>
      <c r="B1331" s="591">
        <v>5</v>
      </c>
      <c r="C1331" s="583" t="s">
        <v>1256</v>
      </c>
      <c r="D1331" s="583" t="s">
        <v>1490</v>
      </c>
      <c r="E1331" s="592" t="s">
        <v>410</v>
      </c>
      <c r="F1331" s="593" t="s">
        <v>3269</v>
      </c>
      <c r="G1331" s="593" t="s">
        <v>3270</v>
      </c>
      <c r="H1331" s="593" t="s">
        <v>3271</v>
      </c>
      <c r="I1331" s="593" t="s">
        <v>3272</v>
      </c>
      <c r="J1331" s="593" t="s">
        <v>4303</v>
      </c>
      <c r="K1331" s="237" t="s">
        <v>410</v>
      </c>
      <c r="L1331" s="237" t="s">
        <v>410</v>
      </c>
      <c r="M1331" s="237" t="s">
        <v>410</v>
      </c>
      <c r="N1331" s="237" t="s">
        <v>410</v>
      </c>
      <c r="O1331" s="237" t="s">
        <v>410</v>
      </c>
      <c r="P1331" s="237" t="s">
        <v>410</v>
      </c>
      <c r="Q1331" s="237" t="s">
        <v>410</v>
      </c>
      <c r="R1331" s="237" t="s">
        <v>410</v>
      </c>
      <c r="S1331" s="10" t="s">
        <v>410</v>
      </c>
      <c r="T1331" s="10" t="s">
        <v>410</v>
      </c>
    </row>
    <row r="1332" spans="1:20" hidden="1" outlineLevel="1" x14ac:dyDescent="0.3">
      <c r="A1332" s="583" t="s">
        <v>1623</v>
      </c>
      <c r="B1332" s="591">
        <v>6</v>
      </c>
      <c r="C1332" s="588" t="s">
        <v>1256</v>
      </c>
      <c r="D1332" s="588" t="s">
        <v>1490</v>
      </c>
      <c r="E1332" s="592" t="s">
        <v>410</v>
      </c>
      <c r="F1332" s="589" t="s">
        <v>67</v>
      </c>
      <c r="G1332" s="592" t="s">
        <v>68</v>
      </c>
      <c r="H1332" s="592" t="s">
        <v>70</v>
      </c>
      <c r="I1332" s="614" t="str">
        <f>CONCATENATE("+",TEXT(IF(ZRČ&gt;4,ZRČ,4),0))</f>
        <v>+4</v>
      </c>
      <c r="J1332" s="441" t="s">
        <v>410</v>
      </c>
      <c r="K1332" s="441" t="s">
        <v>410</v>
      </c>
      <c r="L1332" s="441" t="s">
        <v>410</v>
      </c>
      <c r="M1332" s="441" t="s">
        <v>410</v>
      </c>
      <c r="N1332" s="441" t="s">
        <v>410</v>
      </c>
      <c r="O1332" s="441" t="s">
        <v>410</v>
      </c>
      <c r="P1332" s="441" t="s">
        <v>410</v>
      </c>
      <c r="Q1332" s="441" t="s">
        <v>410</v>
      </c>
      <c r="R1332" s="441" t="s">
        <v>410</v>
      </c>
      <c r="S1332" s="441" t="s">
        <v>410</v>
      </c>
      <c r="T1332" s="441" t="s">
        <v>410</v>
      </c>
    </row>
    <row r="1333" spans="1:20" hidden="1" outlineLevel="1" x14ac:dyDescent="0.3">
      <c r="A1333" s="583" t="s">
        <v>919</v>
      </c>
      <c r="B1333" s="591">
        <v>6</v>
      </c>
      <c r="C1333" s="583" t="s">
        <v>1256</v>
      </c>
      <c r="D1333" s="583" t="s">
        <v>1490</v>
      </c>
      <c r="E1333" s="592" t="s">
        <v>2011</v>
      </c>
      <c r="F1333" s="593" t="s">
        <v>3462</v>
      </c>
      <c r="G1333" s="593" t="s">
        <v>1783</v>
      </c>
      <c r="H1333" s="593" t="s">
        <v>1753</v>
      </c>
      <c r="I1333" s="593" t="s">
        <v>1784</v>
      </c>
      <c r="J1333" s="593" t="s">
        <v>1754</v>
      </c>
      <c r="K1333" s="237" t="s">
        <v>410</v>
      </c>
      <c r="L1333" s="237" t="s">
        <v>410</v>
      </c>
      <c r="M1333" s="237" t="s">
        <v>410</v>
      </c>
      <c r="N1333" s="237" t="s">
        <v>410</v>
      </c>
      <c r="O1333" s="237" t="s">
        <v>410</v>
      </c>
      <c r="P1333" s="237" t="s">
        <v>410</v>
      </c>
      <c r="Q1333" s="237" t="s">
        <v>410</v>
      </c>
      <c r="R1333" s="237" t="s">
        <v>410</v>
      </c>
      <c r="S1333" s="10" t="s">
        <v>410</v>
      </c>
      <c r="T1333" s="10" t="s">
        <v>410</v>
      </c>
    </row>
    <row r="1334" spans="1:20" hidden="1" outlineLevel="1" x14ac:dyDescent="0.3">
      <c r="A1334" s="583" t="s">
        <v>1789</v>
      </c>
      <c r="B1334" s="591">
        <v>6</v>
      </c>
      <c r="C1334" s="583" t="s">
        <v>1256</v>
      </c>
      <c r="D1334" s="583" t="s">
        <v>1490</v>
      </c>
      <c r="E1334" s="592" t="s">
        <v>410</v>
      </c>
      <c r="F1334" s="593" t="s">
        <v>66</v>
      </c>
      <c r="G1334" s="593" t="s">
        <v>67</v>
      </c>
      <c r="H1334" s="593" t="s">
        <v>68</v>
      </c>
      <c r="I1334" s="593" t="s">
        <v>70</v>
      </c>
      <c r="J1334" s="593" t="s">
        <v>72</v>
      </c>
      <c r="K1334" s="593" t="s">
        <v>74</v>
      </c>
      <c r="L1334" s="237" t="s">
        <v>410</v>
      </c>
      <c r="M1334" s="237" t="s">
        <v>410</v>
      </c>
      <c r="N1334" s="237" t="s">
        <v>410</v>
      </c>
      <c r="O1334" s="237" t="s">
        <v>410</v>
      </c>
      <c r="P1334" s="237" t="s">
        <v>410</v>
      </c>
      <c r="Q1334" s="237" t="s">
        <v>410</v>
      </c>
      <c r="R1334" s="237" t="s">
        <v>410</v>
      </c>
      <c r="S1334" s="10" t="s">
        <v>410</v>
      </c>
      <c r="T1334" s="10" t="s">
        <v>410</v>
      </c>
    </row>
    <row r="1335" spans="1:20" hidden="1" outlineLevel="1" x14ac:dyDescent="0.3">
      <c r="A1335" s="583" t="s">
        <v>4315</v>
      </c>
      <c r="B1335" s="591">
        <v>6</v>
      </c>
      <c r="C1335" s="583" t="s">
        <v>1256</v>
      </c>
      <c r="D1335" s="583" t="s">
        <v>1490</v>
      </c>
      <c r="E1335" s="592" t="s">
        <v>410</v>
      </c>
      <c r="F1335" s="593" t="s">
        <v>4316</v>
      </c>
      <c r="G1335" s="593" t="s">
        <v>4317</v>
      </c>
      <c r="H1335" s="593" t="s">
        <v>4318</v>
      </c>
      <c r="I1335" s="593" t="s">
        <v>4319</v>
      </c>
      <c r="J1335" s="593" t="s">
        <v>4320</v>
      </c>
      <c r="K1335" s="237" t="s">
        <v>410</v>
      </c>
      <c r="L1335" s="237" t="s">
        <v>410</v>
      </c>
      <c r="M1335" s="237" t="s">
        <v>410</v>
      </c>
      <c r="N1335" s="237" t="s">
        <v>410</v>
      </c>
      <c r="O1335" s="237" t="s">
        <v>410</v>
      </c>
      <c r="P1335" s="237" t="s">
        <v>410</v>
      </c>
      <c r="Q1335" s="237" t="s">
        <v>410</v>
      </c>
      <c r="R1335" s="237" t="s">
        <v>410</v>
      </c>
      <c r="S1335" s="10" t="s">
        <v>410</v>
      </c>
      <c r="T1335" s="10" t="s">
        <v>410</v>
      </c>
    </row>
    <row r="1336" spans="1:20" hidden="1" outlineLevel="1" x14ac:dyDescent="0.3">
      <c r="A1336" s="583" t="s">
        <v>1882</v>
      </c>
      <c r="B1336" s="591">
        <v>6</v>
      </c>
      <c r="C1336" s="583" t="s">
        <v>1256</v>
      </c>
      <c r="D1336" s="583" t="s">
        <v>1490</v>
      </c>
      <c r="E1336" s="592" t="s">
        <v>410</v>
      </c>
      <c r="F1336" s="593">
        <v>4</v>
      </c>
      <c r="G1336" s="593">
        <v>8</v>
      </c>
      <c r="H1336" s="593" t="s">
        <v>2558</v>
      </c>
      <c r="I1336" s="593" t="s">
        <v>2591</v>
      </c>
      <c r="J1336" s="593" t="s">
        <v>2662</v>
      </c>
      <c r="K1336" s="910" t="s">
        <v>410</v>
      </c>
      <c r="L1336" s="910" t="s">
        <v>410</v>
      </c>
      <c r="M1336" s="910" t="s">
        <v>410</v>
      </c>
      <c r="N1336" s="910" t="s">
        <v>410</v>
      </c>
      <c r="O1336" s="910" t="s">
        <v>410</v>
      </c>
      <c r="P1336" s="910" t="s">
        <v>410</v>
      </c>
      <c r="Q1336" s="910" t="s">
        <v>410</v>
      </c>
      <c r="R1336" s="910" t="s">
        <v>410</v>
      </c>
      <c r="S1336" s="855" t="s">
        <v>410</v>
      </c>
      <c r="T1336" s="855" t="s">
        <v>410</v>
      </c>
    </row>
    <row r="1337" spans="1:20" hidden="1" outlineLevel="1" x14ac:dyDescent="0.3">
      <c r="A1337" s="583" t="s">
        <v>1920</v>
      </c>
      <c r="B1337" s="591">
        <v>6</v>
      </c>
      <c r="C1337" s="583" t="s">
        <v>1256</v>
      </c>
      <c r="D1337" s="583" t="s">
        <v>1490</v>
      </c>
      <c r="E1337" s="10" t="s">
        <v>410</v>
      </c>
      <c r="F1337" s="593" t="s">
        <v>67</v>
      </c>
      <c r="G1337" s="593" t="s">
        <v>68</v>
      </c>
      <c r="H1337" s="593" t="s">
        <v>70</v>
      </c>
      <c r="I1337" s="593" t="s">
        <v>72</v>
      </c>
      <c r="J1337" s="237" t="s">
        <v>410</v>
      </c>
      <c r="K1337" s="237" t="s">
        <v>410</v>
      </c>
      <c r="L1337" s="237" t="s">
        <v>410</v>
      </c>
      <c r="M1337" s="237" t="s">
        <v>410</v>
      </c>
      <c r="N1337" s="237" t="s">
        <v>410</v>
      </c>
      <c r="O1337" s="237" t="s">
        <v>410</v>
      </c>
      <c r="P1337" s="237" t="s">
        <v>410</v>
      </c>
      <c r="Q1337" s="237" t="s">
        <v>410</v>
      </c>
      <c r="R1337" s="237" t="s">
        <v>410</v>
      </c>
      <c r="S1337" s="10" t="s">
        <v>410</v>
      </c>
      <c r="T1337" s="10" t="s">
        <v>410</v>
      </c>
    </row>
    <row r="1338" spans="1:20" hidden="1" outlineLevel="1" x14ac:dyDescent="0.3">
      <c r="A1338" s="583" t="s">
        <v>4189</v>
      </c>
      <c r="B1338" s="591">
        <v>6</v>
      </c>
      <c r="C1338" s="583" t="s">
        <v>1256</v>
      </c>
      <c r="D1338" s="583" t="s">
        <v>1490</v>
      </c>
      <c r="E1338" s="592" t="s">
        <v>410</v>
      </c>
      <c r="F1338" s="593" t="s">
        <v>4304</v>
      </c>
      <c r="G1338" s="593" t="s">
        <v>4305</v>
      </c>
      <c r="H1338" s="593" t="s">
        <v>4306</v>
      </c>
      <c r="I1338" s="593" t="s">
        <v>4307</v>
      </c>
      <c r="J1338" s="593" t="s">
        <v>4308</v>
      </c>
      <c r="K1338" s="593" t="s">
        <v>4309</v>
      </c>
      <c r="L1338" s="593" t="s">
        <v>4310</v>
      </c>
      <c r="M1338" s="593" t="s">
        <v>4311</v>
      </c>
      <c r="N1338" s="910" t="s">
        <v>410</v>
      </c>
      <c r="O1338" s="910" t="s">
        <v>410</v>
      </c>
      <c r="P1338" s="910" t="s">
        <v>410</v>
      </c>
      <c r="Q1338" s="910" t="s">
        <v>410</v>
      </c>
      <c r="R1338" s="910" t="s">
        <v>410</v>
      </c>
      <c r="S1338" s="855" t="s">
        <v>410</v>
      </c>
      <c r="T1338" s="855" t="s">
        <v>410</v>
      </c>
    </row>
    <row r="1339" spans="1:20" hidden="1" outlineLevel="1" x14ac:dyDescent="0.3">
      <c r="A1339" s="583" t="s">
        <v>1939</v>
      </c>
      <c r="B1339" s="591">
        <v>6</v>
      </c>
      <c r="C1339" s="583" t="s">
        <v>1256</v>
      </c>
      <c r="D1339" s="583" t="s">
        <v>1490</v>
      </c>
      <c r="E1339" s="593" t="s">
        <v>410</v>
      </c>
      <c r="F1339" s="593" t="s">
        <v>67</v>
      </c>
      <c r="G1339" s="593" t="s">
        <v>68</v>
      </c>
      <c r="H1339" s="593" t="s">
        <v>70</v>
      </c>
      <c r="I1339" s="593" t="s">
        <v>72</v>
      </c>
      <c r="J1339" s="593" t="s">
        <v>74</v>
      </c>
      <c r="K1339" s="237" t="s">
        <v>410</v>
      </c>
      <c r="L1339" s="237" t="s">
        <v>410</v>
      </c>
      <c r="M1339" s="237" t="s">
        <v>410</v>
      </c>
      <c r="N1339" s="237" t="s">
        <v>410</v>
      </c>
      <c r="O1339" s="237" t="s">
        <v>410</v>
      </c>
      <c r="P1339" s="237" t="s">
        <v>410</v>
      </c>
      <c r="Q1339" s="237" t="s">
        <v>410</v>
      </c>
      <c r="R1339" s="237" t="s">
        <v>410</v>
      </c>
      <c r="S1339" s="237" t="s">
        <v>410</v>
      </c>
      <c r="T1339" s="237" t="s">
        <v>410</v>
      </c>
    </row>
    <row r="1340" spans="1:20" hidden="1" outlineLevel="1" x14ac:dyDescent="0.3">
      <c r="A1340" s="583" t="s">
        <v>1994</v>
      </c>
      <c r="B1340" s="591">
        <v>6</v>
      </c>
      <c r="C1340" s="583" t="s">
        <v>1256</v>
      </c>
      <c r="D1340" s="583" t="s">
        <v>1490</v>
      </c>
      <c r="E1340" s="593" t="s">
        <v>410</v>
      </c>
      <c r="F1340" s="593" t="s">
        <v>67</v>
      </c>
      <c r="G1340" s="593" t="s">
        <v>3159</v>
      </c>
      <c r="H1340" s="593" t="s">
        <v>3160</v>
      </c>
      <c r="I1340" s="237" t="s">
        <v>410</v>
      </c>
      <c r="J1340" s="237" t="s">
        <v>410</v>
      </c>
      <c r="K1340" s="237" t="s">
        <v>410</v>
      </c>
      <c r="L1340" s="237" t="s">
        <v>410</v>
      </c>
      <c r="M1340" s="237" t="s">
        <v>410</v>
      </c>
      <c r="N1340" s="237" t="s">
        <v>410</v>
      </c>
      <c r="O1340" s="237" t="s">
        <v>410</v>
      </c>
      <c r="P1340" s="237" t="s">
        <v>410</v>
      </c>
      <c r="Q1340" s="237" t="s">
        <v>410</v>
      </c>
      <c r="R1340" s="237" t="s">
        <v>410</v>
      </c>
      <c r="S1340" s="237" t="s">
        <v>410</v>
      </c>
      <c r="T1340" s="237" t="s">
        <v>410</v>
      </c>
    </row>
    <row r="1341" spans="1:20" hidden="1" outlineLevel="1" x14ac:dyDescent="0.3">
      <c r="A1341" s="583" t="s">
        <v>5060</v>
      </c>
      <c r="B1341" s="591">
        <v>8</v>
      </c>
      <c r="C1341" s="583" t="s">
        <v>1256</v>
      </c>
      <c r="D1341" s="583" t="s">
        <v>1490</v>
      </c>
      <c r="E1341" s="592" t="s">
        <v>410</v>
      </c>
      <c r="F1341" s="593"/>
      <c r="G1341" s="237" t="s">
        <v>410</v>
      </c>
      <c r="H1341" s="237" t="s">
        <v>410</v>
      </c>
      <c r="I1341" s="237" t="s">
        <v>410</v>
      </c>
      <c r="J1341" s="237" t="s">
        <v>410</v>
      </c>
      <c r="K1341" s="237" t="s">
        <v>410</v>
      </c>
      <c r="L1341" s="237" t="s">
        <v>410</v>
      </c>
      <c r="M1341" s="237" t="s">
        <v>410</v>
      </c>
      <c r="N1341" s="237" t="s">
        <v>410</v>
      </c>
      <c r="O1341" s="237" t="s">
        <v>410</v>
      </c>
      <c r="P1341" s="237" t="s">
        <v>410</v>
      </c>
      <c r="Q1341" s="237" t="s">
        <v>410</v>
      </c>
      <c r="R1341" s="237" t="s">
        <v>410</v>
      </c>
      <c r="S1341" s="10" t="s">
        <v>410</v>
      </c>
      <c r="T1341" s="10" t="s">
        <v>410</v>
      </c>
    </row>
    <row r="1342" spans="1:20" hidden="1" outlineLevel="1" x14ac:dyDescent="0.3">
      <c r="A1342" s="583" t="s">
        <v>5226</v>
      </c>
      <c r="B1342" s="591">
        <v>8</v>
      </c>
      <c r="C1342" s="583" t="s">
        <v>1256</v>
      </c>
      <c r="D1342" s="583" t="s">
        <v>1490</v>
      </c>
      <c r="E1342" s="592" t="s">
        <v>410</v>
      </c>
      <c r="F1342" s="593"/>
      <c r="G1342" s="237" t="s">
        <v>410</v>
      </c>
      <c r="H1342" s="237" t="s">
        <v>410</v>
      </c>
      <c r="I1342" s="237" t="s">
        <v>410</v>
      </c>
      <c r="J1342" s="237" t="s">
        <v>410</v>
      </c>
      <c r="K1342" s="237" t="s">
        <v>410</v>
      </c>
      <c r="L1342" s="237" t="s">
        <v>410</v>
      </c>
      <c r="M1342" s="237" t="s">
        <v>410</v>
      </c>
      <c r="N1342" s="237" t="s">
        <v>410</v>
      </c>
      <c r="O1342" s="237" t="s">
        <v>410</v>
      </c>
      <c r="P1342" s="237" t="s">
        <v>410</v>
      </c>
      <c r="Q1342" s="237" t="s">
        <v>410</v>
      </c>
      <c r="R1342" s="237" t="s">
        <v>410</v>
      </c>
      <c r="S1342" s="10" t="s">
        <v>410</v>
      </c>
      <c r="T1342" s="10" t="s">
        <v>410</v>
      </c>
    </row>
    <row r="1343" spans="1:20" hidden="1" outlineLevel="1" x14ac:dyDescent="0.3">
      <c r="A1343" s="583" t="s">
        <v>5061</v>
      </c>
      <c r="B1343" s="591">
        <v>8</v>
      </c>
      <c r="C1343" s="583" t="s">
        <v>1256</v>
      </c>
      <c r="D1343" s="583" t="s">
        <v>1490</v>
      </c>
      <c r="E1343" s="592" t="s">
        <v>410</v>
      </c>
      <c r="F1343" s="593"/>
      <c r="G1343" s="237" t="s">
        <v>410</v>
      </c>
      <c r="H1343" s="237" t="s">
        <v>410</v>
      </c>
      <c r="I1343" s="237" t="s">
        <v>410</v>
      </c>
      <c r="J1343" s="237" t="s">
        <v>410</v>
      </c>
      <c r="K1343" s="237" t="s">
        <v>410</v>
      </c>
      <c r="L1343" s="237" t="s">
        <v>410</v>
      </c>
      <c r="M1343" s="237" t="s">
        <v>410</v>
      </c>
      <c r="N1343" s="237" t="s">
        <v>410</v>
      </c>
      <c r="O1343" s="237" t="s">
        <v>410</v>
      </c>
      <c r="P1343" s="237" t="s">
        <v>410</v>
      </c>
      <c r="Q1343" s="237" t="s">
        <v>410</v>
      </c>
      <c r="R1343" s="237" t="s">
        <v>410</v>
      </c>
      <c r="S1343" s="10" t="s">
        <v>410</v>
      </c>
      <c r="T1343" s="10" t="s">
        <v>410</v>
      </c>
    </row>
    <row r="1344" spans="1:20" hidden="1" outlineLevel="1" x14ac:dyDescent="0.3">
      <c r="A1344" s="583" t="s">
        <v>5065</v>
      </c>
      <c r="B1344" s="591">
        <v>8</v>
      </c>
      <c r="C1344" s="583" t="s">
        <v>1256</v>
      </c>
      <c r="D1344" s="583" t="s">
        <v>1490</v>
      </c>
      <c r="E1344" s="592" t="s">
        <v>410</v>
      </c>
      <c r="F1344" s="593"/>
      <c r="G1344" s="237" t="s">
        <v>410</v>
      </c>
      <c r="H1344" s="237" t="s">
        <v>410</v>
      </c>
      <c r="I1344" s="237" t="s">
        <v>410</v>
      </c>
      <c r="J1344" s="237" t="s">
        <v>410</v>
      </c>
      <c r="K1344" s="237" t="s">
        <v>410</v>
      </c>
      <c r="L1344" s="237" t="s">
        <v>410</v>
      </c>
      <c r="M1344" s="237" t="s">
        <v>410</v>
      </c>
      <c r="N1344" s="237" t="s">
        <v>410</v>
      </c>
      <c r="O1344" s="237" t="s">
        <v>410</v>
      </c>
      <c r="P1344" s="237" t="s">
        <v>410</v>
      </c>
      <c r="Q1344" s="237" t="s">
        <v>410</v>
      </c>
      <c r="R1344" s="237" t="s">
        <v>410</v>
      </c>
      <c r="S1344" s="10" t="s">
        <v>410</v>
      </c>
      <c r="T1344" s="10" t="s">
        <v>410</v>
      </c>
    </row>
    <row r="1345" spans="1:20" hidden="1" outlineLevel="1" x14ac:dyDescent="0.3">
      <c r="A1345" s="583" t="s">
        <v>5067</v>
      </c>
      <c r="B1345" s="591">
        <v>8</v>
      </c>
      <c r="C1345" s="583" t="s">
        <v>1256</v>
      </c>
      <c r="D1345" s="583" t="s">
        <v>1490</v>
      </c>
      <c r="E1345" s="592" t="s">
        <v>410</v>
      </c>
      <c r="F1345" s="593"/>
      <c r="G1345" s="237" t="s">
        <v>410</v>
      </c>
      <c r="H1345" s="237" t="s">
        <v>410</v>
      </c>
      <c r="I1345" s="237" t="s">
        <v>410</v>
      </c>
      <c r="J1345" s="237" t="s">
        <v>410</v>
      </c>
      <c r="K1345" s="237" t="s">
        <v>410</v>
      </c>
      <c r="L1345" s="237" t="s">
        <v>410</v>
      </c>
      <c r="M1345" s="237" t="s">
        <v>410</v>
      </c>
      <c r="N1345" s="237" t="s">
        <v>410</v>
      </c>
      <c r="O1345" s="237" t="s">
        <v>410</v>
      </c>
      <c r="P1345" s="237" t="s">
        <v>410</v>
      </c>
      <c r="Q1345" s="237" t="s">
        <v>410</v>
      </c>
      <c r="R1345" s="237" t="s">
        <v>410</v>
      </c>
      <c r="S1345" s="10" t="s">
        <v>410</v>
      </c>
      <c r="T1345" s="10" t="s">
        <v>410</v>
      </c>
    </row>
    <row r="1346" spans="1:20" hidden="1" outlineLevel="1" x14ac:dyDescent="0.3">
      <c r="A1346" s="583" t="s">
        <v>5206</v>
      </c>
      <c r="B1346" s="591">
        <v>8</v>
      </c>
      <c r="C1346" s="583" t="s">
        <v>1256</v>
      </c>
      <c r="D1346" s="583" t="s">
        <v>1490</v>
      </c>
      <c r="E1346" s="592" t="s">
        <v>410</v>
      </c>
      <c r="F1346" s="593"/>
      <c r="G1346" s="237" t="s">
        <v>410</v>
      </c>
      <c r="H1346" s="237" t="s">
        <v>410</v>
      </c>
      <c r="I1346" s="237" t="s">
        <v>410</v>
      </c>
      <c r="J1346" s="237" t="s">
        <v>410</v>
      </c>
      <c r="K1346" s="237" t="s">
        <v>410</v>
      </c>
      <c r="L1346" s="237" t="s">
        <v>410</v>
      </c>
      <c r="M1346" s="237" t="s">
        <v>410</v>
      </c>
      <c r="N1346" s="237" t="s">
        <v>410</v>
      </c>
      <c r="O1346" s="237" t="s">
        <v>410</v>
      </c>
      <c r="P1346" s="237" t="s">
        <v>410</v>
      </c>
      <c r="Q1346" s="237" t="s">
        <v>410</v>
      </c>
      <c r="R1346" s="237" t="s">
        <v>410</v>
      </c>
      <c r="S1346" s="10" t="s">
        <v>410</v>
      </c>
      <c r="T1346" s="10" t="s">
        <v>410</v>
      </c>
    </row>
    <row r="1347" spans="1:20" hidden="1" outlineLevel="1" x14ac:dyDescent="0.3">
      <c r="A1347" s="583" t="s">
        <v>5207</v>
      </c>
      <c r="B1347" s="591">
        <v>8</v>
      </c>
      <c r="C1347" s="583" t="s">
        <v>1256</v>
      </c>
      <c r="D1347" s="583" t="s">
        <v>1490</v>
      </c>
      <c r="E1347" s="592" t="s">
        <v>410</v>
      </c>
      <c r="F1347" s="593"/>
      <c r="G1347" s="237" t="s">
        <v>410</v>
      </c>
      <c r="H1347" s="237" t="s">
        <v>410</v>
      </c>
      <c r="I1347" s="237" t="s">
        <v>410</v>
      </c>
      <c r="J1347" s="237" t="s">
        <v>410</v>
      </c>
      <c r="K1347" s="237" t="s">
        <v>410</v>
      </c>
      <c r="L1347" s="237" t="s">
        <v>410</v>
      </c>
      <c r="M1347" s="237" t="s">
        <v>410</v>
      </c>
      <c r="N1347" s="237" t="s">
        <v>410</v>
      </c>
      <c r="O1347" s="237" t="s">
        <v>410</v>
      </c>
      <c r="P1347" s="237" t="s">
        <v>410</v>
      </c>
      <c r="Q1347" s="237" t="s">
        <v>410</v>
      </c>
      <c r="R1347" s="237" t="s">
        <v>410</v>
      </c>
      <c r="S1347" s="10" t="s">
        <v>410</v>
      </c>
      <c r="T1347" s="10" t="s">
        <v>410</v>
      </c>
    </row>
    <row r="1348" spans="1:20" hidden="1" outlineLevel="1" x14ac:dyDescent="0.3">
      <c r="A1348" s="583" t="s">
        <v>5068</v>
      </c>
      <c r="B1348" s="591">
        <v>8</v>
      </c>
      <c r="C1348" s="583" t="s">
        <v>1256</v>
      </c>
      <c r="D1348" s="583" t="s">
        <v>1490</v>
      </c>
      <c r="E1348" s="592" t="s">
        <v>410</v>
      </c>
      <c r="F1348" s="593"/>
      <c r="G1348" s="237" t="s">
        <v>410</v>
      </c>
      <c r="H1348" s="237" t="s">
        <v>410</v>
      </c>
      <c r="I1348" s="237" t="s">
        <v>410</v>
      </c>
      <c r="J1348" s="237" t="s">
        <v>410</v>
      </c>
      <c r="K1348" s="237" t="s">
        <v>410</v>
      </c>
      <c r="L1348" s="237" t="s">
        <v>410</v>
      </c>
      <c r="M1348" s="237" t="s">
        <v>410</v>
      </c>
      <c r="N1348" s="237" t="s">
        <v>410</v>
      </c>
      <c r="O1348" s="237" t="s">
        <v>410</v>
      </c>
      <c r="P1348" s="237" t="s">
        <v>410</v>
      </c>
      <c r="Q1348" s="237" t="s">
        <v>410</v>
      </c>
      <c r="R1348" s="237" t="s">
        <v>410</v>
      </c>
      <c r="S1348" s="10" t="s">
        <v>410</v>
      </c>
      <c r="T1348" s="10" t="s">
        <v>410</v>
      </c>
    </row>
    <row r="1349" spans="1:20" hidden="1" outlineLevel="1" x14ac:dyDescent="0.3">
      <c r="A1349" s="583" t="s">
        <v>5130</v>
      </c>
      <c r="B1349" s="591">
        <v>8</v>
      </c>
      <c r="C1349" s="583" t="s">
        <v>1256</v>
      </c>
      <c r="D1349" s="583" t="s">
        <v>1490</v>
      </c>
      <c r="E1349" s="592" t="s">
        <v>410</v>
      </c>
      <c r="F1349" s="593"/>
      <c r="G1349" s="237" t="s">
        <v>410</v>
      </c>
      <c r="H1349" s="237" t="s">
        <v>410</v>
      </c>
      <c r="I1349" s="237" t="s">
        <v>410</v>
      </c>
      <c r="J1349" s="237" t="s">
        <v>410</v>
      </c>
      <c r="K1349" s="237" t="s">
        <v>410</v>
      </c>
      <c r="L1349" s="237" t="s">
        <v>410</v>
      </c>
      <c r="M1349" s="237" t="s">
        <v>410</v>
      </c>
      <c r="N1349" s="237" t="s">
        <v>410</v>
      </c>
      <c r="O1349" s="237" t="s">
        <v>410</v>
      </c>
      <c r="P1349" s="237" t="s">
        <v>410</v>
      </c>
      <c r="Q1349" s="237" t="s">
        <v>410</v>
      </c>
      <c r="R1349" s="237" t="s">
        <v>410</v>
      </c>
      <c r="S1349" s="10" t="s">
        <v>410</v>
      </c>
      <c r="T1349" s="10" t="s">
        <v>410</v>
      </c>
    </row>
    <row r="1350" spans="1:20" hidden="1" outlineLevel="1" x14ac:dyDescent="0.3">
      <c r="A1350" s="583" t="s">
        <v>5133</v>
      </c>
      <c r="B1350" s="591">
        <v>8</v>
      </c>
      <c r="C1350" s="583" t="s">
        <v>1256</v>
      </c>
      <c r="D1350" s="583" t="s">
        <v>1490</v>
      </c>
      <c r="E1350" s="592" t="s">
        <v>410</v>
      </c>
      <c r="F1350" s="593"/>
      <c r="G1350" s="237" t="s">
        <v>410</v>
      </c>
      <c r="H1350" s="237" t="s">
        <v>410</v>
      </c>
      <c r="I1350" s="237" t="s">
        <v>410</v>
      </c>
      <c r="J1350" s="237" t="s">
        <v>410</v>
      </c>
      <c r="K1350" s="237" t="s">
        <v>410</v>
      </c>
      <c r="L1350" s="237" t="s">
        <v>410</v>
      </c>
      <c r="M1350" s="237" t="s">
        <v>410</v>
      </c>
      <c r="N1350" s="237" t="s">
        <v>410</v>
      </c>
      <c r="O1350" s="237" t="s">
        <v>410</v>
      </c>
      <c r="P1350" s="237" t="s">
        <v>410</v>
      </c>
      <c r="Q1350" s="237" t="s">
        <v>410</v>
      </c>
      <c r="R1350" s="237" t="s">
        <v>410</v>
      </c>
      <c r="S1350" s="10" t="s">
        <v>410</v>
      </c>
      <c r="T1350" s="10" t="s">
        <v>410</v>
      </c>
    </row>
    <row r="1351" spans="1:20" hidden="1" outlineLevel="1" x14ac:dyDescent="0.3">
      <c r="A1351" s="583" t="s">
        <v>5227</v>
      </c>
      <c r="B1351" s="591">
        <v>8</v>
      </c>
      <c r="C1351" s="583" t="s">
        <v>1256</v>
      </c>
      <c r="D1351" s="583" t="s">
        <v>1490</v>
      </c>
      <c r="E1351" s="592" t="s">
        <v>410</v>
      </c>
      <c r="F1351" s="593"/>
      <c r="G1351" s="237" t="s">
        <v>410</v>
      </c>
      <c r="H1351" s="237" t="s">
        <v>410</v>
      </c>
      <c r="I1351" s="237" t="s">
        <v>410</v>
      </c>
      <c r="J1351" s="237" t="s">
        <v>410</v>
      </c>
      <c r="K1351" s="237" t="s">
        <v>410</v>
      </c>
      <c r="L1351" s="237" t="s">
        <v>410</v>
      </c>
      <c r="M1351" s="237" t="s">
        <v>410</v>
      </c>
      <c r="N1351" s="237" t="s">
        <v>410</v>
      </c>
      <c r="O1351" s="237" t="s">
        <v>410</v>
      </c>
      <c r="P1351" s="237" t="s">
        <v>410</v>
      </c>
      <c r="Q1351" s="237" t="s">
        <v>410</v>
      </c>
      <c r="R1351" s="237" t="s">
        <v>410</v>
      </c>
      <c r="S1351" s="10" t="s">
        <v>410</v>
      </c>
      <c r="T1351" s="10" t="s">
        <v>410</v>
      </c>
    </row>
    <row r="1352" spans="1:20" hidden="1" outlineLevel="1" x14ac:dyDescent="0.3">
      <c r="A1352" s="583" t="s">
        <v>5208</v>
      </c>
      <c r="B1352" s="591">
        <v>8</v>
      </c>
      <c r="C1352" s="583" t="s">
        <v>1256</v>
      </c>
      <c r="D1352" s="583" t="s">
        <v>1490</v>
      </c>
      <c r="E1352" s="592" t="s">
        <v>410</v>
      </c>
      <c r="F1352" s="593"/>
      <c r="G1352" s="237" t="s">
        <v>410</v>
      </c>
      <c r="H1352" s="237" t="s">
        <v>410</v>
      </c>
      <c r="I1352" s="237" t="s">
        <v>410</v>
      </c>
      <c r="J1352" s="237" t="s">
        <v>410</v>
      </c>
      <c r="K1352" s="237" t="s">
        <v>410</v>
      </c>
      <c r="L1352" s="237" t="s">
        <v>410</v>
      </c>
      <c r="M1352" s="237" t="s">
        <v>410</v>
      </c>
      <c r="N1352" s="237" t="s">
        <v>410</v>
      </c>
      <c r="O1352" s="237" t="s">
        <v>410</v>
      </c>
      <c r="P1352" s="237" t="s">
        <v>410</v>
      </c>
      <c r="Q1352" s="237" t="s">
        <v>410</v>
      </c>
      <c r="R1352" s="237" t="s">
        <v>410</v>
      </c>
      <c r="S1352" s="10" t="s">
        <v>410</v>
      </c>
      <c r="T1352" s="10" t="s">
        <v>410</v>
      </c>
    </row>
    <row r="1353" spans="1:20" hidden="1" outlineLevel="1" x14ac:dyDescent="0.3">
      <c r="A1353" s="583" t="s">
        <v>1524</v>
      </c>
      <c r="B1353" s="591">
        <v>11</v>
      </c>
      <c r="C1353" s="588" t="s">
        <v>1256</v>
      </c>
      <c r="D1353" s="588" t="s">
        <v>1490</v>
      </c>
      <c r="E1353" s="589" t="s">
        <v>410</v>
      </c>
      <c r="F1353" s="590" t="s">
        <v>1525</v>
      </c>
      <c r="G1353" s="590" t="s">
        <v>1526</v>
      </c>
      <c r="H1353" s="590" t="s">
        <v>1527</v>
      </c>
      <c r="I1353" s="590" t="s">
        <v>1528</v>
      </c>
      <c r="J1353" s="590" t="s">
        <v>1529</v>
      </c>
      <c r="K1353" s="590" t="s">
        <v>1530</v>
      </c>
      <c r="L1353" s="590" t="s">
        <v>1531</v>
      </c>
      <c r="M1353" s="590" t="s">
        <v>1532</v>
      </c>
      <c r="N1353" s="590" t="s">
        <v>1533</v>
      </c>
      <c r="O1353" s="441" t="s">
        <v>410</v>
      </c>
      <c r="P1353" s="441" t="s">
        <v>410</v>
      </c>
      <c r="Q1353" s="441" t="s">
        <v>410</v>
      </c>
      <c r="R1353" s="441" t="s">
        <v>410</v>
      </c>
      <c r="S1353" s="441" t="s">
        <v>410</v>
      </c>
      <c r="T1353" s="441" t="s">
        <v>410</v>
      </c>
    </row>
    <row r="1354" spans="1:20" hidden="1" outlineLevel="1" x14ac:dyDescent="0.3">
      <c r="A1354" s="583" t="s">
        <v>1629</v>
      </c>
      <c r="B1354" s="591">
        <v>11</v>
      </c>
      <c r="C1354" s="588" t="s">
        <v>1256</v>
      </c>
      <c r="D1354" s="588" t="s">
        <v>1490</v>
      </c>
      <c r="E1354" s="592" t="s">
        <v>410</v>
      </c>
      <c r="F1354" s="593" t="s">
        <v>67</v>
      </c>
      <c r="G1354" s="593" t="s">
        <v>68</v>
      </c>
      <c r="H1354" s="593" t="s">
        <v>70</v>
      </c>
      <c r="I1354" s="593" t="s">
        <v>72</v>
      </c>
      <c r="J1354" s="593" t="s">
        <v>74</v>
      </c>
      <c r="K1354" s="237" t="s">
        <v>410</v>
      </c>
      <c r="L1354" s="237" t="s">
        <v>410</v>
      </c>
      <c r="M1354" s="237" t="s">
        <v>410</v>
      </c>
      <c r="N1354" s="237" t="s">
        <v>410</v>
      </c>
      <c r="O1354" s="237" t="s">
        <v>410</v>
      </c>
      <c r="P1354" s="237" t="s">
        <v>410</v>
      </c>
      <c r="Q1354" s="237" t="s">
        <v>410</v>
      </c>
      <c r="R1354" s="237" t="s">
        <v>410</v>
      </c>
      <c r="S1354" s="10" t="s">
        <v>410</v>
      </c>
      <c r="T1354" s="10" t="s">
        <v>410</v>
      </c>
    </row>
    <row r="1355" spans="1:20" hidden="1" outlineLevel="1" x14ac:dyDescent="0.3">
      <c r="A1355" s="583" t="s">
        <v>1656</v>
      </c>
      <c r="B1355" s="591">
        <v>11</v>
      </c>
      <c r="C1355" s="583" t="s">
        <v>1256</v>
      </c>
      <c r="D1355" s="583" t="s">
        <v>1490</v>
      </c>
      <c r="E1355" s="592" t="s">
        <v>410</v>
      </c>
      <c r="F1355" s="593" t="s">
        <v>3293</v>
      </c>
      <c r="G1355" s="593" t="s">
        <v>3294</v>
      </c>
      <c r="H1355" s="593" t="s">
        <v>3295</v>
      </c>
      <c r="I1355" s="593" t="s">
        <v>3296</v>
      </c>
      <c r="J1355" s="593" t="s">
        <v>3297</v>
      </c>
      <c r="K1355" s="237" t="s">
        <v>410</v>
      </c>
      <c r="L1355" s="237" t="s">
        <v>410</v>
      </c>
      <c r="M1355" s="237" t="s">
        <v>410</v>
      </c>
      <c r="N1355" s="237" t="s">
        <v>410</v>
      </c>
      <c r="O1355" s="237" t="s">
        <v>410</v>
      </c>
      <c r="P1355" s="237" t="s">
        <v>410</v>
      </c>
      <c r="Q1355" s="237" t="s">
        <v>410</v>
      </c>
      <c r="R1355" s="237" t="s">
        <v>410</v>
      </c>
      <c r="S1355" s="10" t="s">
        <v>410</v>
      </c>
      <c r="T1355" s="10" t="s">
        <v>410</v>
      </c>
    </row>
    <row r="1356" spans="1:20" hidden="1" outlineLevel="1" x14ac:dyDescent="0.3">
      <c r="A1356" s="583" t="s">
        <v>1837</v>
      </c>
      <c r="B1356" s="591">
        <v>11</v>
      </c>
      <c r="C1356" s="583" t="s">
        <v>1256</v>
      </c>
      <c r="D1356" s="583" t="s">
        <v>1490</v>
      </c>
      <c r="E1356" s="592" t="s">
        <v>410</v>
      </c>
      <c r="F1356" s="593" t="s">
        <v>62</v>
      </c>
      <c r="G1356" s="593" t="s">
        <v>63</v>
      </c>
      <c r="H1356" s="593" t="s">
        <v>64</v>
      </c>
      <c r="I1356" s="593" t="s">
        <v>65</v>
      </c>
      <c r="J1356" s="237" t="s">
        <v>410</v>
      </c>
      <c r="K1356" s="237" t="s">
        <v>410</v>
      </c>
      <c r="L1356" s="237" t="s">
        <v>410</v>
      </c>
      <c r="M1356" s="237" t="s">
        <v>410</v>
      </c>
      <c r="N1356" s="237" t="s">
        <v>410</v>
      </c>
      <c r="O1356" s="237" t="s">
        <v>410</v>
      </c>
      <c r="P1356" s="237" t="s">
        <v>410</v>
      </c>
      <c r="Q1356" s="237" t="s">
        <v>410</v>
      </c>
      <c r="R1356" s="237" t="s">
        <v>410</v>
      </c>
      <c r="S1356" s="10" t="s">
        <v>410</v>
      </c>
      <c r="T1356" s="10" t="s">
        <v>410</v>
      </c>
    </row>
    <row r="1357" spans="1:20" hidden="1" outlineLevel="1" x14ac:dyDescent="0.3">
      <c r="A1357" s="583" t="s">
        <v>1918</v>
      </c>
      <c r="B1357" s="591">
        <v>11</v>
      </c>
      <c r="C1357" s="583" t="s">
        <v>1256</v>
      </c>
      <c r="D1357" s="583" t="s">
        <v>1490</v>
      </c>
      <c r="E1357" s="592" t="s">
        <v>410</v>
      </c>
      <c r="F1357" s="593" t="s">
        <v>3376</v>
      </c>
      <c r="G1357" s="593" t="s">
        <v>3377</v>
      </c>
      <c r="H1357" s="593" t="s">
        <v>3378</v>
      </c>
      <c r="I1357" s="237" t="s">
        <v>410</v>
      </c>
      <c r="J1357" s="237" t="s">
        <v>410</v>
      </c>
      <c r="K1357" s="237" t="s">
        <v>410</v>
      </c>
      <c r="L1357" s="237" t="s">
        <v>410</v>
      </c>
      <c r="M1357" s="237" t="s">
        <v>410</v>
      </c>
      <c r="N1357" s="910" t="s">
        <v>410</v>
      </c>
      <c r="O1357" s="910" t="s">
        <v>410</v>
      </c>
      <c r="P1357" s="910" t="s">
        <v>410</v>
      </c>
      <c r="Q1357" s="910" t="s">
        <v>410</v>
      </c>
      <c r="R1357" s="910" t="s">
        <v>410</v>
      </c>
      <c r="S1357" s="855" t="s">
        <v>410</v>
      </c>
      <c r="T1357" s="855" t="s">
        <v>410</v>
      </c>
    </row>
    <row r="1358" spans="1:20" hidden="1" outlineLevel="1" x14ac:dyDescent="0.3">
      <c r="A1358" s="583" t="s">
        <v>1538</v>
      </c>
      <c r="B1358" s="591">
        <v>16</v>
      </c>
      <c r="C1358" s="588" t="s">
        <v>1256</v>
      </c>
      <c r="D1358" s="588" t="s">
        <v>1490</v>
      </c>
      <c r="E1358" s="589" t="s">
        <v>410</v>
      </c>
      <c r="F1358" s="590" t="s">
        <v>1539</v>
      </c>
      <c r="G1358" s="590" t="s">
        <v>1640</v>
      </c>
      <c r="H1358" s="590" t="s">
        <v>1541</v>
      </c>
      <c r="I1358" s="590" t="s">
        <v>1542</v>
      </c>
      <c r="J1358" s="590" t="s">
        <v>1543</v>
      </c>
      <c r="K1358" s="590" t="s">
        <v>1544</v>
      </c>
      <c r="L1358" s="590" t="s">
        <v>1545</v>
      </c>
      <c r="M1358" s="590" t="s">
        <v>1546</v>
      </c>
      <c r="N1358" s="910" t="s">
        <v>410</v>
      </c>
      <c r="O1358" s="910" t="s">
        <v>410</v>
      </c>
      <c r="P1358" s="441" t="s">
        <v>410</v>
      </c>
      <c r="Q1358" s="441" t="s">
        <v>410</v>
      </c>
      <c r="R1358" s="441" t="s">
        <v>410</v>
      </c>
      <c r="S1358" s="441" t="s">
        <v>410</v>
      </c>
      <c r="T1358" s="441" t="s">
        <v>410</v>
      </c>
    </row>
    <row r="1359" spans="1:20" hidden="1" outlineLevel="1" x14ac:dyDescent="0.3">
      <c r="A1359" s="583" t="s">
        <v>5209</v>
      </c>
      <c r="B1359" s="591">
        <v>16</v>
      </c>
      <c r="C1359" s="583" t="s">
        <v>1256</v>
      </c>
      <c r="D1359" s="583" t="s">
        <v>1490</v>
      </c>
      <c r="E1359" s="592" t="s">
        <v>410</v>
      </c>
      <c r="F1359" s="593"/>
      <c r="G1359" s="237" t="s">
        <v>410</v>
      </c>
      <c r="H1359" s="237" t="s">
        <v>410</v>
      </c>
      <c r="I1359" s="237" t="s">
        <v>410</v>
      </c>
      <c r="J1359" s="237" t="s">
        <v>410</v>
      </c>
      <c r="K1359" s="237" t="s">
        <v>410</v>
      </c>
      <c r="L1359" s="237" t="s">
        <v>410</v>
      </c>
      <c r="M1359" s="237" t="s">
        <v>410</v>
      </c>
      <c r="N1359" s="237" t="s">
        <v>410</v>
      </c>
      <c r="O1359" s="237" t="s">
        <v>410</v>
      </c>
      <c r="P1359" s="237" t="s">
        <v>410</v>
      </c>
      <c r="Q1359" s="237" t="s">
        <v>410</v>
      </c>
      <c r="R1359" s="237" t="s">
        <v>410</v>
      </c>
      <c r="S1359" s="10" t="s">
        <v>410</v>
      </c>
      <c r="T1359" s="10" t="s">
        <v>410</v>
      </c>
    </row>
    <row r="1360" spans="1:20" hidden="1" outlineLevel="1" x14ac:dyDescent="0.3">
      <c r="A1360" s="583" t="s">
        <v>5210</v>
      </c>
      <c r="B1360" s="591">
        <v>16</v>
      </c>
      <c r="C1360" s="583" t="s">
        <v>1256</v>
      </c>
      <c r="D1360" s="583" t="s">
        <v>1490</v>
      </c>
      <c r="E1360" s="592" t="s">
        <v>410</v>
      </c>
      <c r="F1360" s="593"/>
      <c r="G1360" s="237" t="s">
        <v>410</v>
      </c>
      <c r="H1360" s="237" t="s">
        <v>410</v>
      </c>
      <c r="I1360" s="237" t="s">
        <v>410</v>
      </c>
      <c r="J1360" s="237" t="s">
        <v>410</v>
      </c>
      <c r="K1360" s="237" t="s">
        <v>410</v>
      </c>
      <c r="L1360" s="237" t="s">
        <v>410</v>
      </c>
      <c r="M1360" s="237" t="s">
        <v>410</v>
      </c>
      <c r="N1360" s="237" t="s">
        <v>410</v>
      </c>
      <c r="O1360" s="237" t="s">
        <v>410</v>
      </c>
      <c r="P1360" s="237" t="s">
        <v>410</v>
      </c>
      <c r="Q1360" s="237" t="s">
        <v>410</v>
      </c>
      <c r="R1360" s="237" t="s">
        <v>410</v>
      </c>
      <c r="S1360" s="10" t="s">
        <v>410</v>
      </c>
      <c r="T1360" s="10" t="s">
        <v>410</v>
      </c>
    </row>
    <row r="1361" spans="1:20" hidden="1" outlineLevel="1" x14ac:dyDescent="0.3">
      <c r="A1361" s="583" t="s">
        <v>4458</v>
      </c>
      <c r="B1361" s="591">
        <v>16</v>
      </c>
      <c r="C1361" s="588" t="s">
        <v>1256</v>
      </c>
      <c r="D1361" s="588" t="s">
        <v>1490</v>
      </c>
      <c r="E1361" s="592" t="s">
        <v>410</v>
      </c>
      <c r="F1361" s="593" t="s">
        <v>4459</v>
      </c>
      <c r="G1361" s="593" t="s">
        <v>4460</v>
      </c>
      <c r="H1361" s="593" t="s">
        <v>4461</v>
      </c>
      <c r="I1361" s="237" t="s">
        <v>410</v>
      </c>
      <c r="J1361" s="237" t="s">
        <v>410</v>
      </c>
      <c r="K1361" s="237" t="s">
        <v>410</v>
      </c>
      <c r="L1361" s="237" t="s">
        <v>410</v>
      </c>
      <c r="M1361" s="237" t="s">
        <v>410</v>
      </c>
      <c r="N1361" s="237" t="s">
        <v>410</v>
      </c>
      <c r="O1361" s="237" t="s">
        <v>410</v>
      </c>
      <c r="P1361" s="237" t="s">
        <v>410</v>
      </c>
      <c r="Q1361" s="237" t="s">
        <v>410</v>
      </c>
      <c r="R1361" s="237" t="s">
        <v>410</v>
      </c>
      <c r="S1361" s="237" t="s">
        <v>410</v>
      </c>
      <c r="T1361" s="237" t="s">
        <v>410</v>
      </c>
    </row>
    <row r="1362" spans="1:20" hidden="1" outlineLevel="1" x14ac:dyDescent="0.3">
      <c r="A1362" s="583" t="s">
        <v>1746</v>
      </c>
      <c r="B1362" s="591">
        <v>16</v>
      </c>
      <c r="C1362" s="583" t="s">
        <v>1256</v>
      </c>
      <c r="D1362" s="583" t="s">
        <v>1490</v>
      </c>
      <c r="E1362" s="592" t="s">
        <v>410</v>
      </c>
      <c r="F1362" s="593" t="s">
        <v>1747</v>
      </c>
      <c r="G1362" s="593" t="s">
        <v>1748</v>
      </c>
      <c r="H1362" s="593" t="s">
        <v>1749</v>
      </c>
      <c r="I1362" s="593" t="s">
        <v>410</v>
      </c>
      <c r="J1362" s="237" t="s">
        <v>410</v>
      </c>
      <c r="K1362" s="237" t="s">
        <v>410</v>
      </c>
      <c r="L1362" s="237" t="s">
        <v>410</v>
      </c>
      <c r="M1362" s="237" t="s">
        <v>410</v>
      </c>
      <c r="N1362" s="237" t="s">
        <v>410</v>
      </c>
      <c r="O1362" s="237" t="s">
        <v>410</v>
      </c>
      <c r="P1362" s="237" t="s">
        <v>410</v>
      </c>
      <c r="Q1362" s="237" t="s">
        <v>410</v>
      </c>
      <c r="R1362" s="237" t="s">
        <v>410</v>
      </c>
      <c r="S1362" s="10" t="s">
        <v>410</v>
      </c>
      <c r="T1362" s="10" t="s">
        <v>410</v>
      </c>
    </row>
    <row r="1363" spans="1:20" hidden="1" outlineLevel="1" x14ac:dyDescent="0.3">
      <c r="A1363" s="583" t="s">
        <v>2203</v>
      </c>
      <c r="B1363" s="591">
        <v>16</v>
      </c>
      <c r="C1363" s="583" t="s">
        <v>1256</v>
      </c>
      <c r="D1363" s="583" t="s">
        <v>1490</v>
      </c>
      <c r="E1363" s="592" t="s">
        <v>410</v>
      </c>
      <c r="F1363" s="593" t="s">
        <v>3473</v>
      </c>
      <c r="G1363" s="593" t="s">
        <v>3349</v>
      </c>
      <c r="H1363" s="593" t="s">
        <v>3194</v>
      </c>
      <c r="I1363" s="593" t="s">
        <v>3350</v>
      </c>
      <c r="J1363" s="593" t="s">
        <v>3351</v>
      </c>
      <c r="K1363" s="237" t="s">
        <v>410</v>
      </c>
      <c r="L1363" s="237" t="s">
        <v>410</v>
      </c>
      <c r="M1363" s="237" t="s">
        <v>410</v>
      </c>
      <c r="N1363" s="237" t="s">
        <v>410</v>
      </c>
      <c r="O1363" s="237" t="s">
        <v>410</v>
      </c>
      <c r="P1363" s="237" t="s">
        <v>410</v>
      </c>
      <c r="Q1363" s="237" t="s">
        <v>410</v>
      </c>
      <c r="R1363" s="237" t="s">
        <v>410</v>
      </c>
      <c r="S1363" s="10" t="s">
        <v>410</v>
      </c>
      <c r="T1363" s="10" t="s">
        <v>410</v>
      </c>
    </row>
    <row r="1364" spans="1:20" hidden="1" outlineLevel="1" x14ac:dyDescent="0.3">
      <c r="A1364" s="583" t="s">
        <v>1756</v>
      </c>
      <c r="B1364" s="591">
        <v>16</v>
      </c>
      <c r="C1364" s="583" t="s">
        <v>1256</v>
      </c>
      <c r="D1364" s="583" t="s">
        <v>1490</v>
      </c>
      <c r="E1364" s="592" t="s">
        <v>410</v>
      </c>
      <c r="F1364" s="593" t="s">
        <v>2216</v>
      </c>
      <c r="G1364" s="593" t="s">
        <v>2217</v>
      </c>
      <c r="H1364" s="593" t="s">
        <v>2218</v>
      </c>
      <c r="I1364" s="593" t="s">
        <v>2219</v>
      </c>
      <c r="J1364" s="593" t="s">
        <v>2220</v>
      </c>
      <c r="K1364" s="237" t="s">
        <v>410</v>
      </c>
      <c r="L1364" s="237" t="s">
        <v>410</v>
      </c>
      <c r="M1364" s="237" t="s">
        <v>410</v>
      </c>
      <c r="N1364" s="237" t="s">
        <v>410</v>
      </c>
      <c r="O1364" s="237" t="s">
        <v>410</v>
      </c>
      <c r="P1364" s="237" t="s">
        <v>410</v>
      </c>
      <c r="Q1364" s="237" t="s">
        <v>410</v>
      </c>
      <c r="R1364" s="237" t="s">
        <v>410</v>
      </c>
      <c r="S1364" s="10" t="s">
        <v>410</v>
      </c>
      <c r="T1364" s="10" t="s">
        <v>410</v>
      </c>
    </row>
    <row r="1365" spans="1:20" hidden="1" outlineLevel="1" x14ac:dyDescent="0.3">
      <c r="A1365" s="583" t="s">
        <v>5211</v>
      </c>
      <c r="B1365" s="591">
        <v>16</v>
      </c>
      <c r="C1365" s="583" t="s">
        <v>1256</v>
      </c>
      <c r="D1365" s="583" t="s">
        <v>1490</v>
      </c>
      <c r="E1365" s="592" t="s">
        <v>410</v>
      </c>
      <c r="F1365" s="593"/>
      <c r="G1365" s="237" t="s">
        <v>410</v>
      </c>
      <c r="H1365" s="237" t="s">
        <v>410</v>
      </c>
      <c r="I1365" s="237" t="s">
        <v>410</v>
      </c>
      <c r="J1365" s="237" t="s">
        <v>410</v>
      </c>
      <c r="K1365" s="237" t="s">
        <v>410</v>
      </c>
      <c r="L1365" s="237" t="s">
        <v>410</v>
      </c>
      <c r="M1365" s="237" t="s">
        <v>410</v>
      </c>
      <c r="N1365" s="237" t="s">
        <v>410</v>
      </c>
      <c r="O1365" s="237" t="s">
        <v>410</v>
      </c>
      <c r="P1365" s="237" t="s">
        <v>410</v>
      </c>
      <c r="Q1365" s="237" t="s">
        <v>410</v>
      </c>
      <c r="R1365" s="237" t="s">
        <v>410</v>
      </c>
      <c r="S1365" s="10" t="s">
        <v>410</v>
      </c>
      <c r="T1365" s="10" t="s">
        <v>410</v>
      </c>
    </row>
    <row r="1366" spans="1:20" hidden="1" outlineLevel="1" x14ac:dyDescent="0.3">
      <c r="A1366" s="583" t="s">
        <v>1866</v>
      </c>
      <c r="B1366" s="591">
        <v>16</v>
      </c>
      <c r="C1366" s="583" t="s">
        <v>1256</v>
      </c>
      <c r="D1366" s="583" t="s">
        <v>1490</v>
      </c>
      <c r="E1366" s="592" t="s">
        <v>410</v>
      </c>
      <c r="F1366" s="593" t="s">
        <v>67</v>
      </c>
      <c r="G1366" s="593" t="s">
        <v>68</v>
      </c>
      <c r="H1366" s="593" t="s">
        <v>70</v>
      </c>
      <c r="I1366" s="593" t="s">
        <v>72</v>
      </c>
      <c r="J1366" s="593" t="s">
        <v>74</v>
      </c>
      <c r="K1366" s="237" t="s">
        <v>410</v>
      </c>
      <c r="L1366" s="237" t="s">
        <v>410</v>
      </c>
      <c r="M1366" s="237" t="s">
        <v>410</v>
      </c>
      <c r="N1366" s="237" t="s">
        <v>410</v>
      </c>
      <c r="O1366" s="237" t="s">
        <v>410</v>
      </c>
      <c r="P1366" s="237" t="s">
        <v>410</v>
      </c>
      <c r="Q1366" s="237" t="s">
        <v>410</v>
      </c>
      <c r="R1366" s="237" t="s">
        <v>410</v>
      </c>
      <c r="S1366" s="10" t="s">
        <v>410</v>
      </c>
      <c r="T1366" s="10" t="s">
        <v>410</v>
      </c>
    </row>
    <row r="1367" spans="1:20" hidden="1" outlineLevel="1" x14ac:dyDescent="0.3">
      <c r="A1367" s="583" t="s">
        <v>1881</v>
      </c>
      <c r="B1367" s="591">
        <v>16</v>
      </c>
      <c r="C1367" s="583" t="s">
        <v>1256</v>
      </c>
      <c r="D1367" s="583" t="s">
        <v>1490</v>
      </c>
      <c r="E1367" s="592" t="s">
        <v>410</v>
      </c>
      <c r="F1367" s="593" t="s">
        <v>4454</v>
      </c>
      <c r="G1367" s="593" t="s">
        <v>4455</v>
      </c>
      <c r="H1367" s="593" t="s">
        <v>4456</v>
      </c>
      <c r="I1367" s="593" t="s">
        <v>4457</v>
      </c>
      <c r="J1367" s="237" t="s">
        <v>410</v>
      </c>
      <c r="K1367" s="237" t="s">
        <v>410</v>
      </c>
      <c r="L1367" s="237" t="s">
        <v>410</v>
      </c>
      <c r="M1367" s="237" t="s">
        <v>410</v>
      </c>
      <c r="N1367" s="237" t="s">
        <v>410</v>
      </c>
      <c r="O1367" s="237" t="s">
        <v>410</v>
      </c>
      <c r="P1367" s="237" t="s">
        <v>410</v>
      </c>
      <c r="Q1367" s="237" t="s">
        <v>410</v>
      </c>
      <c r="R1367" s="237" t="s">
        <v>410</v>
      </c>
      <c r="S1367" s="10" t="s">
        <v>410</v>
      </c>
      <c r="T1367" s="10" t="s">
        <v>410</v>
      </c>
    </row>
    <row r="1368" spans="1:20" hidden="1" outlineLevel="1" x14ac:dyDescent="0.3">
      <c r="A1368" s="583" t="s">
        <v>5111</v>
      </c>
      <c r="B1368" s="591">
        <v>16</v>
      </c>
      <c r="C1368" s="583" t="s">
        <v>1256</v>
      </c>
      <c r="D1368" s="583" t="s">
        <v>1490</v>
      </c>
      <c r="E1368" s="592" t="s">
        <v>410</v>
      </c>
      <c r="F1368" s="593" t="s">
        <v>5212</v>
      </c>
      <c r="G1368" s="593" t="s">
        <v>5213</v>
      </c>
      <c r="H1368" s="593" t="s">
        <v>5214</v>
      </c>
      <c r="I1368" s="237" t="s">
        <v>410</v>
      </c>
      <c r="J1368" s="237" t="s">
        <v>410</v>
      </c>
      <c r="K1368" s="237" t="s">
        <v>410</v>
      </c>
      <c r="L1368" s="237" t="s">
        <v>410</v>
      </c>
      <c r="M1368" s="237" t="s">
        <v>410</v>
      </c>
      <c r="N1368" s="237" t="s">
        <v>410</v>
      </c>
      <c r="O1368" s="237" t="s">
        <v>410</v>
      </c>
      <c r="P1368" s="237" t="s">
        <v>410</v>
      </c>
      <c r="Q1368" s="237" t="s">
        <v>410</v>
      </c>
      <c r="R1368" s="237" t="s">
        <v>410</v>
      </c>
      <c r="S1368" s="10" t="s">
        <v>410</v>
      </c>
      <c r="T1368" s="10" t="s">
        <v>410</v>
      </c>
    </row>
    <row r="1369" spans="1:20" hidden="1" outlineLevel="1" x14ac:dyDescent="0.3">
      <c r="A1369" s="583" t="s">
        <v>5215</v>
      </c>
      <c r="B1369" s="591">
        <v>16</v>
      </c>
      <c r="C1369" s="583" t="s">
        <v>1256</v>
      </c>
      <c r="D1369" s="583" t="s">
        <v>1490</v>
      </c>
      <c r="E1369" s="592" t="s">
        <v>410</v>
      </c>
      <c r="F1369" s="593"/>
      <c r="G1369" s="237" t="s">
        <v>410</v>
      </c>
      <c r="H1369" s="237" t="s">
        <v>410</v>
      </c>
      <c r="I1369" s="237" t="s">
        <v>410</v>
      </c>
      <c r="J1369" s="237" t="s">
        <v>410</v>
      </c>
      <c r="K1369" s="237" t="s">
        <v>410</v>
      </c>
      <c r="L1369" s="237" t="s">
        <v>410</v>
      </c>
      <c r="M1369" s="237" t="s">
        <v>410</v>
      </c>
      <c r="N1369" s="237" t="s">
        <v>410</v>
      </c>
      <c r="O1369" s="237" t="s">
        <v>410</v>
      </c>
      <c r="P1369" s="237" t="s">
        <v>410</v>
      </c>
      <c r="Q1369" s="237" t="s">
        <v>410</v>
      </c>
      <c r="R1369" s="237" t="s">
        <v>410</v>
      </c>
      <c r="S1369" s="10" t="s">
        <v>410</v>
      </c>
      <c r="T1369" s="10" t="s">
        <v>410</v>
      </c>
    </row>
    <row r="1370" spans="1:20" hidden="1" outlineLevel="1" x14ac:dyDescent="0.3">
      <c r="A1370" s="583" t="s">
        <v>5216</v>
      </c>
      <c r="B1370" s="591">
        <v>16</v>
      </c>
      <c r="C1370" s="583" t="s">
        <v>1256</v>
      </c>
      <c r="D1370" s="583" t="s">
        <v>1490</v>
      </c>
      <c r="E1370" s="592" t="s">
        <v>410</v>
      </c>
      <c r="F1370" s="593"/>
      <c r="G1370" s="237" t="s">
        <v>410</v>
      </c>
      <c r="H1370" s="237" t="s">
        <v>410</v>
      </c>
      <c r="I1370" s="237" t="s">
        <v>410</v>
      </c>
      <c r="J1370" s="237" t="s">
        <v>410</v>
      </c>
      <c r="K1370" s="237" t="s">
        <v>410</v>
      </c>
      <c r="L1370" s="237" t="s">
        <v>410</v>
      </c>
      <c r="M1370" s="237" t="s">
        <v>410</v>
      </c>
      <c r="N1370" s="237" t="s">
        <v>410</v>
      </c>
      <c r="O1370" s="237" t="s">
        <v>410</v>
      </c>
      <c r="P1370" s="237" t="s">
        <v>410</v>
      </c>
      <c r="Q1370" s="237" t="s">
        <v>410</v>
      </c>
      <c r="R1370" s="237" t="s">
        <v>410</v>
      </c>
      <c r="S1370" s="10" t="s">
        <v>410</v>
      </c>
      <c r="T1370" s="10" t="s">
        <v>410</v>
      </c>
    </row>
    <row r="1371" spans="1:20" hidden="1" outlineLevel="1" x14ac:dyDescent="0.3">
      <c r="A1371" s="583" t="s">
        <v>4468</v>
      </c>
      <c r="B1371" s="591">
        <v>16</v>
      </c>
      <c r="C1371" s="583" t="s">
        <v>1256</v>
      </c>
      <c r="D1371" s="583" t="s">
        <v>1490</v>
      </c>
      <c r="E1371" s="592" t="s">
        <v>410</v>
      </c>
      <c r="F1371" s="593" t="s">
        <v>74</v>
      </c>
      <c r="G1371" s="593" t="s">
        <v>75</v>
      </c>
      <c r="H1371" s="593" t="s">
        <v>76</v>
      </c>
      <c r="I1371" s="593" t="s">
        <v>77</v>
      </c>
      <c r="J1371" s="237" t="s">
        <v>410</v>
      </c>
      <c r="K1371" s="237" t="s">
        <v>410</v>
      </c>
      <c r="L1371" s="237" t="s">
        <v>410</v>
      </c>
      <c r="M1371" s="237" t="s">
        <v>410</v>
      </c>
      <c r="N1371" s="237" t="s">
        <v>410</v>
      </c>
      <c r="O1371" s="237" t="s">
        <v>410</v>
      </c>
      <c r="P1371" s="237" t="s">
        <v>410</v>
      </c>
      <c r="Q1371" s="237" t="s">
        <v>410</v>
      </c>
      <c r="R1371" s="237" t="s">
        <v>410</v>
      </c>
      <c r="S1371" s="10" t="s">
        <v>410</v>
      </c>
      <c r="T1371" s="10" t="s">
        <v>410</v>
      </c>
    </row>
    <row r="1372" spans="1:20" hidden="1" outlineLevel="1" x14ac:dyDescent="0.3">
      <c r="A1372" s="583" t="s">
        <v>5141</v>
      </c>
      <c r="B1372" s="591">
        <v>16</v>
      </c>
      <c r="C1372" s="583" t="s">
        <v>1256</v>
      </c>
      <c r="D1372" s="583" t="s">
        <v>1490</v>
      </c>
      <c r="E1372" s="592" t="s">
        <v>410</v>
      </c>
      <c r="F1372" s="593" t="s">
        <v>1481</v>
      </c>
      <c r="G1372" s="593" t="s">
        <v>3553</v>
      </c>
      <c r="H1372" s="593" t="s">
        <v>5142</v>
      </c>
      <c r="I1372" s="593" t="s">
        <v>5143</v>
      </c>
      <c r="J1372" s="593" t="s">
        <v>5144</v>
      </c>
      <c r="K1372" s="237" t="s">
        <v>410</v>
      </c>
      <c r="L1372" s="237" t="s">
        <v>410</v>
      </c>
      <c r="M1372" s="237" t="s">
        <v>410</v>
      </c>
      <c r="N1372" s="237" t="s">
        <v>410</v>
      </c>
      <c r="O1372" s="237" t="s">
        <v>410</v>
      </c>
      <c r="P1372" s="237" t="s">
        <v>410</v>
      </c>
      <c r="Q1372" s="237" t="s">
        <v>410</v>
      </c>
      <c r="R1372" s="237" t="s">
        <v>410</v>
      </c>
      <c r="S1372" s="10" t="s">
        <v>410</v>
      </c>
      <c r="T1372" s="10" t="s">
        <v>410</v>
      </c>
    </row>
    <row r="1373" spans="1:20" hidden="1" outlineLevel="1" x14ac:dyDescent="0.3">
      <c r="A1373" s="583" t="s">
        <v>5204</v>
      </c>
      <c r="B1373" s="591">
        <v>16</v>
      </c>
      <c r="C1373" s="583" t="s">
        <v>1256</v>
      </c>
      <c r="D1373" s="583" t="s">
        <v>1490</v>
      </c>
      <c r="E1373" s="593" t="s">
        <v>410</v>
      </c>
      <c r="F1373" s="593" t="s">
        <v>3355</v>
      </c>
      <c r="G1373" s="593" t="s">
        <v>1975</v>
      </c>
      <c r="H1373" s="593" t="s">
        <v>1976</v>
      </c>
      <c r="I1373" s="593" t="s">
        <v>1977</v>
      </c>
      <c r="J1373" s="593" t="s">
        <v>3354</v>
      </c>
      <c r="K1373" s="237" t="s">
        <v>410</v>
      </c>
      <c r="L1373" s="237" t="s">
        <v>410</v>
      </c>
      <c r="M1373" s="237" t="s">
        <v>410</v>
      </c>
      <c r="N1373" s="237" t="s">
        <v>410</v>
      </c>
      <c r="O1373" s="237" t="s">
        <v>410</v>
      </c>
      <c r="P1373" s="237" t="s">
        <v>410</v>
      </c>
      <c r="Q1373" s="237" t="s">
        <v>410</v>
      </c>
      <c r="R1373" s="237" t="s">
        <v>410</v>
      </c>
      <c r="S1373" s="237" t="s">
        <v>410</v>
      </c>
      <c r="T1373" s="237" t="s">
        <v>410</v>
      </c>
    </row>
    <row r="1374" spans="1:20" hidden="1" outlineLevel="1" x14ac:dyDescent="0.3">
      <c r="A1374" s="583" t="s">
        <v>4462</v>
      </c>
      <c r="B1374" s="591">
        <v>21</v>
      </c>
      <c r="C1374" s="583" t="s">
        <v>1256</v>
      </c>
      <c r="D1374" s="583" t="s">
        <v>1490</v>
      </c>
      <c r="E1374" s="592" t="s">
        <v>410</v>
      </c>
      <c r="F1374" s="593" t="s">
        <v>4467</v>
      </c>
      <c r="G1374" s="593" t="s">
        <v>4463</v>
      </c>
      <c r="H1374" s="593" t="s">
        <v>4464</v>
      </c>
      <c r="I1374" s="593" t="s">
        <v>4465</v>
      </c>
      <c r="J1374" s="593" t="s">
        <v>4466</v>
      </c>
      <c r="K1374" s="237" t="s">
        <v>410</v>
      </c>
      <c r="L1374" s="237" t="s">
        <v>410</v>
      </c>
      <c r="M1374" s="237" t="s">
        <v>410</v>
      </c>
      <c r="N1374" s="237" t="s">
        <v>410</v>
      </c>
      <c r="O1374" s="237" t="s">
        <v>410</v>
      </c>
      <c r="P1374" s="237" t="s">
        <v>410</v>
      </c>
      <c r="Q1374" s="237" t="s">
        <v>410</v>
      </c>
      <c r="R1374" s="237" t="s">
        <v>410</v>
      </c>
      <c r="S1374" s="237" t="s">
        <v>410</v>
      </c>
      <c r="T1374" s="237" t="s">
        <v>410</v>
      </c>
    </row>
    <row r="1375" spans="1:20" hidden="1" outlineLevel="1" x14ac:dyDescent="0.3">
      <c r="A1375" s="583" t="s">
        <v>2138</v>
      </c>
      <c r="B1375" s="591">
        <v>0</v>
      </c>
      <c r="C1375" s="588" t="s">
        <v>1564</v>
      </c>
      <c r="D1375" s="588" t="s">
        <v>1490</v>
      </c>
      <c r="E1375" s="590" t="s">
        <v>3539</v>
      </c>
      <c r="F1375" s="457" t="s">
        <v>410</v>
      </c>
      <c r="G1375" s="457" t="s">
        <v>410</v>
      </c>
      <c r="H1375" s="457" t="s">
        <v>410</v>
      </c>
      <c r="I1375" s="457" t="s">
        <v>410</v>
      </c>
      <c r="J1375" s="457" t="s">
        <v>410</v>
      </c>
      <c r="K1375" s="457" t="s">
        <v>410</v>
      </c>
      <c r="L1375" s="457" t="s">
        <v>410</v>
      </c>
      <c r="M1375" s="457" t="s">
        <v>410</v>
      </c>
      <c r="N1375" s="457" t="s">
        <v>410</v>
      </c>
      <c r="O1375" s="457" t="s">
        <v>410</v>
      </c>
      <c r="P1375" s="441" t="s">
        <v>410</v>
      </c>
      <c r="Q1375" s="441" t="s">
        <v>410</v>
      </c>
      <c r="R1375" s="441" t="s">
        <v>410</v>
      </c>
      <c r="S1375" s="441" t="s">
        <v>410</v>
      </c>
      <c r="T1375" s="441" t="s">
        <v>410</v>
      </c>
    </row>
    <row r="1376" spans="1:20" collapsed="1" x14ac:dyDescent="0.3">
      <c r="A1376" s="583" t="s">
        <v>3333</v>
      </c>
      <c r="B1376" s="591">
        <v>1</v>
      </c>
      <c r="C1376" s="588" t="s">
        <v>1256</v>
      </c>
      <c r="D1376" s="588" t="s">
        <v>1475</v>
      </c>
      <c r="E1376" s="589" t="s">
        <v>66</v>
      </c>
      <c r="F1376" s="590" t="s">
        <v>5503</v>
      </c>
      <c r="G1376" s="590" t="s">
        <v>3159</v>
      </c>
      <c r="H1376" s="590" t="s">
        <v>3160</v>
      </c>
      <c r="I1376" s="590" t="s">
        <v>3274</v>
      </c>
      <c r="J1376" s="441" t="s">
        <v>410</v>
      </c>
      <c r="K1376" s="441" t="s">
        <v>410</v>
      </c>
      <c r="L1376" s="441" t="s">
        <v>410</v>
      </c>
      <c r="M1376" s="441" t="s">
        <v>410</v>
      </c>
      <c r="N1376" s="441" t="s">
        <v>410</v>
      </c>
      <c r="O1376" s="441" t="s">
        <v>410</v>
      </c>
      <c r="P1376" s="441" t="s">
        <v>410</v>
      </c>
      <c r="Q1376" s="441" t="s">
        <v>410</v>
      </c>
      <c r="R1376" s="441" t="s">
        <v>410</v>
      </c>
      <c r="S1376" s="441" t="s">
        <v>410</v>
      </c>
      <c r="T1376" s="441" t="s">
        <v>410</v>
      </c>
    </row>
    <row r="1377" spans="1:20" hidden="1" outlineLevel="1" x14ac:dyDescent="0.3">
      <c r="A1377" s="583" t="s">
        <v>3610</v>
      </c>
      <c r="B1377" s="591">
        <v>1</v>
      </c>
      <c r="C1377" s="588" t="s">
        <v>1256</v>
      </c>
      <c r="D1377" s="588" t="s">
        <v>1475</v>
      </c>
      <c r="E1377" s="589" t="s">
        <v>410</v>
      </c>
      <c r="F1377" s="594" t="str">
        <f>CONCATENATE(TEXT(4+IF(ZRČ&lt;0,0,ZRČ)*1,"0")," mg")</f>
        <v>4 mg</v>
      </c>
      <c r="G1377" s="594" t="str">
        <f>CONCATENATE(TEXT(5+IF(ZRČ&lt;0,0,ZRČ)*2,"0")," mg")</f>
        <v>5 mg</v>
      </c>
      <c r="H1377" s="594" t="str">
        <f>CONCATENATE(TEXT(7+IF(ZRČ&lt;0,0,ZRČ)*2,"0")," mg")</f>
        <v>7 mg</v>
      </c>
      <c r="I1377" s="594" t="str">
        <f>CONCATENATE(TEXT(9+IF(ZRČ&lt;0,0,ZRČ)*2,"0")," mg")</f>
        <v>9 mg</v>
      </c>
      <c r="J1377" s="594" t="str">
        <f>CONCATENATE(TEXT(9+IF(ZRČ&lt;0,0,ZRČ)*3,"0")," mg")</f>
        <v>9 mg</v>
      </c>
      <c r="K1377" s="594" t="str">
        <f>CONCATENATE(TEXT(10+IF(ZRČ&lt;0,0,ZRČ)*4,"0")," mg")</f>
        <v>10 mg</v>
      </c>
      <c r="L1377" s="594" t="str">
        <f>CONCATENATE(TEXT(13+IF(ZRČ&lt;0,0,ZRČ)*4,"0")," mg")</f>
        <v>13 mg</v>
      </c>
      <c r="M1377" s="594" t="str">
        <f>CONCATENATE(TEXT(16+IF(ZRČ&lt;0,0,ZRČ)*4,"0")," mg")</f>
        <v>16 mg</v>
      </c>
      <c r="N1377" s="594" t="str">
        <f>CONCATENATE(TEXT(19+IF(ZRČ&lt;0,0,ZRČ)*4,"0")," mg")</f>
        <v>19 mg</v>
      </c>
      <c r="O1377" s="594" t="str">
        <f>CONCATENATE(TEXT(21+IF(ZRČ&lt;0,0,ZRČ)*5,"0")," mg")</f>
        <v>21 mg</v>
      </c>
      <c r="P1377" s="441" t="s">
        <v>410</v>
      </c>
      <c r="Q1377" s="441" t="s">
        <v>410</v>
      </c>
      <c r="R1377" s="441" t="s">
        <v>410</v>
      </c>
      <c r="S1377" s="441" t="s">
        <v>410</v>
      </c>
      <c r="T1377" s="441" t="s">
        <v>410</v>
      </c>
    </row>
    <row r="1378" spans="1:20" hidden="1" outlineLevel="1" x14ac:dyDescent="0.3">
      <c r="A1378" s="583" t="s">
        <v>3611</v>
      </c>
      <c r="B1378" s="591">
        <v>1</v>
      </c>
      <c r="C1378" s="588" t="s">
        <v>1256</v>
      </c>
      <c r="D1378" s="588" t="s">
        <v>1475</v>
      </c>
      <c r="E1378" s="589" t="s">
        <v>410</v>
      </c>
      <c r="F1378" s="594" t="str">
        <f>CONCATENATE(TEXT(4+IF(VOL&lt;0,0,VOL)*1,"0")," mg")</f>
        <v>4 mg</v>
      </c>
      <c r="G1378" s="594" t="str">
        <f>CONCATENATE(TEXT(5+IF(VOL&lt;0,0,VOL)*2,"0")," mg")</f>
        <v>5 mg</v>
      </c>
      <c r="H1378" s="594" t="str">
        <f>CONCATENATE(TEXT(7+IF(VOL&lt;0,0,VOL)*2,"0")," mg")</f>
        <v>7 mg</v>
      </c>
      <c r="I1378" s="594" t="str">
        <f>CONCATENATE(TEXT(9+IF(VOL&lt;0,0,VOL)*2,"0")," mg")</f>
        <v>9 mg</v>
      </c>
      <c r="J1378" s="594" t="str">
        <f>CONCATENATE(TEXT(9+IF(VOL&lt;0,0,VOL)*3,"0")," mg")</f>
        <v>9 mg</v>
      </c>
      <c r="K1378" s="594" t="str">
        <f>CONCATENATE(TEXT(10+IF(VOL&lt;0,0,VOL)*4,"0")," mg")</f>
        <v>10 mg</v>
      </c>
      <c r="L1378" s="594" t="str">
        <f>CONCATENATE(TEXT(13+IF(VOL&lt;0,0,VOL)*4,"0")," mg")</f>
        <v>13 mg</v>
      </c>
      <c r="M1378" s="594" t="str">
        <f>CONCATENATE(TEXT(16+IF(VOL&lt;0,0,VOL)*4,"0")," mg")</f>
        <v>16 mg</v>
      </c>
      <c r="N1378" s="594" t="str">
        <f>CONCATENATE(TEXT(19+IF(VOL&lt;0,0,VOL)*4,"0")," mg")</f>
        <v>19 mg</v>
      </c>
      <c r="O1378" s="594" t="str">
        <f>CONCATENATE(TEXT(21+IF(VOL&lt;0,0,VOL)*5,"0")," mg")</f>
        <v>21 mg</v>
      </c>
      <c r="P1378" s="441" t="s">
        <v>410</v>
      </c>
      <c r="Q1378" s="441" t="s">
        <v>410</v>
      </c>
      <c r="R1378" s="441" t="s">
        <v>410</v>
      </c>
      <c r="S1378" s="441" t="s">
        <v>410</v>
      </c>
      <c r="T1378" s="441" t="s">
        <v>410</v>
      </c>
    </row>
    <row r="1379" spans="1:20" hidden="1" outlineLevel="1" x14ac:dyDescent="0.3">
      <c r="A1379" s="583" t="s">
        <v>3612</v>
      </c>
      <c r="B1379" s="591">
        <v>1</v>
      </c>
      <c r="C1379" s="588" t="s">
        <v>1256</v>
      </c>
      <c r="D1379" s="588" t="s">
        <v>1475</v>
      </c>
      <c r="E1379" s="589" t="s">
        <v>410</v>
      </c>
      <c r="F1379" s="594" t="str">
        <f>CONCATENATE(TEXT(4+IF(SIL&lt;0,0,SIL)*1,"0")," mg")</f>
        <v>4 mg</v>
      </c>
      <c r="G1379" s="594" t="str">
        <f>CONCATENATE(TEXT(5+IF(SIL&lt;0,0,SIL)*2,"0")," mg")</f>
        <v>5 mg</v>
      </c>
      <c r="H1379" s="594" t="str">
        <f>CONCATENATE(TEXT(7+IF(SIL&lt;0,0,SIL)*2,"0")," mg")</f>
        <v>7 mg</v>
      </c>
      <c r="I1379" s="594" t="str">
        <f>CONCATENATE(TEXT(9+IF(SIL&lt;0,0,SIL)*2,"0")," mg")</f>
        <v>9 mg</v>
      </c>
      <c r="J1379" s="594" t="str">
        <f>CONCATENATE(TEXT(9+IF(SIL&lt;0,0,SIL)*3,"0")," mg")</f>
        <v>9 mg</v>
      </c>
      <c r="K1379" s="594" t="str">
        <f>CONCATENATE(TEXT(10+IF(SIL&lt;0,0,SIL)*4,"0")," mg")</f>
        <v>10 mg</v>
      </c>
      <c r="L1379" s="594" t="str">
        <f>CONCATENATE(TEXT(13+IF(SIL&lt;0,0,SIL)*4,"0")," mg")</f>
        <v>13 mg</v>
      </c>
      <c r="M1379" s="594" t="str">
        <f>CONCATENATE(TEXT(16+IF(SIL&lt;0,0,SIL)*4,"0")," mg")</f>
        <v>16 mg</v>
      </c>
      <c r="N1379" s="594" t="str">
        <f>CONCATENATE(TEXT(19+IF(SIL&lt;0,0,SIL)*4,"0")," mg")</f>
        <v>19 mg</v>
      </c>
      <c r="O1379" s="594" t="str">
        <f>CONCATENATE(TEXT(21+IF(SIL&lt;0,0,SIL)*5,"0")," mg")</f>
        <v>21 mg</v>
      </c>
      <c r="P1379" s="441" t="s">
        <v>410</v>
      </c>
      <c r="Q1379" s="441" t="s">
        <v>410</v>
      </c>
      <c r="R1379" s="441" t="s">
        <v>410</v>
      </c>
      <c r="S1379" s="441" t="s">
        <v>410</v>
      </c>
      <c r="T1379" s="441" t="s">
        <v>410</v>
      </c>
    </row>
    <row r="1380" spans="1:20" hidden="1" outlineLevel="1" x14ac:dyDescent="0.3">
      <c r="A1380" s="583" t="s">
        <v>3613</v>
      </c>
      <c r="B1380" s="591">
        <v>1</v>
      </c>
      <c r="C1380" s="588" t="s">
        <v>1256</v>
      </c>
      <c r="D1380" s="588" t="s">
        <v>1475</v>
      </c>
      <c r="E1380" s="589" t="s">
        <v>410</v>
      </c>
      <c r="F1380" s="594" t="str">
        <f>CONCATENATE(TEXT(4+IF(INT&lt;0,0,INT)*1,"0")," mg")</f>
        <v>4 mg</v>
      </c>
      <c r="G1380" s="594" t="str">
        <f>CONCATENATE(TEXT(5+IF(INT&lt;0,0,INT)*2,"0")," mg")</f>
        <v>5 mg</v>
      </c>
      <c r="H1380" s="594" t="str">
        <f>CONCATENATE(TEXT(7+IF(INT&lt;0,0,INT)*2,"0")," mg")</f>
        <v>7 mg</v>
      </c>
      <c r="I1380" s="594" t="str">
        <f>CONCATENATE(TEXT(9+IF(INT&lt;0,0,INT)*2,"0")," mg")</f>
        <v>9 mg</v>
      </c>
      <c r="J1380" s="594" t="str">
        <f>CONCATENATE(TEXT(9+IF(INT&lt;0,0,INT)*3,"0")," mg")</f>
        <v>9 mg</v>
      </c>
      <c r="K1380" s="594" t="str">
        <f>CONCATENATE(TEXT(10+IF(INT&lt;0,0,INT)*4,"0")," mg")</f>
        <v>10 mg</v>
      </c>
      <c r="L1380" s="594" t="str">
        <f>CONCATENATE(TEXT(13+IF(INT&lt;0,0,INT)*4,"0")," mg")</f>
        <v>13 mg</v>
      </c>
      <c r="M1380" s="594" t="str">
        <f>CONCATENATE(TEXT(16+IF(INT&lt;0,0,INT)*4,"0")," mg")</f>
        <v>16 mg</v>
      </c>
      <c r="N1380" s="594" t="str">
        <f>CONCATENATE(TEXT(19+IF(INT&lt;0,0,INT)*4,"0")," mg")</f>
        <v>19 mg</v>
      </c>
      <c r="O1380" s="594" t="str">
        <f>CONCATENATE(TEXT(21+IF(INT&lt;0,0,INT)*5,"0")," mg")</f>
        <v>21 mg</v>
      </c>
      <c r="P1380" s="441" t="s">
        <v>410</v>
      </c>
      <c r="Q1380" s="441" t="s">
        <v>410</v>
      </c>
      <c r="R1380" s="441" t="s">
        <v>410</v>
      </c>
      <c r="S1380" s="441" t="s">
        <v>410</v>
      </c>
      <c r="T1380" s="441" t="s">
        <v>410</v>
      </c>
    </row>
    <row r="1381" spans="1:20" hidden="1" outlineLevel="1" x14ac:dyDescent="0.3">
      <c r="A1381" s="583" t="s">
        <v>2190</v>
      </c>
      <c r="B1381" s="591">
        <v>1</v>
      </c>
      <c r="C1381" s="583" t="s">
        <v>1256</v>
      </c>
      <c r="D1381" s="583" t="s">
        <v>1475</v>
      </c>
      <c r="E1381" s="593" t="s">
        <v>4363</v>
      </c>
      <c r="F1381" s="593" t="s">
        <v>4364</v>
      </c>
      <c r="G1381" s="593" t="s">
        <v>4365</v>
      </c>
      <c r="H1381" s="593" t="s">
        <v>4362</v>
      </c>
      <c r="I1381" s="593" t="s">
        <v>4366</v>
      </c>
      <c r="J1381" s="593" t="s">
        <v>4367</v>
      </c>
      <c r="K1381" s="593" t="s">
        <v>4368</v>
      </c>
      <c r="L1381" s="237" t="s">
        <v>410</v>
      </c>
      <c r="M1381" s="237" t="s">
        <v>410</v>
      </c>
      <c r="N1381" s="237" t="s">
        <v>410</v>
      </c>
      <c r="O1381" s="237" t="s">
        <v>410</v>
      </c>
      <c r="P1381" s="237" t="s">
        <v>410</v>
      </c>
      <c r="Q1381" s="237" t="s">
        <v>410</v>
      </c>
      <c r="R1381" s="237" t="s">
        <v>410</v>
      </c>
      <c r="S1381" s="237" t="s">
        <v>410</v>
      </c>
      <c r="T1381" s="237" t="s">
        <v>410</v>
      </c>
    </row>
    <row r="1382" spans="1:20" hidden="1" outlineLevel="1" x14ac:dyDescent="0.3">
      <c r="A1382" s="583" t="s">
        <v>1637</v>
      </c>
      <c r="B1382" s="591">
        <v>1</v>
      </c>
      <c r="C1382" s="583" t="s">
        <v>1256</v>
      </c>
      <c r="D1382" s="583" t="s">
        <v>1475</v>
      </c>
      <c r="E1382" s="592" t="s">
        <v>410</v>
      </c>
      <c r="F1382" s="593" t="s">
        <v>3320</v>
      </c>
      <c r="G1382" s="593" t="s">
        <v>1543</v>
      </c>
      <c r="H1382" s="593" t="s">
        <v>3321</v>
      </c>
      <c r="I1382" s="593" t="s">
        <v>3322</v>
      </c>
      <c r="J1382" s="593" t="s">
        <v>3323</v>
      </c>
      <c r="K1382" s="593" t="s">
        <v>3324</v>
      </c>
      <c r="L1382" s="593" t="s">
        <v>3325</v>
      </c>
      <c r="M1382" s="593" t="s">
        <v>3326</v>
      </c>
      <c r="N1382" s="237" t="s">
        <v>410</v>
      </c>
      <c r="O1382" s="237" t="s">
        <v>410</v>
      </c>
      <c r="P1382" s="237" t="s">
        <v>410</v>
      </c>
      <c r="Q1382" s="237" t="s">
        <v>410</v>
      </c>
      <c r="R1382" s="237" t="s">
        <v>410</v>
      </c>
      <c r="S1382" s="10" t="s">
        <v>410</v>
      </c>
      <c r="T1382" s="10" t="s">
        <v>410</v>
      </c>
    </row>
    <row r="1383" spans="1:20" hidden="1" outlineLevel="1" x14ac:dyDescent="0.3">
      <c r="A1383" s="583" t="s">
        <v>1720</v>
      </c>
      <c r="B1383" s="591">
        <v>1</v>
      </c>
      <c r="C1383" s="583" t="s">
        <v>1256</v>
      </c>
      <c r="D1383" s="583" t="s">
        <v>1475</v>
      </c>
      <c r="E1383" s="592" t="s">
        <v>410</v>
      </c>
      <c r="F1383" s="593"/>
      <c r="G1383" s="593"/>
      <c r="H1383" s="593"/>
      <c r="I1383" s="593"/>
      <c r="J1383" s="593"/>
      <c r="K1383" s="593"/>
      <c r="L1383" s="237" t="s">
        <v>410</v>
      </c>
      <c r="M1383" s="237" t="s">
        <v>410</v>
      </c>
      <c r="N1383" s="237" t="s">
        <v>410</v>
      </c>
      <c r="O1383" s="237" t="s">
        <v>410</v>
      </c>
      <c r="P1383" s="237" t="s">
        <v>410</v>
      </c>
      <c r="Q1383" s="237" t="s">
        <v>410</v>
      </c>
      <c r="R1383" s="237" t="s">
        <v>410</v>
      </c>
      <c r="S1383" s="10" t="s">
        <v>410</v>
      </c>
      <c r="T1383" s="10" t="s">
        <v>410</v>
      </c>
    </row>
    <row r="1384" spans="1:20" hidden="1" outlineLevel="1" x14ac:dyDescent="0.3">
      <c r="A1384" s="583" t="s">
        <v>1785</v>
      </c>
      <c r="B1384" s="591">
        <v>1</v>
      </c>
      <c r="C1384" s="583" t="s">
        <v>1256</v>
      </c>
      <c r="D1384" s="583" t="s">
        <v>1475</v>
      </c>
      <c r="E1384" s="592">
        <v>0</v>
      </c>
      <c r="F1384" s="592" t="s">
        <v>4324</v>
      </c>
      <c r="G1384" s="592" t="s">
        <v>68</v>
      </c>
      <c r="H1384" s="592" t="s">
        <v>70</v>
      </c>
      <c r="I1384" s="592" t="s">
        <v>72</v>
      </c>
      <c r="J1384" s="237" t="s">
        <v>410</v>
      </c>
      <c r="K1384" s="237" t="s">
        <v>410</v>
      </c>
      <c r="L1384" s="237" t="s">
        <v>410</v>
      </c>
      <c r="M1384" s="237" t="s">
        <v>410</v>
      </c>
      <c r="N1384" s="237" t="s">
        <v>410</v>
      </c>
      <c r="O1384" s="237" t="s">
        <v>410</v>
      </c>
      <c r="P1384" s="237" t="s">
        <v>410</v>
      </c>
      <c r="Q1384" s="237" t="s">
        <v>410</v>
      </c>
      <c r="R1384" s="237" t="s">
        <v>410</v>
      </c>
      <c r="S1384" s="10" t="s">
        <v>410</v>
      </c>
      <c r="T1384" s="10" t="s">
        <v>410</v>
      </c>
    </row>
    <row r="1385" spans="1:20" hidden="1" outlineLevel="1" x14ac:dyDescent="0.3">
      <c r="A1385" s="583" t="s">
        <v>1892</v>
      </c>
      <c r="B1385" s="591">
        <v>1</v>
      </c>
      <c r="C1385" s="583" t="s">
        <v>1256</v>
      </c>
      <c r="D1385" s="583" t="s">
        <v>1475</v>
      </c>
      <c r="E1385" s="592" t="s">
        <v>410</v>
      </c>
      <c r="F1385" s="593" t="s">
        <v>67</v>
      </c>
      <c r="G1385" s="593" t="s">
        <v>68</v>
      </c>
      <c r="H1385" s="593" t="s">
        <v>70</v>
      </c>
      <c r="I1385" s="594">
        <f>IF(CHR&lt;4,4,CHR)</f>
        <v>4</v>
      </c>
      <c r="J1385" s="237" t="s">
        <v>410</v>
      </c>
      <c r="K1385" s="237" t="s">
        <v>410</v>
      </c>
      <c r="L1385" s="237" t="s">
        <v>410</v>
      </c>
      <c r="M1385" s="237" t="s">
        <v>410</v>
      </c>
      <c r="N1385" s="237" t="s">
        <v>410</v>
      </c>
      <c r="O1385" s="237" t="s">
        <v>410</v>
      </c>
      <c r="P1385" s="237" t="s">
        <v>410</v>
      </c>
      <c r="Q1385" s="237" t="s">
        <v>410</v>
      </c>
      <c r="R1385" s="237" t="s">
        <v>410</v>
      </c>
      <c r="S1385" s="10" t="s">
        <v>410</v>
      </c>
      <c r="T1385" s="10" t="s">
        <v>410</v>
      </c>
    </row>
    <row r="1386" spans="1:20" hidden="1" outlineLevel="1" x14ac:dyDescent="0.3">
      <c r="A1386" s="583" t="s">
        <v>4621</v>
      </c>
      <c r="B1386" s="591">
        <v>1</v>
      </c>
      <c r="C1386" s="583" t="s">
        <v>1256</v>
      </c>
      <c r="D1386" s="583" t="s">
        <v>1475</v>
      </c>
      <c r="E1386" s="594" t="str">
        <f>CONCATENATE("['Mag. spol. I] ",TEXT(Úr,0)," m")</f>
        <v>['Mag. spol. I] 4 m</v>
      </c>
      <c r="F1386" s="594" t="str">
        <f>CONCATENATE(TEXT(Úr*10,0)," m")</f>
        <v>40 m</v>
      </c>
      <c r="G1386" s="594" t="str">
        <f>CONCATENATE(TEXT(Úr*50,0)," m")</f>
        <v>200 m</v>
      </c>
      <c r="H1386" s="594" t="str">
        <f>CONCATENATE(TEXT(Úr*200,0)," m")</f>
        <v>800 m</v>
      </c>
      <c r="I1386" t="s">
        <v>410</v>
      </c>
      <c r="J1386" t="s">
        <v>410</v>
      </c>
      <c r="K1386" t="s">
        <v>410</v>
      </c>
      <c r="L1386" t="s">
        <v>410</v>
      </c>
      <c r="M1386" t="s">
        <v>410</v>
      </c>
      <c r="N1386" t="s">
        <v>410</v>
      </c>
      <c r="O1386" t="s">
        <v>410</v>
      </c>
      <c r="P1386" t="s">
        <v>410</v>
      </c>
      <c r="Q1386" t="s">
        <v>410</v>
      </c>
      <c r="R1386" t="s">
        <v>410</v>
      </c>
      <c r="S1386" t="s">
        <v>410</v>
      </c>
      <c r="T1386" t="s">
        <v>410</v>
      </c>
    </row>
    <row r="1387" spans="1:20" hidden="1" outlineLevel="1" x14ac:dyDescent="0.3">
      <c r="A1387" s="583" t="s">
        <v>1935</v>
      </c>
      <c r="B1387" s="591">
        <v>1</v>
      </c>
      <c r="C1387" s="583" t="s">
        <v>1256</v>
      </c>
      <c r="D1387" s="583" t="s">
        <v>1475</v>
      </c>
      <c r="E1387" s="592" t="s">
        <v>90</v>
      </c>
      <c r="F1387" s="593" t="s">
        <v>3340</v>
      </c>
      <c r="G1387" s="593" t="s">
        <v>3341</v>
      </c>
      <c r="H1387" s="593" t="s">
        <v>3342</v>
      </c>
      <c r="I1387" s="593" t="s">
        <v>3343</v>
      </c>
      <c r="J1387" s="237" t="s">
        <v>410</v>
      </c>
      <c r="K1387" s="237" t="s">
        <v>410</v>
      </c>
      <c r="L1387" s="237" t="s">
        <v>410</v>
      </c>
      <c r="M1387" s="237" t="s">
        <v>410</v>
      </c>
      <c r="N1387" s="237" t="s">
        <v>410</v>
      </c>
      <c r="O1387" s="237" t="s">
        <v>410</v>
      </c>
      <c r="P1387" s="237" t="s">
        <v>410</v>
      </c>
      <c r="Q1387" s="237" t="s">
        <v>410</v>
      </c>
      <c r="R1387" s="237" t="s">
        <v>410</v>
      </c>
      <c r="S1387" s="10" t="s">
        <v>410</v>
      </c>
      <c r="T1387" s="10" t="s">
        <v>410</v>
      </c>
    </row>
    <row r="1388" spans="1:20" hidden="1" outlineLevel="1" x14ac:dyDescent="0.3">
      <c r="A1388" s="583" t="s">
        <v>3614</v>
      </c>
      <c r="B1388" s="591">
        <v>1</v>
      </c>
      <c r="C1388" s="583" t="s">
        <v>1256</v>
      </c>
      <c r="D1388" s="588" t="s">
        <v>1475</v>
      </c>
      <c r="E1388" s="589" t="s">
        <v>410</v>
      </c>
      <c r="F1388" s="594" t="str">
        <f>CONCATENATE(TEXT(4+IF(CHR&lt;0,0,CHR)*1,"0")," mg")</f>
        <v>4 mg</v>
      </c>
      <c r="G1388" s="594" t="str">
        <f>CONCATENATE(TEXT(5+IF(CHR&lt;0,0,CHR)*2,"0")," mg")</f>
        <v>5 mg</v>
      </c>
      <c r="H1388" s="594" t="str">
        <f>CONCATENATE(TEXT(7+IF(CHR&lt;0,0,CHR)*2,"0")," mg")</f>
        <v>7 mg</v>
      </c>
      <c r="I1388" s="594" t="str">
        <f>CONCATENATE(TEXT(9+IF(CHR&lt;0,0,CHR)*2,"0")," mg")</f>
        <v>9 mg</v>
      </c>
      <c r="J1388" s="594" t="str">
        <f>CONCATENATE(TEXT(9+IF(CHR&lt;0,0,CHR)*3,"0")," mg")</f>
        <v>9 mg</v>
      </c>
      <c r="K1388" s="594" t="str">
        <f>CONCATENATE(TEXT(10+IF(CHR&lt;0,0,CHR)*4,"0")," mg")</f>
        <v>10 mg</v>
      </c>
      <c r="L1388" s="594" t="str">
        <f>CONCATENATE(TEXT(13+IF(CHR&lt;0,0,CHR)*4,"0")," mg")</f>
        <v>13 mg</v>
      </c>
      <c r="M1388" s="594" t="str">
        <f>CONCATENATE(TEXT(16+IF(CHR&lt;0,0,CHR)*4,"0")," mg")</f>
        <v>16 mg</v>
      </c>
      <c r="N1388" s="594" t="str">
        <f>CONCATENATE(TEXT(19+IF(CHR&lt;0,0,CHR)*4,"0")," mg")</f>
        <v>19 mg</v>
      </c>
      <c r="O1388" s="594" t="str">
        <f>CONCATENATE(TEXT(21+IF(CHR&lt;0,0,CHR)*5,"0")," mg")</f>
        <v>21 mg</v>
      </c>
      <c r="P1388" s="237" t="s">
        <v>410</v>
      </c>
      <c r="Q1388" s="237" t="s">
        <v>410</v>
      </c>
      <c r="R1388" s="237" t="s">
        <v>410</v>
      </c>
      <c r="S1388" s="237" t="s">
        <v>410</v>
      </c>
      <c r="T1388" s="237" t="s">
        <v>410</v>
      </c>
    </row>
    <row r="1389" spans="1:20" hidden="1" outlineLevel="1" x14ac:dyDescent="0.3">
      <c r="A1389" s="583" t="s">
        <v>1654</v>
      </c>
      <c r="B1389" s="591">
        <v>2</v>
      </c>
      <c r="C1389" s="583" t="s">
        <v>1256</v>
      </c>
      <c r="D1389" s="583" t="s">
        <v>1475</v>
      </c>
      <c r="E1389" s="592" t="s">
        <v>410</v>
      </c>
      <c r="F1389" s="593" t="s">
        <v>318</v>
      </c>
      <c r="G1389" s="593" t="s">
        <v>2191</v>
      </c>
      <c r="H1389" s="593" t="s">
        <v>2192</v>
      </c>
      <c r="I1389" s="593" t="s">
        <v>2193</v>
      </c>
      <c r="J1389" s="593" t="s">
        <v>2194</v>
      </c>
      <c r="K1389" s="237" t="s">
        <v>410</v>
      </c>
      <c r="L1389" s="237" t="s">
        <v>410</v>
      </c>
      <c r="M1389" s="237" t="s">
        <v>410</v>
      </c>
      <c r="N1389" s="237" t="s">
        <v>410</v>
      </c>
      <c r="O1389" s="237" t="s">
        <v>410</v>
      </c>
      <c r="P1389" s="237" t="s">
        <v>410</v>
      </c>
      <c r="Q1389" s="237" t="s">
        <v>410</v>
      </c>
      <c r="R1389" s="237" t="s">
        <v>410</v>
      </c>
      <c r="S1389" s="10" t="s">
        <v>410</v>
      </c>
      <c r="T1389" s="10" t="s">
        <v>410</v>
      </c>
    </row>
    <row r="1390" spans="1:20" hidden="1" outlineLevel="1" x14ac:dyDescent="0.3">
      <c r="A1390" s="583" t="s">
        <v>1752</v>
      </c>
      <c r="B1390" s="591">
        <v>2</v>
      </c>
      <c r="C1390" s="583" t="s">
        <v>1256</v>
      </c>
      <c r="D1390" s="583" t="s">
        <v>1475</v>
      </c>
      <c r="E1390" s="592" t="s">
        <v>3073</v>
      </c>
      <c r="F1390" s="593" t="s">
        <v>4377</v>
      </c>
      <c r="G1390" s="593" t="s">
        <v>3335</v>
      </c>
      <c r="H1390" s="593" t="s">
        <v>3336</v>
      </c>
      <c r="I1390" s="593" t="s">
        <v>3337</v>
      </c>
      <c r="J1390" s="593" t="s">
        <v>3338</v>
      </c>
      <c r="K1390" s="237" t="s">
        <v>410</v>
      </c>
      <c r="L1390" s="237" t="s">
        <v>410</v>
      </c>
      <c r="M1390" s="237" t="s">
        <v>410</v>
      </c>
      <c r="N1390" s="237" t="s">
        <v>410</v>
      </c>
      <c r="O1390" s="237" t="s">
        <v>410</v>
      </c>
      <c r="P1390" s="237" t="s">
        <v>410</v>
      </c>
      <c r="Q1390" s="237" t="s">
        <v>410</v>
      </c>
      <c r="R1390" s="237" t="s">
        <v>410</v>
      </c>
      <c r="S1390" s="10" t="s">
        <v>410</v>
      </c>
      <c r="T1390" s="10" t="s">
        <v>410</v>
      </c>
    </row>
    <row r="1391" spans="1:20" hidden="1" outlineLevel="1" x14ac:dyDescent="0.3">
      <c r="A1391" s="583" t="s">
        <v>1815</v>
      </c>
      <c r="B1391" s="591">
        <v>2</v>
      </c>
      <c r="C1391" s="583" t="s">
        <v>1256</v>
      </c>
      <c r="D1391" s="583" t="s">
        <v>1475</v>
      </c>
      <c r="E1391" s="592" t="s">
        <v>410</v>
      </c>
      <c r="F1391" s="593" t="s">
        <v>1816</v>
      </c>
      <c r="G1391" s="593" t="s">
        <v>1817</v>
      </c>
      <c r="H1391" s="593" t="s">
        <v>1818</v>
      </c>
      <c r="I1391" s="593" t="s">
        <v>1819</v>
      </c>
      <c r="J1391" s="593" t="s">
        <v>1820</v>
      </c>
      <c r="K1391" s="237" t="s">
        <v>410</v>
      </c>
      <c r="L1391" s="237" t="s">
        <v>410</v>
      </c>
      <c r="M1391" s="237" t="s">
        <v>410</v>
      </c>
      <c r="N1391" s="237" t="s">
        <v>410</v>
      </c>
      <c r="O1391" s="237" t="s">
        <v>410</v>
      </c>
      <c r="P1391" s="237" t="s">
        <v>410</v>
      </c>
      <c r="Q1391" s="237" t="s">
        <v>410</v>
      </c>
      <c r="R1391" s="237" t="s">
        <v>410</v>
      </c>
      <c r="S1391" s="10" t="s">
        <v>410</v>
      </c>
      <c r="T1391" s="10" t="s">
        <v>410</v>
      </c>
    </row>
    <row r="1392" spans="1:20" hidden="1" outlineLevel="1" x14ac:dyDescent="0.3">
      <c r="A1392" s="583" t="s">
        <v>3033</v>
      </c>
      <c r="B1392" s="591">
        <v>2</v>
      </c>
      <c r="C1392" s="583" t="s">
        <v>1256</v>
      </c>
      <c r="D1392" s="583" t="s">
        <v>1475</v>
      </c>
      <c r="E1392" s="593" t="s">
        <v>3034</v>
      </c>
      <c r="F1392" s="593" t="s">
        <v>3035</v>
      </c>
      <c r="G1392" s="593" t="s">
        <v>3036</v>
      </c>
      <c r="H1392" s="593" t="s">
        <v>3038</v>
      </c>
      <c r="I1392" s="593" t="s">
        <v>3037</v>
      </c>
      <c r="J1392" s="237" t="s">
        <v>410</v>
      </c>
      <c r="K1392" s="237" t="s">
        <v>410</v>
      </c>
      <c r="L1392" s="237" t="s">
        <v>410</v>
      </c>
      <c r="M1392" s="237" t="s">
        <v>410</v>
      </c>
      <c r="N1392" s="237" t="s">
        <v>410</v>
      </c>
      <c r="O1392" s="237" t="s">
        <v>410</v>
      </c>
      <c r="P1392" s="237" t="s">
        <v>410</v>
      </c>
      <c r="Q1392" s="237" t="s">
        <v>410</v>
      </c>
      <c r="R1392" s="237" t="s">
        <v>410</v>
      </c>
      <c r="S1392" s="10" t="s">
        <v>410</v>
      </c>
      <c r="T1392" s="10" t="s">
        <v>410</v>
      </c>
    </row>
    <row r="1393" spans="1:20" hidden="1" outlineLevel="1" x14ac:dyDescent="0.3">
      <c r="A1393" s="583" t="s">
        <v>1995</v>
      </c>
      <c r="B1393" s="591">
        <v>3</v>
      </c>
      <c r="C1393" s="583" t="s">
        <v>1256</v>
      </c>
      <c r="D1393" s="583" t="s">
        <v>1475</v>
      </c>
      <c r="E1393" s="237" t="s">
        <v>410</v>
      </c>
      <c r="F1393" s="593" t="s">
        <v>1525</v>
      </c>
      <c r="G1393" s="593" t="s">
        <v>3316</v>
      </c>
      <c r="H1393" s="593" t="s">
        <v>3317</v>
      </c>
      <c r="I1393" s="593" t="s">
        <v>3318</v>
      </c>
      <c r="J1393" s="593" t="s">
        <v>3319</v>
      </c>
      <c r="K1393" s="237" t="s">
        <v>410</v>
      </c>
      <c r="L1393" s="237" t="s">
        <v>410</v>
      </c>
      <c r="M1393" s="237" t="s">
        <v>410</v>
      </c>
      <c r="N1393" s="237" t="s">
        <v>410</v>
      </c>
      <c r="O1393" s="237" t="s">
        <v>410</v>
      </c>
      <c r="P1393" s="237" t="s">
        <v>410</v>
      </c>
      <c r="Q1393" s="237" t="s">
        <v>410</v>
      </c>
      <c r="R1393" s="237" t="s">
        <v>410</v>
      </c>
      <c r="S1393" s="237" t="s">
        <v>410</v>
      </c>
      <c r="T1393" s="237" t="s">
        <v>410</v>
      </c>
    </row>
    <row r="1394" spans="1:20" hidden="1" outlineLevel="1" x14ac:dyDescent="0.3">
      <c r="A1394" s="583" t="s">
        <v>1845</v>
      </c>
      <c r="B1394" s="591">
        <v>5</v>
      </c>
      <c r="C1394" s="583" t="s">
        <v>1256</v>
      </c>
      <c r="D1394" s="583" t="s">
        <v>1475</v>
      </c>
      <c r="E1394" s="10" t="s">
        <v>410</v>
      </c>
      <c r="F1394" s="593" t="s">
        <v>3311</v>
      </c>
      <c r="G1394" s="593" t="s">
        <v>3312</v>
      </c>
      <c r="H1394" s="593" t="s">
        <v>3313</v>
      </c>
      <c r="I1394" s="593" t="s">
        <v>3314</v>
      </c>
      <c r="J1394" s="593" t="s">
        <v>3315</v>
      </c>
      <c r="K1394" s="237" t="s">
        <v>410</v>
      </c>
      <c r="L1394" s="237" t="s">
        <v>410</v>
      </c>
      <c r="M1394" s="237" t="s">
        <v>410</v>
      </c>
      <c r="N1394" s="237" t="s">
        <v>410</v>
      </c>
      <c r="O1394" s="237" t="s">
        <v>410</v>
      </c>
      <c r="P1394" s="237" t="s">
        <v>410</v>
      </c>
      <c r="Q1394" s="237" t="s">
        <v>410</v>
      </c>
      <c r="R1394" s="237" t="s">
        <v>410</v>
      </c>
      <c r="S1394" s="10" t="s">
        <v>410</v>
      </c>
      <c r="T1394" s="10" t="s">
        <v>410</v>
      </c>
    </row>
    <row r="1395" spans="1:20" hidden="1" outlineLevel="1" x14ac:dyDescent="0.3">
      <c r="A1395" s="583" t="s">
        <v>3595</v>
      </c>
      <c r="B1395" s="591">
        <v>6</v>
      </c>
      <c r="C1395" s="583" t="s">
        <v>1256</v>
      </c>
      <c r="D1395" s="583" t="s">
        <v>1475</v>
      </c>
      <c r="E1395" s="592" t="s">
        <v>410</v>
      </c>
      <c r="F1395" s="593" t="s">
        <v>1829</v>
      </c>
      <c r="G1395" s="593" t="s">
        <v>1830</v>
      </c>
      <c r="H1395" s="593" t="s">
        <v>1831</v>
      </c>
      <c r="I1395" s="593" t="s">
        <v>1832</v>
      </c>
      <c r="J1395" s="593" t="s">
        <v>1833</v>
      </c>
      <c r="K1395" s="593" t="s">
        <v>1834</v>
      </c>
      <c r="L1395" s="593" t="s">
        <v>1927</v>
      </c>
      <c r="M1395" s="593" t="s">
        <v>3596</v>
      </c>
      <c r="N1395" s="593" t="s">
        <v>3597</v>
      </c>
      <c r="O1395" s="237" t="s">
        <v>410</v>
      </c>
      <c r="P1395" s="237" t="s">
        <v>410</v>
      </c>
      <c r="Q1395" s="237" t="s">
        <v>410</v>
      </c>
      <c r="R1395" s="237" t="s">
        <v>410</v>
      </c>
      <c r="S1395" s="10" t="s">
        <v>410</v>
      </c>
      <c r="T1395" s="10" t="s">
        <v>410</v>
      </c>
    </row>
    <row r="1396" spans="1:20" ht="15" hidden="1" customHeight="1" outlineLevel="1" x14ac:dyDescent="0.3">
      <c r="A1396" s="583" t="s">
        <v>4379</v>
      </c>
      <c r="B1396" s="591">
        <v>6</v>
      </c>
      <c r="C1396" s="583" t="s">
        <v>1256</v>
      </c>
      <c r="D1396" s="583" t="s">
        <v>1475</v>
      </c>
      <c r="E1396" s="592" t="s">
        <v>410</v>
      </c>
      <c r="F1396" s="593" t="s">
        <v>67</v>
      </c>
      <c r="G1396" s="593" t="s">
        <v>4382</v>
      </c>
      <c r="H1396" s="593" t="s">
        <v>4383</v>
      </c>
      <c r="I1396" s="593" t="s">
        <v>4384</v>
      </c>
      <c r="J1396" s="237" t="s">
        <v>410</v>
      </c>
      <c r="K1396" s="237" t="s">
        <v>410</v>
      </c>
      <c r="L1396" s="237" t="s">
        <v>410</v>
      </c>
      <c r="M1396" s="237" t="s">
        <v>410</v>
      </c>
      <c r="N1396" s="237" t="s">
        <v>410</v>
      </c>
      <c r="O1396" s="237" t="s">
        <v>410</v>
      </c>
      <c r="P1396" s="237" t="s">
        <v>410</v>
      </c>
      <c r="Q1396" s="237" t="s">
        <v>410</v>
      </c>
      <c r="R1396" s="237" t="s">
        <v>410</v>
      </c>
      <c r="S1396" s="10" t="s">
        <v>410</v>
      </c>
      <c r="T1396" s="10" t="s">
        <v>410</v>
      </c>
    </row>
    <row r="1397" spans="1:20" hidden="1" outlineLevel="1" x14ac:dyDescent="0.3">
      <c r="A1397" s="583" t="s">
        <v>1920</v>
      </c>
      <c r="B1397" s="591">
        <v>6</v>
      </c>
      <c r="C1397" s="583" t="s">
        <v>1256</v>
      </c>
      <c r="D1397" s="583" t="s">
        <v>1475</v>
      </c>
      <c r="E1397" s="10" t="s">
        <v>410</v>
      </c>
      <c r="F1397" s="593" t="s">
        <v>67</v>
      </c>
      <c r="G1397" s="593" t="s">
        <v>68</v>
      </c>
      <c r="H1397" s="593" t="s">
        <v>70</v>
      </c>
      <c r="I1397" s="237" t="s">
        <v>410</v>
      </c>
      <c r="J1397" s="237" t="s">
        <v>410</v>
      </c>
      <c r="K1397" s="237" t="s">
        <v>410</v>
      </c>
      <c r="L1397" s="237" t="s">
        <v>410</v>
      </c>
      <c r="M1397" s="237" t="s">
        <v>410</v>
      </c>
      <c r="N1397" s="237" t="s">
        <v>410</v>
      </c>
      <c r="O1397" s="237" t="s">
        <v>410</v>
      </c>
      <c r="P1397" s="237" t="s">
        <v>410</v>
      </c>
      <c r="Q1397" s="237" t="s">
        <v>410</v>
      </c>
      <c r="R1397" s="237" t="s">
        <v>410</v>
      </c>
      <c r="S1397" s="10" t="s">
        <v>410</v>
      </c>
      <c r="T1397" s="10" t="s">
        <v>410</v>
      </c>
    </row>
    <row r="1398" spans="1:20" hidden="1" outlineLevel="1" x14ac:dyDescent="0.3">
      <c r="A1398" s="583" t="s">
        <v>1952</v>
      </c>
      <c r="B1398" s="591">
        <v>6</v>
      </c>
      <c r="C1398" s="583" t="s">
        <v>1256</v>
      </c>
      <c r="D1398" s="583" t="s">
        <v>1475</v>
      </c>
      <c r="E1398" s="237" t="s">
        <v>410</v>
      </c>
      <c r="F1398" s="593" t="s">
        <v>66</v>
      </c>
      <c r="G1398" s="593" t="s">
        <v>68</v>
      </c>
      <c r="H1398" s="594" t="str">
        <f>CONCATENATE("+",TEXT(IF(CHR&gt;3,CHR,3),0))</f>
        <v>+3</v>
      </c>
      <c r="I1398" s="237" t="s">
        <v>410</v>
      </c>
      <c r="J1398" s="237" t="s">
        <v>410</v>
      </c>
      <c r="K1398" s="237" t="s">
        <v>410</v>
      </c>
      <c r="L1398" s="237" t="s">
        <v>410</v>
      </c>
      <c r="M1398" s="237" t="s">
        <v>410</v>
      </c>
      <c r="N1398" s="237" t="s">
        <v>410</v>
      </c>
      <c r="O1398" s="237" t="s">
        <v>410</v>
      </c>
      <c r="P1398" s="237" t="s">
        <v>410</v>
      </c>
      <c r="Q1398" s="237" t="s">
        <v>410</v>
      </c>
      <c r="R1398" s="237" t="s">
        <v>410</v>
      </c>
      <c r="S1398" s="237" t="s">
        <v>410</v>
      </c>
      <c r="T1398" s="237" t="s">
        <v>410</v>
      </c>
    </row>
    <row r="1399" spans="1:20" hidden="1" outlineLevel="1" x14ac:dyDescent="0.3">
      <c r="A1399" s="583" t="s">
        <v>1988</v>
      </c>
      <c r="B1399" s="591">
        <v>6</v>
      </c>
      <c r="C1399" s="583" t="s">
        <v>1256</v>
      </c>
      <c r="D1399" s="583" t="s">
        <v>1475</v>
      </c>
      <c r="E1399" s="593" t="s">
        <v>1989</v>
      </c>
      <c r="F1399" s="593" t="s">
        <v>1816</v>
      </c>
      <c r="G1399" s="593" t="s">
        <v>1817</v>
      </c>
      <c r="H1399" s="593" t="s">
        <v>1818</v>
      </c>
      <c r="I1399" s="593" t="s">
        <v>3332</v>
      </c>
      <c r="J1399" s="237" t="s">
        <v>410</v>
      </c>
      <c r="K1399" s="237" t="s">
        <v>410</v>
      </c>
      <c r="L1399" s="237" t="s">
        <v>410</v>
      </c>
      <c r="M1399" s="237" t="s">
        <v>410</v>
      </c>
      <c r="N1399" s="237" t="s">
        <v>410</v>
      </c>
      <c r="O1399" s="237" t="s">
        <v>410</v>
      </c>
      <c r="P1399" s="237" t="s">
        <v>410</v>
      </c>
      <c r="Q1399" s="237" t="s">
        <v>410</v>
      </c>
      <c r="R1399" s="237" t="s">
        <v>410</v>
      </c>
      <c r="S1399" s="237" t="s">
        <v>410</v>
      </c>
      <c r="T1399" s="237" t="s">
        <v>410</v>
      </c>
    </row>
    <row r="1400" spans="1:20" hidden="1" outlineLevel="1" x14ac:dyDescent="0.3">
      <c r="A1400" s="583" t="s">
        <v>1893</v>
      </c>
      <c r="B1400" s="591">
        <v>8</v>
      </c>
      <c r="C1400" s="583" t="s">
        <v>1256</v>
      </c>
      <c r="D1400" s="583" t="s">
        <v>1475</v>
      </c>
      <c r="E1400" s="593" t="s">
        <v>1894</v>
      </c>
      <c r="F1400" s="593" t="s">
        <v>1895</v>
      </c>
      <c r="G1400" s="593" t="s">
        <v>1896</v>
      </c>
      <c r="H1400" s="593" t="s">
        <v>1897</v>
      </c>
      <c r="I1400" s="237" t="s">
        <v>410</v>
      </c>
      <c r="J1400" s="237" t="s">
        <v>410</v>
      </c>
      <c r="K1400" s="237" t="s">
        <v>410</v>
      </c>
      <c r="L1400" s="237" t="s">
        <v>410</v>
      </c>
      <c r="M1400" s="237" t="s">
        <v>410</v>
      </c>
      <c r="N1400" s="237" t="s">
        <v>410</v>
      </c>
      <c r="O1400" s="237" t="s">
        <v>410</v>
      </c>
      <c r="P1400" s="237" t="s">
        <v>410</v>
      </c>
      <c r="Q1400" s="237" t="s">
        <v>410</v>
      </c>
      <c r="R1400" s="237" t="s">
        <v>410</v>
      </c>
      <c r="S1400" s="10" t="s">
        <v>410</v>
      </c>
      <c r="T1400" s="10" t="s">
        <v>410</v>
      </c>
    </row>
    <row r="1401" spans="1:20" hidden="1" outlineLevel="1" x14ac:dyDescent="0.3">
      <c r="A1401" s="583" t="s">
        <v>1768</v>
      </c>
      <c r="B1401" s="591">
        <v>11</v>
      </c>
      <c r="C1401" s="583" t="s">
        <v>1256</v>
      </c>
      <c r="D1401" s="583" t="s">
        <v>1475</v>
      </c>
      <c r="E1401" s="592" t="s">
        <v>410</v>
      </c>
      <c r="F1401" s="593" t="s">
        <v>67</v>
      </c>
      <c r="G1401" s="593" t="s">
        <v>68</v>
      </c>
      <c r="H1401" s="593" t="s">
        <v>70</v>
      </c>
      <c r="I1401" s="593" t="s">
        <v>72</v>
      </c>
      <c r="J1401" s="593" t="s">
        <v>74</v>
      </c>
      <c r="K1401" s="237" t="s">
        <v>410</v>
      </c>
      <c r="L1401" s="237" t="s">
        <v>410</v>
      </c>
      <c r="M1401" s="237" t="s">
        <v>410</v>
      </c>
      <c r="N1401" s="237" t="s">
        <v>410</v>
      </c>
      <c r="O1401" s="237" t="s">
        <v>410</v>
      </c>
      <c r="P1401" s="237" t="s">
        <v>410</v>
      </c>
      <c r="Q1401" s="237" t="s">
        <v>410</v>
      </c>
      <c r="R1401" s="237" t="s">
        <v>410</v>
      </c>
      <c r="S1401" s="10" t="s">
        <v>410</v>
      </c>
      <c r="T1401" s="10" t="s">
        <v>410</v>
      </c>
    </row>
    <row r="1402" spans="1:20" hidden="1" outlineLevel="1" x14ac:dyDescent="0.3">
      <c r="A1402" s="583" t="s">
        <v>3598</v>
      </c>
      <c r="B1402" s="591">
        <v>11</v>
      </c>
      <c r="C1402" s="583" t="s">
        <v>1256</v>
      </c>
      <c r="D1402" s="583" t="s">
        <v>1475</v>
      </c>
      <c r="E1402" s="592" t="s">
        <v>410</v>
      </c>
      <c r="F1402" s="593" t="s">
        <v>4396</v>
      </c>
      <c r="G1402" s="593" t="s">
        <v>2229</v>
      </c>
      <c r="H1402" s="237" t="s">
        <v>410</v>
      </c>
      <c r="I1402" s="237" t="s">
        <v>410</v>
      </c>
      <c r="J1402" s="237" t="s">
        <v>410</v>
      </c>
      <c r="K1402" s="237" t="s">
        <v>410</v>
      </c>
      <c r="L1402" s="237" t="s">
        <v>410</v>
      </c>
      <c r="M1402" s="237" t="s">
        <v>410</v>
      </c>
      <c r="N1402" s="237" t="s">
        <v>410</v>
      </c>
      <c r="O1402" s="237" t="s">
        <v>410</v>
      </c>
      <c r="P1402" s="237" t="s">
        <v>410</v>
      </c>
      <c r="Q1402" s="237" t="s">
        <v>410</v>
      </c>
      <c r="R1402" s="237" t="s">
        <v>410</v>
      </c>
      <c r="S1402" s="10" t="s">
        <v>410</v>
      </c>
      <c r="T1402" s="10" t="s">
        <v>410</v>
      </c>
    </row>
    <row r="1403" spans="1:20" hidden="1" outlineLevel="1" x14ac:dyDescent="0.3">
      <c r="A1403" s="583" t="s">
        <v>4380</v>
      </c>
      <c r="B1403" s="591">
        <v>13</v>
      </c>
      <c r="C1403" s="583" t="s">
        <v>1256</v>
      </c>
      <c r="D1403" s="583" t="s">
        <v>1475</v>
      </c>
      <c r="E1403" s="592" t="s">
        <v>410</v>
      </c>
      <c r="F1403" s="593" t="s">
        <v>67</v>
      </c>
      <c r="G1403" s="593" t="s">
        <v>4385</v>
      </c>
      <c r="H1403" s="593" t="s">
        <v>4386</v>
      </c>
      <c r="I1403" s="593" t="s">
        <v>4387</v>
      </c>
      <c r="J1403" s="593" t="s">
        <v>410</v>
      </c>
      <c r="K1403" s="237" t="s">
        <v>410</v>
      </c>
      <c r="L1403" s="237" t="s">
        <v>410</v>
      </c>
      <c r="M1403" s="237" t="s">
        <v>410</v>
      </c>
      <c r="N1403" s="237" t="s">
        <v>410</v>
      </c>
      <c r="O1403" s="237" t="s">
        <v>410</v>
      </c>
      <c r="P1403" s="237" t="s">
        <v>410</v>
      </c>
      <c r="Q1403" s="237" t="s">
        <v>410</v>
      </c>
      <c r="R1403" s="237" t="s">
        <v>410</v>
      </c>
      <c r="S1403" s="10" t="s">
        <v>410</v>
      </c>
      <c r="T1403" s="10" t="s">
        <v>410</v>
      </c>
    </row>
    <row r="1404" spans="1:20" hidden="1" outlineLevel="1" x14ac:dyDescent="0.3">
      <c r="A1404" s="583" t="s">
        <v>1721</v>
      </c>
      <c r="B1404" s="591">
        <v>16</v>
      </c>
      <c r="C1404" s="583" t="s">
        <v>1256</v>
      </c>
      <c r="D1404" s="583" t="s">
        <v>1475</v>
      </c>
      <c r="E1404" s="592" t="s">
        <v>410</v>
      </c>
      <c r="F1404" s="593"/>
      <c r="G1404" s="593"/>
      <c r="H1404" s="593"/>
      <c r="I1404" s="593"/>
      <c r="J1404" s="593"/>
      <c r="K1404" s="593"/>
      <c r="L1404" s="237" t="s">
        <v>410</v>
      </c>
      <c r="M1404" s="237" t="s">
        <v>410</v>
      </c>
      <c r="N1404" s="237" t="s">
        <v>410</v>
      </c>
      <c r="O1404" s="237" t="s">
        <v>410</v>
      </c>
      <c r="P1404" s="237" t="s">
        <v>410</v>
      </c>
      <c r="Q1404" s="237" t="s">
        <v>410</v>
      </c>
      <c r="R1404" s="237" t="s">
        <v>410</v>
      </c>
      <c r="S1404" s="10" t="s">
        <v>410</v>
      </c>
      <c r="T1404" s="10" t="s">
        <v>410</v>
      </c>
    </row>
    <row r="1405" spans="1:20" hidden="1" outlineLevel="1" x14ac:dyDescent="0.3">
      <c r="A1405" s="583" t="s">
        <v>1728</v>
      </c>
      <c r="B1405" s="591">
        <v>16</v>
      </c>
      <c r="C1405" s="583" t="s">
        <v>1256</v>
      </c>
      <c r="D1405" s="583" t="s">
        <v>1475</v>
      </c>
      <c r="E1405" s="592" t="s">
        <v>410</v>
      </c>
      <c r="F1405" s="593" t="s">
        <v>1729</v>
      </c>
      <c r="G1405" s="593" t="s">
        <v>1730</v>
      </c>
      <c r="H1405" s="593" t="s">
        <v>1731</v>
      </c>
      <c r="I1405" s="593" t="s">
        <v>1732</v>
      </c>
      <c r="J1405" s="237" t="s">
        <v>410</v>
      </c>
      <c r="K1405" s="237" t="s">
        <v>410</v>
      </c>
      <c r="L1405" s="237" t="s">
        <v>410</v>
      </c>
      <c r="M1405" s="237" t="s">
        <v>410</v>
      </c>
      <c r="N1405" s="237" t="s">
        <v>410</v>
      </c>
      <c r="O1405" s="237" t="s">
        <v>410</v>
      </c>
      <c r="P1405" s="237" t="s">
        <v>410</v>
      </c>
      <c r="Q1405" s="237" t="s">
        <v>410</v>
      </c>
      <c r="R1405" s="237" t="s">
        <v>410</v>
      </c>
      <c r="S1405" s="10" t="s">
        <v>410</v>
      </c>
      <c r="T1405" s="10" t="s">
        <v>410</v>
      </c>
    </row>
    <row r="1406" spans="1:20" hidden="1" outlineLevel="1" x14ac:dyDescent="0.3">
      <c r="A1406" s="583" t="s">
        <v>1757</v>
      </c>
      <c r="B1406" s="591">
        <v>16</v>
      </c>
      <c r="C1406" s="583" t="s">
        <v>1256</v>
      </c>
      <c r="D1406" s="583" t="s">
        <v>1475</v>
      </c>
      <c r="E1406" s="592" t="s">
        <v>410</v>
      </c>
      <c r="F1406" s="593" t="s">
        <v>3305</v>
      </c>
      <c r="G1406" s="593" t="s">
        <v>3306</v>
      </c>
      <c r="H1406" s="593" t="s">
        <v>3307</v>
      </c>
      <c r="I1406" s="237" t="s">
        <v>410</v>
      </c>
      <c r="J1406" s="237" t="s">
        <v>410</v>
      </c>
      <c r="K1406" s="237" t="s">
        <v>410</v>
      </c>
      <c r="L1406" s="237" t="s">
        <v>410</v>
      </c>
      <c r="M1406" s="237" t="s">
        <v>410</v>
      </c>
      <c r="N1406" s="237" t="s">
        <v>410</v>
      </c>
      <c r="O1406" s="237" t="s">
        <v>410</v>
      </c>
      <c r="P1406" s="237" t="s">
        <v>410</v>
      </c>
      <c r="Q1406" s="237" t="s">
        <v>410</v>
      </c>
      <c r="R1406" s="237" t="s">
        <v>410</v>
      </c>
      <c r="S1406" s="10" t="s">
        <v>410</v>
      </c>
      <c r="T1406" s="10" t="s">
        <v>410</v>
      </c>
    </row>
    <row r="1407" spans="1:20" hidden="1" outlineLevel="1" x14ac:dyDescent="0.3">
      <c r="A1407" s="583" t="s">
        <v>1758</v>
      </c>
      <c r="B1407" s="591">
        <v>16</v>
      </c>
      <c r="C1407" s="583" t="s">
        <v>1256</v>
      </c>
      <c r="D1407" s="583" t="s">
        <v>1475</v>
      </c>
      <c r="E1407" s="592" t="s">
        <v>410</v>
      </c>
      <c r="F1407" s="593" t="s">
        <v>67</v>
      </c>
      <c r="G1407" s="593" t="s">
        <v>68</v>
      </c>
      <c r="H1407" s="593" t="s">
        <v>70</v>
      </c>
      <c r="I1407" s="593" t="s">
        <v>74</v>
      </c>
      <c r="J1407" s="593" t="s">
        <v>410</v>
      </c>
      <c r="K1407" s="237" t="s">
        <v>410</v>
      </c>
      <c r="L1407" s="237" t="s">
        <v>410</v>
      </c>
      <c r="M1407" s="237" t="s">
        <v>410</v>
      </c>
      <c r="N1407" s="237" t="s">
        <v>410</v>
      </c>
      <c r="O1407" s="237" t="s">
        <v>410</v>
      </c>
      <c r="P1407" s="237" t="s">
        <v>410</v>
      </c>
      <c r="Q1407" s="237" t="s">
        <v>410</v>
      </c>
      <c r="R1407" s="237" t="s">
        <v>410</v>
      </c>
      <c r="S1407" s="10" t="s">
        <v>410</v>
      </c>
      <c r="T1407" s="10" t="s">
        <v>410</v>
      </c>
    </row>
    <row r="1408" spans="1:20" hidden="1" outlineLevel="1" x14ac:dyDescent="0.3">
      <c r="A1408" s="583" t="s">
        <v>1859</v>
      </c>
      <c r="B1408" s="591">
        <v>16</v>
      </c>
      <c r="C1408" s="583" t="s">
        <v>1256</v>
      </c>
      <c r="D1408" s="583" t="s">
        <v>1475</v>
      </c>
      <c r="E1408" s="592" t="s">
        <v>410</v>
      </c>
      <c r="F1408" s="593" t="s">
        <v>1854</v>
      </c>
      <c r="G1408" s="593" t="s">
        <v>1855</v>
      </c>
      <c r="H1408" s="593" t="s">
        <v>1856</v>
      </c>
      <c r="I1408" s="593" t="s">
        <v>1857</v>
      </c>
      <c r="J1408" s="237" t="s">
        <v>410</v>
      </c>
      <c r="K1408" s="237" t="s">
        <v>410</v>
      </c>
      <c r="L1408" s="237" t="s">
        <v>410</v>
      </c>
      <c r="M1408" s="237" t="s">
        <v>410</v>
      </c>
      <c r="N1408" s="237" t="s">
        <v>410</v>
      </c>
      <c r="O1408" s="237" t="s">
        <v>410</v>
      </c>
      <c r="P1408" s="237" t="s">
        <v>410</v>
      </c>
      <c r="Q1408" s="237" t="s">
        <v>410</v>
      </c>
      <c r="R1408" s="237" t="s">
        <v>410</v>
      </c>
      <c r="S1408" s="10" t="s">
        <v>410</v>
      </c>
      <c r="T1408" s="10" t="s">
        <v>410</v>
      </c>
    </row>
    <row r="1409" spans="1:20" hidden="1" outlineLevel="1" x14ac:dyDescent="0.3">
      <c r="A1409" s="583" t="s">
        <v>1969</v>
      </c>
      <c r="B1409" s="591">
        <v>21</v>
      </c>
      <c r="C1409" s="583" t="s">
        <v>1256</v>
      </c>
      <c r="D1409" s="583" t="s">
        <v>1475</v>
      </c>
      <c r="E1409" s="593" t="s">
        <v>410</v>
      </c>
      <c r="F1409" s="593" t="s">
        <v>3599</v>
      </c>
      <c r="G1409" s="593" t="s">
        <v>3600</v>
      </c>
      <c r="H1409" s="593" t="s">
        <v>3601</v>
      </c>
      <c r="I1409" s="593" t="s">
        <v>1829</v>
      </c>
      <c r="J1409" s="593" t="s">
        <v>410</v>
      </c>
      <c r="K1409" s="237" t="s">
        <v>410</v>
      </c>
      <c r="L1409" s="237" t="s">
        <v>410</v>
      </c>
      <c r="M1409" s="237" t="s">
        <v>410</v>
      </c>
      <c r="N1409" s="237" t="s">
        <v>410</v>
      </c>
      <c r="O1409" s="237" t="s">
        <v>410</v>
      </c>
      <c r="P1409" s="237" t="s">
        <v>410</v>
      </c>
      <c r="Q1409" s="237" t="s">
        <v>410</v>
      </c>
      <c r="R1409" s="237" t="s">
        <v>410</v>
      </c>
      <c r="S1409" s="237" t="s">
        <v>410</v>
      </c>
      <c r="T1409" s="237" t="s">
        <v>410</v>
      </c>
    </row>
    <row r="1410" spans="1:20" hidden="1" outlineLevel="1" x14ac:dyDescent="0.3">
      <c r="A1410" s="583" t="s">
        <v>584</v>
      </c>
      <c r="B1410" s="591">
        <v>0</v>
      </c>
      <c r="C1410" s="583" t="s">
        <v>1564</v>
      </c>
      <c r="D1410" s="583" t="s">
        <v>1475</v>
      </c>
      <c r="E1410" s="592"/>
      <c r="F1410" t="s">
        <v>410</v>
      </c>
      <c r="G1410" t="s">
        <v>410</v>
      </c>
      <c r="H1410" t="s">
        <v>410</v>
      </c>
      <c r="I1410" t="s">
        <v>410</v>
      </c>
      <c r="J1410" t="s">
        <v>410</v>
      </c>
      <c r="K1410" t="s">
        <v>410</v>
      </c>
      <c r="L1410" t="s">
        <v>410</v>
      </c>
      <c r="M1410" t="s">
        <v>410</v>
      </c>
      <c r="N1410" t="s">
        <v>410</v>
      </c>
      <c r="O1410" t="s">
        <v>410</v>
      </c>
      <c r="P1410" t="s">
        <v>410</v>
      </c>
      <c r="Q1410" t="s">
        <v>410</v>
      </c>
      <c r="R1410" t="s">
        <v>410</v>
      </c>
      <c r="S1410" t="s">
        <v>410</v>
      </c>
      <c r="T1410" t="s">
        <v>410</v>
      </c>
    </row>
    <row r="1411" spans="1:20" hidden="1" outlineLevel="1" x14ac:dyDescent="0.3">
      <c r="A1411" s="583" t="s">
        <v>4378</v>
      </c>
      <c r="B1411" s="591">
        <v>0</v>
      </c>
      <c r="C1411" s="583" t="s">
        <v>1564</v>
      </c>
      <c r="D1411" s="583" t="s">
        <v>1475</v>
      </c>
      <c r="E1411" s="592"/>
      <c r="F1411" s="237" t="s">
        <v>410</v>
      </c>
      <c r="G1411" s="237" t="s">
        <v>410</v>
      </c>
      <c r="H1411" s="237" t="s">
        <v>410</v>
      </c>
      <c r="I1411" s="237" t="s">
        <v>410</v>
      </c>
      <c r="J1411" s="237" t="s">
        <v>410</v>
      </c>
      <c r="K1411" s="237" t="s">
        <v>410</v>
      </c>
      <c r="L1411" s="237" t="s">
        <v>410</v>
      </c>
      <c r="M1411" s="237" t="s">
        <v>410</v>
      </c>
      <c r="N1411" s="237" t="s">
        <v>410</v>
      </c>
      <c r="O1411" s="237" t="s">
        <v>410</v>
      </c>
      <c r="P1411" s="237" t="s">
        <v>410</v>
      </c>
      <c r="Q1411" s="237" t="s">
        <v>410</v>
      </c>
      <c r="R1411" s="237" t="s">
        <v>410</v>
      </c>
      <c r="S1411" s="10" t="s">
        <v>410</v>
      </c>
      <c r="T1411" s="10" t="s">
        <v>410</v>
      </c>
    </row>
    <row r="1412" spans="1:20" hidden="1" outlineLevel="1" x14ac:dyDescent="0.3">
      <c r="A1412" s="583" t="s">
        <v>2316</v>
      </c>
      <c r="B1412" s="591">
        <v>0</v>
      </c>
      <c r="C1412" s="583" t="s">
        <v>1564</v>
      </c>
      <c r="D1412" s="583" t="s">
        <v>1475</v>
      </c>
      <c r="E1412" s="593" t="s">
        <v>2317</v>
      </c>
      <c r="F1412" t="s">
        <v>410</v>
      </c>
      <c r="G1412" t="s">
        <v>410</v>
      </c>
      <c r="H1412" t="s">
        <v>410</v>
      </c>
      <c r="I1412" t="s">
        <v>410</v>
      </c>
      <c r="J1412" t="s">
        <v>410</v>
      </c>
      <c r="K1412" t="s">
        <v>410</v>
      </c>
      <c r="L1412" t="s">
        <v>410</v>
      </c>
      <c r="M1412" t="s">
        <v>410</v>
      </c>
      <c r="N1412" t="s">
        <v>410</v>
      </c>
      <c r="O1412" t="s">
        <v>410</v>
      </c>
      <c r="P1412" t="s">
        <v>410</v>
      </c>
      <c r="Q1412" t="s">
        <v>410</v>
      </c>
      <c r="R1412" t="s">
        <v>410</v>
      </c>
      <c r="S1412" t="s">
        <v>410</v>
      </c>
      <c r="T1412" t="s">
        <v>410</v>
      </c>
    </row>
    <row r="1413" spans="1:20" hidden="1" outlineLevel="1" x14ac:dyDescent="0.3">
      <c r="A1413" s="583" t="s">
        <v>2221</v>
      </c>
      <c r="B1413" s="591">
        <v>1</v>
      </c>
      <c r="C1413" s="583" t="s">
        <v>1564</v>
      </c>
      <c r="D1413" s="583" t="s">
        <v>1475</v>
      </c>
      <c r="E1413" s="614" t="str">
        <f>CONCATENATE(TEXT(IF('2-Vzhled a charakter'!$B$5="Zmatený neutrál",50,IF('2-Vzhled a charakter'!$B$5="Neutrál",60,IF('2-Vzhled a charakter'!$B$5="Zákonný neutrál",70,IF('2-Vzhled a charakter'!$B$5="Zmatené zlo",80,IF('2-Vzhled a charakter'!$B$5="Zlo",90,IF('2-Vzhled a charakter'!$B$5="Zákonné zlo",100,0)))))),0),"%")</f>
        <v>60%</v>
      </c>
      <c r="F1413" t="s">
        <v>410</v>
      </c>
      <c r="G1413" t="s">
        <v>410</v>
      </c>
      <c r="H1413" t="s">
        <v>410</v>
      </c>
      <c r="I1413" t="s">
        <v>410</v>
      </c>
      <c r="J1413" t="s">
        <v>410</v>
      </c>
      <c r="K1413" t="s">
        <v>410</v>
      </c>
      <c r="L1413" t="s">
        <v>410</v>
      </c>
      <c r="M1413" t="s">
        <v>410</v>
      </c>
      <c r="N1413" t="s">
        <v>410</v>
      </c>
      <c r="O1413" t="s">
        <v>410</v>
      </c>
      <c r="P1413" t="s">
        <v>410</v>
      </c>
      <c r="Q1413" t="s">
        <v>410</v>
      </c>
      <c r="R1413" t="s">
        <v>410</v>
      </c>
      <c r="S1413" t="s">
        <v>410</v>
      </c>
      <c r="T1413" t="s">
        <v>410</v>
      </c>
    </row>
    <row r="1414" spans="1:20" hidden="1" outlineLevel="1" x14ac:dyDescent="0.3">
      <c r="A1414" s="583" t="s">
        <v>3615</v>
      </c>
      <c r="B1414" s="591">
        <v>3</v>
      </c>
      <c r="C1414" s="583" t="s">
        <v>1564</v>
      </c>
      <c r="D1414" s="583" t="s">
        <v>1475</v>
      </c>
      <c r="E1414" s="592" t="s">
        <v>410</v>
      </c>
      <c r="F1414" s="594" t="str">
        <f>CONCATENATE(TEXT(4+IF(OBR&lt;0,0,OBR)*1,"0")," mg")</f>
        <v>4 mg</v>
      </c>
      <c r="G1414" s="594" t="str">
        <f>CONCATENATE(TEXT(5+IF(OBR&lt;0,0,OBR)*2,"0")," mg")</f>
        <v>5 mg</v>
      </c>
      <c r="H1414" s="594" t="str">
        <f>CONCATENATE(TEXT(7+IF(OBR&lt;0,0,OBR)*2,"0")," mg")</f>
        <v>7 mg</v>
      </c>
      <c r="I1414" s="594" t="str">
        <f>CONCATENATE(TEXT(9+IF(OBR&lt;0,0,OBR)*2,"0")," mg")</f>
        <v>9 mg</v>
      </c>
      <c r="J1414" s="594" t="str">
        <f>CONCATENATE(TEXT(9+IF(OBR&lt;0,0,OBR)*3,"0")," mg")</f>
        <v>9 mg</v>
      </c>
      <c r="K1414" s="594" t="str">
        <f>CONCATENATE(TEXT(10+IF(OBR&lt;0,0,OBR)*4,"0")," mg")</f>
        <v>10 mg</v>
      </c>
      <c r="L1414" s="594" t="str">
        <f>CONCATENATE(TEXT(13+IF(OBR&lt;0,0,OBR)*4,"0")," mg")</f>
        <v>13 mg</v>
      </c>
      <c r="M1414" s="594" t="str">
        <f>CONCATENATE(TEXT(16+IF(OBR&lt;0,0,OBR)*4,"0")," mg")</f>
        <v>16 mg</v>
      </c>
      <c r="N1414" s="594" t="str">
        <f>CONCATENATE(TEXT(19+IF(OBR&lt;0,0,OBR)*4,"0")," mg")</f>
        <v>19 mg</v>
      </c>
      <c r="O1414" s="594" t="str">
        <f>CONCATENATE(TEXT(21+IF(OBR&lt;0,0,OBR)*5,"0")," mg")</f>
        <v>21 mg</v>
      </c>
      <c r="P1414" s="237" t="s">
        <v>410</v>
      </c>
      <c r="Q1414" s="237" t="s">
        <v>410</v>
      </c>
      <c r="R1414" s="237" t="s">
        <v>410</v>
      </c>
      <c r="S1414" s="10" t="s">
        <v>410</v>
      </c>
      <c r="T1414" s="10" t="s">
        <v>410</v>
      </c>
    </row>
    <row r="1415" spans="1:20" hidden="1" outlineLevel="1" x14ac:dyDescent="0.3">
      <c r="A1415" s="583" t="s">
        <v>1888</v>
      </c>
      <c r="B1415" s="591">
        <v>16</v>
      </c>
      <c r="C1415" s="583" t="s">
        <v>1564</v>
      </c>
      <c r="D1415" s="583" t="s">
        <v>1475</v>
      </c>
      <c r="E1415" s="592" t="s">
        <v>410</v>
      </c>
      <c r="F1415" s="593" t="s">
        <v>5549</v>
      </c>
      <c r="G1415" s="237" t="s">
        <v>410</v>
      </c>
      <c r="H1415" s="237" t="s">
        <v>410</v>
      </c>
      <c r="I1415" s="237" t="s">
        <v>410</v>
      </c>
      <c r="J1415" s="237" t="s">
        <v>410</v>
      </c>
      <c r="K1415" s="237" t="s">
        <v>410</v>
      </c>
      <c r="L1415" s="237" t="s">
        <v>410</v>
      </c>
      <c r="M1415" s="237" t="s">
        <v>410</v>
      </c>
      <c r="N1415" s="237" t="s">
        <v>410</v>
      </c>
      <c r="O1415" s="237" t="s">
        <v>410</v>
      </c>
      <c r="P1415" s="237" t="s">
        <v>410</v>
      </c>
      <c r="Q1415" s="237" t="s">
        <v>410</v>
      </c>
      <c r="R1415" s="237" t="s">
        <v>410</v>
      </c>
      <c r="S1415" s="10" t="s">
        <v>410</v>
      </c>
      <c r="T1415" s="10" t="s">
        <v>410</v>
      </c>
    </row>
    <row r="1416" spans="1:20" hidden="1" outlineLevel="1" x14ac:dyDescent="0.3">
      <c r="A1416" s="583" t="s">
        <v>1522</v>
      </c>
      <c r="B1416" s="591">
        <v>1</v>
      </c>
      <c r="C1416" s="588" t="s">
        <v>1256</v>
      </c>
      <c r="D1416" s="583" t="s">
        <v>5647</v>
      </c>
      <c r="E1416" s="589" t="s">
        <v>410</v>
      </c>
      <c r="F1416" s="590" t="s">
        <v>3552</v>
      </c>
      <c r="G1416" s="590" t="s">
        <v>1482</v>
      </c>
      <c r="H1416" s="590" t="s">
        <v>3553</v>
      </c>
      <c r="I1416" s="590" t="s">
        <v>1483</v>
      </c>
      <c r="J1416" s="590" t="s">
        <v>3554</v>
      </c>
      <c r="K1416" s="441" t="s">
        <v>410</v>
      </c>
      <c r="L1416" s="441" t="s">
        <v>410</v>
      </c>
      <c r="M1416" s="441" t="s">
        <v>410</v>
      </c>
      <c r="N1416" s="441" t="s">
        <v>410</v>
      </c>
      <c r="O1416" s="441" t="s">
        <v>410</v>
      </c>
      <c r="P1416" s="441" t="s">
        <v>410</v>
      </c>
      <c r="Q1416" s="441" t="s">
        <v>410</v>
      </c>
      <c r="R1416" s="441" t="s">
        <v>410</v>
      </c>
      <c r="S1416" s="441" t="s">
        <v>410</v>
      </c>
      <c r="T1416" s="441" t="s">
        <v>410</v>
      </c>
    </row>
    <row r="1417" spans="1:20" hidden="1" outlineLevel="1" x14ac:dyDescent="0.3">
      <c r="A1417" s="583" t="s">
        <v>5054</v>
      </c>
      <c r="B1417" s="591">
        <v>1</v>
      </c>
      <c r="C1417" s="583" t="s">
        <v>1256</v>
      </c>
      <c r="D1417" s="583" t="s">
        <v>5647</v>
      </c>
      <c r="E1417" s="592" t="s">
        <v>410</v>
      </c>
      <c r="F1417" s="593" t="s">
        <v>5187</v>
      </c>
      <c r="G1417" s="593" t="s">
        <v>5188</v>
      </c>
      <c r="H1417" s="593" t="s">
        <v>5189</v>
      </c>
      <c r="I1417" s="593" t="s">
        <v>5190</v>
      </c>
      <c r="J1417" s="237" t="s">
        <v>410</v>
      </c>
      <c r="K1417" s="237" t="s">
        <v>410</v>
      </c>
      <c r="L1417" s="237" t="s">
        <v>410</v>
      </c>
      <c r="M1417" s="237" t="s">
        <v>410</v>
      </c>
      <c r="N1417" s="237" t="s">
        <v>410</v>
      </c>
      <c r="O1417" s="237" t="s">
        <v>410</v>
      </c>
      <c r="P1417" s="237" t="s">
        <v>410</v>
      </c>
      <c r="Q1417" s="237" t="s">
        <v>410</v>
      </c>
      <c r="R1417" s="237" t="s">
        <v>410</v>
      </c>
      <c r="S1417" s="10" t="s">
        <v>410</v>
      </c>
      <c r="T1417" s="10" t="s">
        <v>410</v>
      </c>
    </row>
    <row r="1418" spans="1:20" hidden="1" outlineLevel="1" x14ac:dyDescent="0.3">
      <c r="A1418" s="583" t="s">
        <v>1626</v>
      </c>
      <c r="B1418" s="591">
        <v>1</v>
      </c>
      <c r="C1418" s="588" t="s">
        <v>1256</v>
      </c>
      <c r="D1418" s="583" t="s">
        <v>5647</v>
      </c>
      <c r="E1418" s="592" t="s">
        <v>410</v>
      </c>
      <c r="F1418" s="593" t="s">
        <v>67</v>
      </c>
      <c r="G1418" s="593" t="s">
        <v>68</v>
      </c>
      <c r="H1418" s="593" t="s">
        <v>70</v>
      </c>
      <c r="I1418" s="593" t="s">
        <v>72</v>
      </c>
      <c r="J1418" s="237" t="s">
        <v>410</v>
      </c>
      <c r="K1418" s="237" t="s">
        <v>410</v>
      </c>
      <c r="L1418" s="237" t="s">
        <v>410</v>
      </c>
      <c r="M1418" s="237" t="s">
        <v>410</v>
      </c>
      <c r="N1418" s="237" t="s">
        <v>410</v>
      </c>
      <c r="O1418" s="237" t="s">
        <v>410</v>
      </c>
      <c r="P1418" s="237" t="s">
        <v>410</v>
      </c>
      <c r="Q1418" s="237" t="s">
        <v>410</v>
      </c>
      <c r="R1418" s="237" t="s">
        <v>410</v>
      </c>
      <c r="S1418" s="10" t="s">
        <v>410</v>
      </c>
      <c r="T1418" s="10" t="s">
        <v>410</v>
      </c>
    </row>
    <row r="1419" spans="1:20" hidden="1" outlineLevel="1" x14ac:dyDescent="0.3">
      <c r="A1419" s="583" t="s">
        <v>5055</v>
      </c>
      <c r="B1419" s="591">
        <v>1</v>
      </c>
      <c r="C1419" s="583" t="s">
        <v>1256</v>
      </c>
      <c r="D1419" s="583" t="s">
        <v>5647</v>
      </c>
      <c r="E1419" s="592" t="s">
        <v>410</v>
      </c>
      <c r="F1419" s="593" t="s">
        <v>1591</v>
      </c>
      <c r="G1419" s="593" t="s">
        <v>1519</v>
      </c>
      <c r="H1419" s="593" t="s">
        <v>1520</v>
      </c>
      <c r="I1419" s="593" t="s">
        <v>1521</v>
      </c>
      <c r="J1419" s="593" t="s">
        <v>5191</v>
      </c>
      <c r="K1419" s="237" t="s">
        <v>410</v>
      </c>
      <c r="L1419" s="237" t="s">
        <v>410</v>
      </c>
      <c r="M1419" s="237" t="s">
        <v>410</v>
      </c>
      <c r="N1419" s="237" t="s">
        <v>410</v>
      </c>
      <c r="O1419" s="237" t="s">
        <v>410</v>
      </c>
      <c r="P1419" s="237" t="s">
        <v>410</v>
      </c>
      <c r="Q1419" s="237" t="s">
        <v>410</v>
      </c>
      <c r="R1419" s="237" t="s">
        <v>410</v>
      </c>
      <c r="S1419" s="10" t="s">
        <v>410</v>
      </c>
      <c r="T1419" s="10" t="s">
        <v>410</v>
      </c>
    </row>
    <row r="1420" spans="1:20" hidden="1" outlineLevel="1" x14ac:dyDescent="0.3">
      <c r="A1420" s="583" t="s">
        <v>1665</v>
      </c>
      <c r="B1420" s="591">
        <v>1</v>
      </c>
      <c r="C1420" s="583" t="s">
        <v>1256</v>
      </c>
      <c r="D1420" s="583" t="s">
        <v>5647</v>
      </c>
      <c r="E1420" s="592" t="s">
        <v>410</v>
      </c>
      <c r="F1420" s="593" t="s">
        <v>2500</v>
      </c>
      <c r="G1420" s="593" t="s">
        <v>2501</v>
      </c>
      <c r="H1420" s="593" t="s">
        <v>2502</v>
      </c>
      <c r="I1420" s="593" t="s">
        <v>3162</v>
      </c>
      <c r="J1420" s="593" t="s">
        <v>2503</v>
      </c>
      <c r="K1420" s="237" t="s">
        <v>410</v>
      </c>
      <c r="L1420" s="237" t="s">
        <v>410</v>
      </c>
      <c r="M1420" s="237" t="s">
        <v>410</v>
      </c>
      <c r="N1420" s="237" t="s">
        <v>410</v>
      </c>
      <c r="O1420" s="237" t="s">
        <v>410</v>
      </c>
      <c r="P1420" s="237" t="s">
        <v>410</v>
      </c>
      <c r="Q1420" s="237" t="s">
        <v>410</v>
      </c>
      <c r="R1420" s="237" t="s">
        <v>410</v>
      </c>
      <c r="S1420" s="10" t="s">
        <v>410</v>
      </c>
      <c r="T1420" s="10" t="s">
        <v>410</v>
      </c>
    </row>
    <row r="1421" spans="1:20" hidden="1" outlineLevel="1" x14ac:dyDescent="0.3">
      <c r="A1421" s="583" t="s">
        <v>1751</v>
      </c>
      <c r="B1421" s="591">
        <v>1</v>
      </c>
      <c r="C1421" s="583" t="s">
        <v>1256</v>
      </c>
      <c r="D1421" s="583" t="s">
        <v>5647</v>
      </c>
      <c r="E1421" s="592" t="s">
        <v>410</v>
      </c>
      <c r="F1421" s="237"/>
      <c r="G1421" s="237"/>
      <c r="H1421" s="237"/>
      <c r="I1421" s="237"/>
      <c r="J1421" s="237"/>
      <c r="K1421" s="237"/>
      <c r="L1421" s="237"/>
      <c r="M1421" s="237"/>
      <c r="N1421" s="237"/>
      <c r="O1421" s="237" t="s">
        <v>410</v>
      </c>
      <c r="P1421" s="237" t="s">
        <v>410</v>
      </c>
      <c r="Q1421" s="237" t="s">
        <v>410</v>
      </c>
      <c r="R1421" s="237" t="s">
        <v>410</v>
      </c>
      <c r="S1421" s="10" t="s">
        <v>410</v>
      </c>
      <c r="T1421" s="10" t="s">
        <v>410</v>
      </c>
    </row>
    <row r="1422" spans="1:20" hidden="1" outlineLevel="1" x14ac:dyDescent="0.3">
      <c r="A1422" s="583" t="s">
        <v>5100</v>
      </c>
      <c r="B1422" s="591">
        <v>1</v>
      </c>
      <c r="C1422" s="583" t="s">
        <v>1256</v>
      </c>
      <c r="D1422" s="583" t="s">
        <v>5647</v>
      </c>
      <c r="E1422" s="592" t="s">
        <v>410</v>
      </c>
      <c r="F1422" s="593"/>
      <c r="G1422" s="237" t="s">
        <v>410</v>
      </c>
      <c r="H1422" s="237" t="s">
        <v>410</v>
      </c>
      <c r="I1422" s="237" t="s">
        <v>410</v>
      </c>
      <c r="J1422" s="237" t="s">
        <v>410</v>
      </c>
      <c r="K1422" s="237" t="s">
        <v>410</v>
      </c>
      <c r="L1422" s="237" t="s">
        <v>410</v>
      </c>
      <c r="M1422" s="237" t="s">
        <v>410</v>
      </c>
      <c r="N1422" s="237" t="s">
        <v>410</v>
      </c>
      <c r="O1422" s="237" t="s">
        <v>410</v>
      </c>
      <c r="P1422" s="237" t="s">
        <v>410</v>
      </c>
      <c r="Q1422" s="237" t="s">
        <v>410</v>
      </c>
      <c r="R1422" s="237" t="s">
        <v>410</v>
      </c>
      <c r="S1422" s="10" t="s">
        <v>410</v>
      </c>
      <c r="T1422" s="10" t="s">
        <v>410</v>
      </c>
    </row>
    <row r="1423" spans="1:20" hidden="1" outlineLevel="1" x14ac:dyDescent="0.3">
      <c r="A1423" s="583" t="s">
        <v>1779</v>
      </c>
      <c r="B1423" s="591">
        <v>1</v>
      </c>
      <c r="C1423" s="583" t="s">
        <v>1256</v>
      </c>
      <c r="D1423" s="583" t="s">
        <v>5647</v>
      </c>
      <c r="E1423" s="592" t="s">
        <v>410</v>
      </c>
      <c r="F1423" s="593" t="s">
        <v>4335</v>
      </c>
      <c r="G1423" s="593" t="s">
        <v>4340</v>
      </c>
      <c r="H1423" s="593" t="s">
        <v>4339</v>
      </c>
      <c r="I1423" s="593" t="s">
        <v>4338</v>
      </c>
      <c r="J1423" s="593" t="s">
        <v>4337</v>
      </c>
      <c r="K1423" s="593" t="s">
        <v>4336</v>
      </c>
      <c r="L1423" s="237" t="s">
        <v>410</v>
      </c>
      <c r="M1423" s="237" t="s">
        <v>410</v>
      </c>
      <c r="N1423" s="237" t="s">
        <v>410</v>
      </c>
      <c r="O1423" s="237" t="s">
        <v>410</v>
      </c>
      <c r="P1423" s="237" t="s">
        <v>410</v>
      </c>
      <c r="Q1423" s="237" t="s">
        <v>410</v>
      </c>
      <c r="R1423" s="237" t="s">
        <v>410</v>
      </c>
      <c r="S1423" s="10" t="s">
        <v>410</v>
      </c>
      <c r="T1423" s="10" t="s">
        <v>410</v>
      </c>
    </row>
    <row r="1424" spans="1:20" hidden="1" outlineLevel="1" x14ac:dyDescent="0.3">
      <c r="A1424" s="583" t="s">
        <v>1892</v>
      </c>
      <c r="B1424" s="591">
        <v>1</v>
      </c>
      <c r="C1424" s="583" t="s">
        <v>1256</v>
      </c>
      <c r="D1424" s="583" t="s">
        <v>5647</v>
      </c>
      <c r="E1424" s="592" t="s">
        <v>410</v>
      </c>
      <c r="F1424" s="593" t="s">
        <v>67</v>
      </c>
      <c r="G1424" s="593" t="s">
        <v>68</v>
      </c>
      <c r="H1424" s="593" t="s">
        <v>70</v>
      </c>
      <c r="I1424" s="594">
        <f>IF(CHR&lt;4,4,CHR)</f>
        <v>4</v>
      </c>
      <c r="J1424" s="237" t="s">
        <v>410</v>
      </c>
      <c r="K1424" s="237" t="s">
        <v>410</v>
      </c>
      <c r="L1424" s="237" t="s">
        <v>410</v>
      </c>
      <c r="M1424" s="237" t="s">
        <v>410</v>
      </c>
      <c r="N1424" s="237" t="s">
        <v>410</v>
      </c>
      <c r="O1424" s="237" t="s">
        <v>410</v>
      </c>
      <c r="P1424" s="237" t="s">
        <v>410</v>
      </c>
      <c r="Q1424" s="237" t="s">
        <v>410</v>
      </c>
      <c r="R1424" s="237" t="s">
        <v>410</v>
      </c>
      <c r="S1424" s="10" t="s">
        <v>410</v>
      </c>
      <c r="T1424" s="10" t="s">
        <v>410</v>
      </c>
    </row>
    <row r="1425" spans="1:20" hidden="1" outlineLevel="1" x14ac:dyDescent="0.3">
      <c r="A1425" s="583" t="s">
        <v>5057</v>
      </c>
      <c r="B1425" s="591">
        <v>1</v>
      </c>
      <c r="C1425" s="583" t="s">
        <v>1256</v>
      </c>
      <c r="D1425" s="583" t="s">
        <v>5647</v>
      </c>
      <c r="E1425" s="592" t="s">
        <v>410</v>
      </c>
      <c r="F1425" s="593"/>
      <c r="G1425" s="237" t="s">
        <v>410</v>
      </c>
      <c r="H1425" s="237" t="s">
        <v>410</v>
      </c>
      <c r="I1425" s="237" t="s">
        <v>410</v>
      </c>
      <c r="J1425" s="237" t="s">
        <v>410</v>
      </c>
      <c r="K1425" s="237" t="s">
        <v>410</v>
      </c>
      <c r="L1425" s="237" t="s">
        <v>410</v>
      </c>
      <c r="M1425" s="237" t="s">
        <v>410</v>
      </c>
      <c r="N1425" s="237" t="s">
        <v>410</v>
      </c>
      <c r="O1425" s="237" t="s">
        <v>410</v>
      </c>
      <c r="P1425" s="237" t="s">
        <v>410</v>
      </c>
      <c r="Q1425" s="237" t="s">
        <v>410</v>
      </c>
      <c r="R1425" s="237" t="s">
        <v>410</v>
      </c>
      <c r="S1425" s="10" t="s">
        <v>410</v>
      </c>
      <c r="T1425" s="10" t="s">
        <v>410</v>
      </c>
    </row>
    <row r="1426" spans="1:20" hidden="1" outlineLevel="1" x14ac:dyDescent="0.3">
      <c r="A1426" s="583" t="s">
        <v>1913</v>
      </c>
      <c r="B1426" s="591">
        <v>1</v>
      </c>
      <c r="C1426" s="583" t="s">
        <v>1256</v>
      </c>
      <c r="D1426" s="583" t="s">
        <v>5647</v>
      </c>
      <c r="E1426" s="592" t="s">
        <v>410</v>
      </c>
      <c r="F1426" s="593" t="s">
        <v>1540</v>
      </c>
      <c r="G1426" s="593" t="s">
        <v>1548</v>
      </c>
      <c r="H1426" s="593" t="s">
        <v>1543</v>
      </c>
      <c r="I1426" s="593" t="s">
        <v>1544</v>
      </c>
      <c r="J1426" s="593" t="s">
        <v>1549</v>
      </c>
      <c r="K1426" s="593" t="s">
        <v>1547</v>
      </c>
      <c r="L1426" s="593" t="s">
        <v>1550</v>
      </c>
      <c r="M1426" s="593" t="s">
        <v>1551</v>
      </c>
      <c r="N1426" s="237" t="s">
        <v>410</v>
      </c>
      <c r="O1426" s="237" t="s">
        <v>410</v>
      </c>
      <c r="P1426" s="237" t="s">
        <v>410</v>
      </c>
      <c r="Q1426" s="237" t="s">
        <v>410</v>
      </c>
      <c r="R1426" s="237" t="s">
        <v>410</v>
      </c>
      <c r="S1426" s="10" t="s">
        <v>410</v>
      </c>
      <c r="T1426" s="10" t="s">
        <v>410</v>
      </c>
    </row>
    <row r="1427" spans="1:20" hidden="1" outlineLevel="1" x14ac:dyDescent="0.3">
      <c r="A1427" s="583" t="s">
        <v>5058</v>
      </c>
      <c r="B1427" s="591">
        <v>1</v>
      </c>
      <c r="C1427" s="583" t="s">
        <v>1256</v>
      </c>
      <c r="D1427" s="583" t="s">
        <v>5647</v>
      </c>
      <c r="E1427" s="592" t="s">
        <v>410</v>
      </c>
      <c r="F1427" s="593" t="s">
        <v>1485</v>
      </c>
      <c r="G1427" s="593" t="s">
        <v>2176</v>
      </c>
      <c r="H1427" s="593" t="s">
        <v>5192</v>
      </c>
      <c r="I1427" s="593" t="s">
        <v>5193</v>
      </c>
      <c r="J1427" s="593" t="s">
        <v>5194</v>
      </c>
      <c r="K1427" s="237" t="s">
        <v>410</v>
      </c>
      <c r="L1427" s="237" t="s">
        <v>410</v>
      </c>
      <c r="M1427" s="237" t="s">
        <v>410</v>
      </c>
      <c r="N1427" s="237" t="s">
        <v>410</v>
      </c>
      <c r="O1427" s="237" t="s">
        <v>410</v>
      </c>
      <c r="P1427" s="237" t="s">
        <v>410</v>
      </c>
      <c r="Q1427" s="237" t="s">
        <v>410</v>
      </c>
      <c r="R1427" s="237" t="s">
        <v>410</v>
      </c>
      <c r="S1427" s="10" t="s">
        <v>410</v>
      </c>
      <c r="T1427" s="10" t="s">
        <v>410</v>
      </c>
    </row>
    <row r="1428" spans="1:20" hidden="1" outlineLevel="1" x14ac:dyDescent="0.3">
      <c r="A1428" s="583" t="s">
        <v>4210</v>
      </c>
      <c r="B1428" s="591">
        <v>1</v>
      </c>
      <c r="C1428" s="583" t="s">
        <v>1256</v>
      </c>
      <c r="D1428" s="583" t="s">
        <v>5647</v>
      </c>
      <c r="E1428" s="593" t="s">
        <v>410</v>
      </c>
      <c r="F1428" s="593" t="s">
        <v>4343</v>
      </c>
      <c r="G1428" s="593" t="s">
        <v>4344</v>
      </c>
      <c r="H1428" s="593" t="s">
        <v>4345</v>
      </c>
      <c r="I1428" s="593" t="s">
        <v>4346</v>
      </c>
      <c r="J1428" s="593" t="s">
        <v>4347</v>
      </c>
      <c r="K1428" s="593" t="s">
        <v>4348</v>
      </c>
      <c r="L1428" s="593" t="s">
        <v>410</v>
      </c>
      <c r="M1428" s="593" t="s">
        <v>410</v>
      </c>
      <c r="N1428" s="593" t="s">
        <v>410</v>
      </c>
      <c r="O1428" s="593" t="s">
        <v>410</v>
      </c>
      <c r="P1428" s="593" t="s">
        <v>410</v>
      </c>
      <c r="Q1428" s="593" t="s">
        <v>410</v>
      </c>
      <c r="R1428" s="593" t="s">
        <v>410</v>
      </c>
      <c r="S1428" s="593" t="s">
        <v>410</v>
      </c>
      <c r="T1428" s="593" t="s">
        <v>410</v>
      </c>
    </row>
    <row r="1429" spans="1:20" hidden="1" outlineLevel="1" x14ac:dyDescent="0.3">
      <c r="A1429" s="583" t="s">
        <v>5059</v>
      </c>
      <c r="B1429" s="591">
        <v>1</v>
      </c>
      <c r="C1429" s="583" t="s">
        <v>1256</v>
      </c>
      <c r="D1429" s="583" t="s">
        <v>5647</v>
      </c>
      <c r="E1429" s="592" t="s">
        <v>410</v>
      </c>
      <c r="F1429" s="593" t="s">
        <v>5195</v>
      </c>
      <c r="G1429" s="593" t="s">
        <v>5196</v>
      </c>
      <c r="H1429" s="593" t="s">
        <v>5197</v>
      </c>
      <c r="I1429" s="593" t="s">
        <v>5198</v>
      </c>
      <c r="J1429" s="593" t="s">
        <v>5199</v>
      </c>
      <c r="K1429" s="237" t="s">
        <v>410</v>
      </c>
      <c r="L1429" s="237" t="s">
        <v>410</v>
      </c>
      <c r="M1429" s="237" t="s">
        <v>410</v>
      </c>
      <c r="N1429" s="237" t="s">
        <v>410</v>
      </c>
      <c r="O1429" s="237" t="s">
        <v>410</v>
      </c>
      <c r="P1429" s="237" t="s">
        <v>410</v>
      </c>
      <c r="Q1429" s="237" t="s">
        <v>410</v>
      </c>
      <c r="R1429" s="237" t="s">
        <v>410</v>
      </c>
      <c r="S1429" s="10" t="s">
        <v>410</v>
      </c>
      <c r="T1429" s="10" t="s">
        <v>410</v>
      </c>
    </row>
    <row r="1430" spans="1:20" hidden="1" outlineLevel="1" x14ac:dyDescent="0.3">
      <c r="A1430" s="583" t="s">
        <v>1945</v>
      </c>
      <c r="B1430" s="591">
        <v>2</v>
      </c>
      <c r="C1430" s="583" t="s">
        <v>1256</v>
      </c>
      <c r="D1430" s="583" t="s">
        <v>5647</v>
      </c>
      <c r="E1430" s="593" t="s">
        <v>410</v>
      </c>
      <c r="F1430" s="593" t="s">
        <v>3243</v>
      </c>
      <c r="G1430" s="593" t="s">
        <v>4027</v>
      </c>
      <c r="H1430" s="593" t="s">
        <v>4028</v>
      </c>
      <c r="I1430" s="593" t="s">
        <v>4029</v>
      </c>
      <c r="J1430" s="593" t="s">
        <v>4030</v>
      </c>
      <c r="K1430" s="593" t="s">
        <v>4031</v>
      </c>
      <c r="L1430" s="593" t="s">
        <v>410</v>
      </c>
      <c r="M1430" s="593" t="s">
        <v>410</v>
      </c>
      <c r="N1430" s="237" t="s">
        <v>410</v>
      </c>
      <c r="O1430" s="237" t="s">
        <v>410</v>
      </c>
      <c r="P1430" s="237" t="s">
        <v>410</v>
      </c>
      <c r="Q1430" s="237" t="s">
        <v>410</v>
      </c>
      <c r="R1430" s="237" t="s">
        <v>410</v>
      </c>
      <c r="S1430" s="237" t="s">
        <v>410</v>
      </c>
      <c r="T1430" s="237" t="s">
        <v>410</v>
      </c>
    </row>
    <row r="1431" spans="1:20" hidden="1" outlineLevel="1" x14ac:dyDescent="0.3">
      <c r="A1431" s="583" t="s">
        <v>1852</v>
      </c>
      <c r="B1431" s="591">
        <v>5</v>
      </c>
      <c r="C1431" s="583" t="s">
        <v>1256</v>
      </c>
      <c r="D1431" s="583" t="s">
        <v>5647</v>
      </c>
      <c r="E1431" s="592" t="s">
        <v>410</v>
      </c>
      <c r="F1431" s="593" t="s">
        <v>3230</v>
      </c>
      <c r="G1431" s="593" t="s">
        <v>3231</v>
      </c>
      <c r="H1431" s="593" t="s">
        <v>3232</v>
      </c>
      <c r="I1431" s="593" t="s">
        <v>3233</v>
      </c>
      <c r="J1431" s="593" t="s">
        <v>3234</v>
      </c>
      <c r="K1431" s="237" t="s">
        <v>410</v>
      </c>
      <c r="L1431" s="237" t="s">
        <v>410</v>
      </c>
      <c r="M1431" s="237" t="s">
        <v>410</v>
      </c>
      <c r="N1431" s="237" t="s">
        <v>410</v>
      </c>
      <c r="O1431" s="237" t="s">
        <v>410</v>
      </c>
      <c r="P1431" s="237" t="s">
        <v>410</v>
      </c>
      <c r="Q1431" s="237" t="s">
        <v>410</v>
      </c>
      <c r="R1431" s="237" t="s">
        <v>410</v>
      </c>
      <c r="S1431" s="10" t="s">
        <v>410</v>
      </c>
      <c r="T1431" s="10" t="s">
        <v>410</v>
      </c>
    </row>
    <row r="1432" spans="1:20" hidden="1" outlineLevel="1" x14ac:dyDescent="0.3">
      <c r="A1432" s="583" t="s">
        <v>5501</v>
      </c>
      <c r="B1432" s="591">
        <v>5</v>
      </c>
      <c r="C1432" s="583" t="s">
        <v>1256</v>
      </c>
      <c r="D1432" s="583" t="s">
        <v>5647</v>
      </c>
      <c r="E1432" s="592" t="s">
        <v>410</v>
      </c>
      <c r="F1432" s="593" t="s">
        <v>2167</v>
      </c>
      <c r="G1432" s="593" t="s">
        <v>1848</v>
      </c>
      <c r="H1432" s="593" t="s">
        <v>3198</v>
      </c>
      <c r="I1432" s="593" t="s">
        <v>3505</v>
      </c>
      <c r="J1432" s="593" t="s">
        <v>3506</v>
      </c>
      <c r="K1432" s="237" t="s">
        <v>410</v>
      </c>
      <c r="L1432" s="237" t="s">
        <v>410</v>
      </c>
      <c r="M1432" s="237" t="s">
        <v>410</v>
      </c>
      <c r="N1432" s="237" t="s">
        <v>410</v>
      </c>
      <c r="O1432" s="237" t="s">
        <v>410</v>
      </c>
      <c r="P1432" s="237" t="s">
        <v>410</v>
      </c>
      <c r="Q1432" s="237" t="s">
        <v>410</v>
      </c>
      <c r="R1432" s="237" t="s">
        <v>410</v>
      </c>
      <c r="S1432" s="10" t="s">
        <v>410</v>
      </c>
      <c r="T1432" s="10" t="s">
        <v>410</v>
      </c>
    </row>
    <row r="1433" spans="1:20" hidden="1" outlineLevel="1" x14ac:dyDescent="0.3">
      <c r="A1433" s="583" t="s">
        <v>1462</v>
      </c>
      <c r="B1433" s="591">
        <v>6</v>
      </c>
      <c r="C1433" s="588" t="s">
        <v>1256</v>
      </c>
      <c r="D1433" s="583" t="s">
        <v>5647</v>
      </c>
      <c r="E1433" s="589" t="s">
        <v>410</v>
      </c>
      <c r="F1433" s="590" t="s">
        <v>67</v>
      </c>
      <c r="G1433" s="590" t="s">
        <v>68</v>
      </c>
      <c r="H1433" s="590" t="s">
        <v>70</v>
      </c>
      <c r="I1433" s="590" t="s">
        <v>72</v>
      </c>
      <c r="J1433" s="441" t="s">
        <v>410</v>
      </c>
      <c r="K1433" s="441" t="s">
        <v>410</v>
      </c>
      <c r="L1433" s="441" t="s">
        <v>410</v>
      </c>
      <c r="M1433" s="441" t="s">
        <v>410</v>
      </c>
      <c r="N1433" s="441" t="s">
        <v>410</v>
      </c>
      <c r="O1433" s="441" t="s">
        <v>410</v>
      </c>
      <c r="P1433" s="441" t="s">
        <v>410</v>
      </c>
      <c r="Q1433" s="441" t="s">
        <v>410</v>
      </c>
      <c r="R1433" s="441" t="s">
        <v>410</v>
      </c>
      <c r="S1433" s="441" t="s">
        <v>410</v>
      </c>
      <c r="T1433" s="441" t="s">
        <v>410</v>
      </c>
    </row>
    <row r="1434" spans="1:20" hidden="1" outlineLevel="1" x14ac:dyDescent="0.3">
      <c r="A1434" s="583" t="s">
        <v>1484</v>
      </c>
      <c r="B1434" s="591">
        <v>6</v>
      </c>
      <c r="C1434" s="588" t="s">
        <v>1256</v>
      </c>
      <c r="D1434" s="583" t="s">
        <v>5647</v>
      </c>
      <c r="E1434" s="589" t="s">
        <v>410</v>
      </c>
      <c r="F1434" s="590" t="s">
        <v>4435</v>
      </c>
      <c r="G1434" s="590" t="s">
        <v>3466</v>
      </c>
      <c r="H1434" s="590" t="s">
        <v>3467</v>
      </c>
      <c r="I1434" s="590" t="s">
        <v>3468</v>
      </c>
      <c r="J1434" s="590" t="s">
        <v>3469</v>
      </c>
      <c r="K1434" s="589" t="s">
        <v>410</v>
      </c>
      <c r="L1434" s="441" t="s">
        <v>410</v>
      </c>
      <c r="M1434" s="441" t="s">
        <v>410</v>
      </c>
      <c r="N1434" s="441" t="s">
        <v>410</v>
      </c>
      <c r="O1434" s="441" t="s">
        <v>410</v>
      </c>
      <c r="P1434" s="441" t="s">
        <v>410</v>
      </c>
      <c r="Q1434" s="441" t="s">
        <v>410</v>
      </c>
      <c r="R1434" s="441" t="s">
        <v>410</v>
      </c>
      <c r="S1434" s="441" t="s">
        <v>410</v>
      </c>
      <c r="T1434" s="441" t="s">
        <v>410</v>
      </c>
    </row>
    <row r="1435" spans="1:20" hidden="1" outlineLevel="1" x14ac:dyDescent="0.3">
      <c r="A1435" s="583" t="s">
        <v>1850</v>
      </c>
      <c r="B1435" s="591">
        <v>6</v>
      </c>
      <c r="C1435" s="583" t="s">
        <v>1256</v>
      </c>
      <c r="D1435" s="583" t="s">
        <v>5647</v>
      </c>
      <c r="E1435" s="592" t="s">
        <v>410</v>
      </c>
      <c r="F1435" s="593" t="s">
        <v>3411</v>
      </c>
      <c r="G1435" s="593" t="s">
        <v>3412</v>
      </c>
      <c r="H1435" s="593" t="s">
        <v>3413</v>
      </c>
      <c r="I1435" s="593" t="s">
        <v>3414</v>
      </c>
      <c r="J1435" s="593" t="s">
        <v>3415</v>
      </c>
      <c r="K1435" s="441" t="s">
        <v>410</v>
      </c>
      <c r="L1435" s="441" t="s">
        <v>410</v>
      </c>
      <c r="M1435" s="441" t="s">
        <v>410</v>
      </c>
      <c r="N1435" s="441" t="s">
        <v>410</v>
      </c>
      <c r="O1435" s="441" t="s">
        <v>410</v>
      </c>
      <c r="P1435" s="441" t="s">
        <v>410</v>
      </c>
      <c r="Q1435" s="441" t="s">
        <v>410</v>
      </c>
      <c r="R1435" s="441" t="s">
        <v>410</v>
      </c>
      <c r="S1435" s="441" t="s">
        <v>410</v>
      </c>
      <c r="T1435" s="441" t="s">
        <v>410</v>
      </c>
    </row>
    <row r="1436" spans="1:20" hidden="1" outlineLevel="1" x14ac:dyDescent="0.3">
      <c r="A1436" s="583" t="s">
        <v>1912</v>
      </c>
      <c r="B1436" s="591">
        <v>6</v>
      </c>
      <c r="C1436" s="583" t="s">
        <v>1256</v>
      </c>
      <c r="D1436" s="583" t="s">
        <v>5647</v>
      </c>
      <c r="E1436" s="592" t="s">
        <v>410</v>
      </c>
      <c r="F1436" s="593" t="s">
        <v>1799</v>
      </c>
      <c r="G1436" s="593" t="s">
        <v>1799</v>
      </c>
      <c r="H1436" s="593" t="s">
        <v>1800</v>
      </c>
      <c r="I1436" s="593" t="s">
        <v>1800</v>
      </c>
      <c r="J1436" s="593" t="s">
        <v>1801</v>
      </c>
      <c r="K1436" s="237" t="s">
        <v>410</v>
      </c>
      <c r="L1436" s="237" t="s">
        <v>410</v>
      </c>
      <c r="M1436" s="237" t="s">
        <v>410</v>
      </c>
      <c r="N1436" s="237" t="s">
        <v>410</v>
      </c>
      <c r="O1436" s="237" t="s">
        <v>410</v>
      </c>
      <c r="P1436" s="237" t="s">
        <v>410</v>
      </c>
      <c r="Q1436" s="237" t="s">
        <v>410</v>
      </c>
      <c r="R1436" s="237" t="s">
        <v>410</v>
      </c>
      <c r="S1436" s="10" t="s">
        <v>410</v>
      </c>
      <c r="T1436" s="10" t="s">
        <v>410</v>
      </c>
    </row>
    <row r="1437" spans="1:20" hidden="1" outlineLevel="1" x14ac:dyDescent="0.3">
      <c r="A1437" s="583" t="s">
        <v>1919</v>
      </c>
      <c r="B1437" s="591">
        <v>6</v>
      </c>
      <c r="C1437" s="583" t="s">
        <v>1256</v>
      </c>
      <c r="D1437" s="583" t="s">
        <v>5647</v>
      </c>
      <c r="E1437" s="592" t="s">
        <v>410</v>
      </c>
      <c r="F1437" s="593" t="s">
        <v>1809</v>
      </c>
      <c r="G1437" s="593" t="s">
        <v>1810</v>
      </c>
      <c r="H1437" s="593" t="s">
        <v>1811</v>
      </c>
      <c r="I1437" s="593" t="s">
        <v>1812</v>
      </c>
      <c r="J1437" s="593" t="s">
        <v>1813</v>
      </c>
      <c r="K1437" s="237" t="s">
        <v>410</v>
      </c>
      <c r="L1437" s="237" t="s">
        <v>410</v>
      </c>
      <c r="M1437" s="237" t="s">
        <v>410</v>
      </c>
      <c r="N1437" s="237" t="s">
        <v>410</v>
      </c>
      <c r="O1437" s="237" t="s">
        <v>410</v>
      </c>
      <c r="P1437" s="237" t="s">
        <v>410</v>
      </c>
      <c r="Q1437" s="237" t="s">
        <v>410</v>
      </c>
      <c r="R1437" s="237" t="s">
        <v>410</v>
      </c>
      <c r="S1437" s="10" t="s">
        <v>410</v>
      </c>
      <c r="T1437" s="10" t="s">
        <v>410</v>
      </c>
    </row>
    <row r="1438" spans="1:20" hidden="1" outlineLevel="1" x14ac:dyDescent="0.3">
      <c r="A1438" s="583" t="s">
        <v>1920</v>
      </c>
      <c r="B1438" s="591">
        <v>6</v>
      </c>
      <c r="C1438" s="583" t="s">
        <v>1256</v>
      </c>
      <c r="D1438" s="583" t="s">
        <v>5647</v>
      </c>
      <c r="E1438" s="10" t="s">
        <v>410</v>
      </c>
      <c r="F1438" s="593" t="s">
        <v>4322</v>
      </c>
      <c r="G1438" s="593" t="s">
        <v>68</v>
      </c>
      <c r="H1438" s="593" t="s">
        <v>70</v>
      </c>
      <c r="I1438" s="593" t="s">
        <v>72</v>
      </c>
      <c r="J1438" s="237" t="s">
        <v>410</v>
      </c>
      <c r="K1438" s="237" t="s">
        <v>410</v>
      </c>
      <c r="L1438" s="237" t="s">
        <v>410</v>
      </c>
      <c r="M1438" s="237" t="s">
        <v>410</v>
      </c>
      <c r="N1438" s="237" t="s">
        <v>410</v>
      </c>
      <c r="O1438" s="237" t="s">
        <v>410</v>
      </c>
      <c r="P1438" s="237" t="s">
        <v>410</v>
      </c>
      <c r="Q1438" s="237" t="s">
        <v>410</v>
      </c>
      <c r="R1438" s="237" t="s">
        <v>410</v>
      </c>
      <c r="S1438" s="10" t="s">
        <v>410</v>
      </c>
      <c r="T1438" s="10" t="s">
        <v>410</v>
      </c>
    </row>
    <row r="1439" spans="1:20" hidden="1" outlineLevel="1" x14ac:dyDescent="0.3">
      <c r="A1439" s="583" t="s">
        <v>1973</v>
      </c>
      <c r="B1439" s="591">
        <v>6</v>
      </c>
      <c r="C1439" s="583" t="s">
        <v>1256</v>
      </c>
      <c r="D1439" s="583" t="s">
        <v>5647</v>
      </c>
      <c r="E1439" s="593" t="s">
        <v>410</v>
      </c>
      <c r="F1439" s="593" t="s">
        <v>3507</v>
      </c>
      <c r="G1439" s="593" t="s">
        <v>3508</v>
      </c>
      <c r="H1439" s="593" t="s">
        <v>3509</v>
      </c>
      <c r="I1439" s="593" t="s">
        <v>3510</v>
      </c>
      <c r="J1439" s="593" t="s">
        <v>3511</v>
      </c>
      <c r="K1439" s="593" t="s">
        <v>3512</v>
      </c>
      <c r="L1439" s="593" t="s">
        <v>410</v>
      </c>
      <c r="M1439" s="237" t="s">
        <v>410</v>
      </c>
      <c r="N1439" s="237" t="s">
        <v>410</v>
      </c>
      <c r="O1439" s="237" t="s">
        <v>410</v>
      </c>
      <c r="P1439" s="237" t="s">
        <v>410</v>
      </c>
      <c r="Q1439" s="237" t="s">
        <v>410</v>
      </c>
      <c r="R1439" s="237" t="s">
        <v>410</v>
      </c>
      <c r="S1439" s="237" t="s">
        <v>410</v>
      </c>
      <c r="T1439" s="237" t="s">
        <v>410</v>
      </c>
    </row>
    <row r="1440" spans="1:20" hidden="1" outlineLevel="1" x14ac:dyDescent="0.3">
      <c r="A1440" s="583" t="s">
        <v>5064</v>
      </c>
      <c r="B1440" s="591">
        <v>8</v>
      </c>
      <c r="C1440" s="583" t="s">
        <v>1256</v>
      </c>
      <c r="D1440" s="583" t="s">
        <v>5647</v>
      </c>
      <c r="E1440" s="592" t="s">
        <v>410</v>
      </c>
      <c r="F1440" s="593"/>
      <c r="G1440" s="237" t="s">
        <v>410</v>
      </c>
      <c r="H1440" s="237" t="s">
        <v>410</v>
      </c>
      <c r="I1440" s="237" t="s">
        <v>410</v>
      </c>
      <c r="J1440" s="237" t="s">
        <v>410</v>
      </c>
      <c r="K1440" s="237" t="s">
        <v>410</v>
      </c>
      <c r="L1440" s="237" t="s">
        <v>410</v>
      </c>
      <c r="M1440" s="237" t="s">
        <v>410</v>
      </c>
      <c r="N1440" s="237" t="s">
        <v>410</v>
      </c>
      <c r="O1440" s="237" t="s">
        <v>410</v>
      </c>
      <c r="P1440" s="237" t="s">
        <v>410</v>
      </c>
      <c r="Q1440" s="237" t="s">
        <v>410</v>
      </c>
      <c r="R1440" s="237" t="s">
        <v>410</v>
      </c>
      <c r="S1440" s="10" t="s">
        <v>410</v>
      </c>
      <c r="T1440" s="10" t="s">
        <v>410</v>
      </c>
    </row>
    <row r="1441" spans="1:20" hidden="1" outlineLevel="1" x14ac:dyDescent="0.3">
      <c r="A1441" s="583" t="s">
        <v>5105</v>
      </c>
      <c r="B1441" s="591">
        <v>8</v>
      </c>
      <c r="C1441" s="583" t="s">
        <v>1256</v>
      </c>
      <c r="D1441" s="583" t="s">
        <v>5647</v>
      </c>
      <c r="E1441" s="592" t="s">
        <v>410</v>
      </c>
      <c r="F1441" s="593"/>
      <c r="G1441" s="237" t="s">
        <v>410</v>
      </c>
      <c r="H1441" s="237" t="s">
        <v>410</v>
      </c>
      <c r="I1441" s="237" t="s">
        <v>410</v>
      </c>
      <c r="J1441" s="237" t="s">
        <v>410</v>
      </c>
      <c r="K1441" s="237" t="s">
        <v>410</v>
      </c>
      <c r="L1441" s="237" t="s">
        <v>410</v>
      </c>
      <c r="M1441" s="237" t="s">
        <v>410</v>
      </c>
      <c r="N1441" s="237" t="s">
        <v>410</v>
      </c>
      <c r="O1441" s="237" t="s">
        <v>410</v>
      </c>
      <c r="P1441" s="237" t="s">
        <v>410</v>
      </c>
      <c r="Q1441" s="237" t="s">
        <v>410</v>
      </c>
      <c r="R1441" s="237" t="s">
        <v>410</v>
      </c>
      <c r="S1441" s="10" t="s">
        <v>410</v>
      </c>
      <c r="T1441" s="10" t="s">
        <v>410</v>
      </c>
    </row>
    <row r="1442" spans="1:20" hidden="1" outlineLevel="1" x14ac:dyDescent="0.3">
      <c r="A1442" s="583" t="s">
        <v>5067</v>
      </c>
      <c r="B1442" s="591">
        <v>8</v>
      </c>
      <c r="C1442" s="583" t="s">
        <v>1256</v>
      </c>
      <c r="D1442" s="583" t="s">
        <v>5647</v>
      </c>
      <c r="E1442" s="592" t="s">
        <v>410</v>
      </c>
      <c r="F1442" s="593"/>
      <c r="G1442" s="237" t="s">
        <v>410</v>
      </c>
      <c r="H1442" s="237" t="s">
        <v>410</v>
      </c>
      <c r="I1442" s="237" t="s">
        <v>410</v>
      </c>
      <c r="J1442" s="237" t="s">
        <v>410</v>
      </c>
      <c r="K1442" s="237" t="s">
        <v>410</v>
      </c>
      <c r="L1442" s="237" t="s">
        <v>410</v>
      </c>
      <c r="M1442" s="237" t="s">
        <v>410</v>
      </c>
      <c r="N1442" s="237" t="s">
        <v>410</v>
      </c>
      <c r="O1442" s="237" t="s">
        <v>410</v>
      </c>
      <c r="P1442" s="237" t="s">
        <v>410</v>
      </c>
      <c r="Q1442" s="237" t="s">
        <v>410</v>
      </c>
      <c r="R1442" s="237" t="s">
        <v>410</v>
      </c>
      <c r="S1442" s="10" t="s">
        <v>410</v>
      </c>
      <c r="T1442" s="10" t="s">
        <v>410</v>
      </c>
    </row>
    <row r="1443" spans="1:20" hidden="1" outlineLevel="1" x14ac:dyDescent="0.3">
      <c r="A1443" s="583" t="s">
        <v>5070</v>
      </c>
      <c r="B1443" s="591">
        <v>8</v>
      </c>
      <c r="C1443" s="583" t="s">
        <v>1256</v>
      </c>
      <c r="D1443" s="583" t="s">
        <v>5647</v>
      </c>
      <c r="E1443" s="592" t="s">
        <v>410</v>
      </c>
      <c r="F1443" s="593"/>
      <c r="G1443" s="237" t="s">
        <v>410</v>
      </c>
      <c r="H1443" s="237" t="s">
        <v>410</v>
      </c>
      <c r="I1443" s="237" t="s">
        <v>410</v>
      </c>
      <c r="J1443" s="237" t="s">
        <v>410</v>
      </c>
      <c r="K1443" s="237" t="s">
        <v>410</v>
      </c>
      <c r="L1443" s="237" t="s">
        <v>410</v>
      </c>
      <c r="M1443" s="237" t="s">
        <v>410</v>
      </c>
      <c r="N1443" s="237" t="s">
        <v>410</v>
      </c>
      <c r="O1443" s="237" t="s">
        <v>410</v>
      </c>
      <c r="P1443" s="237" t="s">
        <v>410</v>
      </c>
      <c r="Q1443" s="237" t="s">
        <v>410</v>
      </c>
      <c r="R1443" s="237" t="s">
        <v>410</v>
      </c>
      <c r="S1443" s="10" t="s">
        <v>410</v>
      </c>
      <c r="T1443" s="10" t="s">
        <v>410</v>
      </c>
    </row>
    <row r="1444" spans="1:20" hidden="1" outlineLevel="1" x14ac:dyDescent="0.3">
      <c r="A1444" s="583" t="s">
        <v>5071</v>
      </c>
      <c r="B1444" s="591">
        <v>8</v>
      </c>
      <c r="C1444" s="583" t="s">
        <v>1256</v>
      </c>
      <c r="D1444" s="583" t="s">
        <v>5647</v>
      </c>
      <c r="E1444" s="592" t="s">
        <v>410</v>
      </c>
      <c r="F1444" s="593" t="s">
        <v>5045</v>
      </c>
      <c r="G1444" s="237" t="s">
        <v>410</v>
      </c>
      <c r="H1444" s="237" t="s">
        <v>410</v>
      </c>
      <c r="I1444" s="237" t="s">
        <v>410</v>
      </c>
      <c r="J1444" s="237" t="s">
        <v>410</v>
      </c>
      <c r="K1444" s="237" t="s">
        <v>410</v>
      </c>
      <c r="L1444" s="237" t="s">
        <v>410</v>
      </c>
      <c r="M1444" s="237" t="s">
        <v>410</v>
      </c>
      <c r="N1444" s="237" t="s">
        <v>410</v>
      </c>
      <c r="O1444" s="237" t="s">
        <v>410</v>
      </c>
      <c r="P1444" s="237" t="s">
        <v>410</v>
      </c>
      <c r="Q1444" s="237" t="s">
        <v>410</v>
      </c>
      <c r="R1444" s="237" t="s">
        <v>410</v>
      </c>
      <c r="S1444" s="10" t="s">
        <v>410</v>
      </c>
      <c r="T1444" s="10" t="s">
        <v>410</v>
      </c>
    </row>
    <row r="1445" spans="1:20" hidden="1" outlineLevel="1" x14ac:dyDescent="0.3">
      <c r="A1445" s="583" t="s">
        <v>1849</v>
      </c>
      <c r="B1445" s="591">
        <v>11</v>
      </c>
      <c r="C1445" s="583" t="s">
        <v>1256</v>
      </c>
      <c r="D1445" s="583" t="s">
        <v>5647</v>
      </c>
      <c r="E1445" s="592" t="s">
        <v>410</v>
      </c>
      <c r="F1445" s="593" t="s">
        <v>2167</v>
      </c>
      <c r="G1445" s="593" t="s">
        <v>2233</v>
      </c>
      <c r="H1445" s="593" t="s">
        <v>3560</v>
      </c>
      <c r="I1445" s="593" t="s">
        <v>3561</v>
      </c>
      <c r="J1445" s="593" t="s">
        <v>3562</v>
      </c>
      <c r="K1445" s="237" t="s">
        <v>410</v>
      </c>
      <c r="L1445" s="441" t="s">
        <v>410</v>
      </c>
      <c r="M1445" s="237" t="s">
        <v>410</v>
      </c>
      <c r="N1445" s="237" t="s">
        <v>410</v>
      </c>
      <c r="O1445" s="237" t="s">
        <v>410</v>
      </c>
      <c r="P1445" s="237" t="s">
        <v>410</v>
      </c>
      <c r="Q1445" s="237" t="s">
        <v>410</v>
      </c>
      <c r="R1445" s="237" t="s">
        <v>410</v>
      </c>
      <c r="S1445" s="10" t="s">
        <v>410</v>
      </c>
      <c r="T1445" s="10" t="s">
        <v>410</v>
      </c>
    </row>
    <row r="1446" spans="1:20" hidden="1" outlineLevel="1" x14ac:dyDescent="0.3">
      <c r="A1446" s="583" t="s">
        <v>4788</v>
      </c>
      <c r="B1446" s="591">
        <v>13</v>
      </c>
      <c r="C1446" s="583" t="s">
        <v>1256</v>
      </c>
      <c r="D1446" s="583" t="s">
        <v>5647</v>
      </c>
      <c r="E1446" s="592" t="s">
        <v>410</v>
      </c>
      <c r="F1446" s="593"/>
      <c r="G1446" s="593"/>
      <c r="H1446" s="593"/>
      <c r="I1446" s="593"/>
      <c r="J1446" s="593"/>
      <c r="K1446" s="237"/>
      <c r="L1446" s="237"/>
      <c r="M1446" s="237"/>
      <c r="N1446" s="237" t="s">
        <v>410</v>
      </c>
      <c r="O1446" s="237" t="s">
        <v>410</v>
      </c>
      <c r="P1446" s="237" t="s">
        <v>410</v>
      </c>
      <c r="Q1446" s="237" t="s">
        <v>410</v>
      </c>
      <c r="R1446" s="237" t="s">
        <v>410</v>
      </c>
      <c r="S1446" s="10" t="s">
        <v>410</v>
      </c>
      <c r="T1446" s="10" t="s">
        <v>410</v>
      </c>
    </row>
    <row r="1447" spans="1:20" hidden="1" outlineLevel="1" x14ac:dyDescent="0.3">
      <c r="A1447" s="583" t="s">
        <v>1611</v>
      </c>
      <c r="B1447" s="591">
        <v>16</v>
      </c>
      <c r="C1447" s="588" t="s">
        <v>1256</v>
      </c>
      <c r="D1447" s="583" t="s">
        <v>5647</v>
      </c>
      <c r="E1447" s="589" t="s">
        <v>410</v>
      </c>
      <c r="F1447" s="593" t="s">
        <v>3555</v>
      </c>
      <c r="G1447" s="593" t="s">
        <v>3556</v>
      </c>
      <c r="H1447" s="593" t="s">
        <v>3557</v>
      </c>
      <c r="I1447" s="593" t="s">
        <v>3558</v>
      </c>
      <c r="J1447" s="441" t="s">
        <v>410</v>
      </c>
      <c r="K1447" s="441" t="s">
        <v>410</v>
      </c>
      <c r="L1447" s="441" t="s">
        <v>410</v>
      </c>
      <c r="M1447" s="441" t="s">
        <v>410</v>
      </c>
      <c r="N1447" s="441" t="s">
        <v>410</v>
      </c>
      <c r="O1447" s="441" t="s">
        <v>410</v>
      </c>
      <c r="P1447" s="441" t="s">
        <v>410</v>
      </c>
      <c r="Q1447" s="441" t="s">
        <v>410</v>
      </c>
      <c r="R1447" s="441" t="s">
        <v>410</v>
      </c>
      <c r="S1447" s="441" t="s">
        <v>410</v>
      </c>
      <c r="T1447" s="441" t="s">
        <v>410</v>
      </c>
    </row>
    <row r="1448" spans="1:20" hidden="1" outlineLevel="1" x14ac:dyDescent="0.3">
      <c r="A1448" s="583" t="s">
        <v>5156</v>
      </c>
      <c r="B1448" s="591">
        <v>16</v>
      </c>
      <c r="C1448" s="583" t="s">
        <v>1256</v>
      </c>
      <c r="D1448" s="583" t="s">
        <v>5647</v>
      </c>
      <c r="E1448" s="592" t="s">
        <v>410</v>
      </c>
      <c r="F1448" s="593"/>
      <c r="G1448" s="237" t="s">
        <v>410</v>
      </c>
      <c r="H1448" s="237" t="s">
        <v>410</v>
      </c>
      <c r="I1448" s="237" t="s">
        <v>410</v>
      </c>
      <c r="J1448" s="237" t="s">
        <v>410</v>
      </c>
      <c r="K1448" s="237" t="s">
        <v>410</v>
      </c>
      <c r="L1448" s="237" t="s">
        <v>410</v>
      </c>
      <c r="M1448" s="237" t="s">
        <v>410</v>
      </c>
      <c r="N1448" s="237" t="s">
        <v>410</v>
      </c>
      <c r="O1448" s="237" t="s">
        <v>410</v>
      </c>
      <c r="P1448" s="237" t="s">
        <v>410</v>
      </c>
      <c r="Q1448" s="237" t="s">
        <v>410</v>
      </c>
      <c r="R1448" s="237" t="s">
        <v>410</v>
      </c>
      <c r="S1448" s="10" t="s">
        <v>410</v>
      </c>
      <c r="T1448" s="10" t="s">
        <v>410</v>
      </c>
    </row>
    <row r="1449" spans="1:20" hidden="1" outlineLevel="1" x14ac:dyDescent="0.3">
      <c r="A1449" s="583" t="s">
        <v>1791</v>
      </c>
      <c r="B1449" s="591">
        <v>16</v>
      </c>
      <c r="C1449" s="583" t="s">
        <v>1256</v>
      </c>
      <c r="D1449" s="583" t="s">
        <v>5647</v>
      </c>
      <c r="E1449" s="592" t="s">
        <v>410</v>
      </c>
      <c r="F1449" s="593" t="s">
        <v>4436</v>
      </c>
      <c r="G1449" s="593" t="s">
        <v>1792</v>
      </c>
      <c r="H1449" s="593" t="s">
        <v>1793</v>
      </c>
      <c r="I1449" s="593" t="s">
        <v>1794</v>
      </c>
      <c r="J1449" s="593" t="s">
        <v>1795</v>
      </c>
      <c r="K1449" s="593" t="s">
        <v>1796</v>
      </c>
      <c r="L1449" s="237" t="s">
        <v>410</v>
      </c>
      <c r="M1449" s="237" t="s">
        <v>410</v>
      </c>
      <c r="N1449" s="237" t="s">
        <v>410</v>
      </c>
      <c r="O1449" s="237" t="s">
        <v>410</v>
      </c>
      <c r="P1449" s="237" t="s">
        <v>410</v>
      </c>
      <c r="Q1449" s="237" t="s">
        <v>410</v>
      </c>
      <c r="R1449" s="237" t="s">
        <v>410</v>
      </c>
      <c r="S1449" s="10" t="s">
        <v>410</v>
      </c>
      <c r="T1449" s="10" t="s">
        <v>410</v>
      </c>
    </row>
    <row r="1450" spans="1:20" hidden="1" outlineLevel="1" x14ac:dyDescent="0.3">
      <c r="A1450" s="583" t="s">
        <v>5110</v>
      </c>
      <c r="B1450" s="591">
        <v>16</v>
      </c>
      <c r="C1450" s="583" t="s">
        <v>1256</v>
      </c>
      <c r="D1450" s="583" t="s">
        <v>5647</v>
      </c>
      <c r="E1450" s="592" t="s">
        <v>410</v>
      </c>
      <c r="F1450" s="593" t="s">
        <v>5200</v>
      </c>
      <c r="G1450" s="593" t="s">
        <v>5201</v>
      </c>
      <c r="H1450" s="593" t="s">
        <v>5202</v>
      </c>
      <c r="I1450" s="237" t="s">
        <v>410</v>
      </c>
      <c r="J1450" s="237" t="s">
        <v>410</v>
      </c>
      <c r="K1450" s="237" t="s">
        <v>410</v>
      </c>
      <c r="L1450" s="237" t="s">
        <v>410</v>
      </c>
      <c r="M1450" s="237" t="s">
        <v>410</v>
      </c>
      <c r="N1450" s="237" t="s">
        <v>410</v>
      </c>
      <c r="O1450" s="237" t="s">
        <v>410</v>
      </c>
      <c r="P1450" s="237" t="s">
        <v>410</v>
      </c>
      <c r="Q1450" s="237" t="s">
        <v>410</v>
      </c>
      <c r="R1450" s="237" t="s">
        <v>410</v>
      </c>
      <c r="S1450" s="10" t="s">
        <v>410</v>
      </c>
      <c r="T1450" s="10" t="s">
        <v>410</v>
      </c>
    </row>
    <row r="1451" spans="1:20" hidden="1" outlineLevel="1" x14ac:dyDescent="0.3">
      <c r="A1451" s="583" t="s">
        <v>5080</v>
      </c>
      <c r="B1451" s="591">
        <v>16</v>
      </c>
      <c r="C1451" s="583" t="s">
        <v>1256</v>
      </c>
      <c r="D1451" s="583" t="s">
        <v>5647</v>
      </c>
      <c r="E1451" s="592" t="s">
        <v>410</v>
      </c>
      <c r="F1451" s="593"/>
      <c r="G1451" s="237" t="s">
        <v>410</v>
      </c>
      <c r="H1451" s="237" t="s">
        <v>410</v>
      </c>
      <c r="I1451" s="237" t="s">
        <v>410</v>
      </c>
      <c r="J1451" s="237" t="s">
        <v>410</v>
      </c>
      <c r="K1451" s="237" t="s">
        <v>410</v>
      </c>
      <c r="L1451" s="237" t="s">
        <v>410</v>
      </c>
      <c r="M1451" s="237" t="s">
        <v>410</v>
      </c>
      <c r="N1451" s="237" t="s">
        <v>410</v>
      </c>
      <c r="O1451" s="237" t="s">
        <v>410</v>
      </c>
      <c r="P1451" s="237" t="s">
        <v>410</v>
      </c>
      <c r="Q1451" s="237" t="s">
        <v>410</v>
      </c>
      <c r="R1451" s="237" t="s">
        <v>410</v>
      </c>
      <c r="S1451" s="10" t="s">
        <v>410</v>
      </c>
      <c r="T1451" s="10" t="s">
        <v>410</v>
      </c>
    </row>
    <row r="1452" spans="1:20" hidden="1" outlineLevel="1" x14ac:dyDescent="0.3">
      <c r="A1452" s="583" t="s">
        <v>4794</v>
      </c>
      <c r="B1452" s="591">
        <v>21</v>
      </c>
      <c r="C1452" s="583" t="s">
        <v>1256</v>
      </c>
      <c r="D1452" s="583" t="s">
        <v>5647</v>
      </c>
      <c r="E1452" s="592" t="s">
        <v>410</v>
      </c>
      <c r="F1452" s="593"/>
      <c r="G1452" s="593"/>
      <c r="H1452" s="593"/>
      <c r="I1452" s="593"/>
      <c r="J1452" s="593"/>
      <c r="K1452" s="593"/>
      <c r="L1452" s="237"/>
      <c r="M1452" s="237"/>
      <c r="N1452" s="237" t="s">
        <v>410</v>
      </c>
      <c r="O1452" s="237" t="s">
        <v>410</v>
      </c>
      <c r="P1452" s="237" t="s">
        <v>410</v>
      </c>
      <c r="Q1452" s="237" t="s">
        <v>410</v>
      </c>
      <c r="R1452" s="237" t="s">
        <v>410</v>
      </c>
      <c r="S1452" s="10" t="s">
        <v>410</v>
      </c>
      <c r="T1452" s="10" t="s">
        <v>410</v>
      </c>
    </row>
    <row r="1453" spans="1:20" hidden="1" outlineLevel="1" x14ac:dyDescent="0.3">
      <c r="A1453" s="583" t="s">
        <v>2067</v>
      </c>
      <c r="B1453" s="591">
        <v>0</v>
      </c>
      <c r="C1453" s="588" t="s">
        <v>1564</v>
      </c>
      <c r="D1453" s="583" t="s">
        <v>5647</v>
      </c>
      <c r="E1453" s="595"/>
      <c r="F1453" s="9" t="s">
        <v>410</v>
      </c>
      <c r="G1453" s="9" t="s">
        <v>410</v>
      </c>
      <c r="H1453" s="9" t="s">
        <v>410</v>
      </c>
      <c r="I1453" s="9" t="s">
        <v>410</v>
      </c>
      <c r="J1453" s="9" t="s">
        <v>410</v>
      </c>
      <c r="K1453" s="9" t="s">
        <v>410</v>
      </c>
      <c r="L1453" s="9" t="s">
        <v>410</v>
      </c>
      <c r="M1453" s="9" t="s">
        <v>410</v>
      </c>
      <c r="N1453" s="9" t="s">
        <v>410</v>
      </c>
      <c r="O1453" s="9" t="s">
        <v>410</v>
      </c>
      <c r="P1453" s="9" t="s">
        <v>410</v>
      </c>
      <c r="Q1453" s="9" t="s">
        <v>410</v>
      </c>
      <c r="R1453" s="9" t="s">
        <v>410</v>
      </c>
      <c r="S1453" s="9" t="s">
        <v>410</v>
      </c>
      <c r="T1453" s="9" t="s">
        <v>410</v>
      </c>
    </row>
    <row r="1454" spans="1:20" hidden="1" outlineLevel="1" x14ac:dyDescent="0.3">
      <c r="A1454" s="583" t="s">
        <v>2066</v>
      </c>
      <c r="B1454" s="591">
        <v>0</v>
      </c>
      <c r="C1454" s="583" t="s">
        <v>1564</v>
      </c>
      <c r="D1454" s="583" t="s">
        <v>5647</v>
      </c>
      <c r="F1454" t="s">
        <v>410</v>
      </c>
      <c r="G1454" t="s">
        <v>410</v>
      </c>
      <c r="H1454" t="s">
        <v>410</v>
      </c>
      <c r="I1454" t="s">
        <v>410</v>
      </c>
      <c r="J1454" t="s">
        <v>410</v>
      </c>
      <c r="K1454" t="s">
        <v>410</v>
      </c>
      <c r="L1454" t="s">
        <v>410</v>
      </c>
      <c r="M1454" t="s">
        <v>410</v>
      </c>
      <c r="N1454" t="s">
        <v>410</v>
      </c>
      <c r="O1454" t="s">
        <v>410</v>
      </c>
      <c r="P1454" t="s">
        <v>410</v>
      </c>
      <c r="Q1454" t="s">
        <v>410</v>
      </c>
      <c r="R1454" t="s">
        <v>410</v>
      </c>
      <c r="S1454" t="s">
        <v>410</v>
      </c>
      <c r="T1454" t="s">
        <v>410</v>
      </c>
    </row>
    <row r="1455" spans="1:20" hidden="1" outlineLevel="1" x14ac:dyDescent="0.3">
      <c r="A1455" s="583" t="s">
        <v>2238</v>
      </c>
      <c r="B1455" s="591">
        <v>0</v>
      </c>
      <c r="C1455" s="583" t="s">
        <v>1564</v>
      </c>
      <c r="D1455" s="583" t="s">
        <v>5647</v>
      </c>
      <c r="E1455" s="594" t="s">
        <v>5573</v>
      </c>
      <c r="F1455" t="s">
        <v>410</v>
      </c>
      <c r="G1455" t="s">
        <v>410</v>
      </c>
      <c r="H1455" t="s">
        <v>410</v>
      </c>
      <c r="I1455" t="s">
        <v>410</v>
      </c>
      <c r="J1455" t="s">
        <v>410</v>
      </c>
      <c r="K1455" t="s">
        <v>410</v>
      </c>
      <c r="L1455" t="s">
        <v>410</v>
      </c>
      <c r="M1455" t="s">
        <v>410</v>
      </c>
      <c r="N1455" t="s">
        <v>410</v>
      </c>
      <c r="O1455" t="s">
        <v>410</v>
      </c>
      <c r="P1455" t="s">
        <v>410</v>
      </c>
      <c r="Q1455" t="s">
        <v>410</v>
      </c>
      <c r="R1455" t="s">
        <v>410</v>
      </c>
      <c r="S1455" t="s">
        <v>410</v>
      </c>
      <c r="T1455" t="s">
        <v>410</v>
      </c>
    </row>
    <row r="1456" spans="1:20" hidden="1" outlineLevel="1" x14ac:dyDescent="0.3">
      <c r="A1456" s="583" t="s">
        <v>5648</v>
      </c>
      <c r="B1456" s="591">
        <v>1</v>
      </c>
      <c r="C1456" s="588" t="s">
        <v>1564</v>
      </c>
      <c r="D1456" s="583" t="s">
        <v>5647</v>
      </c>
      <c r="E1456" s="589" t="s">
        <v>410</v>
      </c>
      <c r="F1456" s="593" t="s">
        <v>1580</v>
      </c>
      <c r="G1456" s="593" t="s">
        <v>1581</v>
      </c>
      <c r="H1456" s="593" t="s">
        <v>1582</v>
      </c>
      <c r="I1456" s="593" t="s">
        <v>1583</v>
      </c>
      <c r="J1456" s="593" t="s">
        <v>1584</v>
      </c>
      <c r="K1456" s="593" t="s">
        <v>1585</v>
      </c>
      <c r="L1456" s="593" t="s">
        <v>1586</v>
      </c>
      <c r="M1456" s="593" t="s">
        <v>1587</v>
      </c>
      <c r="N1456" s="441" t="s">
        <v>410</v>
      </c>
      <c r="O1456" s="441" t="s">
        <v>410</v>
      </c>
      <c r="P1456" s="441" t="s">
        <v>410</v>
      </c>
      <c r="Q1456" s="441" t="s">
        <v>410</v>
      </c>
      <c r="R1456" s="441" t="s">
        <v>410</v>
      </c>
      <c r="S1456" s="441" t="s">
        <v>410</v>
      </c>
      <c r="T1456" s="441" t="s">
        <v>410</v>
      </c>
    </row>
    <row r="1457" spans="1:20" hidden="1" outlineLevel="1" x14ac:dyDescent="0.3">
      <c r="A1457" s="583" t="s">
        <v>5649</v>
      </c>
      <c r="B1457" s="591">
        <v>1</v>
      </c>
      <c r="C1457" s="588" t="s">
        <v>1564</v>
      </c>
      <c r="D1457" s="583" t="s">
        <v>5647</v>
      </c>
      <c r="E1457" s="589" t="s">
        <v>410</v>
      </c>
      <c r="F1457" s="593" t="s">
        <v>3563</v>
      </c>
      <c r="G1457" s="593" t="s">
        <v>3564</v>
      </c>
      <c r="H1457" s="593" t="s">
        <v>3565</v>
      </c>
      <c r="I1457" s="593" t="s">
        <v>3566</v>
      </c>
      <c r="J1457" s="593" t="s">
        <v>3567</v>
      </c>
      <c r="K1457" s="593" t="s">
        <v>3568</v>
      </c>
      <c r="L1457" s="593" t="s">
        <v>3569</v>
      </c>
      <c r="M1457" s="593" t="s">
        <v>3570</v>
      </c>
      <c r="N1457" s="441" t="s">
        <v>410</v>
      </c>
      <c r="O1457" s="441" t="s">
        <v>410</v>
      </c>
      <c r="P1457" s="441" t="s">
        <v>410</v>
      </c>
      <c r="Q1457" s="441" t="s">
        <v>410</v>
      </c>
      <c r="R1457" s="441" t="s">
        <v>410</v>
      </c>
      <c r="S1457" s="441" t="s">
        <v>410</v>
      </c>
      <c r="T1457" s="441" t="s">
        <v>410</v>
      </c>
    </row>
    <row r="1458" spans="1:20" hidden="1" outlineLevel="1" x14ac:dyDescent="0.3">
      <c r="A1458" s="583" t="s">
        <v>2196</v>
      </c>
      <c r="B1458" s="591">
        <v>1</v>
      </c>
      <c r="C1458" s="583" t="s">
        <v>1564</v>
      </c>
      <c r="D1458" s="583" t="s">
        <v>5647</v>
      </c>
      <c r="E1458" s="592" t="s">
        <v>410</v>
      </c>
      <c r="F1458" s="592" t="s">
        <v>3164</v>
      </c>
      <c r="G1458" s="592" t="s">
        <v>3165</v>
      </c>
      <c r="H1458" s="592" t="s">
        <v>3166</v>
      </c>
      <c r="I1458" s="592" t="s">
        <v>3167</v>
      </c>
      <c r="J1458" s="592" t="s">
        <v>3168</v>
      </c>
      <c r="K1458" s="583" t="s">
        <v>410</v>
      </c>
      <c r="L1458" t="s">
        <v>410</v>
      </c>
      <c r="M1458" t="s">
        <v>410</v>
      </c>
      <c r="N1458" t="s">
        <v>410</v>
      </c>
      <c r="O1458" t="s">
        <v>410</v>
      </c>
      <c r="P1458" t="s">
        <v>410</v>
      </c>
      <c r="Q1458" t="s">
        <v>410</v>
      </c>
      <c r="R1458" t="s">
        <v>410</v>
      </c>
      <c r="S1458" t="s">
        <v>410</v>
      </c>
      <c r="T1458" t="s">
        <v>410</v>
      </c>
    </row>
    <row r="1459" spans="1:20" hidden="1" outlineLevel="1" x14ac:dyDescent="0.3">
      <c r="A1459" s="583" t="s">
        <v>2197</v>
      </c>
      <c r="B1459" s="591">
        <v>2</v>
      </c>
      <c r="C1459" s="583" t="s">
        <v>1564</v>
      </c>
      <c r="D1459" s="583" t="s">
        <v>5647</v>
      </c>
      <c r="E1459" s="592" t="s">
        <v>410</v>
      </c>
      <c r="F1459" s="583" t="s">
        <v>410</v>
      </c>
      <c r="G1459" s="583" t="s">
        <v>3169</v>
      </c>
      <c r="H1459" s="583" t="s">
        <v>3170</v>
      </c>
      <c r="I1459" s="583" t="s">
        <v>3171</v>
      </c>
      <c r="J1459" s="583" t="s">
        <v>3172</v>
      </c>
      <c r="K1459" s="583" t="s">
        <v>410</v>
      </c>
      <c r="L1459" t="s">
        <v>410</v>
      </c>
      <c r="M1459" t="s">
        <v>410</v>
      </c>
      <c r="N1459" t="s">
        <v>410</v>
      </c>
      <c r="O1459" t="s">
        <v>410</v>
      </c>
      <c r="P1459" t="s">
        <v>410</v>
      </c>
      <c r="Q1459" t="s">
        <v>410</v>
      </c>
      <c r="R1459" t="s">
        <v>410</v>
      </c>
      <c r="S1459" t="s">
        <v>410</v>
      </c>
      <c r="T1459" t="s">
        <v>410</v>
      </c>
    </row>
    <row r="1460" spans="1:20" hidden="1" outlineLevel="1" x14ac:dyDescent="0.3">
      <c r="A1460" s="583" t="s">
        <v>2198</v>
      </c>
      <c r="B1460" s="591">
        <v>3</v>
      </c>
      <c r="C1460" s="583" t="s">
        <v>1564</v>
      </c>
      <c r="D1460" s="583" t="s">
        <v>5647</v>
      </c>
      <c r="E1460" s="592" t="s">
        <v>410</v>
      </c>
      <c r="F1460" s="583" t="s">
        <v>410</v>
      </c>
      <c r="G1460" s="583" t="s">
        <v>410</v>
      </c>
      <c r="H1460" s="592" t="s">
        <v>3173</v>
      </c>
      <c r="I1460" s="592" t="s">
        <v>3173</v>
      </c>
      <c r="J1460" s="592" t="s">
        <v>3174</v>
      </c>
      <c r="K1460" s="583" t="s">
        <v>410</v>
      </c>
      <c r="L1460" t="s">
        <v>410</v>
      </c>
      <c r="M1460" t="s">
        <v>410</v>
      </c>
      <c r="N1460" t="s">
        <v>410</v>
      </c>
      <c r="O1460" t="s">
        <v>410</v>
      </c>
      <c r="P1460" t="s">
        <v>410</v>
      </c>
      <c r="Q1460" t="s">
        <v>410</v>
      </c>
      <c r="R1460" t="s">
        <v>410</v>
      </c>
      <c r="S1460" t="s">
        <v>410</v>
      </c>
      <c r="T1460" t="s">
        <v>410</v>
      </c>
    </row>
    <row r="1461" spans="1:20" hidden="1" outlineLevel="1" x14ac:dyDescent="0.3">
      <c r="A1461" s="583" t="s">
        <v>3163</v>
      </c>
      <c r="B1461" s="591">
        <v>4</v>
      </c>
      <c r="C1461" s="583" t="s">
        <v>1564</v>
      </c>
      <c r="D1461" s="583" t="s">
        <v>5647</v>
      </c>
      <c r="E1461" s="592" t="s">
        <v>410</v>
      </c>
      <c r="F1461" s="583" t="s">
        <v>410</v>
      </c>
      <c r="G1461" s="583" t="s">
        <v>410</v>
      </c>
      <c r="H1461" s="583" t="s">
        <v>410</v>
      </c>
      <c r="I1461" s="592" t="s">
        <v>3175</v>
      </c>
      <c r="J1461" s="592" t="s">
        <v>3175</v>
      </c>
      <c r="K1461" s="583" t="s">
        <v>410</v>
      </c>
      <c r="L1461" t="s">
        <v>410</v>
      </c>
      <c r="M1461" t="s">
        <v>410</v>
      </c>
      <c r="N1461" t="s">
        <v>410</v>
      </c>
      <c r="O1461" t="s">
        <v>410</v>
      </c>
      <c r="P1461" t="s">
        <v>410</v>
      </c>
      <c r="Q1461" t="s">
        <v>410</v>
      </c>
      <c r="R1461" t="s">
        <v>410</v>
      </c>
      <c r="S1461" t="s">
        <v>410</v>
      </c>
      <c r="T1461" t="s">
        <v>410</v>
      </c>
    </row>
    <row r="1462" spans="1:20" hidden="1" outlineLevel="1" x14ac:dyDescent="0.3">
      <c r="A1462" s="583" t="s">
        <v>2199</v>
      </c>
      <c r="B1462" s="591">
        <v>5</v>
      </c>
      <c r="C1462" s="583" t="s">
        <v>1564</v>
      </c>
      <c r="D1462" s="583" t="s">
        <v>5647</v>
      </c>
      <c r="E1462" s="592" t="s">
        <v>410</v>
      </c>
      <c r="F1462" s="583" t="s">
        <v>410</v>
      </c>
      <c r="G1462" s="583" t="s">
        <v>410</v>
      </c>
      <c r="H1462" s="583" t="s">
        <v>410</v>
      </c>
      <c r="I1462" s="583" t="s">
        <v>410</v>
      </c>
      <c r="J1462" s="592" t="s">
        <v>2200</v>
      </c>
      <c r="K1462" s="583" t="s">
        <v>410</v>
      </c>
      <c r="L1462" t="s">
        <v>410</v>
      </c>
      <c r="M1462" t="s">
        <v>410</v>
      </c>
      <c r="N1462" t="s">
        <v>410</v>
      </c>
      <c r="O1462" t="s">
        <v>410</v>
      </c>
      <c r="P1462" t="s">
        <v>410</v>
      </c>
      <c r="Q1462" t="s">
        <v>410</v>
      </c>
      <c r="R1462" t="s">
        <v>410</v>
      </c>
      <c r="S1462" t="s">
        <v>410</v>
      </c>
      <c r="T1462" t="s">
        <v>410</v>
      </c>
    </row>
    <row r="1463" spans="1:20" hidden="1" outlineLevel="1" x14ac:dyDescent="0.3">
      <c r="A1463" s="583" t="s">
        <v>5115</v>
      </c>
      <c r="B1463" s="591">
        <v>11</v>
      </c>
      <c r="C1463" s="583" t="s">
        <v>1564</v>
      </c>
      <c r="D1463" s="583" t="s">
        <v>5647</v>
      </c>
      <c r="E1463" s="592" t="s">
        <v>410</v>
      </c>
      <c r="F1463" s="237" t="s">
        <v>5116</v>
      </c>
      <c r="G1463" s="237" t="s">
        <v>410</v>
      </c>
      <c r="H1463" s="237" t="s">
        <v>410</v>
      </c>
      <c r="I1463" s="237" t="s">
        <v>410</v>
      </c>
      <c r="J1463" s="237" t="s">
        <v>410</v>
      </c>
      <c r="K1463" s="237" t="s">
        <v>410</v>
      </c>
      <c r="L1463" s="237" t="s">
        <v>410</v>
      </c>
      <c r="M1463" s="237" t="s">
        <v>410</v>
      </c>
      <c r="N1463" s="237" t="s">
        <v>410</v>
      </c>
      <c r="O1463" s="237" t="s">
        <v>410</v>
      </c>
      <c r="P1463" s="237" t="s">
        <v>410</v>
      </c>
      <c r="Q1463" s="237" t="s">
        <v>410</v>
      </c>
      <c r="R1463" s="237" t="s">
        <v>410</v>
      </c>
      <c r="S1463" s="10" t="s">
        <v>410</v>
      </c>
      <c r="T1463" s="10" t="s">
        <v>410</v>
      </c>
    </row>
    <row r="1464" spans="1:20" hidden="1" outlineLevel="1" x14ac:dyDescent="0.3">
      <c r="A1464" s="583" t="s">
        <v>2178</v>
      </c>
      <c r="B1464" s="591">
        <v>11</v>
      </c>
      <c r="C1464" s="588" t="s">
        <v>1564</v>
      </c>
      <c r="D1464" s="583" t="s">
        <v>5647</v>
      </c>
      <c r="E1464" s="592" t="s">
        <v>410</v>
      </c>
      <c r="F1464" s="237" t="s">
        <v>1810</v>
      </c>
      <c r="G1464" s="237" t="s">
        <v>410</v>
      </c>
      <c r="H1464" s="237" t="s">
        <v>410</v>
      </c>
      <c r="I1464" s="237" t="s">
        <v>410</v>
      </c>
      <c r="J1464" s="237" t="s">
        <v>410</v>
      </c>
      <c r="K1464" s="237" t="s">
        <v>410</v>
      </c>
      <c r="L1464" s="237" t="s">
        <v>410</v>
      </c>
      <c r="M1464" s="237" t="s">
        <v>410</v>
      </c>
      <c r="N1464" s="237" t="s">
        <v>410</v>
      </c>
      <c r="O1464" s="237" t="s">
        <v>410</v>
      </c>
      <c r="P1464" s="237" t="s">
        <v>410</v>
      </c>
      <c r="Q1464" s="237" t="s">
        <v>410</v>
      </c>
      <c r="R1464" s="237" t="s">
        <v>410</v>
      </c>
      <c r="S1464" s="10" t="s">
        <v>410</v>
      </c>
      <c r="T1464" s="10" t="s">
        <v>410</v>
      </c>
    </row>
    <row r="1465" spans="1:20" hidden="1" outlineLevel="1" x14ac:dyDescent="0.3">
      <c r="A1465" s="583" t="s">
        <v>2179</v>
      </c>
      <c r="B1465" s="591">
        <v>12</v>
      </c>
      <c r="C1465" s="588" t="s">
        <v>1564</v>
      </c>
      <c r="D1465" s="583" t="s">
        <v>5647</v>
      </c>
      <c r="E1465" s="592" t="s">
        <v>410</v>
      </c>
      <c r="F1465" s="592" t="s">
        <v>2184</v>
      </c>
      <c r="G1465" s="237" t="s">
        <v>410</v>
      </c>
      <c r="H1465" s="237" t="s">
        <v>410</v>
      </c>
      <c r="I1465" s="237" t="s">
        <v>410</v>
      </c>
      <c r="J1465" s="237" t="s">
        <v>410</v>
      </c>
      <c r="K1465" s="237" t="s">
        <v>410</v>
      </c>
      <c r="L1465" s="237" t="s">
        <v>410</v>
      </c>
      <c r="M1465" s="237" t="s">
        <v>410</v>
      </c>
      <c r="N1465" s="237" t="s">
        <v>410</v>
      </c>
      <c r="O1465" s="237" t="s">
        <v>410</v>
      </c>
      <c r="P1465" s="237" t="s">
        <v>410</v>
      </c>
      <c r="Q1465" s="237" t="s">
        <v>410</v>
      </c>
      <c r="R1465" s="237" t="s">
        <v>410</v>
      </c>
      <c r="S1465" s="10" t="s">
        <v>410</v>
      </c>
      <c r="T1465" s="10" t="s">
        <v>410</v>
      </c>
    </row>
    <row r="1466" spans="1:20" hidden="1" outlineLevel="1" x14ac:dyDescent="0.3">
      <c r="A1466" s="583" t="s">
        <v>2180</v>
      </c>
      <c r="B1466" s="591">
        <v>13</v>
      </c>
      <c r="C1466" s="588" t="s">
        <v>1564</v>
      </c>
      <c r="D1466" s="583" t="s">
        <v>5647</v>
      </c>
      <c r="E1466" s="592" t="s">
        <v>410</v>
      </c>
      <c r="F1466" s="592" t="s">
        <v>2185</v>
      </c>
      <c r="G1466" s="237" t="s">
        <v>410</v>
      </c>
      <c r="H1466" s="237" t="s">
        <v>410</v>
      </c>
      <c r="I1466" s="237" t="s">
        <v>410</v>
      </c>
      <c r="J1466" s="237" t="s">
        <v>410</v>
      </c>
      <c r="K1466" s="237" t="s">
        <v>410</v>
      </c>
      <c r="L1466" s="237" t="s">
        <v>410</v>
      </c>
      <c r="M1466" s="237" t="s">
        <v>410</v>
      </c>
      <c r="N1466" s="237" t="s">
        <v>410</v>
      </c>
      <c r="O1466" s="237" t="s">
        <v>410</v>
      </c>
      <c r="P1466" s="237" t="s">
        <v>410</v>
      </c>
      <c r="Q1466" s="237" t="s">
        <v>410</v>
      </c>
      <c r="R1466" s="237" t="s">
        <v>410</v>
      </c>
      <c r="S1466" s="10" t="s">
        <v>410</v>
      </c>
      <c r="T1466" s="10" t="s">
        <v>410</v>
      </c>
    </row>
    <row r="1467" spans="1:20" hidden="1" outlineLevel="1" x14ac:dyDescent="0.3">
      <c r="A1467" s="583" t="s">
        <v>2181</v>
      </c>
      <c r="B1467" s="591">
        <v>14</v>
      </c>
      <c r="C1467" s="588" t="s">
        <v>1564</v>
      </c>
      <c r="D1467" s="583" t="s">
        <v>5647</v>
      </c>
      <c r="E1467" s="592" t="s">
        <v>410</v>
      </c>
      <c r="F1467" s="592" t="s">
        <v>2186</v>
      </c>
      <c r="G1467" s="237" t="s">
        <v>410</v>
      </c>
      <c r="H1467" s="237" t="s">
        <v>410</v>
      </c>
      <c r="I1467" s="237" t="s">
        <v>410</v>
      </c>
      <c r="J1467" s="237" t="s">
        <v>410</v>
      </c>
      <c r="K1467" s="237" t="s">
        <v>410</v>
      </c>
      <c r="L1467" s="237" t="s">
        <v>410</v>
      </c>
      <c r="M1467" s="237" t="s">
        <v>410</v>
      </c>
      <c r="N1467" s="237" t="s">
        <v>410</v>
      </c>
      <c r="O1467" s="237" t="s">
        <v>410</v>
      </c>
      <c r="P1467" s="237" t="s">
        <v>410</v>
      </c>
      <c r="Q1467" s="237" t="s">
        <v>410</v>
      </c>
      <c r="R1467" s="237" t="s">
        <v>410</v>
      </c>
      <c r="S1467" s="10" t="s">
        <v>410</v>
      </c>
      <c r="T1467" s="10" t="s">
        <v>410</v>
      </c>
    </row>
    <row r="1468" spans="1:20" hidden="1" outlineLevel="1" x14ac:dyDescent="0.3">
      <c r="A1468" s="583" t="s">
        <v>2182</v>
      </c>
      <c r="B1468" s="591">
        <v>15</v>
      </c>
      <c r="C1468" s="588" t="s">
        <v>1564</v>
      </c>
      <c r="D1468" s="583" t="s">
        <v>5647</v>
      </c>
      <c r="E1468" s="592" t="s">
        <v>410</v>
      </c>
      <c r="F1468" s="592"/>
      <c r="G1468" s="237" t="s">
        <v>410</v>
      </c>
      <c r="H1468" s="237" t="s">
        <v>410</v>
      </c>
      <c r="I1468" s="237" t="s">
        <v>410</v>
      </c>
      <c r="J1468" s="237" t="s">
        <v>410</v>
      </c>
      <c r="K1468" s="237" t="s">
        <v>410</v>
      </c>
      <c r="L1468" s="237" t="s">
        <v>410</v>
      </c>
      <c r="M1468" s="237" t="s">
        <v>410</v>
      </c>
      <c r="N1468" s="237" t="s">
        <v>410</v>
      </c>
      <c r="O1468" s="237" t="s">
        <v>410</v>
      </c>
      <c r="P1468" s="237" t="s">
        <v>410</v>
      </c>
      <c r="Q1468" s="237" t="s">
        <v>410</v>
      </c>
      <c r="R1468" s="237" t="s">
        <v>410</v>
      </c>
      <c r="S1468" s="10" t="s">
        <v>410</v>
      </c>
      <c r="T1468" s="10" t="s">
        <v>410</v>
      </c>
    </row>
    <row r="1469" spans="1:20" hidden="1" outlineLevel="1" x14ac:dyDescent="0.3">
      <c r="A1469" s="583" t="s">
        <v>2183</v>
      </c>
      <c r="B1469" s="591">
        <v>16</v>
      </c>
      <c r="C1469" s="588" t="s">
        <v>1564</v>
      </c>
      <c r="D1469" s="583" t="s">
        <v>5647</v>
      </c>
      <c r="E1469" s="592" t="s">
        <v>410</v>
      </c>
      <c r="F1469" s="592" t="s">
        <v>2187</v>
      </c>
      <c r="G1469" s="237" t="s">
        <v>410</v>
      </c>
      <c r="H1469" s="237" t="s">
        <v>410</v>
      </c>
      <c r="I1469" s="237" t="s">
        <v>410</v>
      </c>
      <c r="J1469" s="237" t="s">
        <v>410</v>
      </c>
      <c r="K1469" s="237" t="s">
        <v>410</v>
      </c>
      <c r="L1469" s="237" t="s">
        <v>410</v>
      </c>
      <c r="M1469" s="237" t="s">
        <v>410</v>
      </c>
      <c r="N1469" s="237" t="s">
        <v>410</v>
      </c>
      <c r="O1469" s="237" t="s">
        <v>410</v>
      </c>
      <c r="P1469" s="237" t="s">
        <v>410</v>
      </c>
      <c r="Q1469" s="237" t="s">
        <v>410</v>
      </c>
      <c r="R1469" s="237" t="s">
        <v>410</v>
      </c>
      <c r="S1469" s="10" t="s">
        <v>410</v>
      </c>
      <c r="T1469" s="10" t="s">
        <v>410</v>
      </c>
    </row>
    <row r="1470" spans="1:20" collapsed="1" x14ac:dyDescent="0.3">
      <c r="A1470" s="583" t="s">
        <v>1463</v>
      </c>
      <c r="B1470" s="591">
        <v>1</v>
      </c>
      <c r="C1470" s="588" t="s">
        <v>1256</v>
      </c>
      <c r="D1470" s="588" t="s">
        <v>1509</v>
      </c>
      <c r="E1470" s="589" t="s">
        <v>410</v>
      </c>
      <c r="F1470" s="590" t="s">
        <v>1465</v>
      </c>
      <c r="G1470" s="590" t="s">
        <v>1466</v>
      </c>
      <c r="H1470" s="590" t="s">
        <v>1467</v>
      </c>
      <c r="I1470" s="590" t="s">
        <v>1468</v>
      </c>
      <c r="J1470" s="590" t="s">
        <v>1469</v>
      </c>
      <c r="K1470" s="590" t="s">
        <v>1470</v>
      </c>
      <c r="L1470" s="441" t="s">
        <v>410</v>
      </c>
      <c r="M1470" s="441" t="s">
        <v>410</v>
      </c>
      <c r="N1470" s="441" t="s">
        <v>410</v>
      </c>
      <c r="O1470" s="441" t="s">
        <v>410</v>
      </c>
      <c r="P1470" s="441" t="s">
        <v>410</v>
      </c>
      <c r="Q1470" s="441" t="s">
        <v>410</v>
      </c>
      <c r="R1470" s="441" t="s">
        <v>410</v>
      </c>
      <c r="S1470" s="441" t="s">
        <v>410</v>
      </c>
      <c r="T1470" s="441" t="s">
        <v>410</v>
      </c>
    </row>
    <row r="1471" spans="1:20" hidden="1" outlineLevel="1" x14ac:dyDescent="0.3">
      <c r="A1471" s="583" t="s">
        <v>1593</v>
      </c>
      <c r="B1471" s="591">
        <v>1</v>
      </c>
      <c r="C1471" s="588" t="s">
        <v>1256</v>
      </c>
      <c r="D1471" s="588" t="s">
        <v>1509</v>
      </c>
      <c r="E1471" s="593" t="s">
        <v>1594</v>
      </c>
      <c r="F1471" s="593" t="s">
        <v>1595</v>
      </c>
      <c r="G1471" s="593" t="s">
        <v>1596</v>
      </c>
      <c r="H1471" s="593" t="s">
        <v>1597</v>
      </c>
      <c r="I1471" s="441" t="s">
        <v>410</v>
      </c>
      <c r="J1471" s="441" t="s">
        <v>410</v>
      </c>
      <c r="K1471" s="441" t="s">
        <v>410</v>
      </c>
      <c r="L1471" s="441" t="s">
        <v>410</v>
      </c>
      <c r="M1471" s="441" t="s">
        <v>410</v>
      </c>
      <c r="N1471" s="441" t="s">
        <v>410</v>
      </c>
      <c r="O1471" s="441" t="s">
        <v>410</v>
      </c>
      <c r="P1471" s="441" t="s">
        <v>410</v>
      </c>
      <c r="Q1471" s="441" t="s">
        <v>410</v>
      </c>
      <c r="R1471" s="441" t="s">
        <v>410</v>
      </c>
      <c r="S1471" s="441" t="s">
        <v>410</v>
      </c>
      <c r="T1471" s="441" t="s">
        <v>410</v>
      </c>
    </row>
    <row r="1472" spans="1:20" hidden="1" outlineLevel="1" x14ac:dyDescent="0.3">
      <c r="A1472" s="583" t="s">
        <v>1610</v>
      </c>
      <c r="B1472" s="591">
        <v>1</v>
      </c>
      <c r="C1472" s="588" t="s">
        <v>1256</v>
      </c>
      <c r="D1472" s="588" t="s">
        <v>1509</v>
      </c>
      <c r="E1472" s="590" t="s">
        <v>2161</v>
      </c>
      <c r="F1472" s="590" t="s">
        <v>2161</v>
      </c>
      <c r="G1472" s="590" t="s">
        <v>2162</v>
      </c>
      <c r="H1472" s="590" t="s">
        <v>2163</v>
      </c>
      <c r="I1472" s="590" t="s">
        <v>2164</v>
      </c>
      <c r="J1472" s="590" t="s">
        <v>2165</v>
      </c>
      <c r="K1472" s="590" t="s">
        <v>2166</v>
      </c>
      <c r="L1472" s="441" t="s">
        <v>410</v>
      </c>
      <c r="M1472" s="441" t="s">
        <v>410</v>
      </c>
      <c r="N1472" s="441" t="s">
        <v>410</v>
      </c>
      <c r="O1472" s="441" t="s">
        <v>410</v>
      </c>
      <c r="P1472" s="441" t="s">
        <v>410</v>
      </c>
      <c r="Q1472" s="441" t="s">
        <v>410</v>
      </c>
      <c r="R1472" s="441" t="s">
        <v>410</v>
      </c>
      <c r="S1472" s="441" t="s">
        <v>410</v>
      </c>
      <c r="T1472" s="441" t="s">
        <v>410</v>
      </c>
    </row>
    <row r="1473" spans="1:20" hidden="1" outlineLevel="1" x14ac:dyDescent="0.3">
      <c r="A1473" s="583" t="s">
        <v>4211</v>
      </c>
      <c r="B1473" s="591">
        <v>1</v>
      </c>
      <c r="C1473" s="588" t="s">
        <v>1256</v>
      </c>
      <c r="D1473" s="588" t="s">
        <v>1509</v>
      </c>
      <c r="E1473" s="590" t="s">
        <v>66</v>
      </c>
      <c r="F1473" s="592" t="s">
        <v>4324</v>
      </c>
      <c r="G1473" s="590" t="s">
        <v>68</v>
      </c>
      <c r="H1473" s="590" t="s">
        <v>70</v>
      </c>
      <c r="I1473" s="441" t="s">
        <v>410</v>
      </c>
      <c r="J1473" s="441" t="s">
        <v>410</v>
      </c>
      <c r="K1473" s="441" t="s">
        <v>410</v>
      </c>
      <c r="L1473" s="441" t="s">
        <v>410</v>
      </c>
      <c r="M1473" s="441" t="s">
        <v>410</v>
      </c>
      <c r="N1473" s="441" t="s">
        <v>410</v>
      </c>
      <c r="O1473" s="441" t="s">
        <v>410</v>
      </c>
      <c r="P1473" s="441" t="s">
        <v>410</v>
      </c>
      <c r="Q1473" s="441" t="s">
        <v>410</v>
      </c>
      <c r="R1473" s="441" t="s">
        <v>410</v>
      </c>
      <c r="S1473" s="441" t="s">
        <v>410</v>
      </c>
      <c r="T1473" s="441" t="s">
        <v>410</v>
      </c>
    </row>
    <row r="1474" spans="1:20" hidden="1" outlineLevel="1" x14ac:dyDescent="0.3">
      <c r="A1474" s="583" t="s">
        <v>1675</v>
      </c>
      <c r="B1474" s="591">
        <v>1</v>
      </c>
      <c r="C1474" s="583" t="s">
        <v>1256</v>
      </c>
      <c r="D1474" s="583" t="s">
        <v>1509</v>
      </c>
      <c r="E1474" s="10" t="s">
        <v>410</v>
      </c>
      <c r="F1474" s="237"/>
      <c r="G1474" s="237"/>
      <c r="H1474" s="237"/>
      <c r="I1474" s="237"/>
      <c r="J1474" s="237"/>
      <c r="K1474" s="237"/>
      <c r="L1474" s="237"/>
      <c r="M1474" s="237"/>
      <c r="N1474" s="237"/>
      <c r="O1474" s="237" t="s">
        <v>410</v>
      </c>
      <c r="P1474" s="237" t="s">
        <v>410</v>
      </c>
      <c r="Q1474" s="237" t="s">
        <v>410</v>
      </c>
      <c r="R1474" s="237" t="s">
        <v>410</v>
      </c>
      <c r="S1474" s="10" t="s">
        <v>410</v>
      </c>
      <c r="T1474" s="10" t="s">
        <v>410</v>
      </c>
    </row>
    <row r="1475" spans="1:20" hidden="1" outlineLevel="1" x14ac:dyDescent="0.3">
      <c r="A1475" s="583" t="s">
        <v>1932</v>
      </c>
      <c r="B1475" s="591">
        <v>1</v>
      </c>
      <c r="C1475" s="583" t="s">
        <v>1256</v>
      </c>
      <c r="D1475" s="583" t="s">
        <v>1509</v>
      </c>
      <c r="E1475" s="614" t="s">
        <v>4203</v>
      </c>
      <c r="F1475" s="614" t="s">
        <v>4204</v>
      </c>
      <c r="G1475" s="614" t="s">
        <v>4205</v>
      </c>
      <c r="H1475" s="614" t="s">
        <v>4206</v>
      </c>
      <c r="I1475" s="614" t="s">
        <v>4207</v>
      </c>
      <c r="J1475" s="614" t="s">
        <v>4208</v>
      </c>
      <c r="K1475" s="614" t="s">
        <v>4209</v>
      </c>
      <c r="L1475" s="237" t="s">
        <v>410</v>
      </c>
      <c r="M1475" s="237" t="s">
        <v>410</v>
      </c>
      <c r="N1475" s="237" t="s">
        <v>410</v>
      </c>
      <c r="O1475" s="237" t="s">
        <v>410</v>
      </c>
      <c r="P1475" s="237" t="s">
        <v>410</v>
      </c>
      <c r="Q1475" s="237" t="s">
        <v>410</v>
      </c>
      <c r="R1475" s="237" t="s">
        <v>410</v>
      </c>
      <c r="S1475" s="10" t="s">
        <v>410</v>
      </c>
      <c r="T1475" s="10" t="s">
        <v>410</v>
      </c>
    </row>
    <row r="1476" spans="1:20" hidden="1" outlineLevel="1" x14ac:dyDescent="0.3">
      <c r="A1476" s="583" t="s">
        <v>1949</v>
      </c>
      <c r="B1476" s="591">
        <v>1</v>
      </c>
      <c r="C1476" s="583" t="s">
        <v>1256</v>
      </c>
      <c r="D1476" s="583" t="s">
        <v>1509</v>
      </c>
      <c r="E1476" s="594" t="str">
        <f>CONCATENATE(TEXT(sSms,"0")," %")</f>
        <v>5 %</v>
      </c>
      <c r="F1476" s="594" t="str">
        <f>CONCATENATE(TEXT(sSms+10,"0")," %")</f>
        <v>15 %</v>
      </c>
      <c r="G1476" s="594" t="str">
        <f>CONCATENATE(TEXT(sSms+20,"0")," %")</f>
        <v>25 %</v>
      </c>
      <c r="H1476" s="594" t="str">
        <f>CONCATENATE(TEXT(sSms+30,"0")," %")</f>
        <v>35 %</v>
      </c>
      <c r="I1476" s="594" t="str">
        <f>CONCATENATE(TEXT(sSms+40,"0")," %")</f>
        <v>45 %</v>
      </c>
      <c r="J1476" s="594" t="str">
        <f>CONCATENATE(TEXT(sSms+50,"0")," %")</f>
        <v>55 %</v>
      </c>
      <c r="K1476" s="237" t="s">
        <v>410</v>
      </c>
      <c r="L1476" s="237" t="s">
        <v>410</v>
      </c>
      <c r="M1476" s="237" t="s">
        <v>410</v>
      </c>
      <c r="N1476" s="237" t="s">
        <v>410</v>
      </c>
      <c r="O1476" s="237" t="s">
        <v>410</v>
      </c>
      <c r="P1476" s="237" t="s">
        <v>410</v>
      </c>
      <c r="Q1476" s="237" t="s">
        <v>410</v>
      </c>
      <c r="R1476" s="237" t="s">
        <v>410</v>
      </c>
      <c r="S1476" s="237" t="s">
        <v>410</v>
      </c>
      <c r="T1476" s="237" t="s">
        <v>410</v>
      </c>
    </row>
    <row r="1477" spans="1:20" hidden="1" outlineLevel="1" x14ac:dyDescent="0.3">
      <c r="A1477" s="583" t="s">
        <v>4224</v>
      </c>
      <c r="B1477" s="591">
        <v>4</v>
      </c>
      <c r="C1477" s="583" t="s">
        <v>1256</v>
      </c>
      <c r="D1477" s="583" t="s">
        <v>1509</v>
      </c>
      <c r="E1477" s="593" t="s">
        <v>4225</v>
      </c>
      <c r="F1477" s="593" t="s">
        <v>2234</v>
      </c>
      <c r="G1477" s="593" t="s">
        <v>4226</v>
      </c>
      <c r="H1477" s="593" t="s">
        <v>2065</v>
      </c>
      <c r="I1477" s="593" t="s">
        <v>3152</v>
      </c>
      <c r="J1477" s="593" t="s">
        <v>2235</v>
      </c>
      <c r="K1477" s="593" t="s">
        <v>4227</v>
      </c>
      <c r="L1477" s="593" t="s">
        <v>2236</v>
      </c>
      <c r="M1477" s="593" t="s">
        <v>4228</v>
      </c>
      <c r="N1477" s="593" t="s">
        <v>2237</v>
      </c>
      <c r="O1477" s="593" t="s">
        <v>4229</v>
      </c>
      <c r="P1477" s="237" t="s">
        <v>410</v>
      </c>
      <c r="Q1477" s="237" t="s">
        <v>410</v>
      </c>
      <c r="R1477" s="237" t="s">
        <v>410</v>
      </c>
      <c r="S1477" s="10" t="s">
        <v>410</v>
      </c>
      <c r="T1477" s="10" t="s">
        <v>410</v>
      </c>
    </row>
    <row r="1478" spans="1:20" hidden="1" outlineLevel="1" x14ac:dyDescent="0.3">
      <c r="A1478" s="583" t="s">
        <v>1872</v>
      </c>
      <c r="B1478" s="591">
        <v>4</v>
      </c>
      <c r="C1478" s="583" t="s">
        <v>1256</v>
      </c>
      <c r="D1478" s="583" t="s">
        <v>1509</v>
      </c>
      <c r="E1478" s="855" t="s">
        <v>410</v>
      </c>
      <c r="F1478" s="593" t="s">
        <v>4449</v>
      </c>
      <c r="G1478" s="593" t="s">
        <v>4213</v>
      </c>
      <c r="H1478" s="593" t="s">
        <v>4214</v>
      </c>
      <c r="I1478" s="237" t="s">
        <v>410</v>
      </c>
      <c r="J1478" s="237" t="s">
        <v>410</v>
      </c>
      <c r="K1478" s="237" t="s">
        <v>410</v>
      </c>
      <c r="L1478" s="237" t="s">
        <v>410</v>
      </c>
      <c r="M1478" s="237" t="s">
        <v>410</v>
      </c>
      <c r="N1478" s="237" t="s">
        <v>410</v>
      </c>
      <c r="O1478" s="237" t="s">
        <v>410</v>
      </c>
      <c r="P1478" s="237" t="s">
        <v>410</v>
      </c>
      <c r="Q1478" s="237" t="s">
        <v>410</v>
      </c>
      <c r="R1478" s="237" t="s">
        <v>410</v>
      </c>
      <c r="S1478" s="10" t="s">
        <v>410</v>
      </c>
      <c r="T1478" s="10" t="s">
        <v>410</v>
      </c>
    </row>
    <row r="1479" spans="1:20" hidden="1" outlineLevel="1" x14ac:dyDescent="0.3">
      <c r="A1479" s="583" t="s">
        <v>1845</v>
      </c>
      <c r="B1479" s="591">
        <v>5</v>
      </c>
      <c r="C1479" s="583" t="s">
        <v>1256</v>
      </c>
      <c r="D1479" s="583" t="s">
        <v>1509</v>
      </c>
      <c r="E1479" s="10" t="s">
        <v>410</v>
      </c>
      <c r="F1479" s="593" t="s">
        <v>3311</v>
      </c>
      <c r="G1479" s="593" t="s">
        <v>3312</v>
      </c>
      <c r="H1479" s="593" t="s">
        <v>3313</v>
      </c>
      <c r="I1479" s="593" t="s">
        <v>3314</v>
      </c>
      <c r="J1479" s="593" t="s">
        <v>3315</v>
      </c>
      <c r="K1479" s="237" t="s">
        <v>410</v>
      </c>
      <c r="L1479" s="237" t="s">
        <v>410</v>
      </c>
      <c r="M1479" s="237" t="s">
        <v>410</v>
      </c>
      <c r="N1479" s="237" t="s">
        <v>410</v>
      </c>
      <c r="O1479" s="237" t="s">
        <v>410</v>
      </c>
      <c r="P1479" s="237" t="s">
        <v>410</v>
      </c>
      <c r="Q1479" s="237" t="s">
        <v>410</v>
      </c>
      <c r="R1479" s="237" t="s">
        <v>410</v>
      </c>
      <c r="S1479" s="10" t="s">
        <v>410</v>
      </c>
      <c r="T1479" s="10" t="s">
        <v>410</v>
      </c>
    </row>
    <row r="1480" spans="1:20" hidden="1" outlineLevel="1" x14ac:dyDescent="0.3">
      <c r="A1480" s="583" t="s">
        <v>1774</v>
      </c>
      <c r="B1480" s="591">
        <v>6</v>
      </c>
      <c r="C1480" s="583" t="s">
        <v>1256</v>
      </c>
      <c r="D1480" s="583" t="s">
        <v>1509</v>
      </c>
      <c r="E1480" s="592" t="s">
        <v>410</v>
      </c>
      <c r="F1480" s="593" t="s">
        <v>67</v>
      </c>
      <c r="G1480" s="593" t="s">
        <v>3159</v>
      </c>
      <c r="H1480" s="593" t="s">
        <v>3160</v>
      </c>
      <c r="I1480" s="593" t="s">
        <v>3274</v>
      </c>
      <c r="J1480" s="237" t="s">
        <v>410</v>
      </c>
      <c r="K1480" s="237" t="s">
        <v>410</v>
      </c>
      <c r="L1480" s="237" t="s">
        <v>410</v>
      </c>
      <c r="M1480" s="237" t="s">
        <v>410</v>
      </c>
      <c r="N1480" s="237" t="s">
        <v>410</v>
      </c>
      <c r="O1480" s="237" t="s">
        <v>410</v>
      </c>
      <c r="P1480" s="237" t="s">
        <v>410</v>
      </c>
      <c r="Q1480" s="237" t="s">
        <v>410</v>
      </c>
      <c r="R1480" s="237" t="s">
        <v>410</v>
      </c>
      <c r="S1480" s="10" t="s">
        <v>410</v>
      </c>
      <c r="T1480" s="10" t="s">
        <v>410</v>
      </c>
    </row>
    <row r="1481" spans="1:20" hidden="1" outlineLevel="1" x14ac:dyDescent="0.3">
      <c r="A1481" s="583" t="s">
        <v>1808</v>
      </c>
      <c r="B1481" s="591">
        <v>6</v>
      </c>
      <c r="C1481" s="583" t="s">
        <v>1256</v>
      </c>
      <c r="D1481" s="583" t="s">
        <v>1509</v>
      </c>
      <c r="E1481" s="592" t="s">
        <v>410</v>
      </c>
      <c r="F1481" s="593" t="s">
        <v>4471</v>
      </c>
      <c r="G1481" s="593" t="s">
        <v>4472</v>
      </c>
      <c r="H1481" s="593" t="s">
        <v>4473</v>
      </c>
      <c r="I1481" s="593" t="s">
        <v>4474</v>
      </c>
      <c r="J1481" s="593" t="s">
        <v>4475</v>
      </c>
      <c r="K1481" s="237" t="s">
        <v>410</v>
      </c>
      <c r="L1481" s="237" t="s">
        <v>410</v>
      </c>
      <c r="M1481" s="237" t="s">
        <v>410</v>
      </c>
      <c r="N1481" s="237" t="s">
        <v>410</v>
      </c>
      <c r="O1481" s="237" t="s">
        <v>410</v>
      </c>
      <c r="P1481" s="237" t="s">
        <v>410</v>
      </c>
      <c r="Q1481" s="237" t="s">
        <v>410</v>
      </c>
      <c r="R1481" s="237" t="s">
        <v>410</v>
      </c>
      <c r="S1481" s="10" t="s">
        <v>410</v>
      </c>
      <c r="T1481" s="10" t="s">
        <v>410</v>
      </c>
    </row>
    <row r="1482" spans="1:20" hidden="1" outlineLevel="1" x14ac:dyDescent="0.3">
      <c r="A1482" s="583" t="s">
        <v>1972</v>
      </c>
      <c r="B1482" s="591">
        <v>6</v>
      </c>
      <c r="C1482" s="583" t="s">
        <v>1256</v>
      </c>
      <c r="D1482" s="583" t="s">
        <v>1509</v>
      </c>
      <c r="E1482" s="237" t="s">
        <v>410</v>
      </c>
      <c r="F1482" s="237"/>
      <c r="G1482" s="237"/>
      <c r="H1482" s="237"/>
      <c r="I1482" s="237"/>
      <c r="J1482" s="237"/>
      <c r="K1482" s="237"/>
      <c r="L1482" s="237"/>
      <c r="M1482" s="237"/>
      <c r="N1482" s="237"/>
      <c r="O1482" s="237"/>
      <c r="P1482" s="237" t="s">
        <v>410</v>
      </c>
      <c r="Q1482" s="237" t="s">
        <v>410</v>
      </c>
      <c r="R1482" s="237" t="s">
        <v>410</v>
      </c>
      <c r="S1482" s="237" t="s">
        <v>410</v>
      </c>
      <c r="T1482" s="237" t="s">
        <v>410</v>
      </c>
    </row>
    <row r="1483" spans="1:20" hidden="1" outlineLevel="1" x14ac:dyDescent="0.3">
      <c r="A1483" s="583" t="s">
        <v>1788</v>
      </c>
      <c r="B1483" s="591">
        <v>8</v>
      </c>
      <c r="C1483" s="583" t="s">
        <v>1256</v>
      </c>
      <c r="D1483" s="583" t="s">
        <v>1509</v>
      </c>
      <c r="E1483" s="592" t="s">
        <v>410</v>
      </c>
      <c r="F1483" s="593" t="s">
        <v>3478</v>
      </c>
      <c r="G1483" s="237"/>
      <c r="H1483" s="237"/>
      <c r="I1483" s="237"/>
      <c r="J1483" s="237"/>
      <c r="K1483" s="237"/>
      <c r="L1483" s="237" t="s">
        <v>410</v>
      </c>
      <c r="M1483" s="237" t="s">
        <v>410</v>
      </c>
      <c r="N1483" s="237" t="s">
        <v>410</v>
      </c>
      <c r="O1483" s="237" t="s">
        <v>410</v>
      </c>
      <c r="P1483" s="237" t="s">
        <v>410</v>
      </c>
      <c r="Q1483" s="237" t="s">
        <v>410</v>
      </c>
      <c r="R1483" s="237" t="s">
        <v>410</v>
      </c>
      <c r="S1483" s="10" t="s">
        <v>410</v>
      </c>
      <c r="T1483" s="10" t="s">
        <v>410</v>
      </c>
    </row>
    <row r="1484" spans="1:20" hidden="1" outlineLevel="1" x14ac:dyDescent="0.3">
      <c r="A1484" s="583" t="s">
        <v>1928</v>
      </c>
      <c r="B1484" s="591">
        <v>11</v>
      </c>
      <c r="C1484" s="583" t="s">
        <v>1256</v>
      </c>
      <c r="D1484" s="583" t="s">
        <v>1509</v>
      </c>
      <c r="E1484" s="592" t="s">
        <v>410</v>
      </c>
      <c r="F1484" s="593" t="s">
        <v>3289</v>
      </c>
      <c r="G1484" s="593" t="s">
        <v>3290</v>
      </c>
      <c r="H1484" s="593" t="s">
        <v>3291</v>
      </c>
      <c r="I1484" s="593" t="s">
        <v>3292</v>
      </c>
      <c r="J1484" s="237" t="s">
        <v>410</v>
      </c>
      <c r="K1484" s="237" t="s">
        <v>410</v>
      </c>
      <c r="L1484" s="237" t="s">
        <v>410</v>
      </c>
      <c r="M1484" s="237" t="s">
        <v>410</v>
      </c>
      <c r="N1484" s="237" t="s">
        <v>410</v>
      </c>
      <c r="O1484" s="237" t="s">
        <v>410</v>
      </c>
      <c r="P1484" s="237" t="s">
        <v>410</v>
      </c>
      <c r="Q1484" s="237" t="s">
        <v>410</v>
      </c>
      <c r="R1484" s="237" t="s">
        <v>410</v>
      </c>
      <c r="S1484" s="10" t="s">
        <v>410</v>
      </c>
      <c r="T1484" s="10" t="s">
        <v>410</v>
      </c>
    </row>
    <row r="1485" spans="1:20" hidden="1" outlineLevel="1" x14ac:dyDescent="0.3">
      <c r="A1485" s="583" t="s">
        <v>1959</v>
      </c>
      <c r="B1485" s="591">
        <v>11</v>
      </c>
      <c r="C1485" s="583" t="s">
        <v>1256</v>
      </c>
      <c r="D1485" s="583" t="s">
        <v>1509</v>
      </c>
      <c r="E1485" s="593" t="s">
        <v>410</v>
      </c>
      <c r="F1485" s="593" t="s">
        <v>66</v>
      </c>
      <c r="G1485" s="593" t="s">
        <v>67</v>
      </c>
      <c r="H1485" s="593" t="s">
        <v>68</v>
      </c>
      <c r="I1485" s="593" t="s">
        <v>70</v>
      </c>
      <c r="J1485" s="593" t="s">
        <v>72</v>
      </c>
      <c r="K1485" s="237" t="s">
        <v>410</v>
      </c>
      <c r="L1485" s="237" t="s">
        <v>410</v>
      </c>
      <c r="M1485" s="237" t="s">
        <v>410</v>
      </c>
      <c r="N1485" s="237" t="s">
        <v>410</v>
      </c>
      <c r="O1485" s="237" t="s">
        <v>410</v>
      </c>
      <c r="P1485" s="237" t="s">
        <v>410</v>
      </c>
      <c r="Q1485" s="237" t="s">
        <v>410</v>
      </c>
      <c r="R1485" s="237" t="s">
        <v>410</v>
      </c>
      <c r="S1485" s="237" t="s">
        <v>410</v>
      </c>
      <c r="T1485" s="237" t="s">
        <v>410</v>
      </c>
    </row>
    <row r="1486" spans="1:20" hidden="1" outlineLevel="1" x14ac:dyDescent="0.3">
      <c r="A1486" s="583" t="s">
        <v>4215</v>
      </c>
      <c r="B1486" s="591">
        <v>16</v>
      </c>
      <c r="C1486" s="588" t="s">
        <v>1256</v>
      </c>
      <c r="D1486" s="588" t="s">
        <v>1509</v>
      </c>
      <c r="E1486" s="593" t="s">
        <v>410</v>
      </c>
      <c r="F1486" s="593" t="s">
        <v>66</v>
      </c>
      <c r="G1486" s="593" t="s">
        <v>67</v>
      </c>
      <c r="H1486" s="593" t="s">
        <v>68</v>
      </c>
      <c r="I1486" s="589" t="s">
        <v>70</v>
      </c>
      <c r="J1486" s="589" t="s">
        <v>72</v>
      </c>
      <c r="K1486" s="237" t="s">
        <v>410</v>
      </c>
      <c r="L1486" s="441" t="s">
        <v>410</v>
      </c>
      <c r="M1486" s="441" t="s">
        <v>410</v>
      </c>
      <c r="N1486" s="441" t="s">
        <v>410</v>
      </c>
      <c r="O1486" s="441" t="s">
        <v>410</v>
      </c>
      <c r="P1486" s="441" t="s">
        <v>410</v>
      </c>
      <c r="Q1486" s="441" t="s">
        <v>410</v>
      </c>
      <c r="R1486" s="441" t="s">
        <v>410</v>
      </c>
      <c r="S1486" s="441" t="s">
        <v>410</v>
      </c>
      <c r="T1486" s="441" t="s">
        <v>410</v>
      </c>
    </row>
    <row r="1487" spans="1:20" hidden="1" outlineLevel="1" x14ac:dyDescent="0.3">
      <c r="A1487" s="583" t="s">
        <v>1632</v>
      </c>
      <c r="B1487" s="591">
        <v>16</v>
      </c>
      <c r="C1487" s="583" t="s">
        <v>1256</v>
      </c>
      <c r="D1487" s="583" t="s">
        <v>1509</v>
      </c>
      <c r="E1487" s="583" t="s">
        <v>410</v>
      </c>
      <c r="F1487" s="583" t="s">
        <v>4469</v>
      </c>
      <c r="G1487" s="583">
        <v>3</v>
      </c>
      <c r="H1487" s="583">
        <v>4</v>
      </c>
      <c r="I1487" t="s">
        <v>410</v>
      </c>
      <c r="J1487" t="s">
        <v>410</v>
      </c>
      <c r="K1487" t="s">
        <v>410</v>
      </c>
      <c r="L1487" t="s">
        <v>410</v>
      </c>
      <c r="M1487" t="s">
        <v>410</v>
      </c>
      <c r="N1487" t="s">
        <v>410</v>
      </c>
      <c r="O1487" t="s">
        <v>410</v>
      </c>
      <c r="P1487" t="s">
        <v>410</v>
      </c>
      <c r="Q1487" t="s">
        <v>410</v>
      </c>
      <c r="R1487" t="s">
        <v>410</v>
      </c>
      <c r="S1487" t="s">
        <v>410</v>
      </c>
      <c r="T1487" t="s">
        <v>410</v>
      </c>
    </row>
    <row r="1488" spans="1:20" hidden="1" outlineLevel="1" x14ac:dyDescent="0.3">
      <c r="A1488" s="583" t="s">
        <v>1676</v>
      </c>
      <c r="B1488" s="591">
        <v>16</v>
      </c>
      <c r="C1488" s="583" t="s">
        <v>1256</v>
      </c>
      <c r="D1488" s="583" t="s">
        <v>1509</v>
      </c>
      <c r="E1488" s="10" t="s">
        <v>410</v>
      </c>
      <c r="F1488" s="237"/>
      <c r="G1488" s="237"/>
      <c r="H1488" s="237"/>
      <c r="I1488" s="237"/>
      <c r="J1488" s="237"/>
      <c r="K1488" s="237"/>
      <c r="L1488" s="237"/>
      <c r="M1488" s="237"/>
      <c r="N1488" s="237"/>
      <c r="O1488" s="237" t="s">
        <v>410</v>
      </c>
      <c r="P1488" s="237" t="s">
        <v>410</v>
      </c>
      <c r="Q1488" s="237" t="s">
        <v>410</v>
      </c>
      <c r="R1488" s="237" t="s">
        <v>410</v>
      </c>
      <c r="S1488" s="10" t="s">
        <v>410</v>
      </c>
      <c r="T1488" s="10" t="s">
        <v>410</v>
      </c>
    </row>
    <row r="1489" spans="1:20" hidden="1" outlineLevel="1" x14ac:dyDescent="0.3">
      <c r="A1489" s="583" t="s">
        <v>1738</v>
      </c>
      <c r="B1489" s="591">
        <v>16</v>
      </c>
      <c r="C1489" s="583" t="s">
        <v>1256</v>
      </c>
      <c r="D1489" s="583" t="s">
        <v>1509</v>
      </c>
      <c r="E1489" s="592" t="s">
        <v>410</v>
      </c>
      <c r="F1489" s="593" t="s">
        <v>3587</v>
      </c>
      <c r="G1489" s="593" t="s">
        <v>3588</v>
      </c>
      <c r="H1489" s="593" t="s">
        <v>3589</v>
      </c>
      <c r="I1489" s="593" t="s">
        <v>3524</v>
      </c>
      <c r="J1489" s="593" t="s">
        <v>3590</v>
      </c>
      <c r="K1489" s="237" t="s">
        <v>410</v>
      </c>
      <c r="L1489" s="237" t="s">
        <v>410</v>
      </c>
      <c r="M1489" s="237" t="s">
        <v>410</v>
      </c>
      <c r="N1489" s="237" t="s">
        <v>410</v>
      </c>
      <c r="O1489" s="237" t="s">
        <v>410</v>
      </c>
      <c r="P1489" s="237" t="s">
        <v>410</v>
      </c>
      <c r="Q1489" s="237" t="s">
        <v>410</v>
      </c>
      <c r="R1489" s="237" t="s">
        <v>410</v>
      </c>
      <c r="S1489" s="10" t="s">
        <v>410</v>
      </c>
      <c r="T1489" s="10" t="s">
        <v>410</v>
      </c>
    </row>
    <row r="1490" spans="1:20" hidden="1" outlineLevel="1" x14ac:dyDescent="0.3">
      <c r="A1490" s="583" t="s">
        <v>3331</v>
      </c>
      <c r="B1490" s="591">
        <v>16</v>
      </c>
      <c r="C1490" s="583" t="s">
        <v>1256</v>
      </c>
      <c r="D1490" s="583" t="s">
        <v>1509</v>
      </c>
      <c r="E1490" s="592" t="s">
        <v>410</v>
      </c>
      <c r="F1490" s="593" t="s">
        <v>5533</v>
      </c>
      <c r="G1490" s="593" t="s">
        <v>5552</v>
      </c>
      <c r="H1490" s="593" t="s">
        <v>5553</v>
      </c>
      <c r="I1490" t="s">
        <v>410</v>
      </c>
      <c r="J1490" t="s">
        <v>410</v>
      </c>
      <c r="K1490" t="s">
        <v>410</v>
      </c>
      <c r="L1490" t="s">
        <v>410</v>
      </c>
      <c r="M1490" t="s">
        <v>410</v>
      </c>
      <c r="N1490" t="s">
        <v>410</v>
      </c>
      <c r="O1490" t="s">
        <v>410</v>
      </c>
      <c r="P1490" t="s">
        <v>410</v>
      </c>
      <c r="Q1490" t="s">
        <v>410</v>
      </c>
      <c r="R1490" t="s">
        <v>410</v>
      </c>
      <c r="S1490" t="s">
        <v>410</v>
      </c>
      <c r="T1490" t="s">
        <v>410</v>
      </c>
    </row>
    <row r="1491" spans="1:20" hidden="1" outlineLevel="1" x14ac:dyDescent="0.3">
      <c r="A1491" s="583" t="s">
        <v>1909</v>
      </c>
      <c r="B1491" s="591">
        <v>16</v>
      </c>
      <c r="C1491" s="583" t="s">
        <v>1256</v>
      </c>
      <c r="D1491" s="583" t="s">
        <v>1509</v>
      </c>
      <c r="E1491" s="583" t="s">
        <v>410</v>
      </c>
      <c r="F1491" s="593"/>
      <c r="G1491" s="593"/>
      <c r="H1491" s="593"/>
      <c r="I1491" s="593"/>
      <c r="J1491" s="593"/>
      <c r="K1491" s="583"/>
      <c r="L1491" t="s">
        <v>410</v>
      </c>
      <c r="M1491" t="s">
        <v>410</v>
      </c>
      <c r="N1491" t="s">
        <v>410</v>
      </c>
      <c r="O1491" t="s">
        <v>410</v>
      </c>
      <c r="P1491" t="s">
        <v>410</v>
      </c>
      <c r="Q1491" t="s">
        <v>410</v>
      </c>
      <c r="R1491" t="s">
        <v>410</v>
      </c>
      <c r="S1491" t="s">
        <v>410</v>
      </c>
      <c r="T1491" t="s">
        <v>410</v>
      </c>
    </row>
    <row r="1492" spans="1:20" hidden="1" outlineLevel="1" x14ac:dyDescent="0.3">
      <c r="A1492" s="583" t="s">
        <v>1933</v>
      </c>
      <c r="B1492" s="591">
        <v>16</v>
      </c>
      <c r="C1492" s="583" t="s">
        <v>1256</v>
      </c>
      <c r="D1492" s="583" t="s">
        <v>1509</v>
      </c>
      <c r="E1492" s="592" t="s">
        <v>90</v>
      </c>
      <c r="F1492" s="592" t="s">
        <v>91</v>
      </c>
      <c r="G1492" s="592" t="s">
        <v>92</v>
      </c>
      <c r="H1492" s="592" t="s">
        <v>100</v>
      </c>
      <c r="I1492" s="592" t="s">
        <v>102</v>
      </c>
      <c r="J1492" s="592" t="s">
        <v>104</v>
      </c>
      <c r="K1492" s="592" t="s">
        <v>107</v>
      </c>
      <c r="L1492" s="237" t="s">
        <v>410</v>
      </c>
      <c r="M1492" s="237" t="s">
        <v>410</v>
      </c>
      <c r="N1492" s="237" t="s">
        <v>410</v>
      </c>
      <c r="O1492" s="237" t="s">
        <v>410</v>
      </c>
      <c r="P1492" s="237" t="s">
        <v>410</v>
      </c>
      <c r="Q1492" s="237" t="s">
        <v>410</v>
      </c>
      <c r="R1492" s="237" t="s">
        <v>410</v>
      </c>
      <c r="S1492" s="10" t="s">
        <v>410</v>
      </c>
      <c r="T1492" s="10" t="s">
        <v>410</v>
      </c>
    </row>
    <row r="1493" spans="1:20" hidden="1" outlineLevel="1" x14ac:dyDescent="0.3">
      <c r="A1493" s="583" t="s">
        <v>1963</v>
      </c>
      <c r="B1493" s="591">
        <v>16</v>
      </c>
      <c r="C1493" s="583" t="s">
        <v>1256</v>
      </c>
      <c r="D1493" s="583" t="s">
        <v>1509</v>
      </c>
      <c r="E1493" s="237"/>
      <c r="F1493" s="237"/>
      <c r="G1493" s="237"/>
      <c r="H1493" s="237"/>
      <c r="I1493" s="237"/>
      <c r="J1493" s="237"/>
      <c r="K1493" s="237" t="s">
        <v>410</v>
      </c>
      <c r="L1493" s="237" t="s">
        <v>410</v>
      </c>
      <c r="M1493" s="237" t="s">
        <v>410</v>
      </c>
      <c r="N1493" s="237" t="s">
        <v>410</v>
      </c>
      <c r="O1493" s="237" t="s">
        <v>410</v>
      </c>
      <c r="P1493" s="237" t="s">
        <v>410</v>
      </c>
      <c r="Q1493" s="237" t="s">
        <v>410</v>
      </c>
      <c r="R1493" s="237" t="s">
        <v>410</v>
      </c>
      <c r="S1493" s="237" t="s">
        <v>410</v>
      </c>
      <c r="T1493" s="237" t="s">
        <v>410</v>
      </c>
    </row>
    <row r="1494" spans="1:20" hidden="1" outlineLevel="1" x14ac:dyDescent="0.3">
      <c r="A1494" s="583" t="s">
        <v>1970</v>
      </c>
      <c r="B1494" s="591">
        <v>16</v>
      </c>
      <c r="C1494" s="583" t="s">
        <v>1256</v>
      </c>
      <c r="D1494" s="583" t="s">
        <v>1509</v>
      </c>
      <c r="E1494" s="593" t="s">
        <v>410</v>
      </c>
      <c r="F1494" s="593" t="s">
        <v>4470</v>
      </c>
      <c r="G1494" s="593"/>
      <c r="H1494" s="593"/>
      <c r="I1494" s="593"/>
      <c r="J1494" s="593"/>
      <c r="K1494" s="237" t="s">
        <v>410</v>
      </c>
      <c r="L1494" s="237" t="s">
        <v>410</v>
      </c>
      <c r="M1494" s="237" t="s">
        <v>410</v>
      </c>
      <c r="N1494" s="237" t="s">
        <v>410</v>
      </c>
      <c r="O1494" s="237" t="s">
        <v>410</v>
      </c>
      <c r="P1494" s="237" t="s">
        <v>410</v>
      </c>
      <c r="Q1494" s="237" t="s">
        <v>410</v>
      </c>
      <c r="R1494" s="237" t="s">
        <v>410</v>
      </c>
      <c r="S1494" s="237" t="s">
        <v>410</v>
      </c>
      <c r="T1494" s="237" t="s">
        <v>410</v>
      </c>
    </row>
    <row r="1495" spans="1:20" hidden="1" outlineLevel="1" x14ac:dyDescent="0.3">
      <c r="A1495" s="583" t="s">
        <v>1980</v>
      </c>
      <c r="B1495" s="591">
        <v>16</v>
      </c>
      <c r="C1495" s="583" t="s">
        <v>1256</v>
      </c>
      <c r="D1495" s="583" t="s">
        <v>1509</v>
      </c>
      <c r="E1495" s="593" t="s">
        <v>410</v>
      </c>
      <c r="F1495" s="593" t="s">
        <v>2034</v>
      </c>
      <c r="G1495" s="593" t="s">
        <v>2302</v>
      </c>
      <c r="H1495" s="593" t="s">
        <v>2303</v>
      </c>
      <c r="I1495" s="593" t="s">
        <v>1776</v>
      </c>
      <c r="J1495" s="593" t="s">
        <v>2304</v>
      </c>
      <c r="K1495" s="593" t="s">
        <v>2305</v>
      </c>
      <c r="L1495" s="593" t="s">
        <v>2035</v>
      </c>
      <c r="M1495" s="593" t="s">
        <v>2306</v>
      </c>
      <c r="N1495" s="237" t="s">
        <v>410</v>
      </c>
      <c r="O1495" s="237" t="s">
        <v>410</v>
      </c>
      <c r="P1495" s="237" t="s">
        <v>410</v>
      </c>
      <c r="Q1495" s="237" t="s">
        <v>410</v>
      </c>
      <c r="R1495" s="237" t="s">
        <v>410</v>
      </c>
      <c r="S1495" s="237" t="s">
        <v>410</v>
      </c>
      <c r="T1495" s="237" t="s">
        <v>410</v>
      </c>
    </row>
    <row r="1496" spans="1:20" hidden="1" outlineLevel="1" x14ac:dyDescent="0.3">
      <c r="A1496" s="583" t="s">
        <v>5551</v>
      </c>
      <c r="B1496" s="591">
        <v>21</v>
      </c>
      <c r="C1496" s="583" t="s">
        <v>1256</v>
      </c>
      <c r="D1496" s="583" t="s">
        <v>1509</v>
      </c>
      <c r="E1496" s="237" t="s">
        <v>410</v>
      </c>
      <c r="F1496" s="237"/>
      <c r="G1496" s="237"/>
      <c r="H1496" s="237"/>
      <c r="I1496" s="237"/>
      <c r="J1496" s="237" t="s">
        <v>410</v>
      </c>
      <c r="K1496" s="237" t="s">
        <v>410</v>
      </c>
      <c r="L1496" s="237" t="s">
        <v>410</v>
      </c>
      <c r="M1496" s="237" t="s">
        <v>410</v>
      </c>
      <c r="N1496" s="237" t="s">
        <v>410</v>
      </c>
      <c r="O1496" s="237" t="s">
        <v>410</v>
      </c>
      <c r="P1496" s="237" t="s">
        <v>410</v>
      </c>
      <c r="Q1496" s="237" t="s">
        <v>410</v>
      </c>
      <c r="R1496" s="237" t="s">
        <v>410</v>
      </c>
      <c r="S1496" s="237" t="s">
        <v>410</v>
      </c>
      <c r="T1496" s="237" t="s">
        <v>410</v>
      </c>
    </row>
    <row r="1497" spans="1:20" hidden="1" outlineLevel="1" x14ac:dyDescent="0.3">
      <c r="A1497" s="583" t="s">
        <v>2910</v>
      </c>
      <c r="B1497" s="591">
        <v>0</v>
      </c>
      <c r="C1497" s="588" t="s">
        <v>1564</v>
      </c>
      <c r="D1497" s="588" t="s">
        <v>1509</v>
      </c>
      <c r="E1497" s="615" t="s">
        <v>2950</v>
      </c>
      <c r="F1497" s="9" t="s">
        <v>410</v>
      </c>
      <c r="G1497" s="9" t="s">
        <v>410</v>
      </c>
      <c r="H1497" s="9" t="s">
        <v>410</v>
      </c>
      <c r="I1497" s="9" t="s">
        <v>410</v>
      </c>
      <c r="J1497" s="9" t="s">
        <v>410</v>
      </c>
      <c r="K1497" s="9" t="s">
        <v>410</v>
      </c>
      <c r="L1497" s="9" t="s">
        <v>410</v>
      </c>
      <c r="M1497" s="9" t="s">
        <v>410</v>
      </c>
      <c r="N1497" s="9" t="s">
        <v>410</v>
      </c>
      <c r="O1497" s="9" t="s">
        <v>410</v>
      </c>
      <c r="P1497" s="9" t="s">
        <v>410</v>
      </c>
      <c r="Q1497" s="9" t="s">
        <v>410</v>
      </c>
      <c r="R1497" s="9" t="s">
        <v>410</v>
      </c>
      <c r="S1497" s="9" t="s">
        <v>410</v>
      </c>
      <c r="T1497" s="9" t="s">
        <v>410</v>
      </c>
    </row>
    <row r="1498" spans="1:20" hidden="1" outlineLevel="1" x14ac:dyDescent="0.3">
      <c r="A1498" s="583" t="s">
        <v>3286</v>
      </c>
      <c r="B1498" s="591">
        <v>0</v>
      </c>
      <c r="C1498" s="588" t="s">
        <v>1564</v>
      </c>
      <c r="D1498" s="588" t="s">
        <v>1509</v>
      </c>
      <c r="E1498" s="615" t="s">
        <v>3287</v>
      </c>
      <c r="F1498" s="9" t="s">
        <v>410</v>
      </c>
      <c r="G1498" s="9" t="s">
        <v>410</v>
      </c>
      <c r="H1498" s="9" t="s">
        <v>410</v>
      </c>
      <c r="I1498" s="9" t="s">
        <v>410</v>
      </c>
      <c r="J1498" s="9" t="s">
        <v>410</v>
      </c>
      <c r="K1498" s="9" t="s">
        <v>410</v>
      </c>
      <c r="L1498" s="9" t="s">
        <v>410</v>
      </c>
      <c r="M1498" s="9" t="s">
        <v>410</v>
      </c>
      <c r="N1498" s="9" t="s">
        <v>410</v>
      </c>
      <c r="O1498" s="9" t="s">
        <v>410</v>
      </c>
      <c r="P1498" s="9" t="s">
        <v>410</v>
      </c>
      <c r="Q1498" s="9" t="s">
        <v>410</v>
      </c>
      <c r="R1498" s="9" t="s">
        <v>410</v>
      </c>
      <c r="S1498" s="9" t="s">
        <v>410</v>
      </c>
      <c r="T1498" s="9" t="s">
        <v>410</v>
      </c>
    </row>
    <row r="1499" spans="1:20" hidden="1" outlineLevel="1" x14ac:dyDescent="0.3">
      <c r="A1499" s="583" t="s">
        <v>2067</v>
      </c>
      <c r="B1499" s="591">
        <v>0</v>
      </c>
      <c r="C1499" s="588" t="s">
        <v>1564</v>
      </c>
      <c r="D1499" s="588" t="s">
        <v>1509</v>
      </c>
      <c r="E1499" s="595"/>
      <c r="F1499" s="9" t="s">
        <v>410</v>
      </c>
      <c r="G1499" s="9" t="s">
        <v>410</v>
      </c>
      <c r="H1499" s="9" t="s">
        <v>410</v>
      </c>
      <c r="I1499" s="9" t="s">
        <v>410</v>
      </c>
      <c r="J1499" s="9" t="s">
        <v>410</v>
      </c>
      <c r="K1499" s="9" t="s">
        <v>410</v>
      </c>
      <c r="L1499" s="9" t="s">
        <v>410</v>
      </c>
      <c r="M1499" s="9" t="s">
        <v>410</v>
      </c>
      <c r="N1499" s="9" t="s">
        <v>410</v>
      </c>
      <c r="O1499" s="9" t="s">
        <v>410</v>
      </c>
      <c r="P1499" s="9" t="s">
        <v>410</v>
      </c>
      <c r="Q1499" s="9" t="s">
        <v>410</v>
      </c>
      <c r="R1499" s="9" t="s">
        <v>410</v>
      </c>
      <c r="S1499" s="9" t="s">
        <v>410</v>
      </c>
      <c r="T1499" s="9" t="s">
        <v>410</v>
      </c>
    </row>
    <row r="1500" spans="1:20" hidden="1" outlineLevel="1" x14ac:dyDescent="0.3">
      <c r="A1500" s="583" t="s">
        <v>2139</v>
      </c>
      <c r="B1500" s="591">
        <v>0</v>
      </c>
      <c r="C1500" s="588" t="s">
        <v>1564</v>
      </c>
      <c r="D1500" s="588" t="s">
        <v>1509</v>
      </c>
      <c r="E1500" s="589"/>
      <c r="F1500" s="593" t="s">
        <v>410</v>
      </c>
      <c r="G1500" s="593" t="s">
        <v>410</v>
      </c>
      <c r="H1500" s="593" t="s">
        <v>410</v>
      </c>
      <c r="I1500" s="237" t="s">
        <v>410</v>
      </c>
      <c r="J1500" s="237" t="s">
        <v>410</v>
      </c>
      <c r="K1500" s="237" t="s">
        <v>410</v>
      </c>
      <c r="L1500" s="441" t="s">
        <v>410</v>
      </c>
      <c r="M1500" s="441" t="s">
        <v>410</v>
      </c>
      <c r="N1500" s="441" t="s">
        <v>410</v>
      </c>
      <c r="O1500" s="441" t="s">
        <v>410</v>
      </c>
      <c r="P1500" s="441" t="s">
        <v>410</v>
      </c>
      <c r="Q1500" s="441" t="s">
        <v>410</v>
      </c>
      <c r="R1500" s="441" t="s">
        <v>410</v>
      </c>
      <c r="S1500" s="441" t="s">
        <v>410</v>
      </c>
      <c r="T1500" s="441" t="s">
        <v>410</v>
      </c>
    </row>
    <row r="1501" spans="1:20" hidden="1" outlineLevel="1" x14ac:dyDescent="0.3">
      <c r="A1501" s="583" t="s">
        <v>2238</v>
      </c>
      <c r="B1501" s="591">
        <v>0</v>
      </c>
      <c r="C1501" s="583" t="s">
        <v>1564</v>
      </c>
      <c r="D1501" s="583" t="s">
        <v>1509</v>
      </c>
      <c r="E1501" s="594" t="s">
        <v>5573</v>
      </c>
      <c r="F1501" t="s">
        <v>410</v>
      </c>
      <c r="G1501" t="s">
        <v>410</v>
      </c>
      <c r="H1501" t="s">
        <v>410</v>
      </c>
      <c r="I1501" t="s">
        <v>410</v>
      </c>
      <c r="J1501" t="s">
        <v>410</v>
      </c>
      <c r="K1501" t="s">
        <v>410</v>
      </c>
      <c r="L1501" t="s">
        <v>410</v>
      </c>
      <c r="M1501" t="s">
        <v>410</v>
      </c>
      <c r="N1501" t="s">
        <v>410</v>
      </c>
      <c r="O1501" t="s">
        <v>410</v>
      </c>
      <c r="P1501" t="s">
        <v>410</v>
      </c>
      <c r="Q1501" t="s">
        <v>410</v>
      </c>
      <c r="R1501" t="s">
        <v>410</v>
      </c>
      <c r="S1501" t="s">
        <v>410</v>
      </c>
      <c r="T1501" t="s">
        <v>410</v>
      </c>
    </row>
    <row r="1502" spans="1:20" hidden="1" outlineLevel="1" x14ac:dyDescent="0.3">
      <c r="A1502" s="583" t="s">
        <v>1687</v>
      </c>
      <c r="B1502" s="591">
        <v>1</v>
      </c>
      <c r="C1502" s="583" t="s">
        <v>1564</v>
      </c>
      <c r="D1502" s="583" t="s">
        <v>1509</v>
      </c>
      <c r="E1502" s="592" t="s">
        <v>410</v>
      </c>
      <c r="F1502" s="593" t="s">
        <v>5521</v>
      </c>
      <c r="G1502" s="237" t="s">
        <v>410</v>
      </c>
      <c r="H1502" s="237" t="s">
        <v>410</v>
      </c>
      <c r="I1502" s="237" t="s">
        <v>410</v>
      </c>
      <c r="J1502" s="237" t="s">
        <v>410</v>
      </c>
      <c r="K1502" s="237" t="s">
        <v>410</v>
      </c>
      <c r="L1502" s="237" t="s">
        <v>410</v>
      </c>
      <c r="M1502" s="237" t="s">
        <v>410</v>
      </c>
      <c r="N1502" s="237" t="s">
        <v>410</v>
      </c>
      <c r="O1502" s="237" t="s">
        <v>410</v>
      </c>
      <c r="P1502" s="237" t="s">
        <v>410</v>
      </c>
      <c r="Q1502" s="237" t="s">
        <v>410</v>
      </c>
      <c r="R1502" s="237" t="s">
        <v>410</v>
      </c>
      <c r="S1502" s="10" t="s">
        <v>410</v>
      </c>
      <c r="T1502" s="10" t="s">
        <v>410</v>
      </c>
    </row>
    <row r="1503" spans="1:20" hidden="1" outlineLevel="1" x14ac:dyDescent="0.3">
      <c r="A1503" s="583" t="s">
        <v>1695</v>
      </c>
      <c r="B1503" s="591">
        <v>1</v>
      </c>
      <c r="C1503" s="583" t="s">
        <v>1564</v>
      </c>
      <c r="D1503" s="583" t="s">
        <v>1509</v>
      </c>
      <c r="E1503" s="592" t="s">
        <v>410</v>
      </c>
      <c r="F1503" s="593" t="s">
        <v>5520</v>
      </c>
      <c r="G1503" s="237" t="s">
        <v>410</v>
      </c>
      <c r="H1503" s="237" t="s">
        <v>410</v>
      </c>
      <c r="I1503" s="237" t="s">
        <v>410</v>
      </c>
      <c r="J1503" s="237" t="s">
        <v>410</v>
      </c>
      <c r="K1503" s="237" t="s">
        <v>410</v>
      </c>
      <c r="L1503" s="237" t="s">
        <v>410</v>
      </c>
      <c r="M1503" s="237" t="s">
        <v>410</v>
      </c>
      <c r="N1503" s="237" t="s">
        <v>410</v>
      </c>
      <c r="O1503" s="237" t="s">
        <v>410</v>
      </c>
      <c r="P1503" s="237" t="s">
        <v>410</v>
      </c>
      <c r="Q1503" s="237" t="s">
        <v>410</v>
      </c>
      <c r="R1503" s="237" t="s">
        <v>410</v>
      </c>
      <c r="S1503" s="10" t="s">
        <v>410</v>
      </c>
      <c r="T1503" s="10" t="s">
        <v>410</v>
      </c>
    </row>
    <row r="1504" spans="1:20" hidden="1" outlineLevel="1" x14ac:dyDescent="0.3">
      <c r="A1504" s="583" t="s">
        <v>1705</v>
      </c>
      <c r="B1504" s="591">
        <v>1</v>
      </c>
      <c r="C1504" s="583" t="s">
        <v>1564</v>
      </c>
      <c r="D1504" s="583" t="s">
        <v>1509</v>
      </c>
      <c r="E1504" s="592" t="s">
        <v>410</v>
      </c>
      <c r="F1504" s="237"/>
      <c r="G1504" s="237" t="s">
        <v>410</v>
      </c>
      <c r="H1504" s="237" t="s">
        <v>410</v>
      </c>
      <c r="I1504" s="237" t="s">
        <v>410</v>
      </c>
      <c r="J1504" s="237" t="s">
        <v>410</v>
      </c>
      <c r="K1504" s="237" t="s">
        <v>410</v>
      </c>
      <c r="L1504" s="237" t="s">
        <v>410</v>
      </c>
      <c r="M1504" s="237" t="s">
        <v>410</v>
      </c>
      <c r="N1504" s="237" t="s">
        <v>410</v>
      </c>
      <c r="O1504" s="237" t="s">
        <v>410</v>
      </c>
      <c r="P1504" s="237" t="s">
        <v>410</v>
      </c>
      <c r="Q1504" s="237" t="s">
        <v>410</v>
      </c>
      <c r="R1504" s="237" t="s">
        <v>410</v>
      </c>
      <c r="S1504" s="10" t="s">
        <v>410</v>
      </c>
      <c r="T1504" s="10" t="s">
        <v>410</v>
      </c>
    </row>
    <row r="1505" spans="1:20" hidden="1" outlineLevel="1" x14ac:dyDescent="0.3">
      <c r="A1505" s="583" t="s">
        <v>5159</v>
      </c>
      <c r="B1505" s="591">
        <v>2</v>
      </c>
      <c r="C1505" s="583" t="s">
        <v>1564</v>
      </c>
      <c r="D1505" s="583" t="s">
        <v>1509</v>
      </c>
      <c r="E1505" s="592" t="s">
        <v>410</v>
      </c>
      <c r="F1505" s="593" t="s">
        <v>5172</v>
      </c>
      <c r="G1505" s="237" t="s">
        <v>410</v>
      </c>
      <c r="H1505" s="237" t="s">
        <v>410</v>
      </c>
      <c r="I1505" s="237" t="s">
        <v>410</v>
      </c>
      <c r="J1505" s="237" t="s">
        <v>410</v>
      </c>
      <c r="K1505" s="237" t="s">
        <v>410</v>
      </c>
      <c r="L1505" s="237" t="s">
        <v>410</v>
      </c>
      <c r="M1505" s="237" t="s">
        <v>410</v>
      </c>
      <c r="N1505" s="237" t="s">
        <v>410</v>
      </c>
      <c r="O1505" s="237" t="s">
        <v>410</v>
      </c>
      <c r="P1505" s="237" t="s">
        <v>410</v>
      </c>
      <c r="Q1505" s="237" t="s">
        <v>410</v>
      </c>
      <c r="R1505" s="237" t="s">
        <v>410</v>
      </c>
      <c r="S1505" s="10" t="s">
        <v>410</v>
      </c>
      <c r="T1505" s="10" t="s">
        <v>410</v>
      </c>
    </row>
    <row r="1506" spans="1:20" hidden="1" outlineLevel="1" x14ac:dyDescent="0.3">
      <c r="A1506" s="583" t="s">
        <v>5162</v>
      </c>
      <c r="B1506" s="591">
        <v>2</v>
      </c>
      <c r="C1506" s="583" t="s">
        <v>1564</v>
      </c>
      <c r="D1506" s="583" t="s">
        <v>1509</v>
      </c>
      <c r="E1506" s="592" t="s">
        <v>410</v>
      </c>
      <c r="F1506" s="593" t="s">
        <v>4326</v>
      </c>
      <c r="G1506" s="237" t="s">
        <v>410</v>
      </c>
      <c r="H1506" s="237" t="s">
        <v>410</v>
      </c>
      <c r="I1506" s="237" t="s">
        <v>410</v>
      </c>
      <c r="J1506" s="237" t="s">
        <v>410</v>
      </c>
      <c r="K1506" s="237" t="s">
        <v>410</v>
      </c>
      <c r="L1506" s="237" t="s">
        <v>410</v>
      </c>
      <c r="M1506" s="237" t="s">
        <v>410</v>
      </c>
      <c r="N1506" s="237" t="s">
        <v>410</v>
      </c>
      <c r="O1506" s="237" t="s">
        <v>410</v>
      </c>
      <c r="P1506" s="237" t="s">
        <v>410</v>
      </c>
      <c r="Q1506" s="237" t="s">
        <v>410</v>
      </c>
      <c r="R1506" s="237" t="s">
        <v>410</v>
      </c>
      <c r="S1506" s="10" t="s">
        <v>410</v>
      </c>
      <c r="T1506" s="10" t="s">
        <v>410</v>
      </c>
    </row>
    <row r="1507" spans="1:20" hidden="1" outlineLevel="1" x14ac:dyDescent="0.3">
      <c r="A1507" s="583" t="s">
        <v>5176</v>
      </c>
      <c r="B1507" s="591">
        <v>2</v>
      </c>
      <c r="C1507" s="583" t="s">
        <v>1564</v>
      </c>
      <c r="D1507" s="583" t="s">
        <v>1509</v>
      </c>
      <c r="E1507" s="592" t="s">
        <v>410</v>
      </c>
      <c r="F1507" s="593" t="s">
        <v>4326</v>
      </c>
      <c r="G1507" s="237" t="s">
        <v>410</v>
      </c>
      <c r="H1507" s="237" t="s">
        <v>410</v>
      </c>
      <c r="I1507" s="237" t="s">
        <v>410</v>
      </c>
      <c r="J1507" s="237" t="s">
        <v>410</v>
      </c>
      <c r="K1507" s="237" t="s">
        <v>410</v>
      </c>
      <c r="L1507" s="237" t="s">
        <v>410</v>
      </c>
      <c r="M1507" s="237" t="s">
        <v>410</v>
      </c>
      <c r="N1507" s="237" t="s">
        <v>410</v>
      </c>
      <c r="O1507" s="237" t="s">
        <v>410</v>
      </c>
      <c r="P1507" s="237" t="s">
        <v>410</v>
      </c>
      <c r="Q1507" s="237" t="s">
        <v>410</v>
      </c>
      <c r="R1507" s="237" t="s">
        <v>410</v>
      </c>
      <c r="S1507" s="10" t="s">
        <v>410</v>
      </c>
      <c r="T1507" s="10" t="s">
        <v>410</v>
      </c>
    </row>
    <row r="1508" spans="1:20" hidden="1" outlineLevel="1" x14ac:dyDescent="0.3">
      <c r="A1508" s="583" t="s">
        <v>1688</v>
      </c>
      <c r="B1508" s="591">
        <v>2</v>
      </c>
      <c r="C1508" s="583" t="s">
        <v>1564</v>
      </c>
      <c r="D1508" s="583" t="s">
        <v>1509</v>
      </c>
      <c r="E1508" s="592" t="s">
        <v>410</v>
      </c>
      <c r="F1508" s="593" t="s">
        <v>3622</v>
      </c>
      <c r="G1508" s="237" t="s">
        <v>410</v>
      </c>
      <c r="H1508" s="237" t="s">
        <v>410</v>
      </c>
      <c r="I1508" s="237" t="s">
        <v>410</v>
      </c>
      <c r="J1508" s="237" t="s">
        <v>410</v>
      </c>
      <c r="K1508" s="237" t="s">
        <v>410</v>
      </c>
      <c r="L1508" s="237" t="s">
        <v>410</v>
      </c>
      <c r="M1508" s="237" t="s">
        <v>410</v>
      </c>
      <c r="N1508" s="237" t="s">
        <v>410</v>
      </c>
      <c r="O1508" s="237" t="s">
        <v>410</v>
      </c>
      <c r="P1508" s="237" t="s">
        <v>410</v>
      </c>
      <c r="Q1508" s="237" t="s">
        <v>410</v>
      </c>
      <c r="R1508" s="237" t="s">
        <v>410</v>
      </c>
      <c r="S1508" s="10" t="s">
        <v>410</v>
      </c>
      <c r="T1508" s="10" t="s">
        <v>410</v>
      </c>
    </row>
    <row r="1509" spans="1:20" hidden="1" outlineLevel="1" x14ac:dyDescent="0.3">
      <c r="A1509" s="583" t="s">
        <v>1678</v>
      </c>
      <c r="B1509" s="591">
        <v>3</v>
      </c>
      <c r="C1509" s="583" t="s">
        <v>1564</v>
      </c>
      <c r="D1509" s="583" t="s">
        <v>1509</v>
      </c>
      <c r="E1509" s="592" t="s">
        <v>410</v>
      </c>
      <c r="F1509" s="593" t="s">
        <v>3624</v>
      </c>
      <c r="G1509" s="237" t="s">
        <v>410</v>
      </c>
      <c r="H1509" s="237" t="s">
        <v>410</v>
      </c>
      <c r="I1509" s="237" t="s">
        <v>410</v>
      </c>
      <c r="J1509" s="237" t="s">
        <v>410</v>
      </c>
      <c r="K1509" s="237" t="s">
        <v>410</v>
      </c>
      <c r="L1509" s="237" t="s">
        <v>410</v>
      </c>
      <c r="M1509" s="237" t="s">
        <v>410</v>
      </c>
      <c r="N1509" s="237" t="s">
        <v>410</v>
      </c>
      <c r="O1509" s="237" t="s">
        <v>410</v>
      </c>
      <c r="P1509" s="237" t="s">
        <v>410</v>
      </c>
      <c r="Q1509" s="237" t="s">
        <v>410</v>
      </c>
      <c r="R1509" s="237" t="s">
        <v>410</v>
      </c>
      <c r="S1509" s="10" t="s">
        <v>410</v>
      </c>
      <c r="T1509" s="10" t="s">
        <v>410</v>
      </c>
    </row>
    <row r="1510" spans="1:20" hidden="1" outlineLevel="1" x14ac:dyDescent="0.3">
      <c r="A1510" s="583" t="s">
        <v>5163</v>
      </c>
      <c r="B1510" s="591">
        <v>3</v>
      </c>
      <c r="C1510" s="583" t="s">
        <v>1564</v>
      </c>
      <c r="D1510" s="583" t="s">
        <v>1509</v>
      </c>
      <c r="E1510" s="592" t="s">
        <v>410</v>
      </c>
      <c r="F1510" s="593" t="s">
        <v>5164</v>
      </c>
      <c r="G1510" s="237" t="s">
        <v>410</v>
      </c>
      <c r="H1510" s="237" t="s">
        <v>410</v>
      </c>
      <c r="I1510" s="237" t="s">
        <v>410</v>
      </c>
      <c r="J1510" s="237" t="s">
        <v>410</v>
      </c>
      <c r="K1510" s="237" t="s">
        <v>410</v>
      </c>
      <c r="L1510" s="237" t="s">
        <v>410</v>
      </c>
      <c r="M1510" s="237" t="s">
        <v>410</v>
      </c>
      <c r="N1510" s="237" t="s">
        <v>410</v>
      </c>
      <c r="O1510" s="237" t="s">
        <v>410</v>
      </c>
      <c r="P1510" s="237" t="s">
        <v>410</v>
      </c>
      <c r="Q1510" s="237" t="s">
        <v>410</v>
      </c>
      <c r="R1510" s="237" t="s">
        <v>410</v>
      </c>
      <c r="S1510" s="10" t="s">
        <v>410</v>
      </c>
      <c r="T1510" s="10" t="s">
        <v>410</v>
      </c>
    </row>
    <row r="1511" spans="1:20" hidden="1" outlineLevel="1" x14ac:dyDescent="0.3">
      <c r="A1511" s="583" t="s">
        <v>5177</v>
      </c>
      <c r="B1511" s="591">
        <v>3</v>
      </c>
      <c r="C1511" s="583" t="s">
        <v>1564</v>
      </c>
      <c r="D1511" s="583" t="s">
        <v>1509</v>
      </c>
      <c r="E1511" s="592" t="s">
        <v>410</v>
      </c>
      <c r="F1511" s="593" t="s">
        <v>5178</v>
      </c>
      <c r="G1511" s="237" t="s">
        <v>410</v>
      </c>
      <c r="H1511" s="237" t="s">
        <v>410</v>
      </c>
      <c r="I1511" s="237" t="s">
        <v>410</v>
      </c>
      <c r="J1511" s="237" t="s">
        <v>410</v>
      </c>
      <c r="K1511" s="237" t="s">
        <v>410</v>
      </c>
      <c r="L1511" s="237" t="s">
        <v>410</v>
      </c>
      <c r="M1511" s="237" t="s">
        <v>410</v>
      </c>
      <c r="N1511" s="237" t="s">
        <v>410</v>
      </c>
      <c r="O1511" s="237" t="s">
        <v>410</v>
      </c>
      <c r="P1511" s="237" t="s">
        <v>410</v>
      </c>
      <c r="Q1511" s="237" t="s">
        <v>410</v>
      </c>
      <c r="R1511" s="237" t="s">
        <v>410</v>
      </c>
      <c r="S1511" s="10" t="s">
        <v>410</v>
      </c>
      <c r="T1511" s="10" t="s">
        <v>410</v>
      </c>
    </row>
    <row r="1512" spans="1:20" hidden="1" outlineLevel="1" x14ac:dyDescent="0.3">
      <c r="A1512" s="583" t="s">
        <v>1684</v>
      </c>
      <c r="B1512" s="591">
        <v>4</v>
      </c>
      <c r="C1512" s="583" t="s">
        <v>1564</v>
      </c>
      <c r="D1512" s="583" t="s">
        <v>1509</v>
      </c>
      <c r="E1512" s="592" t="s">
        <v>410</v>
      </c>
      <c r="F1512" s="593" t="s">
        <v>3629</v>
      </c>
      <c r="G1512" s="237" t="s">
        <v>410</v>
      </c>
      <c r="H1512" s="237" t="s">
        <v>410</v>
      </c>
      <c r="I1512" s="237" t="s">
        <v>410</v>
      </c>
      <c r="J1512" s="237" t="s">
        <v>410</v>
      </c>
      <c r="K1512" s="237" t="s">
        <v>410</v>
      </c>
      <c r="L1512" s="237" t="s">
        <v>410</v>
      </c>
      <c r="M1512" s="237" t="s">
        <v>410</v>
      </c>
      <c r="N1512" s="237" t="s">
        <v>410</v>
      </c>
      <c r="O1512" s="237" t="s">
        <v>410</v>
      </c>
      <c r="P1512" s="237" t="s">
        <v>410</v>
      </c>
      <c r="Q1512" s="237" t="s">
        <v>410</v>
      </c>
      <c r="R1512" s="237" t="s">
        <v>410</v>
      </c>
      <c r="S1512" s="10" t="s">
        <v>410</v>
      </c>
      <c r="T1512" s="10" t="s">
        <v>410</v>
      </c>
    </row>
    <row r="1513" spans="1:20" hidden="1" outlineLevel="1" x14ac:dyDescent="0.3">
      <c r="A1513" s="583" t="s">
        <v>1682</v>
      </c>
      <c r="B1513" s="591">
        <v>4</v>
      </c>
      <c r="C1513" s="583" t="s">
        <v>1564</v>
      </c>
      <c r="D1513" s="583" t="s">
        <v>1509</v>
      </c>
      <c r="E1513" s="592" t="s">
        <v>410</v>
      </c>
      <c r="F1513" s="593" t="s">
        <v>3629</v>
      </c>
      <c r="G1513" s="237" t="s">
        <v>410</v>
      </c>
      <c r="H1513" s="237" t="s">
        <v>410</v>
      </c>
      <c r="I1513" s="237" t="s">
        <v>410</v>
      </c>
      <c r="J1513" s="237" t="s">
        <v>410</v>
      </c>
      <c r="K1513" s="237" t="s">
        <v>410</v>
      </c>
      <c r="L1513" s="237" t="s">
        <v>410</v>
      </c>
      <c r="M1513" s="237" t="s">
        <v>410</v>
      </c>
      <c r="N1513" s="237" t="s">
        <v>410</v>
      </c>
      <c r="O1513" s="237" t="s">
        <v>410</v>
      </c>
      <c r="P1513" s="237" t="s">
        <v>410</v>
      </c>
      <c r="Q1513" s="237" t="s">
        <v>410</v>
      </c>
      <c r="R1513" s="237" t="s">
        <v>410</v>
      </c>
      <c r="S1513" s="10" t="s">
        <v>410</v>
      </c>
      <c r="T1513" s="10" t="s">
        <v>410</v>
      </c>
    </row>
    <row r="1514" spans="1:20" hidden="1" outlineLevel="1" x14ac:dyDescent="0.3">
      <c r="A1514" s="583" t="s">
        <v>5550</v>
      </c>
      <c r="B1514" s="591">
        <v>4</v>
      </c>
      <c r="C1514" s="583" t="s">
        <v>1564</v>
      </c>
      <c r="D1514" s="583" t="s">
        <v>1509</v>
      </c>
      <c r="E1514" s="592" t="s">
        <v>410</v>
      </c>
      <c r="F1514" s="593" t="s">
        <v>5179</v>
      </c>
      <c r="G1514" s="237" t="s">
        <v>410</v>
      </c>
      <c r="H1514" s="237" t="s">
        <v>410</v>
      </c>
      <c r="I1514" s="237" t="s">
        <v>410</v>
      </c>
      <c r="J1514" s="237" t="s">
        <v>410</v>
      </c>
      <c r="K1514" s="237" t="s">
        <v>410</v>
      </c>
      <c r="L1514" s="237" t="s">
        <v>410</v>
      </c>
      <c r="M1514" s="237" t="s">
        <v>410</v>
      </c>
      <c r="N1514" s="237" t="s">
        <v>410</v>
      </c>
      <c r="O1514" s="237" t="s">
        <v>410</v>
      </c>
      <c r="P1514" s="237" t="s">
        <v>410</v>
      </c>
      <c r="Q1514" s="237" t="s">
        <v>410</v>
      </c>
      <c r="R1514" s="237" t="s">
        <v>410</v>
      </c>
      <c r="S1514" s="10" t="s">
        <v>410</v>
      </c>
      <c r="T1514" s="10" t="s">
        <v>410</v>
      </c>
    </row>
    <row r="1515" spans="1:20" hidden="1" outlineLevel="1" x14ac:dyDescent="0.3">
      <c r="A1515" s="583" t="s">
        <v>4327</v>
      </c>
      <c r="B1515" s="591">
        <v>4</v>
      </c>
      <c r="C1515" s="583" t="s">
        <v>1564</v>
      </c>
      <c r="D1515" s="583" t="s">
        <v>1509</v>
      </c>
      <c r="E1515" s="592" t="s">
        <v>410</v>
      </c>
      <c r="F1515" s="593" t="s">
        <v>5181</v>
      </c>
      <c r="G1515" s="237" t="s">
        <v>410</v>
      </c>
      <c r="H1515" s="237" t="s">
        <v>410</v>
      </c>
      <c r="I1515" s="237" t="s">
        <v>410</v>
      </c>
      <c r="J1515" s="237" t="s">
        <v>410</v>
      </c>
      <c r="K1515" s="237" t="s">
        <v>410</v>
      </c>
      <c r="L1515" s="237" t="s">
        <v>410</v>
      </c>
      <c r="M1515" s="237" t="s">
        <v>410</v>
      </c>
      <c r="N1515" s="237" t="s">
        <v>410</v>
      </c>
      <c r="O1515" s="237" t="s">
        <v>410</v>
      </c>
      <c r="P1515" s="237" t="s">
        <v>410</v>
      </c>
      <c r="Q1515" s="237" t="s">
        <v>410</v>
      </c>
      <c r="R1515" s="237" t="s">
        <v>410</v>
      </c>
      <c r="S1515" s="10" t="s">
        <v>410</v>
      </c>
      <c r="T1515" s="10" t="s">
        <v>410</v>
      </c>
    </row>
    <row r="1516" spans="1:20" hidden="1" outlineLevel="1" x14ac:dyDescent="0.3">
      <c r="A1516" s="583" t="s">
        <v>3594</v>
      </c>
      <c r="B1516" s="591">
        <v>16</v>
      </c>
      <c r="C1516" s="583" t="s">
        <v>1564</v>
      </c>
      <c r="D1516" s="583" t="s">
        <v>1509</v>
      </c>
      <c r="E1516" s="592" t="s">
        <v>410</v>
      </c>
      <c r="F1516" s="593" t="s">
        <v>5160</v>
      </c>
      <c r="G1516" s="237" t="s">
        <v>410</v>
      </c>
      <c r="H1516" s="237" t="s">
        <v>410</v>
      </c>
      <c r="I1516" s="237" t="s">
        <v>410</v>
      </c>
      <c r="J1516" s="237" t="s">
        <v>410</v>
      </c>
      <c r="K1516" s="237" t="s">
        <v>410</v>
      </c>
      <c r="L1516" s="237" t="s">
        <v>410</v>
      </c>
      <c r="M1516" s="237" t="s">
        <v>410</v>
      </c>
      <c r="N1516" s="237" t="s">
        <v>410</v>
      </c>
      <c r="O1516" s="237" t="s">
        <v>410</v>
      </c>
      <c r="P1516" s="237" t="s">
        <v>410</v>
      </c>
      <c r="Q1516" s="237" t="s">
        <v>410</v>
      </c>
      <c r="R1516" s="237" t="s">
        <v>410</v>
      </c>
      <c r="S1516" s="10" t="s">
        <v>410</v>
      </c>
      <c r="T1516" s="10" t="s">
        <v>410</v>
      </c>
    </row>
    <row r="1517" spans="1:20" hidden="1" outlineLevel="1" x14ac:dyDescent="0.3">
      <c r="A1517" s="583" t="s">
        <v>5175</v>
      </c>
      <c r="B1517" s="591">
        <v>16</v>
      </c>
      <c r="C1517" s="583" t="s">
        <v>1564</v>
      </c>
      <c r="D1517" s="583" t="s">
        <v>1509</v>
      </c>
      <c r="E1517" s="592" t="s">
        <v>410</v>
      </c>
      <c r="F1517" s="593" t="s">
        <v>3622</v>
      </c>
      <c r="G1517" s="237" t="s">
        <v>410</v>
      </c>
      <c r="H1517" s="237" t="s">
        <v>410</v>
      </c>
      <c r="I1517" s="237" t="s">
        <v>410</v>
      </c>
      <c r="J1517" s="237" t="s">
        <v>410</v>
      </c>
      <c r="K1517" s="237" t="s">
        <v>410</v>
      </c>
      <c r="L1517" s="237" t="s">
        <v>410</v>
      </c>
      <c r="M1517" s="237" t="s">
        <v>410</v>
      </c>
      <c r="N1517" s="237" t="s">
        <v>410</v>
      </c>
      <c r="O1517" s="237" t="s">
        <v>410</v>
      </c>
      <c r="P1517" s="237" t="s">
        <v>410</v>
      </c>
      <c r="Q1517" s="237" t="s">
        <v>410</v>
      </c>
      <c r="R1517" s="237" t="s">
        <v>410</v>
      </c>
      <c r="S1517" s="10" t="s">
        <v>410</v>
      </c>
      <c r="T1517" s="10" t="s">
        <v>410</v>
      </c>
    </row>
    <row r="1518" spans="1:20" hidden="1" outlineLevel="1" x14ac:dyDescent="0.3">
      <c r="A1518" s="583" t="s">
        <v>1686</v>
      </c>
      <c r="B1518" s="591">
        <v>16</v>
      </c>
      <c r="C1518" s="583" t="s">
        <v>1564</v>
      </c>
      <c r="D1518" s="583" t="s">
        <v>1509</v>
      </c>
      <c r="E1518" s="592" t="s">
        <v>410</v>
      </c>
      <c r="F1518" s="593" t="s">
        <v>5160</v>
      </c>
      <c r="G1518" s="237" t="s">
        <v>410</v>
      </c>
      <c r="H1518" s="237" t="s">
        <v>410</v>
      </c>
      <c r="I1518" s="237" t="s">
        <v>410</v>
      </c>
      <c r="J1518" s="237" t="s">
        <v>410</v>
      </c>
      <c r="K1518" s="237" t="s">
        <v>410</v>
      </c>
      <c r="L1518" s="237" t="s">
        <v>410</v>
      </c>
      <c r="M1518" s="237" t="s">
        <v>410</v>
      </c>
      <c r="N1518" s="237" t="s">
        <v>410</v>
      </c>
      <c r="O1518" s="237" t="s">
        <v>410</v>
      </c>
      <c r="P1518" s="237" t="s">
        <v>410</v>
      </c>
      <c r="Q1518" s="237" t="s">
        <v>410</v>
      </c>
      <c r="R1518" s="237" t="s">
        <v>410</v>
      </c>
      <c r="S1518" s="10" t="s">
        <v>410</v>
      </c>
      <c r="T1518" s="10" t="s">
        <v>410</v>
      </c>
    </row>
    <row r="1519" spans="1:20" hidden="1" outlineLevel="1" x14ac:dyDescent="0.3">
      <c r="A1519" s="583" t="s">
        <v>1691</v>
      </c>
      <c r="B1519" s="591">
        <v>16</v>
      </c>
      <c r="C1519" s="583" t="s">
        <v>1564</v>
      </c>
      <c r="D1519" s="583" t="s">
        <v>1509</v>
      </c>
      <c r="E1519" s="592" t="s">
        <v>410</v>
      </c>
      <c r="F1519" s="593" t="s">
        <v>4332</v>
      </c>
      <c r="G1519" s="237" t="s">
        <v>410</v>
      </c>
      <c r="H1519" s="237" t="s">
        <v>410</v>
      </c>
      <c r="I1519" s="237" t="s">
        <v>410</v>
      </c>
      <c r="J1519" s="237" t="s">
        <v>410</v>
      </c>
      <c r="K1519" s="237" t="s">
        <v>410</v>
      </c>
      <c r="L1519" s="237" t="s">
        <v>410</v>
      </c>
      <c r="M1519" s="237" t="s">
        <v>410</v>
      </c>
      <c r="N1519" s="237" t="s">
        <v>410</v>
      </c>
      <c r="O1519" s="237" t="s">
        <v>410</v>
      </c>
      <c r="P1519" s="237" t="s">
        <v>410</v>
      </c>
      <c r="Q1519" s="237" t="s">
        <v>410</v>
      </c>
      <c r="R1519" s="237" t="s">
        <v>410</v>
      </c>
      <c r="S1519" s="10" t="s">
        <v>410</v>
      </c>
      <c r="T1519" s="10" t="s">
        <v>410</v>
      </c>
    </row>
    <row r="1520" spans="1:20" hidden="1" outlineLevel="1" x14ac:dyDescent="0.3">
      <c r="A1520" s="583" t="s">
        <v>1706</v>
      </c>
      <c r="B1520" s="591">
        <v>16</v>
      </c>
      <c r="C1520" s="583" t="s">
        <v>1564</v>
      </c>
      <c r="D1520" s="583" t="s">
        <v>1509</v>
      </c>
      <c r="E1520" s="592" t="s">
        <v>410</v>
      </c>
      <c r="F1520" s="593" t="s">
        <v>5172</v>
      </c>
      <c r="G1520" s="237" t="s">
        <v>410</v>
      </c>
      <c r="H1520" s="237" t="s">
        <v>410</v>
      </c>
      <c r="I1520" s="237" t="s">
        <v>410</v>
      </c>
      <c r="J1520" s="237" t="s">
        <v>410</v>
      </c>
      <c r="K1520" s="237" t="s">
        <v>410</v>
      </c>
      <c r="L1520" s="237" t="s">
        <v>410</v>
      </c>
      <c r="M1520" s="237" t="s">
        <v>410</v>
      </c>
      <c r="N1520" s="237" t="s">
        <v>410</v>
      </c>
      <c r="O1520" s="237" t="s">
        <v>410</v>
      </c>
      <c r="P1520" s="237" t="s">
        <v>410</v>
      </c>
      <c r="Q1520" s="237" t="s">
        <v>410</v>
      </c>
      <c r="R1520" s="237" t="s">
        <v>410</v>
      </c>
      <c r="S1520" s="10" t="s">
        <v>410</v>
      </c>
      <c r="T1520" s="10" t="s">
        <v>410</v>
      </c>
    </row>
    <row r="1521" spans="1:20" hidden="1" outlineLevel="1" x14ac:dyDescent="0.3">
      <c r="A1521" s="583" t="s">
        <v>1709</v>
      </c>
      <c r="B1521" s="591">
        <v>16</v>
      </c>
      <c r="C1521" s="583" t="s">
        <v>1564</v>
      </c>
      <c r="D1521" s="583" t="s">
        <v>1509</v>
      </c>
      <c r="E1521" s="592" t="s">
        <v>410</v>
      </c>
      <c r="F1521" s="593" t="s">
        <v>5170</v>
      </c>
      <c r="G1521" s="237" t="s">
        <v>410</v>
      </c>
      <c r="H1521" s="237" t="s">
        <v>410</v>
      </c>
      <c r="I1521" s="237" t="s">
        <v>410</v>
      </c>
      <c r="J1521" s="237" t="s">
        <v>410</v>
      </c>
      <c r="K1521" s="237" t="s">
        <v>410</v>
      </c>
      <c r="L1521" s="237" t="s">
        <v>410</v>
      </c>
      <c r="M1521" s="237" t="s">
        <v>410</v>
      </c>
      <c r="N1521" s="237" t="s">
        <v>410</v>
      </c>
      <c r="O1521" s="237" t="s">
        <v>410</v>
      </c>
      <c r="P1521" s="237" t="s">
        <v>410</v>
      </c>
      <c r="Q1521" s="237" t="s">
        <v>410</v>
      </c>
      <c r="R1521" s="237" t="s">
        <v>410</v>
      </c>
      <c r="S1521" s="10" t="s">
        <v>410</v>
      </c>
      <c r="T1521" s="10" t="s">
        <v>410</v>
      </c>
    </row>
    <row r="1522" spans="1:20" hidden="1" outlineLevel="1" x14ac:dyDescent="0.3">
      <c r="A1522" s="583" t="s">
        <v>5173</v>
      </c>
      <c r="B1522" s="591">
        <v>17</v>
      </c>
      <c r="C1522" s="583" t="s">
        <v>1564</v>
      </c>
      <c r="D1522" s="583" t="s">
        <v>1509</v>
      </c>
      <c r="E1522" s="592" t="s">
        <v>410</v>
      </c>
      <c r="F1522" s="593" t="s">
        <v>5174</v>
      </c>
      <c r="G1522" s="237" t="s">
        <v>410</v>
      </c>
      <c r="H1522" s="237" t="s">
        <v>410</v>
      </c>
      <c r="I1522" s="237" t="s">
        <v>410</v>
      </c>
      <c r="J1522" s="237" t="s">
        <v>410</v>
      </c>
      <c r="K1522" s="237" t="s">
        <v>410</v>
      </c>
      <c r="L1522" s="237" t="s">
        <v>410</v>
      </c>
      <c r="M1522" s="237" t="s">
        <v>410</v>
      </c>
      <c r="N1522" s="237" t="s">
        <v>410</v>
      </c>
      <c r="O1522" s="237" t="s">
        <v>410</v>
      </c>
      <c r="P1522" s="237" t="s">
        <v>410</v>
      </c>
      <c r="Q1522" s="237" t="s">
        <v>410</v>
      </c>
      <c r="R1522" s="237" t="s">
        <v>410</v>
      </c>
      <c r="S1522" s="10" t="s">
        <v>410</v>
      </c>
      <c r="T1522" s="10" t="s">
        <v>410</v>
      </c>
    </row>
    <row r="1523" spans="1:20" hidden="1" outlineLevel="1" x14ac:dyDescent="0.3">
      <c r="A1523" s="583" t="s">
        <v>1707</v>
      </c>
      <c r="B1523" s="591">
        <v>17</v>
      </c>
      <c r="C1523" s="583" t="s">
        <v>1564</v>
      </c>
      <c r="D1523" s="583" t="s">
        <v>1509</v>
      </c>
      <c r="E1523" s="592" t="s">
        <v>410</v>
      </c>
      <c r="F1523" s="593" t="s">
        <v>5180</v>
      </c>
      <c r="G1523" s="237" t="s">
        <v>410</v>
      </c>
      <c r="H1523" s="237" t="s">
        <v>410</v>
      </c>
      <c r="I1523" s="237" t="s">
        <v>410</v>
      </c>
      <c r="J1523" s="237" t="s">
        <v>410</v>
      </c>
      <c r="K1523" s="237" t="s">
        <v>410</v>
      </c>
      <c r="L1523" s="237" t="s">
        <v>410</v>
      </c>
      <c r="M1523" s="237" t="s">
        <v>410</v>
      </c>
      <c r="N1523" s="237" t="s">
        <v>410</v>
      </c>
      <c r="O1523" s="237" t="s">
        <v>410</v>
      </c>
      <c r="P1523" s="237" t="s">
        <v>410</v>
      </c>
      <c r="Q1523" s="237" t="s">
        <v>410</v>
      </c>
      <c r="R1523" s="237" t="s">
        <v>410</v>
      </c>
      <c r="S1523" s="10" t="s">
        <v>410</v>
      </c>
      <c r="T1523" s="10" t="s">
        <v>410</v>
      </c>
    </row>
    <row r="1524" spans="1:20" hidden="1" outlineLevel="1" x14ac:dyDescent="0.3">
      <c r="A1524" s="583" t="s">
        <v>1711</v>
      </c>
      <c r="B1524" s="591">
        <v>17</v>
      </c>
      <c r="C1524" s="583" t="s">
        <v>1564</v>
      </c>
      <c r="D1524" s="583" t="s">
        <v>1509</v>
      </c>
      <c r="E1524" s="592" t="s">
        <v>410</v>
      </c>
      <c r="F1524" s="593" t="s">
        <v>3628</v>
      </c>
      <c r="G1524" s="237" t="s">
        <v>410</v>
      </c>
      <c r="H1524" s="237" t="s">
        <v>410</v>
      </c>
      <c r="I1524" s="237" t="s">
        <v>410</v>
      </c>
      <c r="J1524" s="237" t="s">
        <v>410</v>
      </c>
      <c r="K1524" s="237" t="s">
        <v>410</v>
      </c>
      <c r="L1524" s="237" t="s">
        <v>410</v>
      </c>
      <c r="M1524" s="237" t="s">
        <v>410</v>
      </c>
      <c r="N1524" s="237" t="s">
        <v>410</v>
      </c>
      <c r="O1524" s="237" t="s">
        <v>410</v>
      </c>
      <c r="P1524" s="237" t="s">
        <v>410</v>
      </c>
      <c r="Q1524" s="237" t="s">
        <v>410</v>
      </c>
      <c r="R1524" s="237" t="s">
        <v>410</v>
      </c>
      <c r="S1524" s="10" t="s">
        <v>410</v>
      </c>
      <c r="T1524" s="10" t="s">
        <v>410</v>
      </c>
    </row>
    <row r="1525" spans="1:20" collapsed="1" x14ac:dyDescent="0.3">
      <c r="A1525" s="583" t="s">
        <v>1478</v>
      </c>
      <c r="B1525" s="591">
        <v>1</v>
      </c>
      <c r="C1525" s="583" t="s">
        <v>1256</v>
      </c>
      <c r="D1525" s="583" t="s">
        <v>5575</v>
      </c>
      <c r="E1525" s="589" t="s">
        <v>410</v>
      </c>
      <c r="F1525" s="590" t="s">
        <v>2117</v>
      </c>
      <c r="G1525" s="590" t="s">
        <v>2118</v>
      </c>
      <c r="H1525" s="590" t="s">
        <v>2119</v>
      </c>
      <c r="I1525" s="590" t="s">
        <v>2120</v>
      </c>
      <c r="J1525" s="590" t="s">
        <v>2121</v>
      </c>
      <c r="K1525" s="590" t="s">
        <v>2122</v>
      </c>
      <c r="L1525" s="441" t="s">
        <v>410</v>
      </c>
      <c r="M1525" s="441" t="s">
        <v>410</v>
      </c>
      <c r="N1525" s="441" t="s">
        <v>410</v>
      </c>
      <c r="O1525" s="441" t="s">
        <v>410</v>
      </c>
      <c r="P1525" s="441" t="s">
        <v>410</v>
      </c>
      <c r="Q1525" s="441" t="s">
        <v>410</v>
      </c>
      <c r="R1525" s="441" t="s">
        <v>410</v>
      </c>
      <c r="S1525" s="441" t="s">
        <v>410</v>
      </c>
      <c r="T1525" s="441" t="s">
        <v>410</v>
      </c>
    </row>
    <row r="1526" spans="1:20" hidden="1" outlineLevel="1" x14ac:dyDescent="0.3">
      <c r="A1526" s="583" t="s">
        <v>5054</v>
      </c>
      <c r="B1526" s="591">
        <v>1</v>
      </c>
      <c r="C1526" s="588" t="s">
        <v>1256</v>
      </c>
      <c r="D1526" s="583" t="s">
        <v>5575</v>
      </c>
      <c r="E1526" s="593" t="s">
        <v>410</v>
      </c>
      <c r="F1526" s="590" t="s">
        <v>67</v>
      </c>
      <c r="G1526" s="590" t="s">
        <v>68</v>
      </c>
      <c r="H1526" s="590" t="s">
        <v>70</v>
      </c>
      <c r="I1526" s="590" t="s">
        <v>72</v>
      </c>
      <c r="J1526" s="441" t="s">
        <v>410</v>
      </c>
      <c r="K1526" s="441" t="s">
        <v>410</v>
      </c>
      <c r="L1526" s="441" t="s">
        <v>410</v>
      </c>
      <c r="M1526" s="441" t="s">
        <v>410</v>
      </c>
      <c r="N1526" s="441" t="s">
        <v>410</v>
      </c>
      <c r="O1526" s="441" t="s">
        <v>410</v>
      </c>
      <c r="P1526" s="441" t="s">
        <v>410</v>
      </c>
      <c r="Q1526" s="441" t="s">
        <v>410</v>
      </c>
      <c r="R1526" s="441" t="s">
        <v>410</v>
      </c>
      <c r="S1526" s="441" t="s">
        <v>410</v>
      </c>
      <c r="T1526" s="441" t="s">
        <v>410</v>
      </c>
    </row>
    <row r="1527" spans="1:20" hidden="1" outlineLevel="1" x14ac:dyDescent="0.3">
      <c r="A1527" s="583" t="s">
        <v>1631</v>
      </c>
      <c r="B1527" s="591">
        <v>1</v>
      </c>
      <c r="C1527" s="583" t="s">
        <v>1256</v>
      </c>
      <c r="D1527" s="583" t="s">
        <v>5575</v>
      </c>
      <c r="E1527" s="592" t="s">
        <v>410</v>
      </c>
      <c r="F1527" s="593" t="s">
        <v>66</v>
      </c>
      <c r="G1527" s="593" t="s">
        <v>67</v>
      </c>
      <c r="H1527" s="593" t="s">
        <v>68</v>
      </c>
      <c r="I1527" s="593" t="s">
        <v>70</v>
      </c>
      <c r="J1527" s="593" t="s">
        <v>72</v>
      </c>
      <c r="K1527" s="594">
        <f>IF(ZRČ&gt;5,ZRČ,5)</f>
        <v>5</v>
      </c>
      <c r="L1527" s="237" t="s">
        <v>410</v>
      </c>
      <c r="M1527" s="237" t="s">
        <v>410</v>
      </c>
      <c r="N1527" s="237" t="s">
        <v>410</v>
      </c>
      <c r="O1527" s="237" t="s">
        <v>410</v>
      </c>
      <c r="P1527" s="237" t="s">
        <v>410</v>
      </c>
      <c r="Q1527" s="237" t="s">
        <v>410</v>
      </c>
      <c r="R1527" s="237" t="s">
        <v>410</v>
      </c>
      <c r="S1527" s="10" t="s">
        <v>410</v>
      </c>
      <c r="T1527" s="10" t="s">
        <v>410</v>
      </c>
    </row>
    <row r="1528" spans="1:20" hidden="1" outlineLevel="1" x14ac:dyDescent="0.3">
      <c r="A1528" s="583" t="s">
        <v>5055</v>
      </c>
      <c r="B1528" s="591">
        <v>1</v>
      </c>
      <c r="C1528" s="588" t="s">
        <v>1256</v>
      </c>
      <c r="D1528" s="583" t="s">
        <v>5575</v>
      </c>
      <c r="E1528" s="593" t="s">
        <v>410</v>
      </c>
      <c r="F1528" s="590" t="s">
        <v>67</v>
      </c>
      <c r="G1528" s="590" t="s">
        <v>68</v>
      </c>
      <c r="H1528" s="590" t="s">
        <v>70</v>
      </c>
      <c r="I1528" s="590" t="s">
        <v>72</v>
      </c>
      <c r="J1528" s="590" t="s">
        <v>74</v>
      </c>
      <c r="K1528" s="441" t="s">
        <v>410</v>
      </c>
      <c r="L1528" s="441" t="s">
        <v>410</v>
      </c>
      <c r="M1528" s="441" t="s">
        <v>410</v>
      </c>
      <c r="N1528" s="441" t="s">
        <v>410</v>
      </c>
      <c r="O1528" s="441" t="s">
        <v>410</v>
      </c>
      <c r="P1528" s="441" t="s">
        <v>410</v>
      </c>
      <c r="Q1528" s="441" t="s">
        <v>410</v>
      </c>
      <c r="R1528" s="441" t="s">
        <v>410</v>
      </c>
      <c r="S1528" s="441" t="s">
        <v>410</v>
      </c>
      <c r="T1528" s="441" t="s">
        <v>410</v>
      </c>
    </row>
    <row r="1529" spans="1:20" hidden="1" outlineLevel="1" x14ac:dyDescent="0.3">
      <c r="A1529" s="583" t="s">
        <v>1662</v>
      </c>
      <c r="B1529" s="591">
        <v>1</v>
      </c>
      <c r="C1529" s="583" t="s">
        <v>1256</v>
      </c>
      <c r="D1529" s="583" t="s">
        <v>5575</v>
      </c>
      <c r="E1529" s="592" t="s">
        <v>410</v>
      </c>
      <c r="F1529" s="593" t="s">
        <v>5577</v>
      </c>
      <c r="G1529" s="593" t="s">
        <v>5578</v>
      </c>
      <c r="H1529" s="593" t="s">
        <v>5579</v>
      </c>
      <c r="I1529" s="593" t="s">
        <v>5684</v>
      </c>
      <c r="J1529" s="593" t="s">
        <v>5580</v>
      </c>
      <c r="K1529" s="593" t="s">
        <v>5685</v>
      </c>
      <c r="L1529" s="237" t="s">
        <v>410</v>
      </c>
      <c r="M1529" s="237" t="s">
        <v>410</v>
      </c>
      <c r="N1529" s="237" t="s">
        <v>410</v>
      </c>
      <c r="O1529" s="237" t="s">
        <v>410</v>
      </c>
      <c r="P1529" s="237" t="s">
        <v>410</v>
      </c>
      <c r="Q1529" s="237" t="s">
        <v>410</v>
      </c>
      <c r="R1529" s="237" t="s">
        <v>410</v>
      </c>
      <c r="S1529" s="10" t="s">
        <v>410</v>
      </c>
      <c r="T1529" s="10" t="s">
        <v>410</v>
      </c>
    </row>
    <row r="1530" spans="1:20" hidden="1" outlineLevel="1" x14ac:dyDescent="0.3">
      <c r="A1530" s="583" t="s">
        <v>3368</v>
      </c>
      <c r="B1530" s="591">
        <v>1</v>
      </c>
      <c r="C1530" s="583" t="s">
        <v>1256</v>
      </c>
      <c r="D1530" s="583" t="s">
        <v>5575</v>
      </c>
      <c r="E1530" s="592" t="s">
        <v>410</v>
      </c>
      <c r="F1530" s="593" t="s">
        <v>5581</v>
      </c>
      <c r="G1530" s="593" t="s">
        <v>68</v>
      </c>
      <c r="H1530" s="593" t="s">
        <v>70</v>
      </c>
      <c r="I1530" s="593" t="s">
        <v>72</v>
      </c>
      <c r="J1530" s="593" t="s">
        <v>74</v>
      </c>
      <c r="K1530" s="237" t="s">
        <v>410</v>
      </c>
      <c r="L1530" s="237" t="s">
        <v>410</v>
      </c>
      <c r="M1530" s="237" t="s">
        <v>410</v>
      </c>
      <c r="N1530" s="237" t="s">
        <v>410</v>
      </c>
      <c r="O1530" s="237" t="s">
        <v>410</v>
      </c>
      <c r="P1530" s="237" t="s">
        <v>410</v>
      </c>
      <c r="Q1530" s="237" t="s">
        <v>410</v>
      </c>
      <c r="R1530" s="237" t="s">
        <v>410</v>
      </c>
      <c r="S1530" s="10" t="s">
        <v>410</v>
      </c>
      <c r="T1530" s="10" t="s">
        <v>410</v>
      </c>
    </row>
    <row r="1531" spans="1:20" hidden="1" outlineLevel="1" x14ac:dyDescent="0.3">
      <c r="A1531" s="583" t="s">
        <v>1673</v>
      </c>
      <c r="B1531" s="591">
        <v>1</v>
      </c>
      <c r="C1531" s="583" t="s">
        <v>1256</v>
      </c>
      <c r="D1531" s="583" t="s">
        <v>5575</v>
      </c>
      <c r="E1531" s="592" t="s">
        <v>66</v>
      </c>
      <c r="F1531" s="593" t="s">
        <v>67</v>
      </c>
      <c r="G1531" s="593" t="s">
        <v>68</v>
      </c>
      <c r="H1531" s="593" t="s">
        <v>70</v>
      </c>
      <c r="I1531" s="593" t="s">
        <v>72</v>
      </c>
      <c r="J1531" s="593" t="s">
        <v>74</v>
      </c>
      <c r="K1531" s="593" t="s">
        <v>75</v>
      </c>
      <c r="L1531" s="237" t="s">
        <v>410</v>
      </c>
      <c r="M1531" s="237" t="s">
        <v>410</v>
      </c>
      <c r="N1531" s="237" t="s">
        <v>410</v>
      </c>
      <c r="O1531" s="237" t="s">
        <v>410</v>
      </c>
      <c r="P1531" s="237" t="s">
        <v>410</v>
      </c>
      <c r="Q1531" s="237" t="s">
        <v>410</v>
      </c>
      <c r="R1531" s="237" t="s">
        <v>410</v>
      </c>
      <c r="S1531" s="10" t="s">
        <v>410</v>
      </c>
      <c r="T1531" s="10" t="s">
        <v>410</v>
      </c>
    </row>
    <row r="1532" spans="1:20" hidden="1" outlineLevel="1" x14ac:dyDescent="0.3">
      <c r="A1532" s="583" t="s">
        <v>1766</v>
      </c>
      <c r="B1532" s="591">
        <v>1</v>
      </c>
      <c r="C1532" s="583" t="s">
        <v>1256</v>
      </c>
      <c r="D1532" s="583" t="s">
        <v>5575</v>
      </c>
      <c r="E1532" s="592" t="s">
        <v>410</v>
      </c>
      <c r="F1532" s="593" t="s">
        <v>5523</v>
      </c>
      <c r="G1532" s="593" t="s">
        <v>68</v>
      </c>
      <c r="H1532" s="593" t="s">
        <v>72</v>
      </c>
      <c r="I1532" s="593" t="s">
        <v>75</v>
      </c>
      <c r="J1532" s="593" t="s">
        <v>77</v>
      </c>
      <c r="K1532" s="237" t="s">
        <v>410</v>
      </c>
      <c r="L1532" s="237" t="s">
        <v>410</v>
      </c>
      <c r="M1532" s="237" t="s">
        <v>410</v>
      </c>
      <c r="N1532" s="237" t="s">
        <v>410</v>
      </c>
      <c r="O1532" s="237" t="s">
        <v>410</v>
      </c>
      <c r="P1532" s="237" t="s">
        <v>410</v>
      </c>
      <c r="Q1532" s="237" t="s">
        <v>410</v>
      </c>
      <c r="R1532" s="237" t="s">
        <v>410</v>
      </c>
      <c r="S1532" s="10" t="s">
        <v>410</v>
      </c>
      <c r="T1532" s="10" t="s">
        <v>410</v>
      </c>
    </row>
    <row r="1533" spans="1:20" hidden="1" outlineLevel="1" x14ac:dyDescent="0.3">
      <c r="A1533" s="583" t="s">
        <v>1767</v>
      </c>
      <c r="B1533" s="591">
        <v>1</v>
      </c>
      <c r="C1533" s="583" t="s">
        <v>1256</v>
      </c>
      <c r="D1533" s="583" t="s">
        <v>5575</v>
      </c>
      <c r="E1533" s="593" t="s">
        <v>3250</v>
      </c>
      <c r="F1533" s="593" t="s">
        <v>3251</v>
      </c>
      <c r="G1533" s="593" t="s">
        <v>3252</v>
      </c>
      <c r="H1533" s="593" t="s">
        <v>3253</v>
      </c>
      <c r="I1533" s="593" t="s">
        <v>3254</v>
      </c>
      <c r="J1533" s="910" t="s">
        <v>410</v>
      </c>
      <c r="K1533" s="237" t="s">
        <v>410</v>
      </c>
      <c r="L1533" s="237" t="s">
        <v>410</v>
      </c>
      <c r="M1533" s="237" t="s">
        <v>410</v>
      </c>
      <c r="N1533" s="237" t="s">
        <v>410</v>
      </c>
      <c r="O1533" s="237" t="s">
        <v>410</v>
      </c>
      <c r="P1533" s="237" t="s">
        <v>410</v>
      </c>
      <c r="Q1533" s="237" t="s">
        <v>410</v>
      </c>
      <c r="R1533" s="237" t="s">
        <v>410</v>
      </c>
      <c r="S1533" s="10" t="s">
        <v>410</v>
      </c>
      <c r="T1533" s="10" t="s">
        <v>410</v>
      </c>
    </row>
    <row r="1534" spans="1:20" hidden="1" outlineLevel="1" x14ac:dyDescent="0.3">
      <c r="A1534" s="583" t="s">
        <v>1769</v>
      </c>
      <c r="B1534" s="591">
        <v>1</v>
      </c>
      <c r="C1534" s="583" t="s">
        <v>1256</v>
      </c>
      <c r="D1534" s="583" t="s">
        <v>5575</v>
      </c>
      <c r="E1534" s="592" t="s">
        <v>410</v>
      </c>
      <c r="F1534" s="592" t="s">
        <v>5026</v>
      </c>
      <c r="G1534" s="237" t="s">
        <v>410</v>
      </c>
      <c r="H1534" s="237" t="s">
        <v>410</v>
      </c>
      <c r="I1534" s="237" t="s">
        <v>410</v>
      </c>
      <c r="J1534" s="237" t="s">
        <v>410</v>
      </c>
      <c r="K1534" s="237" t="s">
        <v>410</v>
      </c>
      <c r="L1534" s="237" t="s">
        <v>410</v>
      </c>
      <c r="M1534" s="237" t="s">
        <v>410</v>
      </c>
      <c r="N1534" s="237" t="s">
        <v>410</v>
      </c>
      <c r="O1534" s="237" t="s">
        <v>410</v>
      </c>
      <c r="P1534" s="237" t="s">
        <v>410</v>
      </c>
      <c r="Q1534" s="237" t="s">
        <v>410</v>
      </c>
      <c r="R1534" s="237" t="s">
        <v>410</v>
      </c>
      <c r="S1534" s="10" t="s">
        <v>410</v>
      </c>
      <c r="T1534" s="10" t="s">
        <v>410</v>
      </c>
    </row>
    <row r="1535" spans="1:20" hidden="1" outlineLevel="1" x14ac:dyDescent="0.3">
      <c r="A1535" s="583" t="s">
        <v>1821</v>
      </c>
      <c r="B1535" s="591">
        <v>1</v>
      </c>
      <c r="C1535" s="583" t="s">
        <v>1256</v>
      </c>
      <c r="D1535" s="583" t="s">
        <v>5575</v>
      </c>
      <c r="E1535" s="592" t="s">
        <v>65</v>
      </c>
      <c r="F1535" s="593" t="s">
        <v>66</v>
      </c>
      <c r="G1535" s="593" t="s">
        <v>67</v>
      </c>
      <c r="H1535" s="593" t="s">
        <v>68</v>
      </c>
      <c r="I1535" s="593" t="s">
        <v>70</v>
      </c>
      <c r="J1535" s="237" t="s">
        <v>410</v>
      </c>
      <c r="K1535" s="237" t="s">
        <v>410</v>
      </c>
      <c r="L1535" s="237" t="s">
        <v>410</v>
      </c>
      <c r="M1535" s="237" t="s">
        <v>410</v>
      </c>
      <c r="N1535" s="237" t="s">
        <v>410</v>
      </c>
      <c r="O1535" s="237" t="s">
        <v>410</v>
      </c>
      <c r="P1535" s="237" t="s">
        <v>410</v>
      </c>
      <c r="Q1535" s="237" t="s">
        <v>410</v>
      </c>
      <c r="R1535" s="237" t="s">
        <v>410</v>
      </c>
      <c r="S1535" s="10" t="s">
        <v>410</v>
      </c>
      <c r="T1535" s="10" t="s">
        <v>410</v>
      </c>
    </row>
    <row r="1536" spans="1:20" hidden="1" outlineLevel="1" x14ac:dyDescent="0.3">
      <c r="A1536" s="583" t="s">
        <v>1867</v>
      </c>
      <c r="B1536" s="591">
        <v>1</v>
      </c>
      <c r="C1536" s="583" t="s">
        <v>1256</v>
      </c>
      <c r="D1536" s="583" t="s">
        <v>5575</v>
      </c>
      <c r="E1536" s="592" t="s">
        <v>410</v>
      </c>
      <c r="F1536" s="593" t="s">
        <v>2243</v>
      </c>
      <c r="G1536" s="593" t="s">
        <v>2244</v>
      </c>
      <c r="H1536" s="593" t="s">
        <v>2245</v>
      </c>
      <c r="I1536" s="593" t="s">
        <v>2246</v>
      </c>
      <c r="J1536" s="237" t="s">
        <v>410</v>
      </c>
      <c r="K1536" s="237" t="s">
        <v>410</v>
      </c>
      <c r="L1536" s="237" t="s">
        <v>410</v>
      </c>
      <c r="M1536" s="237" t="s">
        <v>410</v>
      </c>
      <c r="N1536" s="237" t="s">
        <v>410</v>
      </c>
      <c r="O1536" s="237" t="s">
        <v>410</v>
      </c>
      <c r="P1536" s="237" t="s">
        <v>410</v>
      </c>
      <c r="Q1536" s="237" t="s">
        <v>410</v>
      </c>
      <c r="R1536" s="237" t="s">
        <v>410</v>
      </c>
      <c r="S1536" s="10" t="s">
        <v>410</v>
      </c>
      <c r="T1536" s="10" t="s">
        <v>410</v>
      </c>
    </row>
    <row r="1537" spans="1:20" hidden="1" outlineLevel="1" x14ac:dyDescent="0.3">
      <c r="A1537" s="583" t="s">
        <v>1892</v>
      </c>
      <c r="B1537" s="591">
        <v>1</v>
      </c>
      <c r="C1537" s="583" t="s">
        <v>1256</v>
      </c>
      <c r="D1537" s="583" t="s">
        <v>5575</v>
      </c>
      <c r="E1537" s="592" t="s">
        <v>410</v>
      </c>
      <c r="F1537" s="593" t="s">
        <v>67</v>
      </c>
      <c r="G1537" s="593" t="s">
        <v>68</v>
      </c>
      <c r="H1537" s="593" t="s">
        <v>70</v>
      </c>
      <c r="I1537" s="854">
        <f>IF(CHR&lt;4,4,CHR)</f>
        <v>4</v>
      </c>
      <c r="J1537" s="237" t="s">
        <v>410</v>
      </c>
      <c r="K1537" s="237" t="s">
        <v>410</v>
      </c>
      <c r="L1537" s="237" t="s">
        <v>410</v>
      </c>
      <c r="M1537" s="237" t="s">
        <v>410</v>
      </c>
      <c r="N1537" s="237" t="s">
        <v>410</v>
      </c>
      <c r="O1537" s="237" t="s">
        <v>410</v>
      </c>
      <c r="P1537" s="237" t="s">
        <v>410</v>
      </c>
      <c r="Q1537" s="237" t="s">
        <v>410</v>
      </c>
      <c r="R1537" s="237" t="s">
        <v>410</v>
      </c>
      <c r="S1537" s="10" t="s">
        <v>410</v>
      </c>
      <c r="T1537" s="10" t="s">
        <v>410</v>
      </c>
    </row>
    <row r="1538" spans="1:20" hidden="1" outlineLevel="1" x14ac:dyDescent="0.3">
      <c r="A1538" s="583" t="s">
        <v>1929</v>
      </c>
      <c r="B1538" s="591">
        <v>1</v>
      </c>
      <c r="C1538" s="583" t="s">
        <v>1256</v>
      </c>
      <c r="D1538" s="583" t="s">
        <v>5575</v>
      </c>
      <c r="E1538" s="592" t="s">
        <v>410</v>
      </c>
      <c r="F1538" s="593" t="s">
        <v>67</v>
      </c>
      <c r="G1538" s="593" t="s">
        <v>68</v>
      </c>
      <c r="H1538" s="593" t="s">
        <v>70</v>
      </c>
      <c r="I1538" s="593" t="s">
        <v>72</v>
      </c>
      <c r="J1538" s="237" t="s">
        <v>410</v>
      </c>
      <c r="K1538" s="237" t="s">
        <v>410</v>
      </c>
      <c r="L1538" s="237" t="s">
        <v>410</v>
      </c>
      <c r="M1538" s="237" t="s">
        <v>410</v>
      </c>
      <c r="N1538" s="237" t="s">
        <v>410</v>
      </c>
      <c r="O1538" s="237" t="s">
        <v>410</v>
      </c>
      <c r="P1538" s="237" t="s">
        <v>410</v>
      </c>
      <c r="Q1538" s="237" t="s">
        <v>410</v>
      </c>
      <c r="R1538" s="237" t="s">
        <v>410</v>
      </c>
      <c r="S1538" s="10" t="s">
        <v>410</v>
      </c>
      <c r="T1538" s="10" t="s">
        <v>410</v>
      </c>
    </row>
    <row r="1539" spans="1:20" hidden="1" outlineLevel="1" x14ac:dyDescent="0.3">
      <c r="A1539" s="583" t="s">
        <v>1937</v>
      </c>
      <c r="B1539" s="591">
        <v>1</v>
      </c>
      <c r="C1539" s="583" t="s">
        <v>1256</v>
      </c>
      <c r="D1539" s="583" t="s">
        <v>5575</v>
      </c>
      <c r="E1539" s="592" t="s">
        <v>410</v>
      </c>
      <c r="F1539" s="593" t="s">
        <v>67</v>
      </c>
      <c r="G1539" s="593" t="s">
        <v>68</v>
      </c>
      <c r="H1539" s="593" t="s">
        <v>70</v>
      </c>
      <c r="I1539" s="593" t="s">
        <v>72</v>
      </c>
      <c r="J1539" s="237" t="s">
        <v>410</v>
      </c>
      <c r="K1539" s="237" t="s">
        <v>410</v>
      </c>
      <c r="L1539" s="237" t="s">
        <v>410</v>
      </c>
      <c r="M1539" s="237" t="s">
        <v>410</v>
      </c>
      <c r="N1539" s="237" t="s">
        <v>410</v>
      </c>
      <c r="O1539" s="237" t="s">
        <v>410</v>
      </c>
      <c r="P1539" s="237" t="s">
        <v>410</v>
      </c>
      <c r="Q1539" s="237" t="s">
        <v>410</v>
      </c>
      <c r="R1539" s="237" t="s">
        <v>410</v>
      </c>
      <c r="S1539" s="10" t="s">
        <v>410</v>
      </c>
      <c r="T1539" s="10" t="s">
        <v>410</v>
      </c>
    </row>
    <row r="1540" spans="1:20" hidden="1" outlineLevel="1" x14ac:dyDescent="0.3">
      <c r="A1540" s="583" t="s">
        <v>5124</v>
      </c>
      <c r="B1540" s="591">
        <v>1</v>
      </c>
      <c r="C1540" s="583" t="s">
        <v>1256</v>
      </c>
      <c r="D1540" s="583" t="s">
        <v>5575</v>
      </c>
      <c r="E1540" s="592" t="s">
        <v>410</v>
      </c>
      <c r="F1540" s="593" t="s">
        <v>2176</v>
      </c>
      <c r="G1540" s="237" t="s">
        <v>410</v>
      </c>
      <c r="H1540" s="237" t="s">
        <v>410</v>
      </c>
      <c r="I1540" s="237" t="s">
        <v>410</v>
      </c>
      <c r="J1540" s="237" t="s">
        <v>410</v>
      </c>
      <c r="K1540" s="237" t="s">
        <v>410</v>
      </c>
      <c r="L1540" s="237" t="s">
        <v>410</v>
      </c>
      <c r="M1540" s="237" t="s">
        <v>410</v>
      </c>
      <c r="N1540" s="237" t="s">
        <v>410</v>
      </c>
      <c r="O1540" s="237" t="s">
        <v>410</v>
      </c>
      <c r="P1540" s="237" t="s">
        <v>410</v>
      </c>
      <c r="Q1540" s="237" t="s">
        <v>410</v>
      </c>
      <c r="R1540" s="237" t="s">
        <v>410</v>
      </c>
      <c r="S1540" s="10" t="s">
        <v>410</v>
      </c>
      <c r="T1540" s="10" t="s">
        <v>410</v>
      </c>
    </row>
    <row r="1541" spans="1:20" hidden="1" outlineLevel="1" x14ac:dyDescent="0.3">
      <c r="A1541" s="583" t="s">
        <v>1955</v>
      </c>
      <c r="B1541" s="591">
        <v>1</v>
      </c>
      <c r="C1541" s="583" t="s">
        <v>1256</v>
      </c>
      <c r="D1541" s="583" t="s">
        <v>5575</v>
      </c>
      <c r="E1541" s="593" t="s">
        <v>410</v>
      </c>
      <c r="F1541" s="593" t="s">
        <v>2288</v>
      </c>
      <c r="G1541" s="593" t="s">
        <v>2289</v>
      </c>
      <c r="H1541" s="593" t="s">
        <v>2290</v>
      </c>
      <c r="I1541" s="593" t="s">
        <v>2291</v>
      </c>
      <c r="J1541" s="593" t="s">
        <v>2292</v>
      </c>
      <c r="K1541" s="593" t="s">
        <v>2293</v>
      </c>
      <c r="L1541" s="237" t="s">
        <v>410</v>
      </c>
      <c r="M1541" s="237" t="s">
        <v>410</v>
      </c>
      <c r="N1541" s="237" t="s">
        <v>410</v>
      </c>
      <c r="O1541" s="237" t="s">
        <v>410</v>
      </c>
      <c r="P1541" s="237" t="s">
        <v>410</v>
      </c>
      <c r="Q1541" s="237" t="s">
        <v>410</v>
      </c>
      <c r="R1541" s="237" t="s">
        <v>410</v>
      </c>
      <c r="S1541" s="237" t="s">
        <v>410</v>
      </c>
      <c r="T1541" s="237" t="s">
        <v>410</v>
      </c>
    </row>
    <row r="1542" spans="1:20" hidden="1" outlineLevel="1" x14ac:dyDescent="0.3">
      <c r="A1542" s="583" t="s">
        <v>5058</v>
      </c>
      <c r="B1542" s="591">
        <v>1</v>
      </c>
      <c r="C1542" s="583" t="s">
        <v>1256</v>
      </c>
      <c r="D1542" s="583" t="s">
        <v>5575</v>
      </c>
      <c r="E1542" s="593" t="s">
        <v>410</v>
      </c>
      <c r="F1542" s="593" t="s">
        <v>67</v>
      </c>
      <c r="G1542" s="593" t="s">
        <v>68</v>
      </c>
      <c r="H1542" s="593" t="s">
        <v>70</v>
      </c>
      <c r="I1542" s="593" t="s">
        <v>72</v>
      </c>
      <c r="J1542" s="593" t="s">
        <v>74</v>
      </c>
      <c r="K1542" s="237" t="s">
        <v>410</v>
      </c>
      <c r="L1542" s="237" t="s">
        <v>410</v>
      </c>
      <c r="M1542" s="237" t="s">
        <v>410</v>
      </c>
      <c r="N1542" s="237" t="s">
        <v>410</v>
      </c>
      <c r="O1542" s="237" t="s">
        <v>410</v>
      </c>
      <c r="P1542" s="237" t="s">
        <v>410</v>
      </c>
      <c r="Q1542" s="237" t="s">
        <v>410</v>
      </c>
      <c r="R1542" s="237" t="s">
        <v>410</v>
      </c>
      <c r="S1542" s="237" t="s">
        <v>410</v>
      </c>
      <c r="T1542" s="237" t="s">
        <v>410</v>
      </c>
    </row>
    <row r="1543" spans="1:20" hidden="1" outlineLevel="1" x14ac:dyDescent="0.3">
      <c r="A1543" s="583" t="s">
        <v>5203</v>
      </c>
      <c r="B1543" s="591">
        <v>1</v>
      </c>
      <c r="C1543" s="583" t="s">
        <v>1256</v>
      </c>
      <c r="D1543" s="583" t="s">
        <v>5575</v>
      </c>
      <c r="E1543" s="592" t="s">
        <v>410</v>
      </c>
      <c r="F1543" s="593" t="s">
        <v>1482</v>
      </c>
      <c r="G1543" s="593" t="s">
        <v>3433</v>
      </c>
      <c r="H1543" s="593" t="s">
        <v>3435</v>
      </c>
      <c r="I1543" s="594" t="s">
        <v>4298</v>
      </c>
      <c r="J1543" s="594" t="s">
        <v>4299</v>
      </c>
      <c r="K1543" s="237" t="s">
        <v>410</v>
      </c>
      <c r="L1543" s="237" t="s">
        <v>410</v>
      </c>
      <c r="M1543" s="237" t="s">
        <v>410</v>
      </c>
      <c r="N1543" s="237" t="s">
        <v>410</v>
      </c>
      <c r="O1543" s="237" t="s">
        <v>410</v>
      </c>
      <c r="P1543" s="237" t="s">
        <v>410</v>
      </c>
      <c r="Q1543" s="237" t="s">
        <v>410</v>
      </c>
      <c r="R1543" s="237" t="s">
        <v>410</v>
      </c>
      <c r="S1543" s="10" t="s">
        <v>410</v>
      </c>
      <c r="T1543" s="10" t="s">
        <v>410</v>
      </c>
    </row>
    <row r="1544" spans="1:20" hidden="1" outlineLevel="1" x14ac:dyDescent="0.3">
      <c r="A1544" s="583" t="s">
        <v>5576</v>
      </c>
      <c r="B1544" s="591">
        <v>1</v>
      </c>
      <c r="C1544" s="583" t="s">
        <v>1256</v>
      </c>
      <c r="D1544" s="583" t="s">
        <v>5575</v>
      </c>
      <c r="E1544" s="593" t="s">
        <v>410</v>
      </c>
      <c r="F1544" s="593" t="s">
        <v>4343</v>
      </c>
      <c r="G1544" s="593" t="s">
        <v>4344</v>
      </c>
      <c r="H1544" s="593" t="s">
        <v>4345</v>
      </c>
      <c r="I1544" s="593" t="s">
        <v>4346</v>
      </c>
      <c r="J1544" s="593" t="s">
        <v>4347</v>
      </c>
      <c r="K1544" s="593" t="s">
        <v>4348</v>
      </c>
      <c r="L1544" s="237" t="s">
        <v>410</v>
      </c>
      <c r="M1544" s="237" t="s">
        <v>410</v>
      </c>
      <c r="N1544" s="237" t="s">
        <v>410</v>
      </c>
      <c r="O1544" s="237" t="s">
        <v>410</v>
      </c>
      <c r="P1544" s="237" t="s">
        <v>410</v>
      </c>
      <c r="Q1544" s="237" t="s">
        <v>410</v>
      </c>
      <c r="R1544" s="237" t="s">
        <v>410</v>
      </c>
      <c r="S1544" s="237" t="s">
        <v>410</v>
      </c>
      <c r="T1544" s="237" t="s">
        <v>410</v>
      </c>
    </row>
    <row r="1545" spans="1:20" hidden="1" outlineLevel="1" x14ac:dyDescent="0.3">
      <c r="A1545" s="583" t="s">
        <v>5059</v>
      </c>
      <c r="B1545" s="591">
        <v>1</v>
      </c>
      <c r="C1545" s="588" t="s">
        <v>1256</v>
      </c>
      <c r="D1545" s="583" t="s">
        <v>5575</v>
      </c>
      <c r="E1545" s="592" t="s">
        <v>410</v>
      </c>
      <c r="F1545" s="592" t="s">
        <v>5028</v>
      </c>
      <c r="G1545" s="592" t="s">
        <v>5029</v>
      </c>
      <c r="H1545" s="592" t="s">
        <v>5030</v>
      </c>
      <c r="I1545" s="592" t="s">
        <v>5031</v>
      </c>
      <c r="J1545" s="592" t="s">
        <v>5032</v>
      </c>
      <c r="K1545" s="441" t="s">
        <v>410</v>
      </c>
      <c r="L1545" s="441" t="s">
        <v>410</v>
      </c>
      <c r="M1545" s="441" t="s">
        <v>410</v>
      </c>
      <c r="N1545" s="441" t="s">
        <v>410</v>
      </c>
      <c r="O1545" s="441" t="s">
        <v>410</v>
      </c>
      <c r="P1545" s="441" t="s">
        <v>410</v>
      </c>
      <c r="Q1545" s="441" t="s">
        <v>410</v>
      </c>
      <c r="R1545" s="441" t="s">
        <v>410</v>
      </c>
      <c r="S1545" s="441" t="s">
        <v>410</v>
      </c>
      <c r="T1545" s="441" t="s">
        <v>410</v>
      </c>
    </row>
    <row r="1546" spans="1:20" hidden="1" outlineLevel="1" x14ac:dyDescent="0.3">
      <c r="A1546" s="583" t="s">
        <v>1477</v>
      </c>
      <c r="B1546" s="591">
        <v>2</v>
      </c>
      <c r="C1546" s="583" t="s">
        <v>1256</v>
      </c>
      <c r="D1546" s="583" t="s">
        <v>5575</v>
      </c>
      <c r="E1546" s="589" t="s">
        <v>410</v>
      </c>
      <c r="F1546" s="590" t="s">
        <v>1525</v>
      </c>
      <c r="G1546" s="590" t="s">
        <v>3316</v>
      </c>
      <c r="H1546" s="590" t="s">
        <v>4233</v>
      </c>
      <c r="I1546" s="590" t="s">
        <v>4234</v>
      </c>
      <c r="J1546" s="441" t="s">
        <v>410</v>
      </c>
      <c r="K1546" s="441" t="s">
        <v>410</v>
      </c>
      <c r="L1546" s="441" t="s">
        <v>410</v>
      </c>
      <c r="M1546" s="441" t="s">
        <v>410</v>
      </c>
      <c r="N1546" s="441" t="s">
        <v>410</v>
      </c>
      <c r="O1546" s="441" t="s">
        <v>410</v>
      </c>
      <c r="P1546" s="441" t="s">
        <v>410</v>
      </c>
      <c r="Q1546" s="441" t="s">
        <v>410</v>
      </c>
      <c r="R1546" s="441" t="s">
        <v>410</v>
      </c>
      <c r="S1546" s="441" t="s">
        <v>410</v>
      </c>
      <c r="T1546" s="441" t="s">
        <v>410</v>
      </c>
    </row>
    <row r="1547" spans="1:20" hidden="1" outlineLevel="1" x14ac:dyDescent="0.3">
      <c r="A1547" s="583" t="s">
        <v>1838</v>
      </c>
      <c r="B1547" s="591">
        <v>3</v>
      </c>
      <c r="C1547" s="583" t="s">
        <v>1256</v>
      </c>
      <c r="D1547" s="583" t="s">
        <v>5575</v>
      </c>
      <c r="E1547" s="592" t="s">
        <v>410</v>
      </c>
      <c r="F1547" s="593" t="s">
        <v>1839</v>
      </c>
      <c r="G1547" s="593" t="s">
        <v>1840</v>
      </c>
      <c r="H1547" s="593" t="s">
        <v>3198</v>
      </c>
      <c r="I1547" s="593" t="s">
        <v>1841</v>
      </c>
      <c r="J1547" s="593" t="s">
        <v>1842</v>
      </c>
      <c r="K1547" s="237" t="s">
        <v>410</v>
      </c>
      <c r="L1547" s="237" t="s">
        <v>410</v>
      </c>
      <c r="M1547" s="237" t="s">
        <v>410</v>
      </c>
      <c r="N1547" s="237" t="s">
        <v>410</v>
      </c>
      <c r="O1547" s="237" t="s">
        <v>410</v>
      </c>
      <c r="P1547" s="237" t="s">
        <v>410</v>
      </c>
      <c r="Q1547" s="237" t="s">
        <v>410</v>
      </c>
      <c r="R1547" s="237" t="s">
        <v>410</v>
      </c>
      <c r="S1547" s="10" t="s">
        <v>410</v>
      </c>
      <c r="T1547" s="10" t="s">
        <v>410</v>
      </c>
    </row>
    <row r="1548" spans="1:20" hidden="1" outlineLevel="1" x14ac:dyDescent="0.3">
      <c r="A1548" s="583" t="s">
        <v>1846</v>
      </c>
      <c r="B1548" s="591">
        <v>6</v>
      </c>
      <c r="C1548" s="583" t="s">
        <v>1256</v>
      </c>
      <c r="D1548" s="583" t="s">
        <v>5575</v>
      </c>
      <c r="E1548" s="592" t="s">
        <v>410</v>
      </c>
      <c r="F1548" s="593" t="s">
        <v>1591</v>
      </c>
      <c r="G1548" s="593" t="s">
        <v>1847</v>
      </c>
      <c r="H1548" s="593" t="s">
        <v>3198</v>
      </c>
      <c r="I1548" s="593" t="s">
        <v>1841</v>
      </c>
      <c r="J1548" s="593" t="s">
        <v>1842</v>
      </c>
      <c r="K1548" s="237" t="s">
        <v>410</v>
      </c>
      <c r="L1548" s="237" t="s">
        <v>410</v>
      </c>
      <c r="M1548" s="237" t="s">
        <v>410</v>
      </c>
      <c r="N1548" s="237" t="s">
        <v>410</v>
      </c>
      <c r="O1548" s="237" t="s">
        <v>410</v>
      </c>
      <c r="P1548" s="237" t="s">
        <v>410</v>
      </c>
      <c r="Q1548" s="237" t="s">
        <v>410</v>
      </c>
      <c r="R1548" s="237" t="s">
        <v>410</v>
      </c>
      <c r="S1548" s="10" t="s">
        <v>410</v>
      </c>
      <c r="T1548" s="10" t="s">
        <v>410</v>
      </c>
    </row>
    <row r="1549" spans="1:20" hidden="1" outlineLevel="1" x14ac:dyDescent="0.3">
      <c r="A1549" s="583" t="s">
        <v>3268</v>
      </c>
      <c r="B1549" s="591">
        <v>6</v>
      </c>
      <c r="C1549" s="583" t="s">
        <v>1256</v>
      </c>
      <c r="D1549" s="583" t="s">
        <v>5575</v>
      </c>
      <c r="E1549" s="592" t="s">
        <v>410</v>
      </c>
      <c r="F1549" s="593" t="s">
        <v>3126</v>
      </c>
      <c r="G1549" s="593" t="s">
        <v>3127</v>
      </c>
      <c r="H1549" s="593" t="s">
        <v>3128</v>
      </c>
      <c r="I1549" s="593" t="s">
        <v>3129</v>
      </c>
      <c r="J1549" s="593" t="s">
        <v>3130</v>
      </c>
      <c r="K1549" s="237" t="s">
        <v>410</v>
      </c>
      <c r="L1549" s="237" t="s">
        <v>410</v>
      </c>
      <c r="M1549" s="237" t="s">
        <v>410</v>
      </c>
      <c r="N1549" s="237" t="s">
        <v>410</v>
      </c>
      <c r="O1549" s="237" t="s">
        <v>410</v>
      </c>
      <c r="P1549" s="237" t="s">
        <v>410</v>
      </c>
      <c r="Q1549" s="237" t="s">
        <v>410</v>
      </c>
      <c r="R1549" s="237" t="s">
        <v>410</v>
      </c>
      <c r="S1549" s="10" t="s">
        <v>410</v>
      </c>
      <c r="T1549" s="10" t="s">
        <v>410</v>
      </c>
    </row>
    <row r="1550" spans="1:20" hidden="1" outlineLevel="1" x14ac:dyDescent="0.3">
      <c r="A1550" s="583" t="s">
        <v>1920</v>
      </c>
      <c r="B1550" s="591">
        <v>6</v>
      </c>
      <c r="C1550" s="583" t="s">
        <v>1256</v>
      </c>
      <c r="D1550" s="583" t="s">
        <v>5575</v>
      </c>
      <c r="E1550" s="10" t="s">
        <v>410</v>
      </c>
      <c r="F1550" s="593" t="s">
        <v>67</v>
      </c>
      <c r="G1550" s="593" t="s">
        <v>68</v>
      </c>
      <c r="H1550" s="593" t="s">
        <v>70</v>
      </c>
      <c r="I1550" s="593" t="s">
        <v>72</v>
      </c>
      <c r="J1550" s="237" t="s">
        <v>410</v>
      </c>
      <c r="K1550" s="237" t="s">
        <v>410</v>
      </c>
      <c r="L1550" s="237" t="s">
        <v>410</v>
      </c>
      <c r="M1550" s="237" t="s">
        <v>410</v>
      </c>
      <c r="N1550" s="237" t="s">
        <v>410</v>
      </c>
      <c r="O1550" s="237" t="s">
        <v>410</v>
      </c>
      <c r="P1550" s="237" t="s">
        <v>410</v>
      </c>
      <c r="Q1550" s="237" t="s">
        <v>410</v>
      </c>
      <c r="R1550" s="237" t="s">
        <v>410</v>
      </c>
      <c r="S1550" s="10" t="s">
        <v>410</v>
      </c>
      <c r="T1550" s="10" t="s">
        <v>410</v>
      </c>
    </row>
    <row r="1551" spans="1:20" hidden="1" outlineLevel="1" x14ac:dyDescent="0.3">
      <c r="A1551" s="583" t="s">
        <v>4189</v>
      </c>
      <c r="B1551" s="591">
        <v>6</v>
      </c>
      <c r="C1551" s="583" t="s">
        <v>1256</v>
      </c>
      <c r="D1551" s="583" t="s">
        <v>5575</v>
      </c>
      <c r="E1551" s="592" t="s">
        <v>410</v>
      </c>
      <c r="F1551" s="593" t="s">
        <v>4304</v>
      </c>
      <c r="G1551" s="593" t="s">
        <v>4305</v>
      </c>
      <c r="H1551" s="593" t="s">
        <v>4306</v>
      </c>
      <c r="I1551" s="593" t="s">
        <v>4307</v>
      </c>
      <c r="J1551" s="593" t="s">
        <v>4308</v>
      </c>
      <c r="K1551" s="593" t="s">
        <v>4309</v>
      </c>
      <c r="L1551" s="593" t="s">
        <v>4310</v>
      </c>
      <c r="M1551" s="593" t="s">
        <v>4311</v>
      </c>
      <c r="N1551" s="593" t="s">
        <v>410</v>
      </c>
      <c r="O1551" s="593" t="s">
        <v>410</v>
      </c>
      <c r="P1551" s="237" t="s">
        <v>410</v>
      </c>
      <c r="Q1551" s="237" t="s">
        <v>410</v>
      </c>
      <c r="R1551" s="237" t="s">
        <v>410</v>
      </c>
      <c r="S1551" s="10" t="s">
        <v>410</v>
      </c>
      <c r="T1551" s="10" t="s">
        <v>410</v>
      </c>
    </row>
    <row r="1552" spans="1:20" hidden="1" outlineLevel="1" x14ac:dyDescent="0.3">
      <c r="A1552" s="583" t="s">
        <v>1994</v>
      </c>
      <c r="B1552" s="591">
        <v>6</v>
      </c>
      <c r="C1552" s="583" t="s">
        <v>1256</v>
      </c>
      <c r="D1552" s="583" t="s">
        <v>5575</v>
      </c>
      <c r="E1552" s="593" t="s">
        <v>410</v>
      </c>
      <c r="F1552" s="593" t="s">
        <v>67</v>
      </c>
      <c r="G1552" s="593" t="s">
        <v>3159</v>
      </c>
      <c r="H1552" s="593" t="s">
        <v>3160</v>
      </c>
      <c r="I1552" s="237" t="s">
        <v>410</v>
      </c>
      <c r="J1552" s="237" t="s">
        <v>410</v>
      </c>
      <c r="K1552" s="237" t="s">
        <v>410</v>
      </c>
      <c r="L1552" s="237" t="s">
        <v>410</v>
      </c>
      <c r="M1552" s="237" t="s">
        <v>410</v>
      </c>
      <c r="N1552" s="237" t="s">
        <v>410</v>
      </c>
      <c r="O1552" s="237" t="s">
        <v>410</v>
      </c>
      <c r="P1552" s="237" t="s">
        <v>410</v>
      </c>
      <c r="Q1552" s="237" t="s">
        <v>410</v>
      </c>
      <c r="R1552" s="237" t="s">
        <v>410</v>
      </c>
      <c r="S1552" s="237" t="s">
        <v>410</v>
      </c>
      <c r="T1552" s="237" t="s">
        <v>410</v>
      </c>
    </row>
    <row r="1553" spans="1:20" hidden="1" outlineLevel="1" x14ac:dyDescent="0.3">
      <c r="A1553" s="583" t="s">
        <v>5060</v>
      </c>
      <c r="B1553" s="591">
        <v>8</v>
      </c>
      <c r="C1553" s="583" t="s">
        <v>1256</v>
      </c>
      <c r="D1553" s="583" t="s">
        <v>5575</v>
      </c>
      <c r="E1553" s="592" t="s">
        <v>410</v>
      </c>
      <c r="F1553" s="593"/>
      <c r="G1553" s="237" t="s">
        <v>410</v>
      </c>
      <c r="H1553" s="237" t="s">
        <v>410</v>
      </c>
      <c r="I1553" s="237" t="s">
        <v>410</v>
      </c>
      <c r="J1553" s="237" t="s">
        <v>410</v>
      </c>
      <c r="K1553" s="237" t="s">
        <v>410</v>
      </c>
      <c r="L1553" s="237" t="s">
        <v>410</v>
      </c>
      <c r="M1553" s="237" t="s">
        <v>410</v>
      </c>
      <c r="N1553" s="237" t="s">
        <v>410</v>
      </c>
      <c r="O1553" s="237" t="s">
        <v>410</v>
      </c>
      <c r="P1553" s="237" t="s">
        <v>410</v>
      </c>
      <c r="Q1553" s="237" t="s">
        <v>410</v>
      </c>
      <c r="R1553" s="237" t="s">
        <v>410</v>
      </c>
      <c r="S1553" s="10" t="s">
        <v>410</v>
      </c>
      <c r="T1553" s="10" t="s">
        <v>410</v>
      </c>
    </row>
    <row r="1554" spans="1:20" hidden="1" outlineLevel="1" x14ac:dyDescent="0.3">
      <c r="A1554" s="583" t="s">
        <v>5225</v>
      </c>
      <c r="B1554" s="591">
        <v>8</v>
      </c>
      <c r="C1554" s="583" t="s">
        <v>1256</v>
      </c>
      <c r="D1554" s="583" t="s">
        <v>5575</v>
      </c>
      <c r="E1554" s="593" t="s">
        <v>410</v>
      </c>
      <c r="F1554" s="593"/>
      <c r="G1554" s="441" t="s">
        <v>410</v>
      </c>
      <c r="H1554" s="441" t="s">
        <v>410</v>
      </c>
      <c r="I1554" s="441" t="s">
        <v>410</v>
      </c>
      <c r="J1554" s="441" t="s">
        <v>410</v>
      </c>
      <c r="K1554" s="441" t="s">
        <v>410</v>
      </c>
      <c r="L1554" s="441" t="s">
        <v>410</v>
      </c>
      <c r="M1554" s="441" t="s">
        <v>410</v>
      </c>
      <c r="N1554" s="441" t="s">
        <v>410</v>
      </c>
      <c r="O1554" s="441" t="s">
        <v>410</v>
      </c>
      <c r="P1554" s="441" t="s">
        <v>410</v>
      </c>
      <c r="Q1554" s="441" t="s">
        <v>410</v>
      </c>
      <c r="R1554" s="441" t="s">
        <v>410</v>
      </c>
      <c r="S1554" s="441" t="s">
        <v>410</v>
      </c>
      <c r="T1554" s="441" t="s">
        <v>410</v>
      </c>
    </row>
    <row r="1555" spans="1:20" hidden="1" outlineLevel="1" x14ac:dyDescent="0.3">
      <c r="A1555" s="583" t="s">
        <v>5061</v>
      </c>
      <c r="B1555" s="591">
        <v>8</v>
      </c>
      <c r="C1555" s="583" t="s">
        <v>1256</v>
      </c>
      <c r="D1555" s="583" t="s">
        <v>5575</v>
      </c>
      <c r="E1555" s="592" t="s">
        <v>410</v>
      </c>
      <c r="F1555" s="593"/>
      <c r="G1555" s="441" t="s">
        <v>410</v>
      </c>
      <c r="H1555" s="441" t="s">
        <v>410</v>
      </c>
      <c r="I1555" s="441" t="s">
        <v>410</v>
      </c>
      <c r="J1555" s="441" t="s">
        <v>410</v>
      </c>
      <c r="K1555" s="441" t="s">
        <v>410</v>
      </c>
      <c r="L1555" s="441" t="s">
        <v>410</v>
      </c>
      <c r="M1555" s="441" t="s">
        <v>410</v>
      </c>
      <c r="N1555" s="441" t="s">
        <v>410</v>
      </c>
      <c r="O1555" s="441" t="s">
        <v>410</v>
      </c>
      <c r="P1555" s="441" t="s">
        <v>410</v>
      </c>
      <c r="Q1555" s="441" t="s">
        <v>410</v>
      </c>
      <c r="R1555" s="441" t="s">
        <v>410</v>
      </c>
      <c r="S1555" s="441" t="s">
        <v>410</v>
      </c>
      <c r="T1555" s="441" t="s">
        <v>410</v>
      </c>
    </row>
    <row r="1556" spans="1:20" hidden="1" outlineLevel="1" x14ac:dyDescent="0.3">
      <c r="A1556" s="583" t="s">
        <v>5065</v>
      </c>
      <c r="B1556" s="591">
        <v>8</v>
      </c>
      <c r="C1556" s="588" t="s">
        <v>1256</v>
      </c>
      <c r="D1556" s="583" t="s">
        <v>5575</v>
      </c>
      <c r="E1556" s="589" t="s">
        <v>410</v>
      </c>
      <c r="F1556" s="590" t="s">
        <v>5108</v>
      </c>
      <c r="G1556" s="441" t="s">
        <v>410</v>
      </c>
      <c r="H1556" s="441" t="s">
        <v>410</v>
      </c>
      <c r="I1556" s="441" t="s">
        <v>410</v>
      </c>
      <c r="J1556" s="441" t="s">
        <v>410</v>
      </c>
      <c r="K1556" s="441" t="s">
        <v>410</v>
      </c>
      <c r="L1556" s="441" t="s">
        <v>410</v>
      </c>
      <c r="M1556" s="441" t="s">
        <v>410</v>
      </c>
      <c r="N1556" s="441" t="s">
        <v>410</v>
      </c>
      <c r="O1556" s="441" t="s">
        <v>410</v>
      </c>
      <c r="P1556" s="441" t="s">
        <v>410</v>
      </c>
      <c r="Q1556" s="441" t="s">
        <v>410</v>
      </c>
      <c r="R1556" s="441" t="s">
        <v>410</v>
      </c>
      <c r="S1556" s="441" t="s">
        <v>410</v>
      </c>
      <c r="T1556" s="441" t="s">
        <v>410</v>
      </c>
    </row>
    <row r="1557" spans="1:20" hidden="1" outlineLevel="1" x14ac:dyDescent="0.3">
      <c r="A1557" s="583" t="s">
        <v>5147</v>
      </c>
      <c r="B1557" s="591">
        <v>8</v>
      </c>
      <c r="C1557" s="583" t="s">
        <v>1256</v>
      </c>
      <c r="D1557" s="583" t="s">
        <v>5575</v>
      </c>
      <c r="E1557" s="592" t="s">
        <v>410</v>
      </c>
      <c r="F1557" s="590" t="s">
        <v>5148</v>
      </c>
      <c r="G1557" s="441" t="s">
        <v>410</v>
      </c>
      <c r="H1557" s="441" t="s">
        <v>410</v>
      </c>
      <c r="I1557" s="441" t="s">
        <v>410</v>
      </c>
      <c r="J1557" s="441" t="s">
        <v>410</v>
      </c>
      <c r="K1557" s="441" t="s">
        <v>410</v>
      </c>
      <c r="L1557" s="441" t="s">
        <v>410</v>
      </c>
      <c r="M1557" s="441" t="s">
        <v>410</v>
      </c>
      <c r="N1557" s="441" t="s">
        <v>410</v>
      </c>
      <c r="O1557" s="441" t="s">
        <v>410</v>
      </c>
      <c r="P1557" s="441" t="s">
        <v>410</v>
      </c>
      <c r="Q1557" s="441" t="s">
        <v>410</v>
      </c>
      <c r="R1557" s="441" t="s">
        <v>410</v>
      </c>
      <c r="S1557" s="441" t="s">
        <v>410</v>
      </c>
      <c r="T1557" s="441" t="s">
        <v>410</v>
      </c>
    </row>
    <row r="1558" spans="1:20" hidden="1" outlineLevel="1" x14ac:dyDescent="0.3">
      <c r="A1558" s="583" t="s">
        <v>5068</v>
      </c>
      <c r="B1558" s="591">
        <v>8</v>
      </c>
      <c r="C1558" s="588" t="s">
        <v>1256</v>
      </c>
      <c r="D1558" s="583" t="s">
        <v>5575</v>
      </c>
      <c r="E1558" s="589" t="s">
        <v>410</v>
      </c>
      <c r="F1558" s="590" t="s">
        <v>5042</v>
      </c>
      <c r="G1558" s="441" t="s">
        <v>410</v>
      </c>
      <c r="H1558" s="441" t="s">
        <v>410</v>
      </c>
      <c r="I1558" s="441" t="s">
        <v>410</v>
      </c>
      <c r="J1558" s="441" t="s">
        <v>410</v>
      </c>
      <c r="K1558" s="441" t="s">
        <v>410</v>
      </c>
      <c r="L1558" s="441" t="s">
        <v>410</v>
      </c>
      <c r="M1558" s="441" t="s">
        <v>410</v>
      </c>
      <c r="N1558" s="441" t="s">
        <v>410</v>
      </c>
      <c r="O1558" s="441" t="s">
        <v>410</v>
      </c>
      <c r="P1558" s="441" t="s">
        <v>410</v>
      </c>
      <c r="Q1558" s="441" t="s">
        <v>410</v>
      </c>
      <c r="R1558" s="441" t="s">
        <v>410</v>
      </c>
      <c r="S1558" s="441" t="s">
        <v>410</v>
      </c>
      <c r="T1558" s="441" t="s">
        <v>410</v>
      </c>
    </row>
    <row r="1559" spans="1:20" hidden="1" outlineLevel="1" x14ac:dyDescent="0.3">
      <c r="A1559" s="583" t="s">
        <v>5227</v>
      </c>
      <c r="B1559" s="591">
        <v>8</v>
      </c>
      <c r="C1559" s="583" t="s">
        <v>1256</v>
      </c>
      <c r="D1559" s="583" t="s">
        <v>5575</v>
      </c>
      <c r="E1559" s="592" t="s">
        <v>410</v>
      </c>
      <c r="F1559" s="593"/>
      <c r="G1559" s="237" t="s">
        <v>410</v>
      </c>
      <c r="H1559" s="237" t="s">
        <v>410</v>
      </c>
      <c r="I1559" s="237" t="s">
        <v>410</v>
      </c>
      <c r="J1559" s="237" t="s">
        <v>410</v>
      </c>
      <c r="K1559" s="237" t="s">
        <v>410</v>
      </c>
      <c r="L1559" s="237" t="s">
        <v>410</v>
      </c>
      <c r="M1559" s="237" t="s">
        <v>410</v>
      </c>
      <c r="N1559" s="237" t="s">
        <v>410</v>
      </c>
      <c r="O1559" s="237" t="s">
        <v>410</v>
      </c>
      <c r="P1559" s="237" t="s">
        <v>410</v>
      </c>
      <c r="Q1559" s="237" t="s">
        <v>410</v>
      </c>
      <c r="R1559" s="237" t="s">
        <v>410</v>
      </c>
      <c r="S1559" s="10" t="s">
        <v>410</v>
      </c>
      <c r="T1559" s="10" t="s">
        <v>410</v>
      </c>
    </row>
    <row r="1560" spans="1:20" hidden="1" outlineLevel="1" x14ac:dyDescent="0.3">
      <c r="A1560" s="583" t="s">
        <v>2003</v>
      </c>
      <c r="B1560" s="591">
        <v>11</v>
      </c>
      <c r="C1560" s="583" t="s">
        <v>1256</v>
      </c>
      <c r="D1560" s="583" t="s">
        <v>5575</v>
      </c>
      <c r="E1560" s="593" t="s">
        <v>410</v>
      </c>
      <c r="F1560" s="593" t="s">
        <v>5559</v>
      </c>
      <c r="G1560" s="593" t="s">
        <v>4342</v>
      </c>
      <c r="H1560" s="593" t="s">
        <v>5558</v>
      </c>
      <c r="I1560" s="237" t="s">
        <v>410</v>
      </c>
      <c r="J1560" s="237" t="s">
        <v>410</v>
      </c>
      <c r="K1560" s="237" t="s">
        <v>410</v>
      </c>
      <c r="L1560" s="237" t="s">
        <v>410</v>
      </c>
      <c r="M1560" s="237" t="s">
        <v>410</v>
      </c>
      <c r="N1560" s="237" t="s">
        <v>410</v>
      </c>
      <c r="O1560" s="237" t="s">
        <v>410</v>
      </c>
      <c r="P1560" s="237" t="s">
        <v>410</v>
      </c>
      <c r="Q1560" s="237" t="s">
        <v>410</v>
      </c>
      <c r="R1560" s="237" t="s">
        <v>410</v>
      </c>
      <c r="S1560" s="237" t="s">
        <v>410</v>
      </c>
      <c r="T1560" s="237" t="s">
        <v>410</v>
      </c>
    </row>
    <row r="1561" spans="1:20" hidden="1" outlineLevel="1" x14ac:dyDescent="0.3">
      <c r="A1561" s="583" t="s">
        <v>2202</v>
      </c>
      <c r="B1561" s="591">
        <v>16</v>
      </c>
      <c r="C1561" s="583" t="s">
        <v>1256</v>
      </c>
      <c r="D1561" s="583" t="s">
        <v>5575</v>
      </c>
      <c r="E1561" s="592" t="s">
        <v>410</v>
      </c>
      <c r="F1561" s="593" t="s">
        <v>3221</v>
      </c>
      <c r="G1561" s="593" t="s">
        <v>1843</v>
      </c>
      <c r="H1561" s="593" t="s">
        <v>3220</v>
      </c>
      <c r="I1561" s="593" t="s">
        <v>1725</v>
      </c>
      <c r="J1561" s="593" t="s">
        <v>1726</v>
      </c>
      <c r="K1561" s="237" t="s">
        <v>410</v>
      </c>
      <c r="L1561" s="237" t="s">
        <v>410</v>
      </c>
      <c r="M1561" s="237" t="s">
        <v>410</v>
      </c>
      <c r="N1561" s="237" t="s">
        <v>410</v>
      </c>
      <c r="O1561" s="237" t="s">
        <v>410</v>
      </c>
      <c r="P1561" s="237" t="s">
        <v>410</v>
      </c>
      <c r="Q1561" s="237" t="s">
        <v>410</v>
      </c>
      <c r="R1561" s="237" t="s">
        <v>410</v>
      </c>
      <c r="S1561" s="10" t="s">
        <v>410</v>
      </c>
      <c r="T1561" s="10" t="s">
        <v>410</v>
      </c>
    </row>
    <row r="1562" spans="1:20" hidden="1" outlineLevel="1" x14ac:dyDescent="0.3">
      <c r="A1562" s="583" t="s">
        <v>1866</v>
      </c>
      <c r="B1562" s="591">
        <v>16</v>
      </c>
      <c r="C1562" s="583" t="s">
        <v>1256</v>
      </c>
      <c r="D1562" s="583" t="s">
        <v>5575</v>
      </c>
      <c r="E1562" s="592" t="s">
        <v>410</v>
      </c>
      <c r="F1562" s="593" t="s">
        <v>67</v>
      </c>
      <c r="G1562" s="593" t="s">
        <v>68</v>
      </c>
      <c r="H1562" s="593" t="s">
        <v>70</v>
      </c>
      <c r="I1562" s="593" t="s">
        <v>72</v>
      </c>
      <c r="J1562" s="593" t="s">
        <v>74</v>
      </c>
      <c r="K1562" s="237" t="s">
        <v>410</v>
      </c>
      <c r="L1562" s="237" t="s">
        <v>410</v>
      </c>
      <c r="M1562" s="237" t="s">
        <v>410</v>
      </c>
      <c r="N1562" s="237" t="s">
        <v>410</v>
      </c>
      <c r="O1562" s="237" t="s">
        <v>410</v>
      </c>
      <c r="P1562" s="237" t="s">
        <v>410</v>
      </c>
      <c r="Q1562" s="237" t="s">
        <v>410</v>
      </c>
      <c r="R1562" s="237" t="s">
        <v>410</v>
      </c>
      <c r="S1562" s="10" t="s">
        <v>410</v>
      </c>
      <c r="T1562" s="10" t="s">
        <v>410</v>
      </c>
    </row>
    <row r="1563" spans="1:20" hidden="1" outlineLevel="1" x14ac:dyDescent="0.3">
      <c r="A1563" s="583" t="s">
        <v>5141</v>
      </c>
      <c r="B1563" s="591">
        <v>16</v>
      </c>
      <c r="C1563" s="583" t="s">
        <v>1256</v>
      </c>
      <c r="D1563" s="583" t="s">
        <v>5575</v>
      </c>
      <c r="E1563" s="593" t="s">
        <v>410</v>
      </c>
      <c r="F1563" s="593" t="s">
        <v>1481</v>
      </c>
      <c r="G1563" s="593" t="s">
        <v>3553</v>
      </c>
      <c r="H1563" s="593" t="s">
        <v>5142</v>
      </c>
      <c r="I1563" s="593" t="s">
        <v>5143</v>
      </c>
      <c r="J1563" s="593" t="s">
        <v>5144</v>
      </c>
      <c r="K1563" s="237" t="s">
        <v>410</v>
      </c>
      <c r="L1563" s="237" t="s">
        <v>410</v>
      </c>
      <c r="M1563" s="237" t="s">
        <v>410</v>
      </c>
      <c r="N1563" s="237" t="s">
        <v>410</v>
      </c>
      <c r="O1563" s="237" t="s">
        <v>410</v>
      </c>
      <c r="P1563" s="237" t="s">
        <v>410</v>
      </c>
      <c r="Q1563" s="237" t="s">
        <v>410</v>
      </c>
      <c r="R1563" s="237" t="s">
        <v>410</v>
      </c>
      <c r="S1563" s="237" t="s">
        <v>410</v>
      </c>
      <c r="T1563" s="237" t="s">
        <v>410</v>
      </c>
    </row>
    <row r="1564" spans="1:20" hidden="1" outlineLevel="1" x14ac:dyDescent="0.3">
      <c r="A1564" s="583" t="s">
        <v>5204</v>
      </c>
      <c r="B1564" s="591">
        <v>16</v>
      </c>
      <c r="C1564" s="583" t="s">
        <v>1256</v>
      </c>
      <c r="D1564" s="583" t="s">
        <v>5575</v>
      </c>
      <c r="E1564" s="593" t="s">
        <v>410</v>
      </c>
      <c r="F1564" s="593" t="s">
        <v>3355</v>
      </c>
      <c r="G1564" s="593" t="s">
        <v>1975</v>
      </c>
      <c r="H1564" s="593" t="s">
        <v>1976</v>
      </c>
      <c r="I1564" s="593" t="s">
        <v>1977</v>
      </c>
      <c r="J1564" s="593" t="s">
        <v>3354</v>
      </c>
      <c r="K1564" s="237" t="s">
        <v>410</v>
      </c>
      <c r="L1564" s="237" t="s">
        <v>410</v>
      </c>
      <c r="M1564" s="237" t="s">
        <v>410</v>
      </c>
      <c r="N1564" s="237" t="s">
        <v>410</v>
      </c>
      <c r="O1564" s="237" t="s">
        <v>410</v>
      </c>
      <c r="P1564" s="237" t="s">
        <v>410</v>
      </c>
      <c r="Q1564" s="237" t="s">
        <v>410</v>
      </c>
      <c r="R1564" s="237" t="s">
        <v>410</v>
      </c>
      <c r="S1564" s="237" t="s">
        <v>410</v>
      </c>
      <c r="T1564" s="237" t="s">
        <v>410</v>
      </c>
    </row>
    <row r="1565" spans="1:20" collapsed="1" x14ac:dyDescent="0.3">
      <c r="A1565" s="583" t="s">
        <v>1557</v>
      </c>
      <c r="B1565" s="591">
        <v>1</v>
      </c>
      <c r="C1565" s="588" t="s">
        <v>1256</v>
      </c>
      <c r="D1565" s="588" t="s">
        <v>1472</v>
      </c>
      <c r="E1565" s="589" t="s">
        <v>410</v>
      </c>
      <c r="F1565" s="426"/>
      <c r="G1565" s="426"/>
      <c r="H1565" s="426"/>
      <c r="I1565" s="426"/>
      <c r="J1565" s="426"/>
      <c r="K1565" s="426"/>
      <c r="L1565" s="426"/>
      <c r="M1565" s="441" t="s">
        <v>410</v>
      </c>
      <c r="N1565" s="441" t="s">
        <v>410</v>
      </c>
      <c r="O1565" s="441" t="s">
        <v>410</v>
      </c>
      <c r="P1565" s="441" t="s">
        <v>410</v>
      </c>
      <c r="Q1565" s="441" t="s">
        <v>410</v>
      </c>
      <c r="R1565" s="441" t="s">
        <v>410</v>
      </c>
      <c r="S1565" s="441" t="s">
        <v>410</v>
      </c>
      <c r="T1565" s="441" t="s">
        <v>410</v>
      </c>
    </row>
    <row r="1566" spans="1:20" hidden="1" outlineLevel="1" x14ac:dyDescent="0.3">
      <c r="A1566" s="583" t="s">
        <v>1566</v>
      </c>
      <c r="B1566" s="591">
        <v>1</v>
      </c>
      <c r="C1566" s="588" t="s">
        <v>1256</v>
      </c>
      <c r="D1566" s="588" t="s">
        <v>1472</v>
      </c>
      <c r="E1566" s="589" t="s">
        <v>410</v>
      </c>
      <c r="F1566" s="594" t="str">
        <f>CONCATENATE(TEXT(0+IF(CHR&lt;0,0,CHR)*1,"0")," mg")</f>
        <v>0 mg</v>
      </c>
      <c r="G1566" s="594" t="str">
        <f>CONCATENATE(TEXT(2+IF(CHR&lt;0,0,CHR)*1,"0")," mg")</f>
        <v>2 mg</v>
      </c>
      <c r="H1566" s="594" t="str">
        <f>CONCATENATE(TEXT(4+IF(CHR&lt;0,0,CHR)*1,"0")," mg")</f>
        <v>4 mg</v>
      </c>
      <c r="I1566" s="594" t="str">
        <f>CONCATENATE(TEXT(4+IF(CHR&lt;0,0,CHR)*2,"0")," mg")</f>
        <v>4 mg</v>
      </c>
      <c r="J1566" s="594" t="str">
        <f>CONCATENATE(TEXT(6+IF(CHR&lt;0,0,CHR)*2,"0")," mg")</f>
        <v>6 mg</v>
      </c>
      <c r="K1566" s="594" t="str">
        <f>CONCATENATE(TEXT(8+IF(CHR&lt;0,0,CHR)*2,"0")," mg")</f>
        <v>8 mg</v>
      </c>
      <c r="L1566" s="594" t="str">
        <f>CONCATENATE(TEXT(10+IF(CHR&lt;0,0,CHR)*2,"0")," mg")</f>
        <v>10 mg</v>
      </c>
      <c r="M1566" s="594" t="str">
        <f>CONCATENATE(TEXT(12+IF(CHR&lt;0,0,CHR)*2,"0")," mg")</f>
        <v>12 mg</v>
      </c>
      <c r="N1566" s="594" t="str">
        <f>CONCATENATE(TEXT(14+IF(CHR&lt;0,0,CHR)*2,"0")," mg")</f>
        <v>14 mg</v>
      </c>
      <c r="O1566" s="594" t="str">
        <f>CONCATENATE(TEXT(15+IF(CHR&lt;0,0,CHR)*3,"0")," mg")</f>
        <v>15 mg</v>
      </c>
      <c r="P1566" s="441" t="s">
        <v>410</v>
      </c>
      <c r="Q1566" s="441" t="s">
        <v>410</v>
      </c>
      <c r="R1566" s="441" t="s">
        <v>410</v>
      </c>
      <c r="S1566" s="441" t="s">
        <v>410</v>
      </c>
      <c r="T1566" s="441" t="s">
        <v>410</v>
      </c>
    </row>
    <row r="1567" spans="1:20" hidden="1" outlineLevel="1" x14ac:dyDescent="0.3">
      <c r="A1567" s="583" t="s">
        <v>1572</v>
      </c>
      <c r="B1567" s="591">
        <v>1</v>
      </c>
      <c r="C1567" s="588" t="s">
        <v>1256</v>
      </c>
      <c r="D1567" s="588" t="s">
        <v>1472</v>
      </c>
      <c r="E1567" s="589" t="s">
        <v>410</v>
      </c>
      <c r="F1567" s="594" t="str">
        <f>CONCATENATE(TEXT(0+IF(ZRČ&lt;0,0,ZRČ)*1,"0")," mg")</f>
        <v>0 mg</v>
      </c>
      <c r="G1567" s="594" t="str">
        <f>CONCATENATE(TEXT(2+IF(ZRČ&lt;0,0,ZRČ)*1,"0")," mg")</f>
        <v>2 mg</v>
      </c>
      <c r="H1567" s="594" t="str">
        <f>CONCATENATE(TEXT(4+IF(ZRČ&lt;0,0,ZRČ)*1,"0")," mg")</f>
        <v>4 mg</v>
      </c>
      <c r="I1567" s="594" t="str">
        <f>CONCATENATE(TEXT(4+IF(ZRČ&lt;0,0,ZRČ)*2,"0")," mg")</f>
        <v>4 mg</v>
      </c>
      <c r="J1567" s="594" t="str">
        <f>CONCATENATE(TEXT(6+IF(ZRČ&lt;0,0,ZRČ)*2,"0")," mg")</f>
        <v>6 mg</v>
      </c>
      <c r="K1567" s="594" t="str">
        <f>CONCATENATE(TEXT(8+IF(ZRČ&lt;0,0,ZRČ)*2,"0")," mg")</f>
        <v>8 mg</v>
      </c>
      <c r="L1567" s="594" t="str">
        <f>CONCATENATE(TEXT(10+IF(ZRČ&lt;0,0,ZRČ)*2,"0")," mg")</f>
        <v>10 mg</v>
      </c>
      <c r="M1567" s="594" t="str">
        <f>CONCATENATE(TEXT(12+IF(ZRČ&lt;0,0,ZRČ)*2,"0")," mg")</f>
        <v>12 mg</v>
      </c>
      <c r="N1567" s="594" t="str">
        <f>CONCATENATE(TEXT(14+IF(ZRČ&lt;0,0,ZRČ)*2,"0")," mg")</f>
        <v>14 mg</v>
      </c>
      <c r="O1567" s="594" t="str">
        <f>CONCATENATE(TEXT(15+IF(ZRČ&lt;0,0,ZRČ)*3,"0")," mg")</f>
        <v>15 mg</v>
      </c>
      <c r="P1567" s="441" t="s">
        <v>410</v>
      </c>
      <c r="Q1567" s="441" t="s">
        <v>410</v>
      </c>
      <c r="R1567" s="441" t="s">
        <v>410</v>
      </c>
      <c r="S1567" s="441" t="s">
        <v>410</v>
      </c>
      <c r="T1567" s="441" t="s">
        <v>410</v>
      </c>
    </row>
    <row r="1568" spans="1:20" hidden="1" outlineLevel="1" x14ac:dyDescent="0.3">
      <c r="A1568" s="583" t="s">
        <v>3090</v>
      </c>
      <c r="B1568" s="591">
        <v>1</v>
      </c>
      <c r="C1568" s="588" t="s">
        <v>1256</v>
      </c>
      <c r="D1568" s="588" t="s">
        <v>1472</v>
      </c>
      <c r="E1568" s="589" t="s">
        <v>410</v>
      </c>
      <c r="F1568" s="594" t="str">
        <f>CONCATENATE(TEXT(0+IF(OBR&lt;0,0,OBR)*1,"0")," mg")</f>
        <v>0 mg</v>
      </c>
      <c r="G1568" s="594" t="str">
        <f>CONCATENATE(TEXT(2+IF(OBR&lt;0,0,OBR)*1,"0")," mg")</f>
        <v>2 mg</v>
      </c>
      <c r="H1568" s="594" t="str">
        <f>CONCATENATE(TEXT(4+IF(OBR&lt;0,0,OBR)*1,"0")," mg")</f>
        <v>4 mg</v>
      </c>
      <c r="I1568" s="594" t="str">
        <f>CONCATENATE(TEXT(4+IF(OBR&lt;0,0,OBR)*2,"0")," mg")</f>
        <v>4 mg</v>
      </c>
      <c r="J1568" s="594" t="str">
        <f>CONCATENATE(TEXT(6+IF(OBR&lt;0,0,OBR)*2,"0")," mg")</f>
        <v>6 mg</v>
      </c>
      <c r="K1568" s="594" t="str">
        <f>CONCATENATE(TEXT(8+IF(OBR&lt;0,0,OBR)*2,"0")," mg")</f>
        <v>8 mg</v>
      </c>
      <c r="L1568" s="594" t="str">
        <f>CONCATENATE(TEXT(10+IF(OBR&lt;0,0,OBR)*2,"0")," mg")</f>
        <v>10 mg</v>
      </c>
      <c r="M1568" s="594" t="str">
        <f>CONCATENATE(TEXT(12+IF(OBR&lt;0,0,OBR)*2,"0")," mg")</f>
        <v>12 mg</v>
      </c>
      <c r="N1568" s="594" t="str">
        <f>CONCATENATE(TEXT(14+IF(OBR&lt;0,0,OBR)*2,"0")," mg")</f>
        <v>14 mg</v>
      </c>
      <c r="O1568" s="594" t="str">
        <f>CONCATENATE(TEXT(15+IF(OBR&lt;0,0,OBR)*3,"0")," mg")</f>
        <v>15 mg</v>
      </c>
      <c r="P1568" s="441" t="s">
        <v>410</v>
      </c>
      <c r="Q1568" s="441" t="s">
        <v>410</v>
      </c>
      <c r="R1568" s="441" t="s">
        <v>410</v>
      </c>
      <c r="S1568" s="441" t="s">
        <v>410</v>
      </c>
      <c r="T1568" s="441" t="s">
        <v>410</v>
      </c>
    </row>
    <row r="1569" spans="1:20" hidden="1" outlineLevel="1" x14ac:dyDescent="0.3">
      <c r="A1569" s="583" t="s">
        <v>1575</v>
      </c>
      <c r="B1569" s="591">
        <v>1</v>
      </c>
      <c r="C1569" s="588" t="s">
        <v>1256</v>
      </c>
      <c r="D1569" s="588" t="s">
        <v>1472</v>
      </c>
      <c r="E1569" s="589" t="s">
        <v>410</v>
      </c>
      <c r="F1569" s="594" t="str">
        <f>CONCATENATE(TEXT(0+IF(VOL&lt;0,0,VOL)*1,"0")," mg")</f>
        <v>0 mg</v>
      </c>
      <c r="G1569" s="594" t="str">
        <f>CONCATENATE(TEXT(2+IF(VOL&lt;0,0,VOL)*1,"0")," mg")</f>
        <v>2 mg</v>
      </c>
      <c r="H1569" s="594" t="str">
        <f>CONCATENATE(TEXT(4+IF(VOL&lt;0,0,VOL)*1,"0")," mg")</f>
        <v>4 mg</v>
      </c>
      <c r="I1569" s="594" t="str">
        <f>CONCATENATE(TEXT(4+IF(VOL&lt;0,0,VOL)*2,"0")," mg")</f>
        <v>4 mg</v>
      </c>
      <c r="J1569" s="594" t="str">
        <f>CONCATENATE(TEXT(6+IF(VOL&lt;0,0,VOL)*2,"0")," mg")</f>
        <v>6 mg</v>
      </c>
      <c r="K1569" s="594" t="str">
        <f>CONCATENATE(TEXT(8+IF(VOL&lt;0,0,VOL)*2,"0")," mg")</f>
        <v>8 mg</v>
      </c>
      <c r="L1569" s="594" t="str">
        <f>CONCATENATE(TEXT(10+IF(VOL&lt;0,0,VOL)*2,"0")," mg")</f>
        <v>10 mg</v>
      </c>
      <c r="M1569" s="594" t="str">
        <f>CONCATENATE(TEXT(12+IF(VOL&lt;0,0,VOL)*2,"0")," mg")</f>
        <v>12 mg</v>
      </c>
      <c r="N1569" s="594" t="str">
        <f>CONCATENATE(TEXT(14+IF(VOL&lt;0,0,VOL)*2,"0")," mg")</f>
        <v>14 mg</v>
      </c>
      <c r="O1569" s="594" t="str">
        <f>CONCATENATE(TEXT(15+IF(VOL&lt;0,0,VOL)*3,"0")," mg")</f>
        <v>15 mg</v>
      </c>
      <c r="P1569" s="441" t="s">
        <v>410</v>
      </c>
      <c r="Q1569" s="441" t="s">
        <v>410</v>
      </c>
      <c r="R1569" s="441" t="s">
        <v>410</v>
      </c>
      <c r="S1569" s="441" t="s">
        <v>410</v>
      </c>
      <c r="T1569" s="441" t="s">
        <v>410</v>
      </c>
    </row>
    <row r="1570" spans="1:20" hidden="1" outlineLevel="1" x14ac:dyDescent="0.3">
      <c r="A1570" s="583" t="s">
        <v>1664</v>
      </c>
      <c r="B1570" s="591">
        <v>1</v>
      </c>
      <c r="C1570" s="583" t="s">
        <v>1256</v>
      </c>
      <c r="D1570" s="583" t="s">
        <v>1472</v>
      </c>
      <c r="E1570" s="592" t="s">
        <v>410</v>
      </c>
      <c r="F1570" s="593" t="s">
        <v>2042</v>
      </c>
      <c r="G1570" s="593" t="s">
        <v>2171</v>
      </c>
      <c r="H1570" s="593" t="s">
        <v>2195</v>
      </c>
      <c r="I1570" s="593" t="s">
        <v>3592</v>
      </c>
      <c r="J1570" s="593" t="s">
        <v>3593</v>
      </c>
      <c r="K1570" s="593" t="s">
        <v>4769</v>
      </c>
      <c r="L1570" s="593" t="s">
        <v>4770</v>
      </c>
      <c r="M1570" s="593" t="s">
        <v>4771</v>
      </c>
      <c r="N1570" s="237" t="s">
        <v>410</v>
      </c>
      <c r="O1570" s="237" t="s">
        <v>410</v>
      </c>
      <c r="P1570" s="237" t="s">
        <v>410</v>
      </c>
      <c r="Q1570" s="237" t="s">
        <v>410</v>
      </c>
      <c r="R1570" s="237" t="s">
        <v>410</v>
      </c>
      <c r="S1570" s="10" t="s">
        <v>410</v>
      </c>
      <c r="T1570" s="10" t="s">
        <v>410</v>
      </c>
    </row>
    <row r="1571" spans="1:20" hidden="1" outlineLevel="1" x14ac:dyDescent="0.3">
      <c r="A1571" s="583" t="s">
        <v>1665</v>
      </c>
      <c r="B1571" s="591">
        <v>1</v>
      </c>
      <c r="C1571" s="583" t="s">
        <v>1256</v>
      </c>
      <c r="D1571" s="583" t="s">
        <v>1472</v>
      </c>
      <c r="E1571" s="592" t="s">
        <v>410</v>
      </c>
      <c r="F1571" s="593" t="s">
        <v>2500</v>
      </c>
      <c r="G1571" s="593" t="s">
        <v>2501</v>
      </c>
      <c r="H1571" s="593" t="s">
        <v>2502</v>
      </c>
      <c r="I1571" s="593" t="s">
        <v>3162</v>
      </c>
      <c r="J1571" s="593" t="s">
        <v>2503</v>
      </c>
      <c r="K1571" s="237" t="s">
        <v>410</v>
      </c>
      <c r="L1571" s="237" t="s">
        <v>410</v>
      </c>
      <c r="M1571" s="237" t="s">
        <v>410</v>
      </c>
      <c r="N1571" s="237" t="s">
        <v>410</v>
      </c>
      <c r="O1571" s="237" t="s">
        <v>410</v>
      </c>
      <c r="P1571" s="237" t="s">
        <v>410</v>
      </c>
      <c r="Q1571" s="237" t="s">
        <v>410</v>
      </c>
      <c r="R1571" s="237" t="s">
        <v>410</v>
      </c>
      <c r="S1571" s="10" t="s">
        <v>410</v>
      </c>
      <c r="T1571" s="10" t="s">
        <v>410</v>
      </c>
    </row>
    <row r="1572" spans="1:20" hidden="1" outlineLevel="1" x14ac:dyDescent="0.3">
      <c r="A1572" s="583" t="s">
        <v>1722</v>
      </c>
      <c r="B1572" s="591">
        <v>1</v>
      </c>
      <c r="C1572" s="583" t="s">
        <v>1256</v>
      </c>
      <c r="D1572" s="583" t="s">
        <v>1472</v>
      </c>
      <c r="E1572" s="592" t="s">
        <v>410</v>
      </c>
      <c r="F1572" s="237"/>
      <c r="G1572" s="237"/>
      <c r="H1572" s="237"/>
      <c r="I1572" s="237"/>
      <c r="J1572" s="237"/>
      <c r="K1572" s="237"/>
      <c r="L1572" s="237"/>
      <c r="M1572" s="237"/>
      <c r="N1572" s="237"/>
      <c r="O1572" s="237"/>
      <c r="P1572" s="237" t="s">
        <v>410</v>
      </c>
      <c r="Q1572" s="237" t="s">
        <v>410</v>
      </c>
      <c r="R1572" s="237" t="s">
        <v>410</v>
      </c>
      <c r="S1572" s="10" t="s">
        <v>410</v>
      </c>
      <c r="T1572" s="10" t="s">
        <v>410</v>
      </c>
    </row>
    <row r="1573" spans="1:20" hidden="1" outlineLevel="1" x14ac:dyDescent="0.3">
      <c r="A1573" s="583" t="s">
        <v>1781</v>
      </c>
      <c r="B1573" s="591">
        <v>1</v>
      </c>
      <c r="C1573" s="583" t="s">
        <v>1256</v>
      </c>
      <c r="D1573" s="583" t="s">
        <v>1472</v>
      </c>
      <c r="E1573" s="592" t="s">
        <v>410</v>
      </c>
      <c r="F1573" s="593" t="s">
        <v>4335</v>
      </c>
      <c r="G1573" s="593" t="s">
        <v>4340</v>
      </c>
      <c r="H1573" s="593" t="s">
        <v>4339</v>
      </c>
      <c r="I1573" s="593" t="s">
        <v>4338</v>
      </c>
      <c r="J1573" s="593" t="s">
        <v>4337</v>
      </c>
      <c r="K1573" s="593" t="s">
        <v>4336</v>
      </c>
      <c r="L1573" s="593" t="s">
        <v>4341</v>
      </c>
      <c r="M1573" s="10" t="s">
        <v>410</v>
      </c>
      <c r="N1573" s="10" t="s">
        <v>410</v>
      </c>
      <c r="O1573" s="10" t="s">
        <v>410</v>
      </c>
      <c r="P1573" s="10" t="s">
        <v>410</v>
      </c>
      <c r="Q1573" s="10" t="s">
        <v>410</v>
      </c>
      <c r="R1573" s="10" t="s">
        <v>410</v>
      </c>
      <c r="S1573" s="10" t="s">
        <v>410</v>
      </c>
      <c r="T1573" s="10" t="s">
        <v>410</v>
      </c>
    </row>
    <row r="1574" spans="1:20" hidden="1" outlineLevel="1" x14ac:dyDescent="0.3">
      <c r="A1574" s="583" t="s">
        <v>1862</v>
      </c>
      <c r="B1574" s="591">
        <v>1</v>
      </c>
      <c r="C1574" s="583" t="s">
        <v>1256</v>
      </c>
      <c r="D1574" s="583" t="s">
        <v>1472</v>
      </c>
      <c r="E1574" s="592" t="s">
        <v>3120</v>
      </c>
      <c r="F1574" s="593" t="s">
        <v>3121</v>
      </c>
      <c r="G1574" s="593" t="s">
        <v>3122</v>
      </c>
      <c r="H1574" s="593" t="s">
        <v>3123</v>
      </c>
      <c r="I1574" s="237" t="s">
        <v>410</v>
      </c>
      <c r="J1574" s="237" t="s">
        <v>410</v>
      </c>
      <c r="K1574" s="237" t="s">
        <v>410</v>
      </c>
      <c r="L1574" s="237" t="s">
        <v>410</v>
      </c>
      <c r="M1574" s="237" t="s">
        <v>410</v>
      </c>
      <c r="N1574" s="237" t="s">
        <v>410</v>
      </c>
      <c r="O1574" s="237" t="s">
        <v>410</v>
      </c>
      <c r="P1574" s="237" t="s">
        <v>410</v>
      </c>
      <c r="Q1574" s="237" t="s">
        <v>410</v>
      </c>
      <c r="R1574" s="237" t="s">
        <v>410</v>
      </c>
      <c r="S1574" s="10" t="s">
        <v>410</v>
      </c>
      <c r="T1574" s="10" t="s">
        <v>410</v>
      </c>
    </row>
    <row r="1575" spans="1:20" hidden="1" outlineLevel="1" x14ac:dyDescent="0.3">
      <c r="A1575" s="583" t="s">
        <v>5543</v>
      </c>
      <c r="B1575" s="591">
        <v>1</v>
      </c>
      <c r="C1575" s="583" t="s">
        <v>1256</v>
      </c>
      <c r="D1575" s="583" t="s">
        <v>1472</v>
      </c>
      <c r="E1575" s="593" t="s">
        <v>5539</v>
      </c>
      <c r="F1575" s="593" t="s">
        <v>5538</v>
      </c>
      <c r="G1575" s="593" t="s">
        <v>5540</v>
      </c>
      <c r="H1575" s="593" t="s">
        <v>5544</v>
      </c>
      <c r="I1575" s="593" t="s">
        <v>5541</v>
      </c>
      <c r="J1575" s="593" t="s">
        <v>5542</v>
      </c>
      <c r="K1575" s="237" t="s">
        <v>410</v>
      </c>
      <c r="L1575" s="237" t="s">
        <v>410</v>
      </c>
      <c r="M1575" s="237" t="s">
        <v>410</v>
      </c>
      <c r="N1575" s="237" t="s">
        <v>410</v>
      </c>
      <c r="O1575" s="237" t="s">
        <v>410</v>
      </c>
      <c r="P1575" s="237" t="s">
        <v>410</v>
      </c>
      <c r="Q1575" s="237" t="s">
        <v>410</v>
      </c>
      <c r="R1575" s="237" t="s">
        <v>410</v>
      </c>
      <c r="S1575" s="10" t="s">
        <v>410</v>
      </c>
      <c r="T1575" s="10" t="s">
        <v>410</v>
      </c>
    </row>
    <row r="1576" spans="1:20" hidden="1" outlineLevel="1" x14ac:dyDescent="0.3">
      <c r="A1576" s="583" t="s">
        <v>1998</v>
      </c>
      <c r="B1576" s="591">
        <v>1</v>
      </c>
      <c r="C1576" s="583" t="s">
        <v>1256</v>
      </c>
      <c r="D1576" s="583" t="s">
        <v>1472</v>
      </c>
      <c r="E1576" s="593" t="s">
        <v>410</v>
      </c>
      <c r="F1576" s="593" t="s">
        <v>4430</v>
      </c>
      <c r="G1576" s="593" t="s">
        <v>1999</v>
      </c>
      <c r="H1576" s="593" t="s">
        <v>2000</v>
      </c>
      <c r="I1576" s="593" t="s">
        <v>2001</v>
      </c>
      <c r="J1576" s="593" t="s">
        <v>4182</v>
      </c>
      <c r="K1576" s="593" t="s">
        <v>2002</v>
      </c>
      <c r="L1576" s="237" t="s">
        <v>410</v>
      </c>
      <c r="M1576" s="237" t="s">
        <v>410</v>
      </c>
      <c r="N1576" s="237" t="s">
        <v>410</v>
      </c>
      <c r="O1576" s="237" t="s">
        <v>410</v>
      </c>
      <c r="P1576" s="237" t="s">
        <v>410</v>
      </c>
      <c r="Q1576" s="237" t="s">
        <v>410</v>
      </c>
      <c r="R1576" s="237" t="s">
        <v>410</v>
      </c>
      <c r="S1576" s="237" t="s">
        <v>410</v>
      </c>
      <c r="T1576" s="237" t="s">
        <v>410</v>
      </c>
    </row>
    <row r="1577" spans="1:20" hidden="1" outlineLevel="1" x14ac:dyDescent="0.3">
      <c r="A1577" s="583" t="s">
        <v>3033</v>
      </c>
      <c r="B1577" s="591">
        <v>2</v>
      </c>
      <c r="C1577" s="583" t="s">
        <v>1256</v>
      </c>
      <c r="D1577" s="583" t="s">
        <v>1472</v>
      </c>
      <c r="E1577" s="593" t="s">
        <v>3034</v>
      </c>
      <c r="F1577" s="593" t="s">
        <v>3035</v>
      </c>
      <c r="G1577" s="593" t="s">
        <v>3036</v>
      </c>
      <c r="H1577" s="593" t="s">
        <v>3038</v>
      </c>
      <c r="I1577" s="593" t="s">
        <v>3037</v>
      </c>
      <c r="J1577" s="237" t="s">
        <v>410</v>
      </c>
      <c r="K1577" s="237" t="s">
        <v>410</v>
      </c>
      <c r="L1577" s="237" t="s">
        <v>410</v>
      </c>
      <c r="M1577" s="237" t="s">
        <v>410</v>
      </c>
      <c r="N1577" s="237" t="s">
        <v>410</v>
      </c>
      <c r="O1577" s="237" t="s">
        <v>410</v>
      </c>
      <c r="P1577" s="237" t="s">
        <v>410</v>
      </c>
      <c r="Q1577" s="237" t="s">
        <v>410</v>
      </c>
      <c r="R1577" s="237" t="s">
        <v>410</v>
      </c>
      <c r="S1577" s="10" t="s">
        <v>410</v>
      </c>
      <c r="T1577" s="10" t="s">
        <v>410</v>
      </c>
    </row>
    <row r="1578" spans="1:20" hidden="1" outlineLevel="1" x14ac:dyDescent="0.3">
      <c r="A1578" s="583" t="s">
        <v>5572</v>
      </c>
      <c r="B1578" s="591">
        <v>3</v>
      </c>
      <c r="C1578" s="583" t="s">
        <v>1256</v>
      </c>
      <c r="D1578" s="583" t="s">
        <v>1472</v>
      </c>
      <c r="E1578" s="592" t="s">
        <v>410</v>
      </c>
      <c r="F1578" s="593" t="s">
        <v>4300</v>
      </c>
      <c r="G1578" s="593" t="s">
        <v>2168</v>
      </c>
      <c r="H1578" s="593" t="s">
        <v>4301</v>
      </c>
      <c r="I1578" s="593" t="s">
        <v>3531</v>
      </c>
      <c r="J1578" s="593" t="s">
        <v>4302</v>
      </c>
      <c r="K1578" s="237" t="s">
        <v>410</v>
      </c>
      <c r="L1578" s="237" t="s">
        <v>410</v>
      </c>
      <c r="M1578" s="237" t="s">
        <v>410</v>
      </c>
      <c r="N1578" s="237" t="s">
        <v>410</v>
      </c>
      <c r="O1578" s="237" t="s">
        <v>410</v>
      </c>
      <c r="P1578" s="237" t="s">
        <v>410</v>
      </c>
      <c r="Q1578" s="237" t="s">
        <v>410</v>
      </c>
      <c r="R1578" s="237" t="s">
        <v>410</v>
      </c>
      <c r="S1578" s="10" t="s">
        <v>410</v>
      </c>
      <c r="T1578" s="10" t="s">
        <v>410</v>
      </c>
    </row>
    <row r="1579" spans="1:20" hidden="1" outlineLevel="1" x14ac:dyDescent="0.3">
      <c r="A1579" s="583" t="s">
        <v>1995</v>
      </c>
      <c r="B1579" s="591">
        <v>3</v>
      </c>
      <c r="C1579" s="583" t="s">
        <v>1256</v>
      </c>
      <c r="D1579" s="583" t="s">
        <v>1472</v>
      </c>
      <c r="E1579" s="237" t="s">
        <v>410</v>
      </c>
      <c r="F1579" s="593" t="s">
        <v>1525</v>
      </c>
      <c r="G1579" s="593" t="s">
        <v>3316</v>
      </c>
      <c r="H1579" s="593" t="s">
        <v>3317</v>
      </c>
      <c r="I1579" s="593" t="s">
        <v>3318</v>
      </c>
      <c r="J1579" s="593" t="s">
        <v>3319</v>
      </c>
      <c r="K1579" s="237" t="s">
        <v>410</v>
      </c>
      <c r="L1579" s="237" t="s">
        <v>410</v>
      </c>
      <c r="M1579" s="237" t="s">
        <v>410</v>
      </c>
      <c r="N1579" s="237" t="s">
        <v>410</v>
      </c>
      <c r="O1579" s="237" t="s">
        <v>410</v>
      </c>
      <c r="P1579" s="237" t="s">
        <v>410</v>
      </c>
      <c r="Q1579" s="237" t="s">
        <v>410</v>
      </c>
      <c r="R1579" s="237" t="s">
        <v>410</v>
      </c>
      <c r="S1579" s="237" t="s">
        <v>410</v>
      </c>
      <c r="T1579" s="237" t="s">
        <v>410</v>
      </c>
    </row>
    <row r="1580" spans="1:20" hidden="1" outlineLevel="1" x14ac:dyDescent="0.3">
      <c r="A1580" s="583" t="s">
        <v>1845</v>
      </c>
      <c r="B1580" s="591">
        <v>5</v>
      </c>
      <c r="C1580" s="583" t="s">
        <v>1256</v>
      </c>
      <c r="D1580" s="583" t="s">
        <v>1472</v>
      </c>
      <c r="E1580" s="10" t="s">
        <v>410</v>
      </c>
      <c r="F1580" s="593" t="s">
        <v>3311</v>
      </c>
      <c r="G1580" s="593" t="s">
        <v>3312</v>
      </c>
      <c r="H1580" s="593" t="s">
        <v>3313</v>
      </c>
      <c r="I1580" s="593" t="s">
        <v>3314</v>
      </c>
      <c r="J1580" s="593" t="s">
        <v>3315</v>
      </c>
      <c r="K1580" s="237" t="s">
        <v>410</v>
      </c>
      <c r="L1580" s="237" t="s">
        <v>410</v>
      </c>
      <c r="M1580" s="237" t="s">
        <v>410</v>
      </c>
      <c r="N1580" s="237" t="s">
        <v>410</v>
      </c>
      <c r="O1580" s="237" t="s">
        <v>410</v>
      </c>
      <c r="P1580" s="237" t="s">
        <v>410</v>
      </c>
      <c r="Q1580" s="237" t="s">
        <v>410</v>
      </c>
      <c r="R1580" s="237" t="s">
        <v>410</v>
      </c>
      <c r="S1580" s="10" t="s">
        <v>410</v>
      </c>
      <c r="T1580" s="10" t="s">
        <v>410</v>
      </c>
    </row>
    <row r="1581" spans="1:20" hidden="1" outlineLevel="1" x14ac:dyDescent="0.3">
      <c r="A1581" s="583" t="s">
        <v>5485</v>
      </c>
      <c r="B1581" s="591">
        <v>5</v>
      </c>
      <c r="C1581" s="583" t="s">
        <v>1256</v>
      </c>
      <c r="D1581" s="583" t="s">
        <v>1472</v>
      </c>
      <c r="E1581" s="592" t="s">
        <v>410</v>
      </c>
      <c r="F1581" s="593" t="s">
        <v>3269</v>
      </c>
      <c r="G1581" s="593" t="s">
        <v>3270</v>
      </c>
      <c r="H1581" s="593" t="s">
        <v>3271</v>
      </c>
      <c r="I1581" s="593" t="s">
        <v>3272</v>
      </c>
      <c r="J1581" s="593" t="s">
        <v>4303</v>
      </c>
      <c r="K1581" s="237" t="s">
        <v>410</v>
      </c>
      <c r="L1581" s="237" t="s">
        <v>410</v>
      </c>
      <c r="M1581" s="237" t="s">
        <v>410</v>
      </c>
      <c r="N1581" s="237" t="s">
        <v>410</v>
      </c>
      <c r="O1581" s="237" t="s">
        <v>410</v>
      </c>
      <c r="P1581" s="237" t="s">
        <v>410</v>
      </c>
      <c r="Q1581" s="237" t="s">
        <v>410</v>
      </c>
      <c r="R1581" s="237" t="s">
        <v>410</v>
      </c>
      <c r="S1581" s="10" t="s">
        <v>410</v>
      </c>
      <c r="T1581" s="10" t="s">
        <v>410</v>
      </c>
    </row>
    <row r="1582" spans="1:20" hidden="1" outlineLevel="1" x14ac:dyDescent="0.3">
      <c r="A1582" s="583" t="s">
        <v>1489</v>
      </c>
      <c r="B1582" s="591">
        <v>6</v>
      </c>
      <c r="C1582" s="588" t="s">
        <v>1256</v>
      </c>
      <c r="D1582" s="588" t="s">
        <v>1472</v>
      </c>
      <c r="E1582" s="589" t="s">
        <v>410</v>
      </c>
      <c r="F1582" s="590" t="s">
        <v>3117</v>
      </c>
      <c r="G1582" s="590" t="s">
        <v>3118</v>
      </c>
      <c r="H1582" s="590" t="s">
        <v>3179</v>
      </c>
      <c r="I1582" s="590" t="s">
        <v>3180</v>
      </c>
      <c r="J1582" s="590" t="s">
        <v>3181</v>
      </c>
      <c r="K1582" s="590" t="s">
        <v>3178</v>
      </c>
      <c r="L1582" s="441" t="s">
        <v>410</v>
      </c>
      <c r="M1582" s="441" t="s">
        <v>410</v>
      </c>
      <c r="N1582" s="441" t="s">
        <v>410</v>
      </c>
      <c r="O1582" s="441" t="s">
        <v>410</v>
      </c>
      <c r="P1582" s="441" t="s">
        <v>410</v>
      </c>
      <c r="Q1582" s="441" t="s">
        <v>410</v>
      </c>
      <c r="R1582" s="441" t="s">
        <v>410</v>
      </c>
      <c r="S1582" s="441" t="s">
        <v>410</v>
      </c>
      <c r="T1582" s="441" t="s">
        <v>410</v>
      </c>
    </row>
    <row r="1583" spans="1:20" hidden="1" outlineLevel="1" x14ac:dyDescent="0.3">
      <c r="A1583" s="583" t="s">
        <v>1663</v>
      </c>
      <c r="B1583" s="591">
        <v>6</v>
      </c>
      <c r="C1583" s="583" t="s">
        <v>1256</v>
      </c>
      <c r="D1583" s="583" t="s">
        <v>1472</v>
      </c>
      <c r="E1583" s="592" t="s">
        <v>410</v>
      </c>
      <c r="F1583" s="593" t="s">
        <v>1640</v>
      </c>
      <c r="G1583" s="593" t="s">
        <v>1542</v>
      </c>
      <c r="H1583" s="593" t="s">
        <v>1544</v>
      </c>
      <c r="I1583" s="593" t="s">
        <v>1546</v>
      </c>
      <c r="J1583" s="593" t="s">
        <v>1641</v>
      </c>
      <c r="K1583" s="593" t="s">
        <v>1551</v>
      </c>
      <c r="L1583" s="593" t="s">
        <v>1643</v>
      </c>
      <c r="M1583" s="593" t="s">
        <v>1642</v>
      </c>
      <c r="N1583" s="237" t="s">
        <v>410</v>
      </c>
      <c r="O1583" s="237" t="s">
        <v>410</v>
      </c>
      <c r="P1583" s="237" t="s">
        <v>410</v>
      </c>
      <c r="Q1583" s="237" t="s">
        <v>410</v>
      </c>
      <c r="R1583" s="237" t="s">
        <v>410</v>
      </c>
      <c r="S1583" s="10" t="s">
        <v>410</v>
      </c>
      <c r="T1583" s="10" t="s">
        <v>410</v>
      </c>
    </row>
    <row r="1584" spans="1:20" ht="14.25" hidden="1" customHeight="1" outlineLevel="1" x14ac:dyDescent="0.3">
      <c r="A1584" s="583" t="s">
        <v>1922</v>
      </c>
      <c r="B1584" s="591">
        <v>6</v>
      </c>
      <c r="C1584" s="583" t="s">
        <v>1256</v>
      </c>
      <c r="D1584" s="583" t="s">
        <v>1472</v>
      </c>
      <c r="E1584" s="592" t="s">
        <v>410</v>
      </c>
      <c r="F1584" s="593" t="s">
        <v>107</v>
      </c>
      <c r="G1584" s="593" t="s">
        <v>1924</v>
      </c>
      <c r="H1584" s="593" t="s">
        <v>1925</v>
      </c>
      <c r="I1584" s="593" t="s">
        <v>3154</v>
      </c>
      <c r="J1584" s="593" t="s">
        <v>3155</v>
      </c>
      <c r="K1584" s="237" t="s">
        <v>410</v>
      </c>
      <c r="L1584" s="237" t="s">
        <v>410</v>
      </c>
      <c r="M1584" s="237" t="s">
        <v>410</v>
      </c>
      <c r="N1584" s="237" t="s">
        <v>410</v>
      </c>
      <c r="O1584" s="237" t="s">
        <v>410</v>
      </c>
      <c r="P1584" s="237" t="s">
        <v>410</v>
      </c>
      <c r="Q1584" s="237" t="s">
        <v>410</v>
      </c>
      <c r="R1584" s="237" t="s">
        <v>410</v>
      </c>
      <c r="S1584" s="10" t="s">
        <v>410</v>
      </c>
      <c r="T1584" s="10" t="s">
        <v>410</v>
      </c>
    </row>
    <row r="1585" spans="1:20" hidden="1" outlineLevel="1" x14ac:dyDescent="0.3">
      <c r="A1585" s="583" t="s">
        <v>1926</v>
      </c>
      <c r="B1585" s="591">
        <v>6</v>
      </c>
      <c r="C1585" s="583" t="s">
        <v>1256</v>
      </c>
      <c r="D1585" s="583" t="s">
        <v>1472</v>
      </c>
      <c r="E1585" s="592" t="s">
        <v>410</v>
      </c>
      <c r="F1585" s="593" t="s">
        <v>1829</v>
      </c>
      <c r="G1585" s="593" t="s">
        <v>3156</v>
      </c>
      <c r="H1585" s="593" t="s">
        <v>1927</v>
      </c>
      <c r="I1585" s="593" t="s">
        <v>3157</v>
      </c>
      <c r="J1585" s="593" t="s">
        <v>3158</v>
      </c>
      <c r="K1585" s="237" t="s">
        <v>410</v>
      </c>
      <c r="L1585" s="237" t="s">
        <v>410</v>
      </c>
      <c r="M1585" s="237" t="s">
        <v>410</v>
      </c>
      <c r="N1585" s="237" t="s">
        <v>410</v>
      </c>
      <c r="O1585" s="237" t="s">
        <v>410</v>
      </c>
      <c r="P1585" s="237" t="s">
        <v>410</v>
      </c>
      <c r="Q1585" s="237" t="s">
        <v>410</v>
      </c>
      <c r="R1585" s="237" t="s">
        <v>410</v>
      </c>
      <c r="S1585" s="10" t="s">
        <v>410</v>
      </c>
      <c r="T1585" s="10" t="s">
        <v>410</v>
      </c>
    </row>
    <row r="1586" spans="1:20" hidden="1" outlineLevel="1" x14ac:dyDescent="0.3">
      <c r="A1586" s="583" t="s">
        <v>1979</v>
      </c>
      <c r="B1586" s="591">
        <v>6</v>
      </c>
      <c r="C1586" s="583" t="s">
        <v>1256</v>
      </c>
      <c r="D1586" s="583" t="s">
        <v>1472</v>
      </c>
      <c r="E1586" s="593" t="s">
        <v>410</v>
      </c>
      <c r="F1586" s="237"/>
      <c r="G1586" s="237"/>
      <c r="H1586" s="237"/>
      <c r="I1586" s="237"/>
      <c r="J1586" s="237" t="s">
        <v>410</v>
      </c>
      <c r="K1586" s="237" t="s">
        <v>410</v>
      </c>
      <c r="L1586" s="237" t="s">
        <v>410</v>
      </c>
      <c r="M1586" s="237" t="s">
        <v>410</v>
      </c>
      <c r="N1586" s="237" t="s">
        <v>410</v>
      </c>
      <c r="O1586" s="237" t="s">
        <v>410</v>
      </c>
      <c r="P1586" s="237" t="s">
        <v>410</v>
      </c>
      <c r="Q1586" s="237" t="s">
        <v>410</v>
      </c>
      <c r="R1586" s="237" t="s">
        <v>410</v>
      </c>
      <c r="S1586" s="237" t="s">
        <v>410</v>
      </c>
      <c r="T1586" s="237" t="s">
        <v>410</v>
      </c>
    </row>
    <row r="1587" spans="1:20" ht="14.25" hidden="1" customHeight="1" outlineLevel="1" x14ac:dyDescent="0.3">
      <c r="A1587" s="583" t="s">
        <v>1638</v>
      </c>
      <c r="B1587" s="591">
        <v>11</v>
      </c>
      <c r="C1587" s="583" t="s">
        <v>1256</v>
      </c>
      <c r="D1587" s="583" t="s">
        <v>1472</v>
      </c>
      <c r="E1587" s="592" t="s">
        <v>410</v>
      </c>
      <c r="F1587" s="237"/>
      <c r="G1587" s="237"/>
      <c r="H1587" s="237"/>
      <c r="I1587" s="237"/>
      <c r="J1587" s="237"/>
      <c r="K1587" s="237"/>
      <c r="L1587" s="237"/>
      <c r="M1587" s="237" t="s">
        <v>410</v>
      </c>
      <c r="N1587" s="237" t="s">
        <v>410</v>
      </c>
      <c r="O1587" s="237" t="s">
        <v>410</v>
      </c>
      <c r="P1587" s="237" t="s">
        <v>410</v>
      </c>
      <c r="Q1587" s="237" t="s">
        <v>410</v>
      </c>
      <c r="R1587" s="237" t="s">
        <v>410</v>
      </c>
      <c r="S1587" s="10" t="s">
        <v>410</v>
      </c>
      <c r="T1587" s="10" t="s">
        <v>410</v>
      </c>
    </row>
    <row r="1588" spans="1:20" hidden="1" outlineLevel="1" x14ac:dyDescent="0.3">
      <c r="A1588" s="583" t="s">
        <v>3004</v>
      </c>
      <c r="B1588" s="591">
        <v>11</v>
      </c>
      <c r="C1588" s="583" t="s">
        <v>1256</v>
      </c>
      <c r="D1588" s="583" t="s">
        <v>1472</v>
      </c>
      <c r="E1588" s="592" t="s">
        <v>410</v>
      </c>
      <c r="F1588" s="593" t="s">
        <v>3005</v>
      </c>
      <c r="G1588" s="593" t="s">
        <v>3006</v>
      </c>
      <c r="H1588" s="593" t="s">
        <v>3007</v>
      </c>
      <c r="I1588" s="593" t="s">
        <v>3008</v>
      </c>
      <c r="J1588" s="593" t="s">
        <v>3009</v>
      </c>
      <c r="K1588" s="237" t="s">
        <v>410</v>
      </c>
      <c r="L1588" s="237" t="s">
        <v>410</v>
      </c>
      <c r="M1588" s="237" t="s">
        <v>410</v>
      </c>
      <c r="N1588" s="237" t="s">
        <v>410</v>
      </c>
      <c r="O1588" s="237" t="s">
        <v>410</v>
      </c>
      <c r="P1588" s="237" t="s">
        <v>410</v>
      </c>
      <c r="Q1588" s="237" t="s">
        <v>410</v>
      </c>
      <c r="R1588" s="237" t="s">
        <v>410</v>
      </c>
      <c r="S1588" s="10" t="s">
        <v>410</v>
      </c>
      <c r="T1588" s="10" t="s">
        <v>410</v>
      </c>
    </row>
    <row r="1589" spans="1:20" hidden="1" outlineLevel="1" x14ac:dyDescent="0.3">
      <c r="A1589" s="583" t="s">
        <v>1645</v>
      </c>
      <c r="B1589" s="591">
        <v>13</v>
      </c>
      <c r="C1589" s="583" t="s">
        <v>1256</v>
      </c>
      <c r="D1589" s="583" t="s">
        <v>1472</v>
      </c>
      <c r="E1589" s="592" t="s">
        <v>410</v>
      </c>
      <c r="F1589" s="593" t="s">
        <v>1646</v>
      </c>
      <c r="G1589" s="593" t="s">
        <v>1647</v>
      </c>
      <c r="H1589" s="593" t="s">
        <v>1648</v>
      </c>
      <c r="I1589" s="593" t="s">
        <v>1649</v>
      </c>
      <c r="J1589" s="593" t="s">
        <v>1650</v>
      </c>
      <c r="K1589" s="593" t="s">
        <v>1651</v>
      </c>
      <c r="L1589" s="593" t="s">
        <v>1652</v>
      </c>
      <c r="M1589" s="593" t="s">
        <v>1653</v>
      </c>
      <c r="N1589" s="237" t="s">
        <v>410</v>
      </c>
      <c r="O1589" s="237" t="s">
        <v>410</v>
      </c>
      <c r="P1589" s="237" t="s">
        <v>410</v>
      </c>
      <c r="Q1589" s="237" t="s">
        <v>410</v>
      </c>
      <c r="R1589" s="237" t="s">
        <v>410</v>
      </c>
      <c r="S1589" s="10" t="s">
        <v>410</v>
      </c>
      <c r="T1589" s="10" t="s">
        <v>410</v>
      </c>
    </row>
    <row r="1590" spans="1:20" hidden="1" outlineLevel="1" x14ac:dyDescent="0.3">
      <c r="A1590" s="583" t="s">
        <v>1471</v>
      </c>
      <c r="B1590" s="591">
        <v>16</v>
      </c>
      <c r="C1590" s="588" t="s">
        <v>1256</v>
      </c>
      <c r="D1590" s="588" t="s">
        <v>1472</v>
      </c>
      <c r="E1590" s="589" t="s">
        <v>410</v>
      </c>
      <c r="F1590" s="426"/>
      <c r="G1590" s="426"/>
      <c r="H1590" s="426"/>
      <c r="I1590" s="441" t="s">
        <v>410</v>
      </c>
      <c r="J1590" s="441" t="s">
        <v>410</v>
      </c>
      <c r="K1590" s="441" t="s">
        <v>410</v>
      </c>
      <c r="L1590" s="441" t="s">
        <v>410</v>
      </c>
      <c r="M1590" s="441" t="s">
        <v>410</v>
      </c>
      <c r="N1590" s="441" t="s">
        <v>410</v>
      </c>
      <c r="O1590" s="441" t="s">
        <v>410</v>
      </c>
      <c r="P1590" s="441" t="s">
        <v>410</v>
      </c>
      <c r="Q1590" s="441" t="s">
        <v>410</v>
      </c>
      <c r="R1590" s="441" t="s">
        <v>410</v>
      </c>
      <c r="S1590" s="441" t="s">
        <v>410</v>
      </c>
      <c r="T1590" s="441" t="s">
        <v>410</v>
      </c>
    </row>
    <row r="1591" spans="1:20" hidden="1" outlineLevel="1" x14ac:dyDescent="0.3">
      <c r="A1591" s="583" t="s">
        <v>1657</v>
      </c>
      <c r="B1591" s="591">
        <v>16</v>
      </c>
      <c r="C1591" s="583" t="s">
        <v>1256</v>
      </c>
      <c r="D1591" s="583" t="s">
        <v>1472</v>
      </c>
      <c r="E1591" s="592" t="s">
        <v>410</v>
      </c>
      <c r="F1591" s="594" t="str">
        <f>CONCATENATE("ROZ~",TEXT(12-'1-Vlastnosti'!$D$9,0),"~0,Žt-9,Mg-13,BÚ+11")</f>
        <v>ROZ~17~0,Žt-9,Mg-13,BÚ+11</v>
      </c>
      <c r="G1591" s="594" t="str">
        <f>CONCATENATE("ROZ~",TEXT(11-'1-Vlastnosti'!$D$9,0),"~0,Žt-8,Mg-12,BÚ+10")</f>
        <v>ROZ~16~0,Žt-8,Mg-12,BÚ+10</v>
      </c>
      <c r="H1591" s="594" t="str">
        <f>CONCATENATE("ROZ~",TEXT(10-'1-Vlastnosti'!$D$9,0),"~0,Žt-7,Mg-11,BÚ+9")</f>
        <v>ROZ~15~0,Žt-7,Mg-11,BÚ+9</v>
      </c>
      <c r="I1591" s="594" t="str">
        <f>CONCATENATE("ROZ~",TEXT(9-'1-Vlastnosti'!$D$9,0),"~0,Žt-6,Mg-10,BÚ+8")</f>
        <v>ROZ~14~0,Žt-6,Mg-10,BÚ+8</v>
      </c>
      <c r="J1591" s="594" t="str">
        <f>CONCATENATE("ROZ~",TEXT(8-'1-Vlastnosti'!$D$9,0),"~0,Žt-5,Mg-9,BÚ+7")</f>
        <v>ROZ~13~0,Žt-5,Mg-9,BÚ+7</v>
      </c>
      <c r="K1591" s="594" t="str">
        <f>CONCATENATE("ROZ~",TEXT(7-'1-Vlastnosti'!$D$9,0),"~0,Žt-4,Mg-8,BÚ+6")</f>
        <v>ROZ~12~0,Žt-4,Mg-8,BÚ+6</v>
      </c>
      <c r="L1591" s="237" t="s">
        <v>410</v>
      </c>
      <c r="M1591" s="237" t="s">
        <v>410</v>
      </c>
      <c r="N1591" s="237" t="s">
        <v>410</v>
      </c>
      <c r="O1591" s="237" t="s">
        <v>410</v>
      </c>
      <c r="P1591" s="237" t="s">
        <v>410</v>
      </c>
      <c r="Q1591" s="237" t="s">
        <v>410</v>
      </c>
      <c r="R1591" s="237" t="s">
        <v>410</v>
      </c>
      <c r="S1591" s="10" t="s">
        <v>410</v>
      </c>
      <c r="T1591" s="10" t="s">
        <v>410</v>
      </c>
    </row>
    <row r="1592" spans="1:20" hidden="1" outlineLevel="1" x14ac:dyDescent="0.3">
      <c r="A1592" s="583" t="s">
        <v>3348</v>
      </c>
      <c r="B1592" s="591">
        <v>16</v>
      </c>
      <c r="C1592" s="583" t="s">
        <v>1256</v>
      </c>
      <c r="D1592" s="583" t="s">
        <v>1472</v>
      </c>
      <c r="E1592" s="592" t="s">
        <v>410</v>
      </c>
      <c r="F1592" s="593" t="s">
        <v>3352</v>
      </c>
      <c r="G1592" s="593" t="s">
        <v>3349</v>
      </c>
      <c r="H1592" s="593" t="s">
        <v>3194</v>
      </c>
      <c r="I1592" s="593" t="s">
        <v>3350</v>
      </c>
      <c r="J1592" s="593" t="s">
        <v>3351</v>
      </c>
      <c r="K1592" s="237" t="s">
        <v>410</v>
      </c>
      <c r="L1592" s="237" t="s">
        <v>410</v>
      </c>
      <c r="M1592" s="237" t="s">
        <v>410</v>
      </c>
      <c r="N1592" s="237" t="s">
        <v>410</v>
      </c>
      <c r="O1592" s="237" t="s">
        <v>410</v>
      </c>
      <c r="P1592" s="237" t="s">
        <v>410</v>
      </c>
      <c r="Q1592" s="237" t="s">
        <v>410</v>
      </c>
      <c r="R1592" s="237" t="s">
        <v>410</v>
      </c>
      <c r="S1592" s="10" t="s">
        <v>410</v>
      </c>
      <c r="T1592" s="10" t="s">
        <v>410</v>
      </c>
    </row>
    <row r="1593" spans="1:20" hidden="1" outlineLevel="1" x14ac:dyDescent="0.3">
      <c r="A1593" s="583" t="s">
        <v>4427</v>
      </c>
      <c r="B1593" s="591">
        <v>16</v>
      </c>
      <c r="C1593" s="583" t="s">
        <v>1256</v>
      </c>
      <c r="D1593" s="583" t="s">
        <v>1472</v>
      </c>
      <c r="E1593" s="592" t="s">
        <v>410</v>
      </c>
      <c r="F1593" s="593" t="s">
        <v>4429</v>
      </c>
      <c r="G1593" s="593" t="s">
        <v>4342</v>
      </c>
      <c r="H1593" s="593" t="s">
        <v>4428</v>
      </c>
      <c r="I1593" s="237" t="s">
        <v>410</v>
      </c>
      <c r="J1593" s="237" t="s">
        <v>410</v>
      </c>
      <c r="K1593" s="237" t="s">
        <v>410</v>
      </c>
      <c r="L1593" s="237" t="s">
        <v>410</v>
      </c>
      <c r="M1593" s="237" t="s">
        <v>410</v>
      </c>
      <c r="N1593" s="237" t="s">
        <v>410</v>
      </c>
      <c r="O1593" s="237" t="s">
        <v>410</v>
      </c>
      <c r="P1593" s="237" t="s">
        <v>410</v>
      </c>
      <c r="Q1593" s="237" t="s">
        <v>410</v>
      </c>
      <c r="R1593" s="237" t="s">
        <v>410</v>
      </c>
      <c r="S1593" s="10" t="s">
        <v>410</v>
      </c>
      <c r="T1593" s="10" t="s">
        <v>410</v>
      </c>
    </row>
    <row r="1594" spans="1:20" ht="15.75" hidden="1" customHeight="1" outlineLevel="1" x14ac:dyDescent="0.3">
      <c r="A1594" s="583" t="s">
        <v>2067</v>
      </c>
      <c r="B1594" s="591">
        <v>0</v>
      </c>
      <c r="C1594" s="588" t="s">
        <v>1564</v>
      </c>
      <c r="D1594" s="588" t="s">
        <v>1472</v>
      </c>
      <c r="E1594" s="595"/>
      <c r="F1594" s="9" t="s">
        <v>410</v>
      </c>
      <c r="G1594" s="9" t="s">
        <v>410</v>
      </c>
      <c r="H1594" s="9" t="s">
        <v>410</v>
      </c>
      <c r="I1594" s="9" t="s">
        <v>410</v>
      </c>
      <c r="J1594" s="9" t="s">
        <v>410</v>
      </c>
      <c r="K1594" s="9" t="s">
        <v>410</v>
      </c>
      <c r="L1594" s="9" t="s">
        <v>410</v>
      </c>
      <c r="M1594" s="9" t="s">
        <v>410</v>
      </c>
      <c r="N1594" s="9" t="s">
        <v>410</v>
      </c>
      <c r="O1594" s="9" t="s">
        <v>410</v>
      </c>
      <c r="P1594" s="9" t="s">
        <v>410</v>
      </c>
      <c r="Q1594" s="9" t="s">
        <v>410</v>
      </c>
      <c r="R1594" s="9" t="s">
        <v>410</v>
      </c>
      <c r="S1594" s="9" t="s">
        <v>410</v>
      </c>
      <c r="T1594" s="9" t="s">
        <v>410</v>
      </c>
    </row>
    <row r="1595" spans="1:20" hidden="1" outlineLevel="1" x14ac:dyDescent="0.3">
      <c r="A1595" s="583" t="s">
        <v>2204</v>
      </c>
      <c r="B1595" s="591">
        <v>0</v>
      </c>
      <c r="C1595" s="583" t="s">
        <v>1564</v>
      </c>
      <c r="D1595" s="583" t="s">
        <v>1472</v>
      </c>
      <c r="E1595" s="592" t="s">
        <v>2205</v>
      </c>
      <c r="F1595" s="593" t="s">
        <v>410</v>
      </c>
      <c r="G1595" s="237" t="s">
        <v>410</v>
      </c>
      <c r="H1595" s="237" t="s">
        <v>410</v>
      </c>
      <c r="I1595" s="237" t="s">
        <v>410</v>
      </c>
      <c r="J1595" s="237" t="s">
        <v>410</v>
      </c>
      <c r="K1595" s="237" t="s">
        <v>410</v>
      </c>
      <c r="L1595" s="237" t="s">
        <v>410</v>
      </c>
      <c r="M1595" s="237" t="s">
        <v>410</v>
      </c>
      <c r="N1595" s="237" t="s">
        <v>410</v>
      </c>
      <c r="O1595" s="237" t="s">
        <v>410</v>
      </c>
      <c r="P1595" s="237" t="s">
        <v>410</v>
      </c>
      <c r="Q1595" s="237" t="s">
        <v>410</v>
      </c>
      <c r="R1595" s="237" t="s">
        <v>410</v>
      </c>
      <c r="S1595" s="10" t="s">
        <v>410</v>
      </c>
      <c r="T1595" s="10" t="s">
        <v>410</v>
      </c>
    </row>
    <row r="1596" spans="1:20" hidden="1" outlineLevel="1" x14ac:dyDescent="0.3">
      <c r="A1596" s="583" t="s">
        <v>2066</v>
      </c>
      <c r="B1596" s="591">
        <v>0</v>
      </c>
      <c r="C1596" s="583" t="s">
        <v>1564</v>
      </c>
      <c r="D1596" s="583" t="s">
        <v>1472</v>
      </c>
      <c r="F1596" t="s">
        <v>410</v>
      </c>
      <c r="G1596" t="s">
        <v>410</v>
      </c>
      <c r="H1596" t="s">
        <v>410</v>
      </c>
      <c r="I1596" t="s">
        <v>410</v>
      </c>
      <c r="J1596" t="s">
        <v>410</v>
      </c>
      <c r="K1596" t="s">
        <v>410</v>
      </c>
      <c r="L1596" t="s">
        <v>410</v>
      </c>
      <c r="M1596" t="s">
        <v>410</v>
      </c>
      <c r="N1596" t="s">
        <v>410</v>
      </c>
      <c r="O1596" t="s">
        <v>410</v>
      </c>
      <c r="P1596" t="s">
        <v>410</v>
      </c>
      <c r="Q1596" t="s">
        <v>410</v>
      </c>
      <c r="R1596" t="s">
        <v>410</v>
      </c>
      <c r="S1596" t="s">
        <v>410</v>
      </c>
      <c r="T1596" t="s">
        <v>410</v>
      </c>
    </row>
    <row r="1597" spans="1:20" hidden="1" outlineLevel="1" x14ac:dyDescent="0.3">
      <c r="A1597" s="583" t="s">
        <v>3150</v>
      </c>
      <c r="B1597" s="591">
        <v>1</v>
      </c>
      <c r="C1597" s="583" t="s">
        <v>1564</v>
      </c>
      <c r="D1597" s="583" t="s">
        <v>1472</v>
      </c>
      <c r="E1597" s="593" t="s">
        <v>410</v>
      </c>
      <c r="F1597" s="593" t="s">
        <v>3054</v>
      </c>
      <c r="G1597" s="593" t="s">
        <v>3055</v>
      </c>
      <c r="H1597" s="593" t="s">
        <v>3056</v>
      </c>
      <c r="I1597" s="593" t="s">
        <v>3057</v>
      </c>
      <c r="J1597" s="593" t="s">
        <v>3059</v>
      </c>
      <c r="K1597" s="593" t="s">
        <v>3060</v>
      </c>
      <c r="L1597" s="593" t="s">
        <v>3058</v>
      </c>
      <c r="M1597" s="593" t="s">
        <v>3061</v>
      </c>
      <c r="N1597" s="237" t="s">
        <v>410</v>
      </c>
      <c r="O1597" s="237" t="s">
        <v>410</v>
      </c>
      <c r="P1597" s="237" t="s">
        <v>410</v>
      </c>
      <c r="Q1597" s="237" t="s">
        <v>410</v>
      </c>
      <c r="R1597" s="237" t="s">
        <v>410</v>
      </c>
      <c r="S1597" s="237" t="s">
        <v>410</v>
      </c>
      <c r="T1597" s="237" t="s">
        <v>410</v>
      </c>
    </row>
    <row r="1598" spans="1:20" hidden="1" outlineLevel="1" x14ac:dyDescent="0.3">
      <c r="A1598" s="583" t="s">
        <v>2196</v>
      </c>
      <c r="B1598" s="591">
        <v>1</v>
      </c>
      <c r="C1598" s="583" t="s">
        <v>1564</v>
      </c>
      <c r="D1598" s="583" t="s">
        <v>1472</v>
      </c>
      <c r="E1598" s="592" t="s">
        <v>410</v>
      </c>
      <c r="F1598" s="592" t="s">
        <v>3164</v>
      </c>
      <c r="G1598" s="592" t="s">
        <v>3165</v>
      </c>
      <c r="H1598" s="592" t="s">
        <v>3166</v>
      </c>
      <c r="I1598" s="592" t="s">
        <v>3167</v>
      </c>
      <c r="J1598" s="592" t="s">
        <v>3168</v>
      </c>
      <c r="K1598" s="583" t="s">
        <v>410</v>
      </c>
      <c r="L1598" t="s">
        <v>410</v>
      </c>
      <c r="M1598" t="s">
        <v>410</v>
      </c>
      <c r="N1598" t="s">
        <v>410</v>
      </c>
      <c r="O1598" t="s">
        <v>410</v>
      </c>
      <c r="P1598" t="s">
        <v>410</v>
      </c>
      <c r="Q1598" t="s">
        <v>410</v>
      </c>
      <c r="R1598" t="s">
        <v>410</v>
      </c>
      <c r="S1598" t="s">
        <v>410</v>
      </c>
      <c r="T1598" t="s">
        <v>410</v>
      </c>
    </row>
    <row r="1599" spans="1:20" hidden="1" outlineLevel="1" x14ac:dyDescent="0.3">
      <c r="A1599" s="583" t="s">
        <v>5233</v>
      </c>
      <c r="B1599" s="591">
        <v>1</v>
      </c>
      <c r="C1599" s="583" t="s">
        <v>1564</v>
      </c>
      <c r="D1599" s="583" t="s">
        <v>1472</v>
      </c>
      <c r="E1599" s="593" t="s">
        <v>410</v>
      </c>
      <c r="F1599" s="594" t="str">
        <f>CONCATENATE(TEXT(Úr*2+sInt,0)," %")</f>
        <v>10 %</v>
      </c>
      <c r="G1599" s="237" t="s">
        <v>410</v>
      </c>
      <c r="H1599" s="237" t="s">
        <v>410</v>
      </c>
      <c r="I1599" s="237" t="s">
        <v>410</v>
      </c>
      <c r="J1599" s="237" t="s">
        <v>410</v>
      </c>
      <c r="K1599" s="237" t="s">
        <v>410</v>
      </c>
      <c r="L1599" s="237" t="s">
        <v>410</v>
      </c>
      <c r="M1599" s="237" t="s">
        <v>410</v>
      </c>
      <c r="N1599" s="237" t="s">
        <v>410</v>
      </c>
      <c r="O1599" s="237" t="s">
        <v>410</v>
      </c>
      <c r="P1599" s="237" t="s">
        <v>410</v>
      </c>
      <c r="Q1599" s="237" t="s">
        <v>410</v>
      </c>
      <c r="R1599" s="237" t="s">
        <v>410</v>
      </c>
      <c r="S1599" s="237" t="s">
        <v>410</v>
      </c>
      <c r="T1599" s="237" t="s">
        <v>410</v>
      </c>
    </row>
    <row r="1600" spans="1:20" hidden="1" outlineLevel="1" x14ac:dyDescent="0.3">
      <c r="A1600" s="583" t="s">
        <v>1875</v>
      </c>
      <c r="B1600" s="591">
        <v>1</v>
      </c>
      <c r="C1600" s="583" t="s">
        <v>1564</v>
      </c>
      <c r="D1600" s="583" t="s">
        <v>1472</v>
      </c>
      <c r="E1600" s="592" t="s">
        <v>410</v>
      </c>
      <c r="F1600" s="593" t="s">
        <v>4983</v>
      </c>
      <c r="G1600" s="237" t="s">
        <v>410</v>
      </c>
      <c r="H1600" s="237" t="s">
        <v>410</v>
      </c>
      <c r="I1600" s="237" t="s">
        <v>410</v>
      </c>
      <c r="J1600" s="237" t="s">
        <v>410</v>
      </c>
      <c r="K1600" s="237" t="s">
        <v>410</v>
      </c>
      <c r="L1600" s="237" t="s">
        <v>410</v>
      </c>
      <c r="M1600" s="237" t="s">
        <v>410</v>
      </c>
      <c r="N1600" s="237" t="s">
        <v>410</v>
      </c>
      <c r="O1600" s="237" t="s">
        <v>410</v>
      </c>
      <c r="P1600" s="237" t="s">
        <v>410</v>
      </c>
      <c r="Q1600" s="237" t="s">
        <v>410</v>
      </c>
      <c r="R1600" s="237" t="s">
        <v>410</v>
      </c>
      <c r="S1600" s="10" t="s">
        <v>410</v>
      </c>
      <c r="T1600" s="10" t="s">
        <v>410</v>
      </c>
    </row>
    <row r="1601" spans="1:20" hidden="1" outlineLevel="1" x14ac:dyDescent="0.3">
      <c r="A1601" s="583" t="s">
        <v>1876</v>
      </c>
      <c r="B1601" s="591">
        <v>1</v>
      </c>
      <c r="C1601" s="583" t="s">
        <v>1564</v>
      </c>
      <c r="D1601" s="583" t="s">
        <v>1472</v>
      </c>
      <c r="E1601" s="592" t="s">
        <v>410</v>
      </c>
      <c r="F1601" s="593" t="s">
        <v>4978</v>
      </c>
      <c r="G1601" s="237" t="s">
        <v>410</v>
      </c>
      <c r="H1601" s="237" t="s">
        <v>410</v>
      </c>
      <c r="I1601" s="237" t="s">
        <v>410</v>
      </c>
      <c r="J1601" s="237" t="s">
        <v>410</v>
      </c>
      <c r="K1601" s="237" t="s">
        <v>410</v>
      </c>
      <c r="L1601" s="237" t="s">
        <v>410</v>
      </c>
      <c r="M1601" s="237" t="s">
        <v>410</v>
      </c>
      <c r="N1601" s="237" t="s">
        <v>410</v>
      </c>
      <c r="O1601" s="237" t="s">
        <v>410</v>
      </c>
      <c r="P1601" s="237" t="s">
        <v>410</v>
      </c>
      <c r="Q1601" s="237" t="s">
        <v>410</v>
      </c>
      <c r="R1601" s="237" t="s">
        <v>410</v>
      </c>
      <c r="S1601" s="10" t="s">
        <v>410</v>
      </c>
      <c r="T1601" s="10" t="s">
        <v>410</v>
      </c>
    </row>
    <row r="1602" spans="1:20" hidden="1" outlineLevel="1" x14ac:dyDescent="0.3">
      <c r="A1602" s="583" t="s">
        <v>3026</v>
      </c>
      <c r="B1602" s="591">
        <v>1</v>
      </c>
      <c r="C1602" s="583" t="s">
        <v>1564</v>
      </c>
      <c r="D1602" s="583" t="s">
        <v>1472</v>
      </c>
      <c r="E1602" s="592"/>
      <c r="F1602" s="592" t="s">
        <v>410</v>
      </c>
      <c r="G1602" s="592" t="s">
        <v>410</v>
      </c>
      <c r="H1602" s="592" t="s">
        <v>410</v>
      </c>
      <c r="I1602" s="10" t="s">
        <v>410</v>
      </c>
      <c r="J1602" s="10" t="s">
        <v>410</v>
      </c>
      <c r="K1602" s="10" t="s">
        <v>410</v>
      </c>
      <c r="L1602" s="10" t="s">
        <v>410</v>
      </c>
      <c r="M1602" s="10" t="s">
        <v>410</v>
      </c>
      <c r="N1602" s="10" t="s">
        <v>410</v>
      </c>
      <c r="O1602" s="10" t="s">
        <v>410</v>
      </c>
      <c r="P1602" s="10" t="s">
        <v>410</v>
      </c>
      <c r="Q1602" s="10" t="s">
        <v>410</v>
      </c>
      <c r="R1602" s="10" t="s">
        <v>410</v>
      </c>
      <c r="S1602" s="10" t="s">
        <v>410</v>
      </c>
      <c r="T1602" s="10" t="s">
        <v>410</v>
      </c>
    </row>
    <row r="1603" spans="1:20" hidden="1" outlineLevel="1" x14ac:dyDescent="0.3">
      <c r="A1603" s="583" t="s">
        <v>3145</v>
      </c>
      <c r="B1603" s="591">
        <v>2</v>
      </c>
      <c r="C1603" s="583" t="s">
        <v>1564</v>
      </c>
      <c r="D1603" s="583" t="s">
        <v>1472</v>
      </c>
      <c r="E1603" s="593" t="s">
        <v>410</v>
      </c>
      <c r="F1603" s="593" t="s">
        <v>3039</v>
      </c>
      <c r="G1603" s="593" t="s">
        <v>3040</v>
      </c>
      <c r="H1603" s="593" t="s">
        <v>3041</v>
      </c>
      <c r="I1603" s="593" t="s">
        <v>4634</v>
      </c>
      <c r="J1603" s="593" t="s">
        <v>3042</v>
      </c>
      <c r="K1603" s="593" t="s">
        <v>3043</v>
      </c>
      <c r="L1603" s="593" t="s">
        <v>3044</v>
      </c>
      <c r="M1603" s="593" t="s">
        <v>3045</v>
      </c>
      <c r="N1603" s="237" t="s">
        <v>410</v>
      </c>
      <c r="O1603" s="237" t="s">
        <v>410</v>
      </c>
      <c r="P1603" s="237" t="s">
        <v>410</v>
      </c>
      <c r="Q1603" s="237" t="s">
        <v>410</v>
      </c>
      <c r="R1603" s="237" t="s">
        <v>410</v>
      </c>
      <c r="S1603" s="237" t="s">
        <v>410</v>
      </c>
      <c r="T1603" s="237" t="s">
        <v>410</v>
      </c>
    </row>
    <row r="1604" spans="1:20" hidden="1" outlineLevel="1" x14ac:dyDescent="0.3">
      <c r="A1604" s="583" t="s">
        <v>2197</v>
      </c>
      <c r="B1604" s="591">
        <v>2</v>
      </c>
      <c r="C1604" s="583" t="s">
        <v>1564</v>
      </c>
      <c r="D1604" s="583" t="s">
        <v>1472</v>
      </c>
      <c r="E1604" s="592" t="s">
        <v>410</v>
      </c>
      <c r="F1604" s="583" t="s">
        <v>410</v>
      </c>
      <c r="G1604" s="583" t="s">
        <v>3169</v>
      </c>
      <c r="H1604" s="583" t="s">
        <v>3170</v>
      </c>
      <c r="I1604" s="583" t="s">
        <v>3171</v>
      </c>
      <c r="J1604" s="583" t="s">
        <v>3172</v>
      </c>
      <c r="K1604" s="583" t="s">
        <v>410</v>
      </c>
      <c r="L1604" t="s">
        <v>410</v>
      </c>
      <c r="M1604" t="s">
        <v>410</v>
      </c>
      <c r="N1604" t="s">
        <v>410</v>
      </c>
      <c r="O1604" t="s">
        <v>410</v>
      </c>
      <c r="P1604" t="s">
        <v>410</v>
      </c>
      <c r="Q1604" t="s">
        <v>410</v>
      </c>
      <c r="R1604" t="s">
        <v>410</v>
      </c>
      <c r="S1604" t="s">
        <v>410</v>
      </c>
      <c r="T1604" t="s">
        <v>410</v>
      </c>
    </row>
    <row r="1605" spans="1:20" hidden="1" outlineLevel="1" x14ac:dyDescent="0.3">
      <c r="A1605" s="583" t="s">
        <v>1877</v>
      </c>
      <c r="B1605" s="591">
        <v>2</v>
      </c>
      <c r="C1605" s="583" t="s">
        <v>1564</v>
      </c>
      <c r="D1605" s="583" t="s">
        <v>1472</v>
      </c>
      <c r="E1605" s="592" t="s">
        <v>410</v>
      </c>
      <c r="F1605" s="593" t="s">
        <v>4979</v>
      </c>
      <c r="G1605" s="237" t="s">
        <v>410</v>
      </c>
      <c r="H1605" s="237" t="s">
        <v>410</v>
      </c>
      <c r="I1605" s="237" t="s">
        <v>410</v>
      </c>
      <c r="J1605" s="237" t="s">
        <v>410</v>
      </c>
      <c r="K1605" s="237" t="s">
        <v>410</v>
      </c>
      <c r="L1605" s="237" t="s">
        <v>410</v>
      </c>
      <c r="M1605" s="237" t="s">
        <v>410</v>
      </c>
      <c r="N1605" s="237" t="s">
        <v>410</v>
      </c>
      <c r="O1605" s="237" t="s">
        <v>410</v>
      </c>
      <c r="P1605" s="237" t="s">
        <v>410</v>
      </c>
      <c r="Q1605" s="237" t="s">
        <v>410</v>
      </c>
      <c r="R1605" s="237" t="s">
        <v>410</v>
      </c>
      <c r="S1605" s="10" t="s">
        <v>410</v>
      </c>
      <c r="T1605" s="10" t="s">
        <v>410</v>
      </c>
    </row>
    <row r="1606" spans="1:20" hidden="1" outlineLevel="1" x14ac:dyDescent="0.3">
      <c r="A1606" s="583" t="s">
        <v>3586</v>
      </c>
      <c r="B1606" s="591">
        <v>3</v>
      </c>
      <c r="C1606" s="583" t="s">
        <v>1564</v>
      </c>
      <c r="D1606" s="583" t="s">
        <v>1472</v>
      </c>
      <c r="E1606" s="593" t="s">
        <v>410</v>
      </c>
      <c r="F1606" s="593" t="s">
        <v>4665</v>
      </c>
      <c r="G1606" s="593" t="s">
        <v>4291</v>
      </c>
      <c r="H1606" s="593" t="s">
        <v>4666</v>
      </c>
      <c r="I1606" s="593" t="s">
        <v>4667</v>
      </c>
      <c r="J1606" s="593" t="s">
        <v>4668</v>
      </c>
      <c r="K1606" s="593" t="s">
        <v>4669</v>
      </c>
      <c r="L1606" s="593" t="s">
        <v>4670</v>
      </c>
      <c r="M1606" s="593" t="s">
        <v>4671</v>
      </c>
      <c r="N1606" s="237" t="s">
        <v>410</v>
      </c>
      <c r="O1606" s="237" t="s">
        <v>410</v>
      </c>
      <c r="P1606" s="237" t="s">
        <v>410</v>
      </c>
      <c r="Q1606" s="237" t="s">
        <v>410</v>
      </c>
      <c r="R1606" s="237" t="s">
        <v>410</v>
      </c>
      <c r="S1606" s="237" t="s">
        <v>410</v>
      </c>
      <c r="T1606" s="237" t="s">
        <v>410</v>
      </c>
    </row>
    <row r="1607" spans="1:20" hidden="1" outlineLevel="1" x14ac:dyDescent="0.3">
      <c r="A1607" s="583" t="s">
        <v>2198</v>
      </c>
      <c r="B1607" s="591">
        <v>3</v>
      </c>
      <c r="C1607" s="583" t="s">
        <v>1564</v>
      </c>
      <c r="D1607" s="583" t="s">
        <v>1472</v>
      </c>
      <c r="E1607" s="592" t="s">
        <v>410</v>
      </c>
      <c r="F1607" s="583" t="s">
        <v>410</v>
      </c>
      <c r="G1607" s="583" t="s">
        <v>410</v>
      </c>
      <c r="H1607" s="592" t="s">
        <v>3173</v>
      </c>
      <c r="I1607" s="592" t="s">
        <v>3173</v>
      </c>
      <c r="J1607" s="592" t="s">
        <v>3174</v>
      </c>
      <c r="K1607" s="583" t="s">
        <v>410</v>
      </c>
      <c r="L1607" t="s">
        <v>410</v>
      </c>
      <c r="M1607" t="s">
        <v>410</v>
      </c>
      <c r="N1607" t="s">
        <v>410</v>
      </c>
      <c r="O1607" t="s">
        <v>410</v>
      </c>
      <c r="P1607" t="s">
        <v>410</v>
      </c>
      <c r="Q1607" t="s">
        <v>410</v>
      </c>
      <c r="R1607" t="s">
        <v>410</v>
      </c>
      <c r="S1607" t="s">
        <v>410</v>
      </c>
      <c r="T1607" t="s">
        <v>410</v>
      </c>
    </row>
    <row r="1608" spans="1:20" hidden="1" outlineLevel="1" x14ac:dyDescent="0.3">
      <c r="A1608" s="583" t="s">
        <v>1878</v>
      </c>
      <c r="B1608" s="591">
        <v>3</v>
      </c>
      <c r="C1608" s="583" t="s">
        <v>1564</v>
      </c>
      <c r="D1608" s="583" t="s">
        <v>1472</v>
      </c>
      <c r="E1608" s="592" t="s">
        <v>410</v>
      </c>
      <c r="F1608" s="593" t="s">
        <v>4980</v>
      </c>
      <c r="G1608" s="237" t="s">
        <v>410</v>
      </c>
      <c r="H1608" s="237" t="s">
        <v>410</v>
      </c>
      <c r="I1608" s="237" t="s">
        <v>410</v>
      </c>
      <c r="J1608" s="237" t="s">
        <v>410</v>
      </c>
      <c r="K1608" s="237" t="s">
        <v>410</v>
      </c>
      <c r="L1608" s="237" t="s">
        <v>410</v>
      </c>
      <c r="M1608" s="237" t="s">
        <v>410</v>
      </c>
      <c r="N1608" s="237" t="s">
        <v>410</v>
      </c>
      <c r="O1608" s="237" t="s">
        <v>410</v>
      </c>
      <c r="P1608" s="237" t="s">
        <v>410</v>
      </c>
      <c r="Q1608" s="237" t="s">
        <v>410</v>
      </c>
      <c r="R1608" s="237" t="s">
        <v>410</v>
      </c>
      <c r="S1608" s="10" t="s">
        <v>410</v>
      </c>
      <c r="T1608" s="10" t="s">
        <v>410</v>
      </c>
    </row>
    <row r="1609" spans="1:20" hidden="1" outlineLevel="1" x14ac:dyDescent="0.3">
      <c r="A1609" s="583" t="s">
        <v>3163</v>
      </c>
      <c r="B1609" s="591">
        <v>4</v>
      </c>
      <c r="C1609" s="583" t="s">
        <v>1564</v>
      </c>
      <c r="D1609" s="583" t="s">
        <v>1472</v>
      </c>
      <c r="E1609" s="592" t="s">
        <v>410</v>
      </c>
      <c r="F1609" s="583" t="s">
        <v>410</v>
      </c>
      <c r="G1609" s="583" t="s">
        <v>410</v>
      </c>
      <c r="H1609" s="583" t="s">
        <v>410</v>
      </c>
      <c r="I1609" s="592" t="s">
        <v>3175</v>
      </c>
      <c r="J1609" s="592" t="s">
        <v>3175</v>
      </c>
      <c r="K1609" s="583" t="s">
        <v>410</v>
      </c>
      <c r="L1609" t="s">
        <v>410</v>
      </c>
      <c r="M1609" t="s">
        <v>410</v>
      </c>
      <c r="N1609" t="s">
        <v>410</v>
      </c>
      <c r="O1609" t="s">
        <v>410</v>
      </c>
      <c r="P1609" t="s">
        <v>410</v>
      </c>
      <c r="Q1609" t="s">
        <v>410</v>
      </c>
      <c r="R1609" t="s">
        <v>410</v>
      </c>
      <c r="S1609" t="s">
        <v>410</v>
      </c>
      <c r="T1609" t="s">
        <v>410</v>
      </c>
    </row>
    <row r="1610" spans="1:20" hidden="1" outlineLevel="1" x14ac:dyDescent="0.3">
      <c r="A1610" s="583" t="s">
        <v>1879</v>
      </c>
      <c r="B1610" s="591">
        <v>4</v>
      </c>
      <c r="C1610" s="583" t="s">
        <v>1564</v>
      </c>
      <c r="D1610" s="583" t="s">
        <v>1472</v>
      </c>
      <c r="E1610" s="592" t="s">
        <v>410</v>
      </c>
      <c r="F1610" s="593" t="s">
        <v>3949</v>
      </c>
      <c r="G1610" s="237" t="s">
        <v>410</v>
      </c>
      <c r="H1610" s="237" t="s">
        <v>410</v>
      </c>
      <c r="I1610" s="237" t="s">
        <v>410</v>
      </c>
      <c r="J1610" s="237" t="s">
        <v>410</v>
      </c>
      <c r="K1610" s="237" t="s">
        <v>410</v>
      </c>
      <c r="L1610" s="237" t="s">
        <v>410</v>
      </c>
      <c r="M1610" s="237" t="s">
        <v>410</v>
      </c>
      <c r="N1610" s="237" t="s">
        <v>410</v>
      </c>
      <c r="O1610" s="237" t="s">
        <v>410</v>
      </c>
      <c r="P1610" s="237" t="s">
        <v>410</v>
      </c>
      <c r="Q1610" s="237" t="s">
        <v>410</v>
      </c>
      <c r="R1610" s="237" t="s">
        <v>410</v>
      </c>
      <c r="S1610" s="10" t="s">
        <v>410</v>
      </c>
      <c r="T1610" s="10" t="s">
        <v>410</v>
      </c>
    </row>
    <row r="1611" spans="1:20" hidden="1" outlineLevel="1" x14ac:dyDescent="0.3">
      <c r="A1611" s="583" t="s">
        <v>2199</v>
      </c>
      <c r="B1611" s="591">
        <v>5</v>
      </c>
      <c r="C1611" s="583" t="s">
        <v>1564</v>
      </c>
      <c r="D1611" s="583" t="s">
        <v>1472</v>
      </c>
      <c r="E1611" s="592" t="s">
        <v>410</v>
      </c>
      <c r="F1611" s="583" t="s">
        <v>410</v>
      </c>
      <c r="G1611" s="583" t="s">
        <v>410</v>
      </c>
      <c r="H1611" s="583" t="s">
        <v>410</v>
      </c>
      <c r="I1611" s="583" t="s">
        <v>410</v>
      </c>
      <c r="J1611" s="592" t="s">
        <v>2200</v>
      </c>
      <c r="K1611" s="583" t="s">
        <v>410</v>
      </c>
      <c r="L1611" t="s">
        <v>410</v>
      </c>
      <c r="M1611" t="s">
        <v>410</v>
      </c>
      <c r="N1611" t="s">
        <v>410</v>
      </c>
      <c r="O1611" t="s">
        <v>410</v>
      </c>
      <c r="P1611" t="s">
        <v>410</v>
      </c>
      <c r="Q1611" t="s">
        <v>410</v>
      </c>
      <c r="R1611" t="s">
        <v>410</v>
      </c>
      <c r="S1611" t="s">
        <v>410</v>
      </c>
      <c r="T1611" t="s">
        <v>410</v>
      </c>
    </row>
    <row r="1612" spans="1:20" hidden="1" outlineLevel="1" x14ac:dyDescent="0.3">
      <c r="A1612" s="583" t="s">
        <v>1880</v>
      </c>
      <c r="B1612" s="591">
        <v>5</v>
      </c>
      <c r="C1612" s="583" t="s">
        <v>1564</v>
      </c>
      <c r="D1612" s="583" t="s">
        <v>1472</v>
      </c>
      <c r="E1612" s="592" t="s">
        <v>410</v>
      </c>
      <c r="F1612" s="593" t="s">
        <v>4982</v>
      </c>
      <c r="G1612" s="237" t="s">
        <v>410</v>
      </c>
      <c r="H1612" s="237" t="s">
        <v>410</v>
      </c>
      <c r="I1612" s="237" t="s">
        <v>410</v>
      </c>
      <c r="J1612" s="237" t="s">
        <v>410</v>
      </c>
      <c r="K1612" s="237" t="s">
        <v>410</v>
      </c>
      <c r="L1612" s="237" t="s">
        <v>410</v>
      </c>
      <c r="M1612" s="237" t="s">
        <v>410</v>
      </c>
      <c r="N1612" s="237" t="s">
        <v>410</v>
      </c>
      <c r="O1612" s="237" t="s">
        <v>410</v>
      </c>
      <c r="P1612" s="237" t="s">
        <v>410</v>
      </c>
      <c r="Q1612" s="237" t="s">
        <v>410</v>
      </c>
      <c r="R1612" s="237" t="s">
        <v>410</v>
      </c>
      <c r="S1612" s="10" t="s">
        <v>410</v>
      </c>
      <c r="T1612" s="10" t="s">
        <v>410</v>
      </c>
    </row>
    <row r="1613" spans="1:20" hidden="1" outlineLevel="1" x14ac:dyDescent="0.3">
      <c r="A1613" s="583" t="s">
        <v>3028</v>
      </c>
      <c r="B1613" s="591">
        <v>6</v>
      </c>
      <c r="C1613" s="588" t="s">
        <v>1564</v>
      </c>
      <c r="D1613" s="588" t="s">
        <v>1472</v>
      </c>
      <c r="E1613" s="589" t="s">
        <v>410</v>
      </c>
      <c r="F1613" s="594" t="str">
        <f>CONCATENATE(TEXT(0+IF(INT&lt;0,0,INT)*1,"0")," mg")</f>
        <v>0 mg</v>
      </c>
      <c r="G1613" s="594" t="str">
        <f>CONCATENATE(TEXT(2+IF(INT&lt;0,0,INT)*1,"0")," mg")</f>
        <v>2 mg</v>
      </c>
      <c r="H1613" s="594" t="str">
        <f>CONCATENATE(TEXT(4+IF(INT&lt;0,0,INT)*1,"0")," mg")</f>
        <v>4 mg</v>
      </c>
      <c r="I1613" s="594" t="str">
        <f>CONCATENATE(TEXT(4+IF(INT&lt;0,0,INT)*2,"0")," mg")</f>
        <v>4 mg</v>
      </c>
      <c r="J1613" s="594" t="str">
        <f>CONCATENATE(TEXT(6+IF(INT&lt;0,0,INT)*2,"0")," mg")</f>
        <v>6 mg</v>
      </c>
      <c r="K1613" s="594" t="str">
        <f>CONCATENATE(TEXT(8+IF(INT&lt;0,0,INT)*2,"0")," mg")</f>
        <v>8 mg</v>
      </c>
      <c r="L1613" s="594" t="str">
        <f>CONCATENATE(TEXT(10+IF(INT&lt;0,0,INT)*2,"0")," mg")</f>
        <v>10 mg</v>
      </c>
      <c r="M1613" s="594" t="str">
        <f>CONCATENATE(TEXT(12+IF(INT&lt;0,0,INT)*2,"0")," mg")</f>
        <v>12 mg</v>
      </c>
      <c r="N1613" s="594" t="str">
        <f>CONCATENATE(TEXT(14+IF(INT&lt;0,0,INT)*2,"0")," mg")</f>
        <v>14 mg</v>
      </c>
      <c r="O1613" s="594" t="str">
        <f>CONCATENATE(TEXT(15+IF(INT&lt;0,0,INT)*3,"0")," mg")</f>
        <v>15 mg</v>
      </c>
      <c r="P1613" s="441" t="s">
        <v>410</v>
      </c>
      <c r="Q1613" s="441" t="s">
        <v>410</v>
      </c>
      <c r="R1613" s="441" t="s">
        <v>410</v>
      </c>
      <c r="S1613" s="441" t="s">
        <v>410</v>
      </c>
      <c r="T1613" s="441" t="s">
        <v>410</v>
      </c>
    </row>
    <row r="1614" spans="1:20" hidden="1" outlineLevel="1" x14ac:dyDescent="0.3">
      <c r="A1614" s="583" t="s">
        <v>2049</v>
      </c>
      <c r="B1614" s="591">
        <v>6</v>
      </c>
      <c r="C1614" s="583" t="s">
        <v>1564</v>
      </c>
      <c r="D1614" s="583" t="s">
        <v>1472</v>
      </c>
      <c r="E1614" s="593" t="s">
        <v>410</v>
      </c>
      <c r="F1614" s="593" t="s">
        <v>4672</v>
      </c>
      <c r="G1614" s="593" t="s">
        <v>4673</v>
      </c>
      <c r="H1614" s="593" t="s">
        <v>4674</v>
      </c>
      <c r="I1614" s="593" t="s">
        <v>4675</v>
      </c>
      <c r="J1614" s="593" t="s">
        <v>4676</v>
      </c>
      <c r="K1614" s="593" t="s">
        <v>4677</v>
      </c>
      <c r="L1614" s="593" t="s">
        <v>4678</v>
      </c>
      <c r="M1614" s="593" t="s">
        <v>4679</v>
      </c>
      <c r="N1614" s="237" t="s">
        <v>410</v>
      </c>
      <c r="O1614" s="237" t="s">
        <v>410</v>
      </c>
      <c r="P1614" s="237" t="s">
        <v>410</v>
      </c>
      <c r="Q1614" s="237" t="s">
        <v>410</v>
      </c>
      <c r="R1614" s="237" t="s">
        <v>410</v>
      </c>
      <c r="S1614" s="237" t="s">
        <v>410</v>
      </c>
      <c r="T1614" s="237" t="s">
        <v>410</v>
      </c>
    </row>
    <row r="1615" spans="1:20" hidden="1" outlineLevel="1" x14ac:dyDescent="0.3">
      <c r="A1615" s="583" t="s">
        <v>3591</v>
      </c>
      <c r="B1615" s="591">
        <v>11</v>
      </c>
      <c r="C1615" s="583" t="s">
        <v>1564</v>
      </c>
      <c r="D1615" s="583" t="s">
        <v>1472</v>
      </c>
      <c r="E1615" s="593" t="s">
        <v>410</v>
      </c>
      <c r="F1615" s="593" t="s">
        <v>4680</v>
      </c>
      <c r="G1615" s="593" t="s">
        <v>4681</v>
      </c>
      <c r="H1615" s="593" t="s">
        <v>4682</v>
      </c>
      <c r="I1615" s="593" t="s">
        <v>4683</v>
      </c>
      <c r="J1615" s="593" t="s">
        <v>4684</v>
      </c>
      <c r="K1615" s="593" t="s">
        <v>4685</v>
      </c>
      <c r="L1615" s="593" t="s">
        <v>4686</v>
      </c>
      <c r="M1615" s="593" t="s">
        <v>4687</v>
      </c>
      <c r="N1615" s="237" t="s">
        <v>410</v>
      </c>
      <c r="O1615" s="237" t="s">
        <v>410</v>
      </c>
      <c r="P1615" s="237" t="s">
        <v>410</v>
      </c>
      <c r="Q1615" s="237" t="s">
        <v>410</v>
      </c>
      <c r="R1615" s="237" t="s">
        <v>410</v>
      </c>
      <c r="S1615" s="237" t="s">
        <v>410</v>
      </c>
      <c r="T1615" s="237" t="s">
        <v>410</v>
      </c>
    </row>
    <row r="1616" spans="1:20" hidden="1" outlineLevel="1" x14ac:dyDescent="0.3">
      <c r="A1616" s="583" t="s">
        <v>3151</v>
      </c>
      <c r="B1616" s="591">
        <v>13</v>
      </c>
      <c r="C1616" s="583" t="s">
        <v>1564</v>
      </c>
      <c r="D1616" s="583" t="s">
        <v>1472</v>
      </c>
      <c r="E1616" s="593" t="s">
        <v>410</v>
      </c>
      <c r="F1616" s="593" t="s">
        <v>3070</v>
      </c>
      <c r="G1616" s="593" t="s">
        <v>3071</v>
      </c>
      <c r="H1616" s="593" t="s">
        <v>3072</v>
      </c>
      <c r="I1616" s="593" t="s">
        <v>3073</v>
      </c>
      <c r="J1616" s="593" t="s">
        <v>3074</v>
      </c>
      <c r="K1616" s="593" t="s">
        <v>3075</v>
      </c>
      <c r="L1616" s="593" t="s">
        <v>3076</v>
      </c>
      <c r="M1616" s="593" t="s">
        <v>1068</v>
      </c>
      <c r="N1616" s="237" t="s">
        <v>410</v>
      </c>
      <c r="O1616" s="237" t="s">
        <v>410</v>
      </c>
      <c r="P1616" s="237" t="s">
        <v>410</v>
      </c>
      <c r="Q1616" s="237" t="s">
        <v>410</v>
      </c>
      <c r="R1616" s="237" t="s">
        <v>410</v>
      </c>
      <c r="S1616" s="237" t="s">
        <v>410</v>
      </c>
      <c r="T1616" s="237" t="s">
        <v>410</v>
      </c>
    </row>
    <row r="1617" spans="1:20" hidden="1" outlineLevel="1" x14ac:dyDescent="0.3">
      <c r="A1617" s="583" t="s">
        <v>4773</v>
      </c>
      <c r="B1617" s="591">
        <v>16</v>
      </c>
      <c r="C1617" s="583" t="s">
        <v>1564</v>
      </c>
      <c r="D1617" s="583" t="s">
        <v>1472</v>
      </c>
      <c r="E1617" s="593" t="s">
        <v>410</v>
      </c>
      <c r="F1617" s="593"/>
      <c r="G1617" s="593"/>
      <c r="H1617" s="593"/>
      <c r="I1617" s="593"/>
      <c r="J1617" s="593"/>
      <c r="K1617" s="593"/>
      <c r="L1617" s="593"/>
      <c r="M1617" s="593"/>
      <c r="N1617" s="237" t="s">
        <v>410</v>
      </c>
      <c r="O1617" s="237" t="s">
        <v>410</v>
      </c>
      <c r="P1617" s="237" t="s">
        <v>410</v>
      </c>
      <c r="Q1617" s="237" t="s">
        <v>410</v>
      </c>
      <c r="R1617" s="237" t="s">
        <v>410</v>
      </c>
      <c r="S1617" s="237" t="s">
        <v>410</v>
      </c>
      <c r="T1617" s="237" t="s">
        <v>410</v>
      </c>
    </row>
    <row r="1618" spans="1:20" hidden="1" outlineLevel="1" x14ac:dyDescent="0.3">
      <c r="A1618" s="583" t="s">
        <v>4772</v>
      </c>
      <c r="B1618" s="591">
        <v>21</v>
      </c>
      <c r="C1618" s="583" t="s">
        <v>1564</v>
      </c>
      <c r="D1618" s="583" t="s">
        <v>1472</v>
      </c>
      <c r="E1618" s="593" t="s">
        <v>410</v>
      </c>
      <c r="F1618" s="593"/>
      <c r="G1618" s="593"/>
      <c r="H1618" s="593"/>
      <c r="I1618" s="593"/>
      <c r="J1618" s="593"/>
      <c r="K1618" s="593"/>
      <c r="L1618" s="593"/>
      <c r="M1618" s="593"/>
      <c r="N1618" s="237" t="s">
        <v>410</v>
      </c>
      <c r="O1618" s="237" t="s">
        <v>410</v>
      </c>
      <c r="P1618" s="237" t="s">
        <v>410</v>
      </c>
      <c r="Q1618" s="237" t="s">
        <v>410</v>
      </c>
      <c r="R1618" s="237" t="s">
        <v>410</v>
      </c>
      <c r="S1618" s="237" t="s">
        <v>410</v>
      </c>
      <c r="T1618" s="237" t="s">
        <v>410</v>
      </c>
    </row>
    <row r="1619" spans="1:20" collapsed="1" x14ac:dyDescent="0.3">
      <c r="A1619" s="583" t="s">
        <v>5555</v>
      </c>
      <c r="B1619" s="591">
        <v>1</v>
      </c>
      <c r="C1619" s="588" t="s">
        <v>1256</v>
      </c>
      <c r="D1619" s="588" t="s">
        <v>1510</v>
      </c>
      <c r="E1619" s="589" t="s">
        <v>410</v>
      </c>
      <c r="F1619" s="590" t="s">
        <v>2130</v>
      </c>
      <c r="G1619" s="441" t="s">
        <v>410</v>
      </c>
      <c r="H1619" s="441" t="s">
        <v>410</v>
      </c>
      <c r="I1619" s="441" t="s">
        <v>410</v>
      </c>
      <c r="J1619" s="441" t="s">
        <v>410</v>
      </c>
      <c r="K1619" s="441" t="s">
        <v>410</v>
      </c>
      <c r="L1619" s="441" t="s">
        <v>410</v>
      </c>
      <c r="M1619" s="441" t="s">
        <v>410</v>
      </c>
      <c r="N1619" s="441" t="s">
        <v>410</v>
      </c>
      <c r="O1619" s="441" t="s">
        <v>410</v>
      </c>
      <c r="P1619" s="441" t="s">
        <v>410</v>
      </c>
      <c r="Q1619" s="441" t="s">
        <v>410</v>
      </c>
      <c r="R1619" s="441" t="s">
        <v>410</v>
      </c>
      <c r="S1619" s="441" t="s">
        <v>410</v>
      </c>
      <c r="T1619" s="441" t="s">
        <v>410</v>
      </c>
    </row>
    <row r="1620" spans="1:20" hidden="1" outlineLevel="1" x14ac:dyDescent="0.3">
      <c r="A1620" s="583" t="s">
        <v>5556</v>
      </c>
      <c r="B1620" s="591">
        <v>1</v>
      </c>
      <c r="C1620" s="588" t="s">
        <v>1256</v>
      </c>
      <c r="D1620" s="588" t="s">
        <v>1510</v>
      </c>
      <c r="E1620" s="589" t="s">
        <v>410</v>
      </c>
      <c r="F1620" s="590" t="s">
        <v>2134</v>
      </c>
      <c r="G1620" s="590" t="s">
        <v>2135</v>
      </c>
      <c r="H1620" s="590" t="s">
        <v>2136</v>
      </c>
      <c r="I1620" s="590" t="s">
        <v>2137</v>
      </c>
      <c r="J1620" s="441" t="s">
        <v>410</v>
      </c>
      <c r="K1620" s="441" t="s">
        <v>410</v>
      </c>
      <c r="L1620" s="441" t="s">
        <v>410</v>
      </c>
      <c r="M1620" s="441" t="s">
        <v>410</v>
      </c>
      <c r="N1620" s="441" t="s">
        <v>410</v>
      </c>
      <c r="O1620" s="441" t="s">
        <v>410</v>
      </c>
      <c r="P1620" s="441" t="s">
        <v>410</v>
      </c>
      <c r="Q1620" s="441" t="s">
        <v>410</v>
      </c>
      <c r="R1620" s="441" t="s">
        <v>410</v>
      </c>
      <c r="S1620" s="441" t="s">
        <v>410</v>
      </c>
      <c r="T1620" s="441" t="s">
        <v>410</v>
      </c>
    </row>
    <row r="1621" spans="1:20" hidden="1" outlineLevel="1" x14ac:dyDescent="0.3">
      <c r="A1621" s="583" t="s">
        <v>5554</v>
      </c>
      <c r="B1621" s="591">
        <v>1</v>
      </c>
      <c r="C1621" s="588" t="s">
        <v>1256</v>
      </c>
      <c r="D1621" s="588" t="s">
        <v>1510</v>
      </c>
      <c r="E1621" s="589" t="s">
        <v>410</v>
      </c>
      <c r="F1621" s="590" t="s">
        <v>2125</v>
      </c>
      <c r="G1621" s="590" t="s">
        <v>2126</v>
      </c>
      <c r="H1621" s="590" t="s">
        <v>2127</v>
      </c>
      <c r="I1621" s="590" t="s">
        <v>2128</v>
      </c>
      <c r="J1621" s="590" t="s">
        <v>2129</v>
      </c>
      <c r="K1621" s="441" t="s">
        <v>410</v>
      </c>
      <c r="L1621" s="441" t="s">
        <v>410</v>
      </c>
      <c r="M1621" s="441" t="s">
        <v>410</v>
      </c>
      <c r="N1621" s="441" t="s">
        <v>410</v>
      </c>
      <c r="O1621" s="441" t="s">
        <v>410</v>
      </c>
      <c r="P1621" s="441" t="s">
        <v>410</v>
      </c>
      <c r="Q1621" s="441" t="s">
        <v>410</v>
      </c>
      <c r="R1621" s="441" t="s">
        <v>410</v>
      </c>
      <c r="S1621" s="441" t="s">
        <v>410</v>
      </c>
      <c r="T1621" s="441" t="s">
        <v>410</v>
      </c>
    </row>
    <row r="1622" spans="1:20" hidden="1" outlineLevel="1" x14ac:dyDescent="0.3">
      <c r="A1622" s="583" t="s">
        <v>1566</v>
      </c>
      <c r="B1622" s="591">
        <v>1</v>
      </c>
      <c r="C1622" s="588" t="s">
        <v>1256</v>
      </c>
      <c r="D1622" s="588" t="s">
        <v>1510</v>
      </c>
      <c r="E1622" s="589" t="s">
        <v>410</v>
      </c>
      <c r="F1622" s="594" t="str">
        <f>CONCATENATE(TEXT(0+IF(CHR&lt;0,0,CHR)*1,"0")," mg")</f>
        <v>0 mg</v>
      </c>
      <c r="G1622" s="594" t="str">
        <f>CONCATENATE(TEXT(2+IF(CHR&lt;0,0,CHR)*1,"0")," mg")</f>
        <v>2 mg</v>
      </c>
      <c r="H1622" s="594" t="str">
        <f>CONCATENATE(TEXT(4+IF(CHR&lt;0,0,CHR)*1,"0")," mg")</f>
        <v>4 mg</v>
      </c>
      <c r="I1622" s="594" t="str">
        <f>CONCATENATE(TEXT(4+IF(CHR&lt;0,0,CHR)*2,"0")," mg")</f>
        <v>4 mg</v>
      </c>
      <c r="J1622" s="594" t="str">
        <f>CONCATENATE(TEXT(6+IF(CHR&lt;0,0,CHR)*2,"0")," mg")</f>
        <v>6 mg</v>
      </c>
      <c r="K1622" s="594" t="str">
        <f>CONCATENATE(TEXT(8+IF(CHR&lt;0,0,CHR)*2,"0")," mg")</f>
        <v>8 mg</v>
      </c>
      <c r="L1622" s="594" t="str">
        <f>CONCATENATE(TEXT(10+IF(CHR&lt;0,0,CHR)*2,"0")," mg")</f>
        <v>10 mg</v>
      </c>
      <c r="M1622" s="594" t="str">
        <f>CONCATENATE(TEXT(12+IF(CHR&lt;0,0,CHR)*2,"0")," mg")</f>
        <v>12 mg</v>
      </c>
      <c r="N1622" s="594" t="str">
        <f>CONCATENATE(TEXT(14+IF(CHR&lt;0,0,CHR)*2,"0")," mg")</f>
        <v>14 mg</v>
      </c>
      <c r="O1622" s="594" t="str">
        <f>CONCATENATE(TEXT(15+IF(CHR&lt;0,0,CHR)*3,"0")," mg")</f>
        <v>15 mg</v>
      </c>
      <c r="P1622" s="441" t="s">
        <v>410</v>
      </c>
      <c r="Q1622" s="441" t="s">
        <v>410</v>
      </c>
      <c r="R1622" s="441" t="s">
        <v>410</v>
      </c>
      <c r="S1622" s="441" t="s">
        <v>410</v>
      </c>
      <c r="T1622" s="441" t="s">
        <v>410</v>
      </c>
    </row>
    <row r="1623" spans="1:20" hidden="1" outlineLevel="1" x14ac:dyDescent="0.3">
      <c r="A1623" s="583" t="s">
        <v>1572</v>
      </c>
      <c r="B1623" s="591">
        <v>1</v>
      </c>
      <c r="C1623" s="588" t="s">
        <v>1256</v>
      </c>
      <c r="D1623" s="588" t="s">
        <v>1510</v>
      </c>
      <c r="E1623" s="589" t="s">
        <v>410</v>
      </c>
      <c r="F1623" s="594" t="str">
        <f>CONCATENATE(TEXT(0+IF(ZRČ&lt;0,0,ZRČ)*1,"0")," mg")</f>
        <v>0 mg</v>
      </c>
      <c r="G1623" s="594" t="str">
        <f>CONCATENATE(TEXT(2+IF(ZRČ&lt;0,0,ZRČ)*1,"0")," mg")</f>
        <v>2 mg</v>
      </c>
      <c r="H1623" s="594" t="str">
        <f>CONCATENATE(TEXT(4+IF(ZRČ&lt;0,0,ZRČ)*1,"0")," mg")</f>
        <v>4 mg</v>
      </c>
      <c r="I1623" s="594" t="str">
        <f>CONCATENATE(TEXT(4+IF(ZRČ&lt;0,0,ZRČ)*2,"0")," mg")</f>
        <v>4 mg</v>
      </c>
      <c r="J1623" s="594" t="str">
        <f>CONCATENATE(TEXT(6+IF(ZRČ&lt;0,0,ZRČ)*2,"0")," mg")</f>
        <v>6 mg</v>
      </c>
      <c r="K1623" s="594" t="str">
        <f>CONCATENATE(TEXT(8+IF(ZRČ&lt;0,0,ZRČ)*2,"0")," mg")</f>
        <v>8 mg</v>
      </c>
      <c r="L1623" s="594" t="str">
        <f>CONCATENATE(TEXT(10+IF(ZRČ&lt;0,0,ZRČ)*2,"0")," mg")</f>
        <v>10 mg</v>
      </c>
      <c r="M1623" s="594" t="str">
        <f>CONCATENATE(TEXT(12+IF(ZRČ&lt;0,0,ZRČ)*2,"0")," mg")</f>
        <v>12 mg</v>
      </c>
      <c r="N1623" s="594" t="str">
        <f>CONCATENATE(TEXT(14+IF(ZRČ&lt;0,0,ZRČ)*2,"0")," mg")</f>
        <v>14 mg</v>
      </c>
      <c r="O1623" s="594" t="str">
        <f>CONCATENATE(TEXT(15+IF(ZRČ&lt;0,0,ZRČ)*3,"0")," mg")</f>
        <v>15 mg</v>
      </c>
      <c r="P1623" s="441" t="s">
        <v>410</v>
      </c>
      <c r="Q1623" s="441" t="s">
        <v>410</v>
      </c>
      <c r="R1623" s="441" t="s">
        <v>410</v>
      </c>
      <c r="S1623" s="441" t="s">
        <v>410</v>
      </c>
      <c r="T1623" s="441" t="s">
        <v>410</v>
      </c>
    </row>
    <row r="1624" spans="1:20" hidden="1" outlineLevel="1" x14ac:dyDescent="0.3">
      <c r="A1624" s="583" t="s">
        <v>3029</v>
      </c>
      <c r="B1624" s="591">
        <v>1</v>
      </c>
      <c r="C1624" s="588" t="s">
        <v>1256</v>
      </c>
      <c r="D1624" s="588" t="s">
        <v>1510</v>
      </c>
      <c r="E1624" s="589" t="s">
        <v>410</v>
      </c>
      <c r="F1624" s="594" t="str">
        <f>CONCATENATE(TEXT(0+IF(OBR&lt;0,0,OBR)*1,"0")," mg")</f>
        <v>0 mg</v>
      </c>
      <c r="G1624" s="594" t="str">
        <f>CONCATENATE(TEXT(2+IF(OBR&lt;0,0,OBR)*1,"0")," mg")</f>
        <v>2 mg</v>
      </c>
      <c r="H1624" s="594" t="str">
        <f>CONCATENATE(TEXT(4+IF(OBR&lt;0,0,OBR)*1,"0")," mg")</f>
        <v>4 mg</v>
      </c>
      <c r="I1624" s="594" t="str">
        <f>CONCATENATE(TEXT(4+IF(OBR&lt;0,0,OBR)*2,"0")," mg")</f>
        <v>4 mg</v>
      </c>
      <c r="J1624" s="594" t="str">
        <f>CONCATENATE(TEXT(6+IF(OBR&lt;0,0,OBR)*2,"0")," mg")</f>
        <v>6 mg</v>
      </c>
      <c r="K1624" s="594" t="str">
        <f>CONCATENATE(TEXT(8+IF(OBR&lt;0,0,OBR)*2,"0")," mg")</f>
        <v>8 mg</v>
      </c>
      <c r="L1624" s="594" t="str">
        <f>CONCATENATE(TEXT(10+IF(OBR&lt;0,0,OBR)*2,"0")," mg")</f>
        <v>10 mg</v>
      </c>
      <c r="M1624" s="594" t="str">
        <f>CONCATENATE(TEXT(12+IF(OBR&lt;0,0,OBR)*2,"0")," mg")</f>
        <v>12 mg</v>
      </c>
      <c r="N1624" s="594" t="str">
        <f>CONCATENATE(TEXT(14+IF(OBR&lt;0,0,OBR)*2,"0")," mg")</f>
        <v>14 mg</v>
      </c>
      <c r="O1624" s="594" t="str">
        <f>CONCATENATE(TEXT(15+IF(OBR&lt;0,0,OBR)*3,"0")," mg")</f>
        <v>15 mg</v>
      </c>
      <c r="P1624" s="441" t="s">
        <v>410</v>
      </c>
      <c r="Q1624" s="441" t="s">
        <v>410</v>
      </c>
      <c r="R1624" s="441" t="s">
        <v>410</v>
      </c>
      <c r="S1624" s="441" t="s">
        <v>410</v>
      </c>
      <c r="T1624" s="441" t="s">
        <v>410</v>
      </c>
    </row>
    <row r="1625" spans="1:20" hidden="1" outlineLevel="1" x14ac:dyDescent="0.3">
      <c r="A1625" s="583" t="s">
        <v>1575</v>
      </c>
      <c r="B1625" s="591">
        <v>1</v>
      </c>
      <c r="C1625" s="588" t="s">
        <v>1256</v>
      </c>
      <c r="D1625" s="588" t="s">
        <v>1510</v>
      </c>
      <c r="E1625" s="589" t="s">
        <v>410</v>
      </c>
      <c r="F1625" s="594" t="str">
        <f>CONCATENATE(TEXT(0+IF(VOL&lt;0,0,VOL)*1,"0")," mg")</f>
        <v>0 mg</v>
      </c>
      <c r="G1625" s="594" t="str">
        <f>CONCATENATE(TEXT(2+IF(VOL&lt;0,0,VOL)*1,"0")," mg")</f>
        <v>2 mg</v>
      </c>
      <c r="H1625" s="594" t="str">
        <f>CONCATENATE(TEXT(4+IF(VOL&lt;0,0,VOL)*1,"0")," mg")</f>
        <v>4 mg</v>
      </c>
      <c r="I1625" s="594" t="str">
        <f>CONCATENATE(TEXT(4+IF(VOL&lt;0,0,VOL)*2,"0")," mg")</f>
        <v>4 mg</v>
      </c>
      <c r="J1625" s="594" t="str">
        <f>CONCATENATE(TEXT(6+IF(VOL&lt;0,0,VOL)*2,"0")," mg")</f>
        <v>6 mg</v>
      </c>
      <c r="K1625" s="594" t="str">
        <f>CONCATENATE(TEXT(8+IF(VOL&lt;0,0,VOL)*2,"0")," mg")</f>
        <v>8 mg</v>
      </c>
      <c r="L1625" s="594" t="str">
        <f>CONCATENATE(TEXT(10+IF(VOL&lt;0,0,VOL)*2,"0")," mg")</f>
        <v>10 mg</v>
      </c>
      <c r="M1625" s="594" t="str">
        <f>CONCATENATE(TEXT(12+IF(VOL&lt;0,0,VOL)*2,"0")," mg")</f>
        <v>12 mg</v>
      </c>
      <c r="N1625" s="594" t="str">
        <f>CONCATENATE(TEXT(14+IF(VOL&lt;0,0,VOL)*2,"0")," mg")</f>
        <v>14 mg</v>
      </c>
      <c r="O1625" s="594" t="str">
        <f>CONCATENATE(TEXT(15+IF(VOL&lt;0,0,VOL)*3,"0")," mg")</f>
        <v>15 mg</v>
      </c>
      <c r="P1625" s="441" t="s">
        <v>410</v>
      </c>
      <c r="Q1625" s="441" t="s">
        <v>410</v>
      </c>
      <c r="R1625" s="441" t="s">
        <v>410</v>
      </c>
      <c r="S1625" s="441" t="s">
        <v>410</v>
      </c>
      <c r="T1625" s="441" t="s">
        <v>410</v>
      </c>
    </row>
    <row r="1626" spans="1:20" hidden="1" outlineLevel="1" x14ac:dyDescent="0.3">
      <c r="A1626" s="583" t="s">
        <v>1622</v>
      </c>
      <c r="B1626" s="975">
        <v>1</v>
      </c>
      <c r="C1626" s="588" t="s">
        <v>1256</v>
      </c>
      <c r="D1626" s="588" t="s">
        <v>1510</v>
      </c>
      <c r="E1626" s="855" t="s">
        <v>410</v>
      </c>
      <c r="F1626" s="592" t="s">
        <v>5565</v>
      </c>
      <c r="G1626" s="592" t="s">
        <v>5566</v>
      </c>
      <c r="H1626" s="592" t="s">
        <v>5567</v>
      </c>
      <c r="I1626" s="441" t="s">
        <v>410</v>
      </c>
      <c r="J1626" s="441" t="s">
        <v>410</v>
      </c>
      <c r="K1626" s="441" t="s">
        <v>410</v>
      </c>
      <c r="L1626" s="441" t="s">
        <v>410</v>
      </c>
      <c r="M1626" s="441" t="s">
        <v>410</v>
      </c>
      <c r="N1626" s="441" t="s">
        <v>410</v>
      </c>
      <c r="O1626" s="441" t="s">
        <v>410</v>
      </c>
      <c r="P1626" s="441" t="s">
        <v>410</v>
      </c>
      <c r="Q1626" s="441" t="s">
        <v>410</v>
      </c>
      <c r="R1626" s="441" t="s">
        <v>410</v>
      </c>
      <c r="S1626" s="441" t="s">
        <v>410</v>
      </c>
      <c r="T1626" s="441" t="s">
        <v>410</v>
      </c>
    </row>
    <row r="1627" spans="1:20" hidden="1" outlineLevel="1" x14ac:dyDescent="0.3">
      <c r="A1627" s="583" t="s">
        <v>1665</v>
      </c>
      <c r="B1627" s="591">
        <v>1</v>
      </c>
      <c r="C1627" s="583" t="s">
        <v>1256</v>
      </c>
      <c r="D1627" s="583" t="s">
        <v>1510</v>
      </c>
      <c r="E1627" s="592" t="s">
        <v>410</v>
      </c>
      <c r="F1627" s="593" t="s">
        <v>2500</v>
      </c>
      <c r="G1627" s="593" t="s">
        <v>2501</v>
      </c>
      <c r="H1627" s="593" t="s">
        <v>2502</v>
      </c>
      <c r="I1627" s="593" t="s">
        <v>3162</v>
      </c>
      <c r="J1627" s="593" t="s">
        <v>2503</v>
      </c>
      <c r="K1627" s="237" t="s">
        <v>410</v>
      </c>
      <c r="L1627" s="237" t="s">
        <v>410</v>
      </c>
      <c r="M1627" s="237" t="s">
        <v>410</v>
      </c>
      <c r="N1627" s="237" t="s">
        <v>410</v>
      </c>
      <c r="O1627" s="237" t="s">
        <v>410</v>
      </c>
      <c r="P1627" s="237" t="s">
        <v>410</v>
      </c>
      <c r="Q1627" s="237" t="s">
        <v>410</v>
      </c>
      <c r="R1627" s="237" t="s">
        <v>410</v>
      </c>
      <c r="S1627" s="10" t="s">
        <v>410</v>
      </c>
      <c r="T1627" s="10" t="s">
        <v>410</v>
      </c>
    </row>
    <row r="1628" spans="1:20" hidden="1" outlineLevel="1" x14ac:dyDescent="0.3">
      <c r="A1628" s="583" t="s">
        <v>1718</v>
      </c>
      <c r="B1628" s="591">
        <v>1</v>
      </c>
      <c r="C1628" s="583" t="s">
        <v>1256</v>
      </c>
      <c r="D1628" s="583" t="s">
        <v>1510</v>
      </c>
      <c r="E1628" s="592" t="s">
        <v>410</v>
      </c>
      <c r="F1628" s="593" t="s">
        <v>3385</v>
      </c>
      <c r="G1628" s="593" t="s">
        <v>3386</v>
      </c>
      <c r="H1628" s="593" t="s">
        <v>3387</v>
      </c>
      <c r="I1628" s="593" t="s">
        <v>3388</v>
      </c>
      <c r="J1628" s="593" t="s">
        <v>3389</v>
      </c>
      <c r="K1628" s="237" t="s">
        <v>410</v>
      </c>
      <c r="L1628" s="237" t="s">
        <v>410</v>
      </c>
      <c r="M1628" s="237" t="s">
        <v>410</v>
      </c>
      <c r="N1628" s="237" t="s">
        <v>410</v>
      </c>
      <c r="O1628" s="237" t="s">
        <v>410</v>
      </c>
      <c r="P1628" s="237" t="s">
        <v>410</v>
      </c>
      <c r="Q1628" s="237" t="s">
        <v>410</v>
      </c>
      <c r="R1628" s="237" t="s">
        <v>410</v>
      </c>
      <c r="S1628" s="10" t="s">
        <v>410</v>
      </c>
      <c r="T1628" s="10" t="s">
        <v>410</v>
      </c>
    </row>
    <row r="1629" spans="1:20" hidden="1" outlineLevel="1" x14ac:dyDescent="0.3">
      <c r="A1629" s="583" t="s">
        <v>1862</v>
      </c>
      <c r="B1629" s="591">
        <v>1</v>
      </c>
      <c r="C1629" s="583" t="s">
        <v>1256</v>
      </c>
      <c r="D1629" s="583" t="s">
        <v>1510</v>
      </c>
      <c r="E1629" s="592" t="s">
        <v>3120</v>
      </c>
      <c r="F1629" s="593" t="s">
        <v>3121</v>
      </c>
      <c r="G1629" s="593" t="s">
        <v>3122</v>
      </c>
      <c r="H1629" s="593" t="s">
        <v>3123</v>
      </c>
      <c r="I1629" s="237" t="s">
        <v>410</v>
      </c>
      <c r="J1629" s="237" t="s">
        <v>410</v>
      </c>
      <c r="K1629" s="237" t="s">
        <v>410</v>
      </c>
      <c r="L1629" s="237" t="s">
        <v>410</v>
      </c>
      <c r="M1629" s="237" t="s">
        <v>410</v>
      </c>
      <c r="N1629" s="237" t="s">
        <v>410</v>
      </c>
      <c r="O1629" s="237" t="s">
        <v>410</v>
      </c>
      <c r="P1629" s="237" t="s">
        <v>410</v>
      </c>
      <c r="Q1629" s="237" t="s">
        <v>410</v>
      </c>
      <c r="R1629" s="237" t="s">
        <v>410</v>
      </c>
      <c r="S1629" s="10" t="s">
        <v>410</v>
      </c>
      <c r="T1629" s="10" t="s">
        <v>410</v>
      </c>
    </row>
    <row r="1630" spans="1:20" hidden="1" outlineLevel="1" x14ac:dyDescent="0.3">
      <c r="A1630" s="583" t="s">
        <v>5543</v>
      </c>
      <c r="B1630" s="591">
        <v>1</v>
      </c>
      <c r="C1630" s="583" t="s">
        <v>1256</v>
      </c>
      <c r="D1630" s="583" t="s">
        <v>1510</v>
      </c>
      <c r="E1630" s="593" t="s">
        <v>5539</v>
      </c>
      <c r="F1630" s="593" t="s">
        <v>5538</v>
      </c>
      <c r="G1630" s="593" t="s">
        <v>5540</v>
      </c>
      <c r="H1630" s="593" t="s">
        <v>5544</v>
      </c>
      <c r="I1630" s="593" t="s">
        <v>5541</v>
      </c>
      <c r="J1630" s="593" t="s">
        <v>5542</v>
      </c>
      <c r="K1630" s="237" t="s">
        <v>410</v>
      </c>
      <c r="L1630" s="237" t="s">
        <v>410</v>
      </c>
      <c r="M1630" s="237" t="s">
        <v>410</v>
      </c>
      <c r="N1630" s="237" t="s">
        <v>410</v>
      </c>
      <c r="O1630" s="237" t="s">
        <v>410</v>
      </c>
      <c r="P1630" s="237" t="s">
        <v>410</v>
      </c>
      <c r="Q1630" s="237" t="s">
        <v>410</v>
      </c>
      <c r="R1630" s="237" t="s">
        <v>410</v>
      </c>
      <c r="S1630" s="10" t="s">
        <v>410</v>
      </c>
      <c r="T1630" s="10" t="s">
        <v>410</v>
      </c>
    </row>
    <row r="1631" spans="1:20" hidden="1" outlineLevel="1" x14ac:dyDescent="0.3">
      <c r="A1631" s="583" t="s">
        <v>1911</v>
      </c>
      <c r="B1631" s="591">
        <v>1</v>
      </c>
      <c r="C1631" s="583" t="s">
        <v>1256</v>
      </c>
      <c r="D1631" s="583" t="s">
        <v>1510</v>
      </c>
      <c r="E1631" s="594" t="s">
        <v>4176</v>
      </c>
      <c r="F1631" s="594" t="s">
        <v>4177</v>
      </c>
      <c r="G1631" s="594" t="s">
        <v>4178</v>
      </c>
      <c r="H1631" s="594" t="s">
        <v>4179</v>
      </c>
      <c r="I1631" s="594" t="s">
        <v>4180</v>
      </c>
      <c r="J1631" s="594" t="s">
        <v>4181</v>
      </c>
      <c r="K1631" s="593" t="s">
        <v>410</v>
      </c>
      <c r="L1631" s="237" t="s">
        <v>410</v>
      </c>
      <c r="M1631" s="237" t="s">
        <v>410</v>
      </c>
      <c r="N1631" s="237" t="s">
        <v>410</v>
      </c>
      <c r="O1631" s="237" t="s">
        <v>410</v>
      </c>
      <c r="P1631" s="237" t="s">
        <v>410</v>
      </c>
      <c r="Q1631" s="237" t="s">
        <v>410</v>
      </c>
      <c r="R1631" s="237" t="s">
        <v>410</v>
      </c>
      <c r="S1631" s="10" t="s">
        <v>410</v>
      </c>
      <c r="T1631" s="10" t="s">
        <v>410</v>
      </c>
    </row>
    <row r="1632" spans="1:20" hidden="1" outlineLevel="1" x14ac:dyDescent="0.3">
      <c r="A1632" s="583" t="s">
        <v>1978</v>
      </c>
      <c r="B1632" s="591">
        <v>1</v>
      </c>
      <c r="C1632" s="583" t="s">
        <v>1256</v>
      </c>
      <c r="D1632" s="583" t="s">
        <v>1510</v>
      </c>
      <c r="E1632" s="593" t="s">
        <v>410</v>
      </c>
      <c r="F1632" s="593" t="s">
        <v>2043</v>
      </c>
      <c r="G1632" s="593" t="s">
        <v>2041</v>
      </c>
      <c r="H1632" s="593" t="s">
        <v>2042</v>
      </c>
      <c r="I1632" s="593" t="s">
        <v>2044</v>
      </c>
      <c r="J1632" s="593" t="s">
        <v>2312</v>
      </c>
      <c r="K1632" s="593" t="s">
        <v>2045</v>
      </c>
      <c r="L1632" s="593" t="s">
        <v>2048</v>
      </c>
      <c r="M1632" s="593" t="s">
        <v>2313</v>
      </c>
      <c r="N1632" s="593" t="s">
        <v>2314</v>
      </c>
      <c r="O1632" s="593" t="s">
        <v>2315</v>
      </c>
      <c r="P1632" s="237" t="s">
        <v>410</v>
      </c>
      <c r="Q1632" s="237" t="s">
        <v>410</v>
      </c>
      <c r="R1632" s="237" t="s">
        <v>410</v>
      </c>
      <c r="S1632" s="237" t="s">
        <v>410</v>
      </c>
      <c r="T1632" s="237" t="s">
        <v>410</v>
      </c>
    </row>
    <row r="1633" spans="1:20" hidden="1" outlineLevel="1" x14ac:dyDescent="0.3">
      <c r="A1633" s="583" t="s">
        <v>1998</v>
      </c>
      <c r="B1633" s="591">
        <v>1</v>
      </c>
      <c r="C1633" s="583" t="s">
        <v>1256</v>
      </c>
      <c r="D1633" s="583" t="s">
        <v>1510</v>
      </c>
      <c r="E1633" s="593" t="s">
        <v>410</v>
      </c>
      <c r="F1633" s="593" t="s">
        <v>4430</v>
      </c>
      <c r="G1633" s="593" t="s">
        <v>1999</v>
      </c>
      <c r="H1633" s="593" t="s">
        <v>2000</v>
      </c>
      <c r="I1633" s="593" t="s">
        <v>2001</v>
      </c>
      <c r="J1633" s="593" t="s">
        <v>4182</v>
      </c>
      <c r="K1633" s="593" t="s">
        <v>2002</v>
      </c>
      <c r="L1633" s="237" t="s">
        <v>410</v>
      </c>
      <c r="M1633" s="237" t="s">
        <v>410</v>
      </c>
      <c r="N1633" s="237" t="s">
        <v>410</v>
      </c>
      <c r="O1633" s="237" t="s">
        <v>410</v>
      </c>
      <c r="P1633" s="237" t="s">
        <v>410</v>
      </c>
      <c r="Q1633" s="237" t="s">
        <v>410</v>
      </c>
      <c r="R1633" s="237" t="s">
        <v>410</v>
      </c>
      <c r="S1633" s="237" t="s">
        <v>410</v>
      </c>
      <c r="T1633" s="237" t="s">
        <v>410</v>
      </c>
    </row>
    <row r="1634" spans="1:20" hidden="1" outlineLevel="1" x14ac:dyDescent="0.3">
      <c r="A1634" s="583" t="s">
        <v>1477</v>
      </c>
      <c r="B1634" s="591">
        <v>2</v>
      </c>
      <c r="C1634" s="588" t="s">
        <v>1256</v>
      </c>
      <c r="D1634" s="588" t="s">
        <v>1510</v>
      </c>
      <c r="E1634" s="589" t="s">
        <v>410</v>
      </c>
      <c r="F1634" s="590" t="s">
        <v>1525</v>
      </c>
      <c r="G1634" s="590" t="s">
        <v>3316</v>
      </c>
      <c r="H1634" s="590" t="s">
        <v>4233</v>
      </c>
      <c r="I1634" s="590" t="s">
        <v>4234</v>
      </c>
      <c r="J1634" s="441" t="s">
        <v>410</v>
      </c>
      <c r="K1634" s="441" t="s">
        <v>410</v>
      </c>
      <c r="L1634" s="441" t="s">
        <v>410</v>
      </c>
      <c r="M1634" s="441" t="s">
        <v>410</v>
      </c>
      <c r="N1634" s="441" t="s">
        <v>410</v>
      </c>
      <c r="O1634" s="441" t="s">
        <v>410</v>
      </c>
      <c r="P1634" s="441" t="s">
        <v>410</v>
      </c>
      <c r="Q1634" s="441" t="s">
        <v>410</v>
      </c>
      <c r="R1634" s="441" t="s">
        <v>410</v>
      </c>
      <c r="S1634" s="441" t="s">
        <v>410</v>
      </c>
      <c r="T1634" s="441" t="s">
        <v>410</v>
      </c>
    </row>
    <row r="1635" spans="1:20" hidden="1" outlineLevel="1" x14ac:dyDescent="0.3">
      <c r="A1635" s="583" t="s">
        <v>3033</v>
      </c>
      <c r="B1635" s="591">
        <v>2</v>
      </c>
      <c r="C1635" s="583" t="s">
        <v>1256</v>
      </c>
      <c r="D1635" s="583" t="s">
        <v>1510</v>
      </c>
      <c r="E1635" s="593" t="s">
        <v>3034</v>
      </c>
      <c r="F1635" s="593" t="s">
        <v>3035</v>
      </c>
      <c r="G1635" s="593" t="s">
        <v>3036</v>
      </c>
      <c r="H1635" s="593" t="s">
        <v>3038</v>
      </c>
      <c r="I1635" s="593" t="s">
        <v>3037</v>
      </c>
      <c r="J1635" s="237" t="s">
        <v>410</v>
      </c>
      <c r="K1635" s="237" t="s">
        <v>410</v>
      </c>
      <c r="L1635" s="237" t="s">
        <v>410</v>
      </c>
      <c r="M1635" s="237" t="s">
        <v>410</v>
      </c>
      <c r="N1635" s="237" t="s">
        <v>410</v>
      </c>
      <c r="O1635" s="237" t="s">
        <v>410</v>
      </c>
      <c r="P1635" s="237" t="s">
        <v>410</v>
      </c>
      <c r="Q1635" s="237" t="s">
        <v>410</v>
      </c>
      <c r="R1635" s="237" t="s">
        <v>410</v>
      </c>
      <c r="S1635" s="10" t="s">
        <v>410</v>
      </c>
      <c r="T1635" s="10" t="s">
        <v>410</v>
      </c>
    </row>
    <row r="1636" spans="1:20" hidden="1" outlineLevel="1" x14ac:dyDescent="0.3">
      <c r="A1636" s="583" t="s">
        <v>1992</v>
      </c>
      <c r="B1636" s="591">
        <v>3</v>
      </c>
      <c r="C1636" s="583" t="s">
        <v>1256</v>
      </c>
      <c r="D1636" s="583" t="s">
        <v>1510</v>
      </c>
      <c r="E1636" s="593" t="s">
        <v>410</v>
      </c>
      <c r="F1636" s="593" t="s">
        <v>2319</v>
      </c>
      <c r="G1636" s="593" t="s">
        <v>3395</v>
      </c>
      <c r="H1636" s="593" t="s">
        <v>3398</v>
      </c>
      <c r="I1636" s="593" t="s">
        <v>3399</v>
      </c>
      <c r="J1636" s="593" t="s">
        <v>3400</v>
      </c>
      <c r="K1636" s="593" t="s">
        <v>3401</v>
      </c>
      <c r="L1636" s="593" t="s">
        <v>3402</v>
      </c>
      <c r="M1636" s="593" t="s">
        <v>3403</v>
      </c>
      <c r="N1636" s="593" t="s">
        <v>2320</v>
      </c>
      <c r="O1636" s="593" t="s">
        <v>2321</v>
      </c>
      <c r="P1636" s="237" t="s">
        <v>410</v>
      </c>
      <c r="Q1636" s="237" t="s">
        <v>410</v>
      </c>
      <c r="R1636" s="237" t="s">
        <v>410</v>
      </c>
      <c r="S1636" s="237" t="s">
        <v>410</v>
      </c>
      <c r="T1636" s="237" t="s">
        <v>410</v>
      </c>
    </row>
    <row r="1637" spans="1:20" hidden="1" outlineLevel="1" x14ac:dyDescent="0.3">
      <c r="A1637" s="583" t="s">
        <v>1489</v>
      </c>
      <c r="B1637" s="591">
        <v>6</v>
      </c>
      <c r="C1637" s="588" t="s">
        <v>1256</v>
      </c>
      <c r="D1637" s="588" t="s">
        <v>1510</v>
      </c>
      <c r="E1637" s="589" t="s">
        <v>410</v>
      </c>
      <c r="F1637" s="590" t="s">
        <v>3117</v>
      </c>
      <c r="G1637" s="590" t="s">
        <v>3118</v>
      </c>
      <c r="H1637" s="590" t="s">
        <v>3179</v>
      </c>
      <c r="I1637" s="590" t="s">
        <v>3180</v>
      </c>
      <c r="J1637" s="590" t="s">
        <v>3181</v>
      </c>
      <c r="K1637" s="590" t="s">
        <v>3178</v>
      </c>
      <c r="L1637" s="441" t="s">
        <v>410</v>
      </c>
      <c r="M1637" s="441" t="s">
        <v>410</v>
      </c>
      <c r="N1637" s="441" t="s">
        <v>410</v>
      </c>
      <c r="O1637" s="441" t="s">
        <v>410</v>
      </c>
      <c r="P1637" s="441" t="s">
        <v>410</v>
      </c>
      <c r="Q1637" s="441" t="s">
        <v>410</v>
      </c>
      <c r="R1637" s="441" t="s">
        <v>410</v>
      </c>
      <c r="S1637" s="441" t="s">
        <v>410</v>
      </c>
      <c r="T1637" s="441" t="s">
        <v>410</v>
      </c>
    </row>
    <row r="1638" spans="1:20" hidden="1" outlineLevel="1" x14ac:dyDescent="0.3">
      <c r="A1638" s="583" t="s">
        <v>1774</v>
      </c>
      <c r="B1638" s="591">
        <v>6</v>
      </c>
      <c r="C1638" s="583" t="s">
        <v>1256</v>
      </c>
      <c r="D1638" s="583" t="s">
        <v>1510</v>
      </c>
      <c r="E1638" s="592" t="s">
        <v>410</v>
      </c>
      <c r="F1638" s="593" t="s">
        <v>67</v>
      </c>
      <c r="G1638" s="593" t="s">
        <v>3159</v>
      </c>
      <c r="H1638" s="593" t="s">
        <v>3160</v>
      </c>
      <c r="I1638" s="593" t="s">
        <v>3274</v>
      </c>
      <c r="J1638" s="237" t="s">
        <v>410</v>
      </c>
      <c r="K1638" s="237" t="s">
        <v>410</v>
      </c>
      <c r="L1638" s="237" t="s">
        <v>410</v>
      </c>
      <c r="M1638" s="237" t="s">
        <v>410</v>
      </c>
      <c r="N1638" s="237" t="s">
        <v>410</v>
      </c>
      <c r="O1638" s="237" t="s">
        <v>410</v>
      </c>
      <c r="P1638" s="237" t="s">
        <v>410</v>
      </c>
      <c r="Q1638" s="237" t="s">
        <v>410</v>
      </c>
      <c r="R1638" s="237" t="s">
        <v>410</v>
      </c>
      <c r="S1638" s="10" t="s">
        <v>410</v>
      </c>
      <c r="T1638" s="10" t="s">
        <v>410</v>
      </c>
    </row>
    <row r="1639" spans="1:20" hidden="1" outlineLevel="1" x14ac:dyDescent="0.3">
      <c r="A1639" s="583" t="s">
        <v>1846</v>
      </c>
      <c r="B1639" s="591">
        <v>6</v>
      </c>
      <c r="C1639" s="583" t="s">
        <v>1256</v>
      </c>
      <c r="D1639" s="583" t="s">
        <v>1510</v>
      </c>
      <c r="E1639" s="592" t="s">
        <v>410</v>
      </c>
      <c r="F1639" s="593" t="s">
        <v>1591</v>
      </c>
      <c r="G1639" s="593" t="s">
        <v>1847</v>
      </c>
      <c r="H1639" s="593" t="s">
        <v>3198</v>
      </c>
      <c r="I1639" s="593" t="s">
        <v>1841</v>
      </c>
      <c r="J1639" s="593" t="s">
        <v>1842</v>
      </c>
      <c r="K1639" s="237" t="s">
        <v>410</v>
      </c>
      <c r="L1639" s="237" t="s">
        <v>410</v>
      </c>
      <c r="M1639" s="237" t="s">
        <v>410</v>
      </c>
      <c r="N1639" s="237" t="s">
        <v>410</v>
      </c>
      <c r="O1639" s="237" t="s">
        <v>410</v>
      </c>
      <c r="P1639" s="237" t="s">
        <v>410</v>
      </c>
      <c r="Q1639" s="237" t="s">
        <v>410</v>
      </c>
      <c r="R1639" s="237" t="s">
        <v>410</v>
      </c>
      <c r="S1639" s="10" t="s">
        <v>410</v>
      </c>
      <c r="T1639" s="10" t="s">
        <v>410</v>
      </c>
    </row>
    <row r="1640" spans="1:20" hidden="1" outlineLevel="1" x14ac:dyDescent="0.3">
      <c r="A1640" s="583" t="s">
        <v>5505</v>
      </c>
      <c r="B1640" s="591">
        <v>6</v>
      </c>
      <c r="C1640" s="583" t="s">
        <v>1256</v>
      </c>
      <c r="D1640" s="583" t="s">
        <v>1510</v>
      </c>
      <c r="E1640" s="592" t="s">
        <v>410</v>
      </c>
      <c r="F1640" s="593" t="s">
        <v>3126</v>
      </c>
      <c r="G1640" s="593" t="s">
        <v>3127</v>
      </c>
      <c r="H1640" s="593" t="s">
        <v>3128</v>
      </c>
      <c r="I1640" s="593" t="s">
        <v>3129</v>
      </c>
      <c r="J1640" s="593" t="s">
        <v>3130</v>
      </c>
      <c r="K1640" s="237" t="s">
        <v>410</v>
      </c>
      <c r="L1640" s="237" t="s">
        <v>410</v>
      </c>
      <c r="M1640" s="237" t="s">
        <v>410</v>
      </c>
      <c r="N1640" s="237" t="s">
        <v>410</v>
      </c>
      <c r="O1640" s="237" t="s">
        <v>410</v>
      </c>
      <c r="P1640" s="237" t="s">
        <v>410</v>
      </c>
      <c r="Q1640" s="237" t="s">
        <v>410</v>
      </c>
      <c r="R1640" s="237" t="s">
        <v>410</v>
      </c>
      <c r="S1640" s="10" t="s">
        <v>410</v>
      </c>
      <c r="T1640" s="10" t="s">
        <v>410</v>
      </c>
    </row>
    <row r="1641" spans="1:20" hidden="1" outlineLevel="1" x14ac:dyDescent="0.3">
      <c r="A1641" s="583" t="s">
        <v>1922</v>
      </c>
      <c r="B1641" s="591">
        <v>6</v>
      </c>
      <c r="C1641" s="583" t="s">
        <v>1256</v>
      </c>
      <c r="D1641" s="583" t="s">
        <v>1510</v>
      </c>
      <c r="E1641" s="592" t="s">
        <v>410</v>
      </c>
      <c r="F1641" s="593" t="s">
        <v>107</v>
      </c>
      <c r="G1641" s="593" t="s">
        <v>1924</v>
      </c>
      <c r="H1641" s="593" t="s">
        <v>1925</v>
      </c>
      <c r="I1641" s="593" t="s">
        <v>3154</v>
      </c>
      <c r="J1641" s="593" t="s">
        <v>3155</v>
      </c>
      <c r="K1641" s="237" t="s">
        <v>410</v>
      </c>
      <c r="L1641" s="237" t="s">
        <v>410</v>
      </c>
      <c r="M1641" s="237" t="s">
        <v>410</v>
      </c>
      <c r="N1641" s="237" t="s">
        <v>410</v>
      </c>
      <c r="O1641" s="237" t="s">
        <v>410</v>
      </c>
      <c r="P1641" s="237" t="s">
        <v>410</v>
      </c>
      <c r="Q1641" s="237" t="s">
        <v>410</v>
      </c>
      <c r="R1641" s="237" t="s">
        <v>410</v>
      </c>
      <c r="S1641" s="10" t="s">
        <v>410</v>
      </c>
      <c r="T1641" s="10" t="s">
        <v>410</v>
      </c>
    </row>
    <row r="1642" spans="1:20" hidden="1" outlineLevel="1" x14ac:dyDescent="0.3">
      <c r="A1642" s="583" t="s">
        <v>1926</v>
      </c>
      <c r="B1642" s="591">
        <v>6</v>
      </c>
      <c r="C1642" s="583" t="s">
        <v>1256</v>
      </c>
      <c r="D1642" s="583" t="s">
        <v>1510</v>
      </c>
      <c r="E1642" s="592" t="s">
        <v>410</v>
      </c>
      <c r="F1642" s="593" t="s">
        <v>1829</v>
      </c>
      <c r="G1642" s="593" t="s">
        <v>3156</v>
      </c>
      <c r="H1642" s="593" t="s">
        <v>1927</v>
      </c>
      <c r="I1642" s="593" t="s">
        <v>3157</v>
      </c>
      <c r="J1642" s="593" t="s">
        <v>3158</v>
      </c>
      <c r="K1642" s="237" t="s">
        <v>410</v>
      </c>
      <c r="L1642" s="237" t="s">
        <v>410</v>
      </c>
      <c r="M1642" s="237" t="s">
        <v>410</v>
      </c>
      <c r="N1642" s="237" t="s">
        <v>410</v>
      </c>
      <c r="O1642" s="237" t="s">
        <v>410</v>
      </c>
      <c r="P1642" s="237" t="s">
        <v>410</v>
      </c>
      <c r="Q1642" s="237" t="s">
        <v>410</v>
      </c>
      <c r="R1642" s="237" t="s">
        <v>410</v>
      </c>
      <c r="S1642" s="10" t="s">
        <v>410</v>
      </c>
      <c r="T1642" s="10" t="s">
        <v>410</v>
      </c>
    </row>
    <row r="1643" spans="1:20" hidden="1" outlineLevel="1" x14ac:dyDescent="0.3">
      <c r="A1643" s="583" t="s">
        <v>1979</v>
      </c>
      <c r="B1643" s="591">
        <v>6</v>
      </c>
      <c r="C1643" s="583" t="s">
        <v>1256</v>
      </c>
      <c r="D1643" s="583" t="s">
        <v>1510</v>
      </c>
      <c r="E1643" s="593" t="s">
        <v>410</v>
      </c>
      <c r="F1643" s="237"/>
      <c r="G1643" s="237"/>
      <c r="H1643" s="237"/>
      <c r="I1643" s="237"/>
      <c r="J1643" s="237" t="s">
        <v>410</v>
      </c>
      <c r="K1643" s="237" t="s">
        <v>410</v>
      </c>
      <c r="L1643" s="237" t="s">
        <v>410</v>
      </c>
      <c r="M1643" s="237" t="s">
        <v>410</v>
      </c>
      <c r="N1643" s="237" t="s">
        <v>410</v>
      </c>
      <c r="O1643" s="237" t="s">
        <v>410</v>
      </c>
      <c r="P1643" s="237" t="s">
        <v>410</v>
      </c>
      <c r="Q1643" s="237" t="s">
        <v>410</v>
      </c>
      <c r="R1643" s="237" t="s">
        <v>410</v>
      </c>
      <c r="S1643" s="237" t="s">
        <v>410</v>
      </c>
      <c r="T1643" s="237" t="s">
        <v>410</v>
      </c>
    </row>
    <row r="1644" spans="1:20" hidden="1" outlineLevel="1" x14ac:dyDescent="0.3">
      <c r="A1644" s="583" t="s">
        <v>1994</v>
      </c>
      <c r="B1644" s="591">
        <v>6</v>
      </c>
      <c r="C1644" s="583" t="s">
        <v>1256</v>
      </c>
      <c r="D1644" s="583" t="s">
        <v>1510</v>
      </c>
      <c r="E1644" s="593" t="s">
        <v>410</v>
      </c>
      <c r="F1644" s="593" t="s">
        <v>67</v>
      </c>
      <c r="G1644" s="593" t="s">
        <v>3159</v>
      </c>
      <c r="H1644" s="593" t="s">
        <v>3160</v>
      </c>
      <c r="I1644" s="237" t="s">
        <v>410</v>
      </c>
      <c r="J1644" s="237" t="s">
        <v>410</v>
      </c>
      <c r="K1644" s="237" t="s">
        <v>410</v>
      </c>
      <c r="L1644" s="237" t="s">
        <v>410</v>
      </c>
      <c r="M1644" s="237" t="s">
        <v>410</v>
      </c>
      <c r="N1644" s="237" t="s">
        <v>410</v>
      </c>
      <c r="O1644" s="237" t="s">
        <v>410</v>
      </c>
      <c r="P1644" s="237" t="s">
        <v>410</v>
      </c>
      <c r="Q1644" s="237" t="s">
        <v>410</v>
      </c>
      <c r="R1644" s="237" t="s">
        <v>410</v>
      </c>
      <c r="S1644" s="237" t="s">
        <v>410</v>
      </c>
      <c r="T1644" s="237" t="s">
        <v>410</v>
      </c>
    </row>
    <row r="1645" spans="1:20" hidden="1" outlineLevel="1" x14ac:dyDescent="0.3">
      <c r="A1645" s="583" t="s">
        <v>1515</v>
      </c>
      <c r="B1645" s="591">
        <v>11</v>
      </c>
      <c r="C1645" s="588" t="s">
        <v>1256</v>
      </c>
      <c r="D1645" s="588" t="s">
        <v>1510</v>
      </c>
      <c r="E1645" s="589" t="s">
        <v>410</v>
      </c>
      <c r="F1645" s="590" t="s">
        <v>3379</v>
      </c>
      <c r="G1645" s="590" t="s">
        <v>1486</v>
      </c>
      <c r="H1645" s="590" t="s">
        <v>1516</v>
      </c>
      <c r="I1645" s="590" t="s">
        <v>1487</v>
      </c>
      <c r="J1645" s="590" t="s">
        <v>1488</v>
      </c>
      <c r="K1645" s="590" t="s">
        <v>1517</v>
      </c>
      <c r="L1645" s="441" t="s">
        <v>410</v>
      </c>
      <c r="M1645" s="441" t="s">
        <v>410</v>
      </c>
      <c r="N1645" s="441" t="s">
        <v>410</v>
      </c>
      <c r="O1645" s="441" t="s">
        <v>410</v>
      </c>
      <c r="P1645" s="441" t="s">
        <v>410</v>
      </c>
      <c r="Q1645" s="441" t="s">
        <v>410</v>
      </c>
      <c r="R1645" s="441" t="s">
        <v>410</v>
      </c>
      <c r="S1645" s="441" t="s">
        <v>410</v>
      </c>
      <c r="T1645" s="441" t="s">
        <v>410</v>
      </c>
    </row>
    <row r="1646" spans="1:20" hidden="1" outlineLevel="1" x14ac:dyDescent="0.3">
      <c r="A1646" s="583" t="s">
        <v>1638</v>
      </c>
      <c r="B1646" s="591">
        <v>11</v>
      </c>
      <c r="C1646" s="583" t="s">
        <v>1256</v>
      </c>
      <c r="D1646" s="583" t="s">
        <v>1510</v>
      </c>
      <c r="E1646" s="592" t="s">
        <v>410</v>
      </c>
      <c r="F1646" s="237"/>
      <c r="G1646" s="237"/>
      <c r="H1646" s="237"/>
      <c r="I1646" s="237"/>
      <c r="J1646" s="237"/>
      <c r="K1646" s="237"/>
      <c r="L1646" s="237"/>
      <c r="M1646" s="237" t="s">
        <v>410</v>
      </c>
      <c r="N1646" s="237" t="s">
        <v>410</v>
      </c>
      <c r="O1646" s="237" t="s">
        <v>410</v>
      </c>
      <c r="P1646" s="237" t="s">
        <v>410</v>
      </c>
      <c r="Q1646" s="237" t="s">
        <v>410</v>
      </c>
      <c r="R1646" s="237" t="s">
        <v>410</v>
      </c>
      <c r="S1646" s="10" t="s">
        <v>410</v>
      </c>
      <c r="T1646" s="10" t="s">
        <v>410</v>
      </c>
    </row>
    <row r="1647" spans="1:20" hidden="1" outlineLevel="1" x14ac:dyDescent="0.3">
      <c r="A1647" s="583" t="s">
        <v>1782</v>
      </c>
      <c r="B1647" s="591">
        <v>11</v>
      </c>
      <c r="C1647" s="583" t="s">
        <v>1256</v>
      </c>
      <c r="D1647" s="583" t="s">
        <v>1510</v>
      </c>
      <c r="E1647" s="592" t="s">
        <v>410</v>
      </c>
      <c r="F1647" s="593" t="s">
        <v>66</v>
      </c>
      <c r="G1647" s="593" t="s">
        <v>67</v>
      </c>
      <c r="H1647" s="593" t="s">
        <v>68</v>
      </c>
      <c r="I1647" s="593" t="s">
        <v>70</v>
      </c>
      <c r="J1647" s="237" t="s">
        <v>410</v>
      </c>
      <c r="K1647" s="237" t="s">
        <v>410</v>
      </c>
      <c r="L1647" s="237" t="s">
        <v>410</v>
      </c>
      <c r="M1647" s="237" t="s">
        <v>410</v>
      </c>
      <c r="N1647" s="237" t="s">
        <v>410</v>
      </c>
      <c r="O1647" s="237" t="s">
        <v>410</v>
      </c>
      <c r="P1647" s="237" t="s">
        <v>410</v>
      </c>
      <c r="Q1647" s="237" t="s">
        <v>410</v>
      </c>
      <c r="R1647" s="237" t="s">
        <v>410</v>
      </c>
      <c r="S1647" s="10" t="s">
        <v>410</v>
      </c>
      <c r="T1647" s="10" t="s">
        <v>410</v>
      </c>
    </row>
    <row r="1648" spans="1:20" hidden="1" outlineLevel="1" x14ac:dyDescent="0.3">
      <c r="A1648" s="583" t="s">
        <v>1885</v>
      </c>
      <c r="B1648" s="591">
        <v>11</v>
      </c>
      <c r="C1648" s="583" t="s">
        <v>1256</v>
      </c>
      <c r="D1648" s="583" t="s">
        <v>1510</v>
      </c>
      <c r="E1648" s="592" t="s">
        <v>410</v>
      </c>
      <c r="F1648" s="593" t="s">
        <v>2261</v>
      </c>
      <c r="G1648" s="593" t="s">
        <v>2262</v>
      </c>
      <c r="H1648" s="593" t="s">
        <v>2263</v>
      </c>
      <c r="I1648" s="593" t="s">
        <v>2264</v>
      </c>
      <c r="J1648" s="237" t="s">
        <v>410</v>
      </c>
      <c r="K1648" s="237" t="s">
        <v>410</v>
      </c>
      <c r="L1648" s="237" t="s">
        <v>410</v>
      </c>
      <c r="M1648" s="237" t="s">
        <v>410</v>
      </c>
      <c r="N1648" s="237" t="s">
        <v>410</v>
      </c>
      <c r="O1648" s="237" t="s">
        <v>410</v>
      </c>
      <c r="P1648" s="237" t="s">
        <v>410</v>
      </c>
      <c r="Q1648" s="237" t="s">
        <v>410</v>
      </c>
      <c r="R1648" s="237" t="s">
        <v>410</v>
      </c>
      <c r="S1648" s="10" t="s">
        <v>410</v>
      </c>
      <c r="T1648" s="10" t="s">
        <v>410</v>
      </c>
    </row>
    <row r="1649" spans="1:20" hidden="1" outlineLevel="1" x14ac:dyDescent="0.3">
      <c r="A1649" s="583" t="s">
        <v>2003</v>
      </c>
      <c r="B1649" s="591">
        <v>11</v>
      </c>
      <c r="C1649" s="583" t="s">
        <v>1256</v>
      </c>
      <c r="D1649" s="583" t="s">
        <v>1510</v>
      </c>
      <c r="E1649" s="593" t="s">
        <v>410</v>
      </c>
      <c r="F1649" s="593" t="s">
        <v>5559</v>
      </c>
      <c r="G1649" s="593" t="s">
        <v>4342</v>
      </c>
      <c r="H1649" s="593" t="s">
        <v>5558</v>
      </c>
      <c r="I1649" s="237" t="s">
        <v>410</v>
      </c>
      <c r="J1649" s="237" t="s">
        <v>410</v>
      </c>
      <c r="K1649" s="237" t="s">
        <v>410</v>
      </c>
      <c r="L1649" s="237" t="s">
        <v>410</v>
      </c>
      <c r="M1649" s="237" t="s">
        <v>410</v>
      </c>
      <c r="N1649" s="237" t="s">
        <v>410</v>
      </c>
      <c r="O1649" s="237" t="s">
        <v>410</v>
      </c>
      <c r="P1649" s="237" t="s">
        <v>410</v>
      </c>
      <c r="Q1649" s="237" t="s">
        <v>410</v>
      </c>
      <c r="R1649" s="237" t="s">
        <v>410</v>
      </c>
      <c r="S1649" s="237" t="s">
        <v>410</v>
      </c>
      <c r="T1649" s="237" t="s">
        <v>410</v>
      </c>
    </row>
    <row r="1650" spans="1:20" hidden="1" outlineLevel="1" x14ac:dyDescent="0.3">
      <c r="A1650" s="583" t="s">
        <v>1735</v>
      </c>
      <c r="B1650" s="591">
        <v>16</v>
      </c>
      <c r="C1650" s="583" t="s">
        <v>1256</v>
      </c>
      <c r="D1650" s="583" t="s">
        <v>1510</v>
      </c>
      <c r="E1650" s="592" t="s">
        <v>410</v>
      </c>
      <c r="F1650" s="593" t="s">
        <v>3390</v>
      </c>
      <c r="G1650" s="593" t="s">
        <v>3391</v>
      </c>
      <c r="H1650" s="593" t="s">
        <v>3392</v>
      </c>
      <c r="I1650" s="593" t="s">
        <v>3393</v>
      </c>
      <c r="J1650" s="593" t="s">
        <v>3394</v>
      </c>
      <c r="K1650" s="237" t="s">
        <v>410</v>
      </c>
      <c r="L1650" s="237" t="s">
        <v>410</v>
      </c>
      <c r="M1650" s="237" t="s">
        <v>410</v>
      </c>
      <c r="N1650" s="237" t="s">
        <v>410</v>
      </c>
      <c r="O1650" s="237" t="s">
        <v>410</v>
      </c>
      <c r="P1650" s="237" t="s">
        <v>410</v>
      </c>
      <c r="Q1650" s="237" t="s">
        <v>410</v>
      </c>
      <c r="R1650" s="237" t="s">
        <v>410</v>
      </c>
      <c r="S1650" s="10" t="s">
        <v>410</v>
      </c>
      <c r="T1650" s="10" t="s">
        <v>410</v>
      </c>
    </row>
    <row r="1651" spans="1:20" hidden="1" outlineLevel="1" x14ac:dyDescent="0.3">
      <c r="A1651" s="583" t="s">
        <v>1758</v>
      </c>
      <c r="B1651" s="591">
        <v>16</v>
      </c>
      <c r="C1651" s="583" t="s">
        <v>1256</v>
      </c>
      <c r="D1651" s="583" t="s">
        <v>1510</v>
      </c>
      <c r="E1651" s="592" t="s">
        <v>410</v>
      </c>
      <c r="F1651" s="593" t="s">
        <v>67</v>
      </c>
      <c r="G1651" s="593" t="s">
        <v>68</v>
      </c>
      <c r="H1651" s="593" t="s">
        <v>70</v>
      </c>
      <c r="I1651" s="593" t="s">
        <v>74</v>
      </c>
      <c r="J1651" s="593" t="s">
        <v>410</v>
      </c>
      <c r="K1651" s="237" t="s">
        <v>410</v>
      </c>
      <c r="L1651" s="237" t="s">
        <v>410</v>
      </c>
      <c r="M1651" s="237" t="s">
        <v>410</v>
      </c>
      <c r="N1651" s="237" t="s">
        <v>410</v>
      </c>
      <c r="O1651" s="237" t="s">
        <v>410</v>
      </c>
      <c r="P1651" s="237" t="s">
        <v>410</v>
      </c>
      <c r="Q1651" s="237" t="s">
        <v>410</v>
      </c>
      <c r="R1651" s="237" t="s">
        <v>410</v>
      </c>
      <c r="S1651" s="10" t="s">
        <v>410</v>
      </c>
      <c r="T1651" s="10" t="s">
        <v>410</v>
      </c>
    </row>
    <row r="1652" spans="1:20" hidden="1" outlineLevel="1" x14ac:dyDescent="0.3">
      <c r="A1652" s="583" t="s">
        <v>2067</v>
      </c>
      <c r="B1652" s="591">
        <v>0</v>
      </c>
      <c r="C1652" s="588" t="s">
        <v>1564</v>
      </c>
      <c r="D1652" s="588" t="s">
        <v>1510</v>
      </c>
      <c r="E1652" s="595"/>
      <c r="F1652" s="9" t="s">
        <v>410</v>
      </c>
      <c r="G1652" s="9" t="s">
        <v>410</v>
      </c>
      <c r="H1652" s="9" t="s">
        <v>410</v>
      </c>
      <c r="I1652" s="9" t="s">
        <v>410</v>
      </c>
      <c r="J1652" s="9" t="s">
        <v>410</v>
      </c>
      <c r="K1652" s="9" t="s">
        <v>410</v>
      </c>
      <c r="L1652" s="9" t="s">
        <v>410</v>
      </c>
      <c r="M1652" s="9" t="s">
        <v>410</v>
      </c>
      <c r="N1652" s="9" t="s">
        <v>410</v>
      </c>
      <c r="O1652" s="9" t="s">
        <v>410</v>
      </c>
      <c r="P1652" s="9" t="s">
        <v>410</v>
      </c>
      <c r="Q1652" s="9" t="s">
        <v>410</v>
      </c>
      <c r="R1652" s="9" t="s">
        <v>410</v>
      </c>
      <c r="S1652" s="9" t="s">
        <v>410</v>
      </c>
      <c r="T1652" s="9" t="s">
        <v>410</v>
      </c>
    </row>
    <row r="1653" spans="1:20" hidden="1" outlineLevel="1" x14ac:dyDescent="0.3">
      <c r="A1653" s="583" t="s">
        <v>2066</v>
      </c>
      <c r="B1653" s="591">
        <v>0</v>
      </c>
      <c r="C1653" s="583" t="s">
        <v>1564</v>
      </c>
      <c r="D1653" s="583" t="s">
        <v>1510</v>
      </c>
      <c r="F1653" t="s">
        <v>410</v>
      </c>
      <c r="G1653" t="s">
        <v>410</v>
      </c>
      <c r="H1653" t="s">
        <v>410</v>
      </c>
      <c r="I1653" t="s">
        <v>410</v>
      </c>
      <c r="J1653" t="s">
        <v>410</v>
      </c>
      <c r="K1653" t="s">
        <v>410</v>
      </c>
      <c r="L1653" t="s">
        <v>410</v>
      </c>
      <c r="M1653" t="s">
        <v>410</v>
      </c>
      <c r="N1653" t="s">
        <v>410</v>
      </c>
      <c r="O1653" t="s">
        <v>410</v>
      </c>
      <c r="P1653" t="s">
        <v>410</v>
      </c>
      <c r="Q1653" t="s">
        <v>410</v>
      </c>
      <c r="R1653" t="s">
        <v>410</v>
      </c>
      <c r="S1653" t="s">
        <v>410</v>
      </c>
      <c r="T1653" t="s">
        <v>410</v>
      </c>
    </row>
    <row r="1654" spans="1:20" hidden="1" outlineLevel="1" x14ac:dyDescent="0.3">
      <c r="A1654" s="583" t="s">
        <v>2043</v>
      </c>
      <c r="B1654" s="591">
        <v>1</v>
      </c>
      <c r="C1654" s="583" t="s">
        <v>1564</v>
      </c>
      <c r="D1654" s="583" t="s">
        <v>1510</v>
      </c>
      <c r="E1654" s="593" t="s">
        <v>410</v>
      </c>
      <c r="F1654" s="593" t="s">
        <v>3046</v>
      </c>
      <c r="G1654" s="593" t="s">
        <v>3047</v>
      </c>
      <c r="H1654" s="593" t="s">
        <v>3049</v>
      </c>
      <c r="I1654" s="593" t="s">
        <v>3050</v>
      </c>
      <c r="J1654" s="593" t="s">
        <v>3048</v>
      </c>
      <c r="K1654" s="593" t="s">
        <v>3051</v>
      </c>
      <c r="L1654" s="593" t="s">
        <v>3052</v>
      </c>
      <c r="M1654" s="593" t="s">
        <v>3053</v>
      </c>
      <c r="N1654" s="237" t="s">
        <v>410</v>
      </c>
      <c r="O1654" s="237" t="s">
        <v>410</v>
      </c>
      <c r="P1654" s="237" t="s">
        <v>410</v>
      </c>
      <c r="Q1654" s="237" t="s">
        <v>410</v>
      </c>
      <c r="R1654" s="237" t="s">
        <v>410</v>
      </c>
      <c r="S1654" s="237" t="s">
        <v>410</v>
      </c>
      <c r="T1654" s="237" t="s">
        <v>410</v>
      </c>
    </row>
    <row r="1655" spans="1:20" hidden="1" outlineLevel="1" x14ac:dyDescent="0.3">
      <c r="A1655" s="583" t="s">
        <v>2196</v>
      </c>
      <c r="B1655" s="591">
        <v>1</v>
      </c>
      <c r="C1655" s="583" t="s">
        <v>1564</v>
      </c>
      <c r="D1655" s="583" t="s">
        <v>1510</v>
      </c>
      <c r="E1655" s="592" t="s">
        <v>410</v>
      </c>
      <c r="F1655" s="592" t="s">
        <v>3164</v>
      </c>
      <c r="G1655" s="592" t="s">
        <v>3165</v>
      </c>
      <c r="H1655" s="592" t="s">
        <v>3166</v>
      </c>
      <c r="I1655" s="592" t="s">
        <v>3167</v>
      </c>
      <c r="J1655" s="592" t="s">
        <v>3168</v>
      </c>
      <c r="K1655" s="583" t="s">
        <v>410</v>
      </c>
      <c r="L1655" t="s">
        <v>410</v>
      </c>
      <c r="M1655" t="s">
        <v>410</v>
      </c>
      <c r="N1655" t="s">
        <v>410</v>
      </c>
      <c r="O1655" t="s">
        <v>410</v>
      </c>
      <c r="P1655" t="s">
        <v>410</v>
      </c>
      <c r="Q1655" t="s">
        <v>410</v>
      </c>
      <c r="R1655" t="s">
        <v>410</v>
      </c>
      <c r="S1655" t="s">
        <v>410</v>
      </c>
      <c r="T1655" t="s">
        <v>410</v>
      </c>
    </row>
    <row r="1656" spans="1:20" hidden="1" outlineLevel="1" x14ac:dyDescent="0.3">
      <c r="A1656" s="583" t="s">
        <v>2204</v>
      </c>
      <c r="B1656" s="591">
        <v>1</v>
      </c>
      <c r="C1656" s="583" t="s">
        <v>1564</v>
      </c>
      <c r="D1656" s="583" t="s">
        <v>1510</v>
      </c>
      <c r="E1656" s="592" t="s">
        <v>2205</v>
      </c>
      <c r="F1656" s="593" t="s">
        <v>410</v>
      </c>
      <c r="G1656" s="237" t="s">
        <v>410</v>
      </c>
      <c r="H1656" s="237" t="s">
        <v>410</v>
      </c>
      <c r="I1656" s="237" t="s">
        <v>410</v>
      </c>
      <c r="J1656" s="237" t="s">
        <v>410</v>
      </c>
      <c r="K1656" s="237" t="s">
        <v>410</v>
      </c>
      <c r="L1656" s="237" t="s">
        <v>410</v>
      </c>
      <c r="M1656" s="237" t="s">
        <v>410</v>
      </c>
      <c r="N1656" s="237" t="s">
        <v>410</v>
      </c>
      <c r="O1656" s="237" t="s">
        <v>410</v>
      </c>
      <c r="P1656" s="237" t="s">
        <v>410</v>
      </c>
      <c r="Q1656" s="237" t="s">
        <v>410</v>
      </c>
      <c r="R1656" s="237" t="s">
        <v>410</v>
      </c>
      <c r="S1656" s="10" t="s">
        <v>410</v>
      </c>
      <c r="T1656" s="10" t="s">
        <v>410</v>
      </c>
    </row>
    <row r="1657" spans="1:20" hidden="1" outlineLevel="1" x14ac:dyDescent="0.3">
      <c r="A1657" s="583" t="s">
        <v>1875</v>
      </c>
      <c r="B1657" s="591">
        <v>1</v>
      </c>
      <c r="C1657" s="583" t="s">
        <v>1564</v>
      </c>
      <c r="D1657" s="583" t="s">
        <v>1510</v>
      </c>
      <c r="E1657" s="592" t="s">
        <v>410</v>
      </c>
      <c r="F1657" s="593" t="s">
        <v>4983</v>
      </c>
      <c r="G1657" s="237" t="s">
        <v>410</v>
      </c>
      <c r="H1657" s="237" t="s">
        <v>410</v>
      </c>
      <c r="I1657" s="237" t="s">
        <v>410</v>
      </c>
      <c r="J1657" s="237" t="s">
        <v>410</v>
      </c>
      <c r="K1657" s="237" t="s">
        <v>410</v>
      </c>
      <c r="L1657" s="237" t="s">
        <v>410</v>
      </c>
      <c r="M1657" s="237" t="s">
        <v>410</v>
      </c>
      <c r="N1657" s="237" t="s">
        <v>410</v>
      </c>
      <c r="O1657" s="237" t="s">
        <v>410</v>
      </c>
      <c r="P1657" s="237" t="s">
        <v>410</v>
      </c>
      <c r="Q1657" s="237" t="s">
        <v>410</v>
      </c>
      <c r="R1657" s="237" t="s">
        <v>410</v>
      </c>
      <c r="S1657" s="10" t="s">
        <v>410</v>
      </c>
      <c r="T1657" s="10" t="s">
        <v>410</v>
      </c>
    </row>
    <row r="1658" spans="1:20" hidden="1" outlineLevel="1" x14ac:dyDescent="0.3">
      <c r="A1658" s="583" t="s">
        <v>1876</v>
      </c>
      <c r="B1658" s="591">
        <v>1</v>
      </c>
      <c r="C1658" s="583" t="s">
        <v>1564</v>
      </c>
      <c r="D1658" s="583" t="s">
        <v>1510</v>
      </c>
      <c r="E1658" s="592" t="s">
        <v>410</v>
      </c>
      <c r="F1658" s="593" t="s">
        <v>4978</v>
      </c>
      <c r="G1658" s="237" t="s">
        <v>410</v>
      </c>
      <c r="H1658" s="237" t="s">
        <v>410</v>
      </c>
      <c r="I1658" s="237" t="s">
        <v>410</v>
      </c>
      <c r="J1658" s="237" t="s">
        <v>410</v>
      </c>
      <c r="K1658" s="237" t="s">
        <v>410</v>
      </c>
      <c r="L1658" s="237" t="s">
        <v>410</v>
      </c>
      <c r="M1658" s="237" t="s">
        <v>410</v>
      </c>
      <c r="N1658" s="237" t="s">
        <v>410</v>
      </c>
      <c r="O1658" s="237" t="s">
        <v>410</v>
      </c>
      <c r="P1658" s="237" t="s">
        <v>410</v>
      </c>
      <c r="Q1658" s="237" t="s">
        <v>410</v>
      </c>
      <c r="R1658" s="237" t="s">
        <v>410</v>
      </c>
      <c r="S1658" s="10" t="s">
        <v>410</v>
      </c>
      <c r="T1658" s="10" t="s">
        <v>410</v>
      </c>
    </row>
    <row r="1659" spans="1:20" hidden="1" outlineLevel="1" x14ac:dyDescent="0.3">
      <c r="A1659" s="583" t="s">
        <v>3026</v>
      </c>
      <c r="B1659" s="591">
        <v>1</v>
      </c>
      <c r="C1659" s="583" t="s">
        <v>1564</v>
      </c>
      <c r="D1659" s="583" t="s">
        <v>1510</v>
      </c>
      <c r="E1659" s="592"/>
      <c r="F1659" s="592" t="s">
        <v>410</v>
      </c>
      <c r="G1659" s="592" t="s">
        <v>410</v>
      </c>
      <c r="H1659" s="592" t="s">
        <v>410</v>
      </c>
      <c r="I1659" s="10" t="s">
        <v>410</v>
      </c>
      <c r="J1659" s="10" t="s">
        <v>410</v>
      </c>
      <c r="K1659" s="10" t="s">
        <v>410</v>
      </c>
      <c r="L1659" s="10" t="s">
        <v>410</v>
      </c>
      <c r="M1659" s="10" t="s">
        <v>410</v>
      </c>
      <c r="N1659" s="10" t="s">
        <v>410</v>
      </c>
      <c r="O1659" s="10" t="s">
        <v>410</v>
      </c>
      <c r="P1659" s="10" t="s">
        <v>410</v>
      </c>
      <c r="Q1659" s="10" t="s">
        <v>410</v>
      </c>
      <c r="R1659" s="10" t="s">
        <v>410</v>
      </c>
      <c r="S1659" s="10" t="s">
        <v>410</v>
      </c>
      <c r="T1659" s="10" t="s">
        <v>410</v>
      </c>
    </row>
    <row r="1660" spans="1:20" hidden="1" outlineLevel="1" x14ac:dyDescent="0.3">
      <c r="A1660" s="583" t="s">
        <v>3145</v>
      </c>
      <c r="B1660" s="591">
        <v>2</v>
      </c>
      <c r="C1660" s="583" t="s">
        <v>1564</v>
      </c>
      <c r="D1660" s="583" t="s">
        <v>1510</v>
      </c>
      <c r="E1660" s="593" t="s">
        <v>410</v>
      </c>
      <c r="F1660" s="593" t="s">
        <v>3039</v>
      </c>
      <c r="G1660" s="593" t="s">
        <v>3040</v>
      </c>
      <c r="H1660" s="593" t="s">
        <v>3041</v>
      </c>
      <c r="I1660" s="593" t="s">
        <v>4634</v>
      </c>
      <c r="J1660" s="593" t="s">
        <v>3042</v>
      </c>
      <c r="K1660" s="593" t="s">
        <v>3043</v>
      </c>
      <c r="L1660" s="593" t="s">
        <v>3044</v>
      </c>
      <c r="M1660" s="593" t="s">
        <v>3045</v>
      </c>
      <c r="N1660" s="237" t="s">
        <v>410</v>
      </c>
      <c r="O1660" s="237" t="s">
        <v>410</v>
      </c>
      <c r="P1660" s="237" t="s">
        <v>410</v>
      </c>
      <c r="Q1660" s="237" t="s">
        <v>410</v>
      </c>
      <c r="R1660" s="237" t="s">
        <v>410</v>
      </c>
      <c r="S1660" s="237" t="s">
        <v>410</v>
      </c>
      <c r="T1660" s="237" t="s">
        <v>410</v>
      </c>
    </row>
    <row r="1661" spans="1:20" hidden="1" outlineLevel="1" x14ac:dyDescent="0.3">
      <c r="A1661" s="583" t="s">
        <v>2197</v>
      </c>
      <c r="B1661" s="591">
        <v>2</v>
      </c>
      <c r="C1661" s="583" t="s">
        <v>1564</v>
      </c>
      <c r="D1661" s="583" t="s">
        <v>1510</v>
      </c>
      <c r="E1661" s="592" t="s">
        <v>410</v>
      </c>
      <c r="F1661" s="583" t="s">
        <v>410</v>
      </c>
      <c r="G1661" s="583" t="s">
        <v>3169</v>
      </c>
      <c r="H1661" s="583" t="s">
        <v>3170</v>
      </c>
      <c r="I1661" s="583" t="s">
        <v>3171</v>
      </c>
      <c r="J1661" s="583" t="s">
        <v>3172</v>
      </c>
      <c r="K1661" s="583" t="s">
        <v>410</v>
      </c>
      <c r="L1661" t="s">
        <v>410</v>
      </c>
      <c r="M1661" t="s">
        <v>410</v>
      </c>
      <c r="N1661" t="s">
        <v>410</v>
      </c>
      <c r="O1661" t="s">
        <v>410</v>
      </c>
      <c r="P1661" t="s">
        <v>410</v>
      </c>
      <c r="Q1661" t="s">
        <v>410</v>
      </c>
      <c r="R1661" t="s">
        <v>410</v>
      </c>
      <c r="S1661" t="s">
        <v>410</v>
      </c>
      <c r="T1661" t="s">
        <v>410</v>
      </c>
    </row>
    <row r="1662" spans="1:20" hidden="1" outlineLevel="1" x14ac:dyDescent="0.3">
      <c r="A1662" s="583" t="s">
        <v>1877</v>
      </c>
      <c r="B1662" s="591">
        <v>2</v>
      </c>
      <c r="C1662" s="583" t="s">
        <v>1564</v>
      </c>
      <c r="D1662" s="583" t="s">
        <v>1510</v>
      </c>
      <c r="E1662" s="592" t="s">
        <v>410</v>
      </c>
      <c r="F1662" s="593" t="s">
        <v>4979</v>
      </c>
      <c r="G1662" s="237" t="s">
        <v>410</v>
      </c>
      <c r="H1662" s="237" t="s">
        <v>410</v>
      </c>
      <c r="I1662" s="237" t="s">
        <v>410</v>
      </c>
      <c r="J1662" s="237" t="s">
        <v>410</v>
      </c>
      <c r="K1662" s="237" t="s">
        <v>410</v>
      </c>
      <c r="L1662" s="237" t="s">
        <v>410</v>
      </c>
      <c r="M1662" s="237" t="s">
        <v>410</v>
      </c>
      <c r="N1662" s="237" t="s">
        <v>410</v>
      </c>
      <c r="O1662" s="237" t="s">
        <v>410</v>
      </c>
      <c r="P1662" s="237" t="s">
        <v>410</v>
      </c>
      <c r="Q1662" s="237" t="s">
        <v>410</v>
      </c>
      <c r="R1662" s="237" t="s">
        <v>410</v>
      </c>
      <c r="S1662" s="10" t="s">
        <v>410</v>
      </c>
      <c r="T1662" s="10" t="s">
        <v>410</v>
      </c>
    </row>
    <row r="1663" spans="1:20" hidden="1" outlineLevel="1" x14ac:dyDescent="0.3">
      <c r="A1663" s="583" t="s">
        <v>3150</v>
      </c>
      <c r="B1663" s="591">
        <v>3</v>
      </c>
      <c r="C1663" s="583" t="s">
        <v>1564</v>
      </c>
      <c r="D1663" s="583" t="s">
        <v>1510</v>
      </c>
      <c r="E1663" s="593" t="s">
        <v>410</v>
      </c>
      <c r="F1663" s="593" t="s">
        <v>3054</v>
      </c>
      <c r="G1663" s="593" t="s">
        <v>3055</v>
      </c>
      <c r="H1663" s="593" t="s">
        <v>3056</v>
      </c>
      <c r="I1663" s="593" t="s">
        <v>3057</v>
      </c>
      <c r="J1663" s="593" t="s">
        <v>3059</v>
      </c>
      <c r="K1663" s="593" t="s">
        <v>3060</v>
      </c>
      <c r="L1663" s="593" t="s">
        <v>3058</v>
      </c>
      <c r="M1663" s="593" t="s">
        <v>3061</v>
      </c>
      <c r="N1663" s="237" t="s">
        <v>410</v>
      </c>
      <c r="O1663" s="237" t="s">
        <v>410</v>
      </c>
      <c r="P1663" s="237" t="s">
        <v>410</v>
      </c>
      <c r="Q1663" s="237" t="s">
        <v>410</v>
      </c>
      <c r="R1663" s="237" t="s">
        <v>410</v>
      </c>
      <c r="S1663" s="237" t="s">
        <v>410</v>
      </c>
      <c r="T1663" s="237" t="s">
        <v>410</v>
      </c>
    </row>
    <row r="1664" spans="1:20" hidden="1" outlineLevel="1" x14ac:dyDescent="0.3">
      <c r="A1664" s="583" t="s">
        <v>2198</v>
      </c>
      <c r="B1664" s="591">
        <v>3</v>
      </c>
      <c r="C1664" s="583" t="s">
        <v>1564</v>
      </c>
      <c r="D1664" s="583" t="s">
        <v>1510</v>
      </c>
      <c r="E1664" s="592" t="s">
        <v>410</v>
      </c>
      <c r="F1664" s="583" t="s">
        <v>410</v>
      </c>
      <c r="G1664" s="583" t="s">
        <v>410</v>
      </c>
      <c r="H1664" s="592" t="s">
        <v>3173</v>
      </c>
      <c r="I1664" s="592" t="s">
        <v>3173</v>
      </c>
      <c r="J1664" s="592" t="s">
        <v>3174</v>
      </c>
      <c r="K1664" s="583" t="s">
        <v>410</v>
      </c>
      <c r="L1664" t="s">
        <v>410</v>
      </c>
      <c r="M1664" t="s">
        <v>410</v>
      </c>
      <c r="N1664" t="s">
        <v>410</v>
      </c>
      <c r="O1664" t="s">
        <v>410</v>
      </c>
      <c r="P1664" t="s">
        <v>410</v>
      </c>
      <c r="Q1664" t="s">
        <v>410</v>
      </c>
      <c r="R1664" t="s">
        <v>410</v>
      </c>
      <c r="S1664" t="s">
        <v>410</v>
      </c>
      <c r="T1664" t="s">
        <v>410</v>
      </c>
    </row>
    <row r="1665" spans="1:20" hidden="1" outlineLevel="1" x14ac:dyDescent="0.3">
      <c r="A1665" s="583" t="s">
        <v>1878</v>
      </c>
      <c r="B1665" s="591">
        <v>3</v>
      </c>
      <c r="C1665" s="583" t="s">
        <v>1564</v>
      </c>
      <c r="D1665" s="583" t="s">
        <v>1510</v>
      </c>
      <c r="E1665" s="592" t="s">
        <v>410</v>
      </c>
      <c r="F1665" s="593" t="s">
        <v>4980</v>
      </c>
      <c r="G1665" s="237" t="s">
        <v>410</v>
      </c>
      <c r="H1665" s="237" t="s">
        <v>410</v>
      </c>
      <c r="I1665" s="237" t="s">
        <v>410</v>
      </c>
      <c r="J1665" s="237" t="s">
        <v>410</v>
      </c>
      <c r="K1665" s="237" t="s">
        <v>410</v>
      </c>
      <c r="L1665" s="237" t="s">
        <v>410</v>
      </c>
      <c r="M1665" s="237" t="s">
        <v>410</v>
      </c>
      <c r="N1665" s="237" t="s">
        <v>410</v>
      </c>
      <c r="O1665" s="237" t="s">
        <v>410</v>
      </c>
      <c r="P1665" s="237" t="s">
        <v>410</v>
      </c>
      <c r="Q1665" s="237" t="s">
        <v>410</v>
      </c>
      <c r="R1665" s="237" t="s">
        <v>410</v>
      </c>
      <c r="S1665" s="10" t="s">
        <v>410</v>
      </c>
      <c r="T1665" s="10" t="s">
        <v>410</v>
      </c>
    </row>
    <row r="1666" spans="1:20" hidden="1" outlineLevel="1" x14ac:dyDescent="0.3">
      <c r="A1666" s="583" t="s">
        <v>3163</v>
      </c>
      <c r="B1666" s="591">
        <v>4</v>
      </c>
      <c r="C1666" s="583" t="s">
        <v>1564</v>
      </c>
      <c r="D1666" s="583" t="s">
        <v>1510</v>
      </c>
      <c r="E1666" s="592" t="s">
        <v>410</v>
      </c>
      <c r="F1666" s="583" t="s">
        <v>410</v>
      </c>
      <c r="G1666" s="583" t="s">
        <v>410</v>
      </c>
      <c r="H1666" s="583" t="s">
        <v>410</v>
      </c>
      <c r="I1666" s="592" t="s">
        <v>3175</v>
      </c>
      <c r="J1666" s="592" t="s">
        <v>3175</v>
      </c>
      <c r="K1666" s="583" t="s">
        <v>410</v>
      </c>
      <c r="L1666" t="s">
        <v>410</v>
      </c>
      <c r="M1666" t="s">
        <v>410</v>
      </c>
      <c r="N1666" t="s">
        <v>410</v>
      </c>
      <c r="O1666" t="s">
        <v>410</v>
      </c>
      <c r="P1666" t="s">
        <v>410</v>
      </c>
      <c r="Q1666" t="s">
        <v>410</v>
      </c>
      <c r="R1666" t="s">
        <v>410</v>
      </c>
      <c r="S1666" t="s">
        <v>410</v>
      </c>
      <c r="T1666" t="s">
        <v>410</v>
      </c>
    </row>
    <row r="1667" spans="1:20" hidden="1" outlineLevel="1" x14ac:dyDescent="0.3">
      <c r="A1667" s="583" t="s">
        <v>1879</v>
      </c>
      <c r="B1667" s="591">
        <v>4</v>
      </c>
      <c r="C1667" s="583" t="s">
        <v>1564</v>
      </c>
      <c r="D1667" s="583" t="s">
        <v>1510</v>
      </c>
      <c r="E1667" s="592" t="s">
        <v>410</v>
      </c>
      <c r="F1667" s="593" t="s">
        <v>4981</v>
      </c>
      <c r="G1667" s="237" t="s">
        <v>410</v>
      </c>
      <c r="H1667" s="237" t="s">
        <v>410</v>
      </c>
      <c r="I1667" s="237" t="s">
        <v>410</v>
      </c>
      <c r="J1667" s="237" t="s">
        <v>410</v>
      </c>
      <c r="K1667" s="237" t="s">
        <v>410</v>
      </c>
      <c r="L1667" s="237" t="s">
        <v>410</v>
      </c>
      <c r="M1667" s="237" t="s">
        <v>410</v>
      </c>
      <c r="N1667" s="237" t="s">
        <v>410</v>
      </c>
      <c r="O1667" s="237" t="s">
        <v>410</v>
      </c>
      <c r="P1667" s="237" t="s">
        <v>410</v>
      </c>
      <c r="Q1667" s="237" t="s">
        <v>410</v>
      </c>
      <c r="R1667" s="237" t="s">
        <v>410</v>
      </c>
      <c r="S1667" s="10" t="s">
        <v>410</v>
      </c>
      <c r="T1667" s="10" t="s">
        <v>410</v>
      </c>
    </row>
    <row r="1668" spans="1:20" hidden="1" outlineLevel="1" x14ac:dyDescent="0.3">
      <c r="A1668" s="583" t="s">
        <v>3396</v>
      </c>
      <c r="B1668" s="591">
        <v>5</v>
      </c>
      <c r="C1668" s="583" t="s">
        <v>1564</v>
      </c>
      <c r="D1668" s="583" t="s">
        <v>1510</v>
      </c>
      <c r="E1668" s="593" t="s">
        <v>410</v>
      </c>
      <c r="F1668" s="593"/>
      <c r="G1668" s="593"/>
      <c r="H1668" s="593"/>
      <c r="I1668" s="593"/>
      <c r="J1668" s="593"/>
      <c r="K1668" s="593"/>
      <c r="L1668" s="593"/>
      <c r="M1668" s="593"/>
      <c r="N1668" s="593" t="s">
        <v>410</v>
      </c>
      <c r="O1668" s="237" t="s">
        <v>410</v>
      </c>
      <c r="P1668" s="237" t="s">
        <v>410</v>
      </c>
      <c r="Q1668" s="237" t="s">
        <v>410</v>
      </c>
      <c r="R1668" s="237" t="s">
        <v>410</v>
      </c>
      <c r="S1668" s="237" t="s">
        <v>410</v>
      </c>
      <c r="T1668" s="237" t="s">
        <v>410</v>
      </c>
    </row>
    <row r="1669" spans="1:20" hidden="1" outlineLevel="1" x14ac:dyDescent="0.3">
      <c r="A1669" s="583" t="s">
        <v>2199</v>
      </c>
      <c r="B1669" s="591">
        <v>5</v>
      </c>
      <c r="C1669" s="583" t="s">
        <v>1564</v>
      </c>
      <c r="D1669" s="583" t="s">
        <v>1510</v>
      </c>
      <c r="E1669" s="592" t="s">
        <v>410</v>
      </c>
      <c r="F1669" s="583" t="s">
        <v>410</v>
      </c>
      <c r="G1669" s="583" t="s">
        <v>410</v>
      </c>
      <c r="H1669" s="583" t="s">
        <v>410</v>
      </c>
      <c r="I1669" s="583" t="s">
        <v>410</v>
      </c>
      <c r="J1669" s="592" t="s">
        <v>2200</v>
      </c>
      <c r="K1669" s="583" t="s">
        <v>410</v>
      </c>
      <c r="L1669" t="s">
        <v>410</v>
      </c>
      <c r="M1669" t="s">
        <v>410</v>
      </c>
      <c r="N1669" t="s">
        <v>410</v>
      </c>
      <c r="O1669" t="s">
        <v>410</v>
      </c>
      <c r="P1669" t="s">
        <v>410</v>
      </c>
      <c r="Q1669" t="s">
        <v>410</v>
      </c>
      <c r="R1669" t="s">
        <v>410</v>
      </c>
      <c r="S1669" t="s">
        <v>410</v>
      </c>
      <c r="T1669" t="s">
        <v>410</v>
      </c>
    </row>
    <row r="1670" spans="1:20" hidden="1" outlineLevel="1" x14ac:dyDescent="0.3">
      <c r="A1670" s="583" t="s">
        <v>1880</v>
      </c>
      <c r="B1670" s="591">
        <v>5</v>
      </c>
      <c r="C1670" s="583" t="s">
        <v>1564</v>
      </c>
      <c r="D1670" s="583" t="s">
        <v>1510</v>
      </c>
      <c r="E1670" s="592" t="s">
        <v>410</v>
      </c>
      <c r="F1670" s="593" t="s">
        <v>3161</v>
      </c>
      <c r="G1670" s="237" t="s">
        <v>410</v>
      </c>
      <c r="H1670" s="237" t="s">
        <v>410</v>
      </c>
      <c r="I1670" s="237" t="s">
        <v>410</v>
      </c>
      <c r="J1670" s="237" t="s">
        <v>410</v>
      </c>
      <c r="K1670" s="237" t="s">
        <v>410</v>
      </c>
      <c r="L1670" s="237" t="s">
        <v>410</v>
      </c>
      <c r="M1670" s="237" t="s">
        <v>410</v>
      </c>
      <c r="N1670" s="237" t="s">
        <v>410</v>
      </c>
      <c r="O1670" s="237" t="s">
        <v>410</v>
      </c>
      <c r="P1670" s="237" t="s">
        <v>410</v>
      </c>
      <c r="Q1670" s="237" t="s">
        <v>410</v>
      </c>
      <c r="R1670" s="237" t="s">
        <v>410</v>
      </c>
      <c r="S1670" s="10" t="s">
        <v>410</v>
      </c>
      <c r="T1670" s="10" t="s">
        <v>410</v>
      </c>
    </row>
    <row r="1671" spans="1:20" hidden="1" outlineLevel="1" x14ac:dyDescent="0.3">
      <c r="A1671" s="583" t="s">
        <v>3028</v>
      </c>
      <c r="B1671" s="591">
        <v>6</v>
      </c>
      <c r="C1671" s="588" t="s">
        <v>1564</v>
      </c>
      <c r="D1671" s="588" t="s">
        <v>1510</v>
      </c>
      <c r="E1671" s="589" t="s">
        <v>410</v>
      </c>
      <c r="F1671" s="594" t="str">
        <f>CONCATENATE(TEXT(0+IF(INT&lt;0,0,INT)*1,"0")," mg")</f>
        <v>0 mg</v>
      </c>
      <c r="G1671" s="594" t="str">
        <f>CONCATENATE(TEXT(2+IF(INT&lt;0,0,INT)*1,"0")," mg")</f>
        <v>2 mg</v>
      </c>
      <c r="H1671" s="594" t="str">
        <f>CONCATENATE(TEXT(4+IF(INT&lt;0,0,INT)*1,"0")," mg")</f>
        <v>4 mg</v>
      </c>
      <c r="I1671" s="594" t="str">
        <f>CONCATENATE(TEXT(4+IF(INT&lt;0,0,INT)*2,"0")," mg")</f>
        <v>4 mg</v>
      </c>
      <c r="J1671" s="594" t="str">
        <f>CONCATENATE(TEXT(6+IF(INT&lt;0,0,INT)*2,"0")," mg")</f>
        <v>6 mg</v>
      </c>
      <c r="K1671" s="594" t="str">
        <f>CONCATENATE(TEXT(8+IF(INT&lt;0,0,INT)*2,"0")," mg")</f>
        <v>8 mg</v>
      </c>
      <c r="L1671" s="594" t="str">
        <f>CONCATENATE(TEXT(10+IF(INT&lt;0,0,INT)*2,"0")," mg")</f>
        <v>10 mg</v>
      </c>
      <c r="M1671" s="594" t="str">
        <f>CONCATENATE(TEXT(12+IF(INT&lt;0,0,INT)*2,"0")," mg")</f>
        <v>12 mg</v>
      </c>
      <c r="N1671" s="594" t="str">
        <f>CONCATENATE(TEXT(14+IF(INT&lt;0,0,INT)*2,"0")," mg")</f>
        <v>14 mg</v>
      </c>
      <c r="O1671" s="594" t="str">
        <f>CONCATENATE(TEXT(15+IF(INT&lt;0,0,INT)*3,"0")," mg")</f>
        <v>15 mg</v>
      </c>
      <c r="P1671" s="441" t="s">
        <v>410</v>
      </c>
      <c r="Q1671" s="441" t="s">
        <v>410</v>
      </c>
      <c r="R1671" s="441" t="s">
        <v>410</v>
      </c>
      <c r="S1671" s="441" t="s">
        <v>410</v>
      </c>
      <c r="T1671" s="441" t="s">
        <v>410</v>
      </c>
    </row>
    <row r="1672" spans="1:20" hidden="1" outlineLevel="1" x14ac:dyDescent="0.3">
      <c r="A1672" s="583" t="s">
        <v>2046</v>
      </c>
      <c r="B1672" s="591">
        <v>6</v>
      </c>
      <c r="C1672" s="583" t="s">
        <v>1564</v>
      </c>
      <c r="D1672" s="583" t="s">
        <v>1510</v>
      </c>
      <c r="E1672" s="593" t="s">
        <v>410</v>
      </c>
      <c r="F1672" s="237"/>
      <c r="G1672" s="237"/>
      <c r="H1672" s="237"/>
      <c r="I1672" s="237"/>
      <c r="J1672" s="237"/>
      <c r="K1672" s="237"/>
      <c r="L1672" s="237"/>
      <c r="M1672" s="237"/>
      <c r="N1672" s="237" t="s">
        <v>410</v>
      </c>
      <c r="O1672" s="237" t="s">
        <v>410</v>
      </c>
      <c r="P1672" s="237" t="s">
        <v>410</v>
      </c>
      <c r="Q1672" s="237" t="s">
        <v>410</v>
      </c>
      <c r="R1672" s="237" t="s">
        <v>410</v>
      </c>
      <c r="S1672" s="237" t="s">
        <v>410</v>
      </c>
      <c r="T1672" s="237" t="s">
        <v>410</v>
      </c>
    </row>
    <row r="1673" spans="1:20" hidden="1" outlineLevel="1" x14ac:dyDescent="0.3">
      <c r="A1673" s="583" t="s">
        <v>3404</v>
      </c>
      <c r="B1673" s="591">
        <v>8</v>
      </c>
      <c r="C1673" s="583" t="s">
        <v>1564</v>
      </c>
      <c r="D1673" s="583" t="s">
        <v>1510</v>
      </c>
      <c r="E1673" s="593" t="s">
        <v>410</v>
      </c>
      <c r="F1673" s="237"/>
      <c r="G1673" s="237"/>
      <c r="H1673" s="237"/>
      <c r="I1673" s="237"/>
      <c r="J1673" s="237"/>
      <c r="K1673" s="237"/>
      <c r="L1673" s="237"/>
      <c r="M1673" s="237"/>
      <c r="N1673" s="237" t="s">
        <v>410</v>
      </c>
      <c r="O1673" s="237" t="s">
        <v>410</v>
      </c>
      <c r="P1673" s="237" t="s">
        <v>410</v>
      </c>
      <c r="Q1673" s="237" t="s">
        <v>410</v>
      </c>
      <c r="R1673" s="237" t="s">
        <v>410</v>
      </c>
      <c r="S1673" s="237" t="s">
        <v>410</v>
      </c>
      <c r="T1673" s="237" t="s">
        <v>410</v>
      </c>
    </row>
    <row r="1674" spans="1:20" hidden="1" outlineLevel="1" x14ac:dyDescent="0.3">
      <c r="A1674" s="583" t="s">
        <v>2048</v>
      </c>
      <c r="B1674" s="591">
        <v>11</v>
      </c>
      <c r="C1674" s="583" t="s">
        <v>1564</v>
      </c>
      <c r="D1674" s="583" t="s">
        <v>1510</v>
      </c>
      <c r="E1674" s="593" t="s">
        <v>410</v>
      </c>
      <c r="F1674" s="237"/>
      <c r="G1674" s="237"/>
      <c r="H1674" s="237"/>
      <c r="I1674" s="237"/>
      <c r="J1674" s="237"/>
      <c r="K1674" s="237"/>
      <c r="L1674" s="237"/>
      <c r="M1674" s="237"/>
      <c r="N1674" s="237" t="s">
        <v>410</v>
      </c>
      <c r="O1674" s="237" t="s">
        <v>410</v>
      </c>
      <c r="P1674" s="237" t="s">
        <v>410</v>
      </c>
      <c r="Q1674" s="237" t="s">
        <v>410</v>
      </c>
      <c r="R1674" s="237" t="s">
        <v>410</v>
      </c>
      <c r="S1674" s="237" t="s">
        <v>410</v>
      </c>
      <c r="T1674" s="237" t="s">
        <v>410</v>
      </c>
    </row>
    <row r="1675" spans="1:20" hidden="1" outlineLevel="1" x14ac:dyDescent="0.3">
      <c r="A1675" s="583" t="s">
        <v>2047</v>
      </c>
      <c r="B1675" s="591">
        <v>13</v>
      </c>
      <c r="C1675" s="583" t="s">
        <v>1564</v>
      </c>
      <c r="D1675" s="583" t="s">
        <v>1510</v>
      </c>
      <c r="E1675" s="593" t="s">
        <v>410</v>
      </c>
      <c r="F1675" s="237"/>
      <c r="G1675" s="237"/>
      <c r="H1675" s="237"/>
      <c r="I1675" s="237"/>
      <c r="J1675" s="237"/>
      <c r="K1675" s="237"/>
      <c r="L1675" s="237"/>
      <c r="M1675" s="237"/>
      <c r="N1675" s="237"/>
      <c r="O1675" s="237"/>
      <c r="P1675" s="237"/>
      <c r="Q1675" s="237" t="s">
        <v>410</v>
      </c>
      <c r="R1675" s="237" t="s">
        <v>410</v>
      </c>
      <c r="S1675" s="237" t="s">
        <v>410</v>
      </c>
      <c r="T1675" s="237" t="s">
        <v>410</v>
      </c>
    </row>
    <row r="1676" spans="1:20" hidden="1" outlineLevel="1" x14ac:dyDescent="0.3">
      <c r="A1676" s="583" t="s">
        <v>5557</v>
      </c>
      <c r="B1676" s="591">
        <v>16</v>
      </c>
      <c r="C1676" s="583" t="s">
        <v>1564</v>
      </c>
      <c r="D1676" s="583" t="s">
        <v>1510</v>
      </c>
      <c r="E1676" s="593" t="s">
        <v>410</v>
      </c>
      <c r="F1676" s="593" t="s">
        <v>3070</v>
      </c>
      <c r="G1676" s="593" t="s">
        <v>3071</v>
      </c>
      <c r="H1676" s="593" t="s">
        <v>3072</v>
      </c>
      <c r="I1676" s="593" t="s">
        <v>3073</v>
      </c>
      <c r="J1676" s="593" t="s">
        <v>3074</v>
      </c>
      <c r="K1676" s="593" t="s">
        <v>3075</v>
      </c>
      <c r="L1676" s="593" t="s">
        <v>3076</v>
      </c>
      <c r="M1676" s="593" t="s">
        <v>1068</v>
      </c>
      <c r="N1676" s="237" t="s">
        <v>410</v>
      </c>
      <c r="O1676" s="237" t="s">
        <v>410</v>
      </c>
      <c r="P1676" s="237" t="s">
        <v>410</v>
      </c>
      <c r="Q1676" s="237" t="s">
        <v>410</v>
      </c>
      <c r="R1676" s="237" t="s">
        <v>410</v>
      </c>
      <c r="S1676" s="237" t="s">
        <v>410</v>
      </c>
      <c r="T1676" s="237" t="s">
        <v>410</v>
      </c>
    </row>
    <row r="1677" spans="1:20" hidden="1" outlineLevel="1" x14ac:dyDescent="0.3">
      <c r="A1677" s="583" t="s">
        <v>3397</v>
      </c>
      <c r="B1677" s="591">
        <v>18</v>
      </c>
      <c r="C1677" s="583" t="s">
        <v>1564</v>
      </c>
      <c r="D1677" s="583" t="s">
        <v>1510</v>
      </c>
      <c r="E1677" s="593" t="s">
        <v>410</v>
      </c>
      <c r="F1677" s="593"/>
      <c r="G1677" s="593"/>
      <c r="H1677" s="593"/>
      <c r="I1677" s="593"/>
      <c r="J1677" s="593"/>
      <c r="K1677" s="593"/>
      <c r="L1677" s="593"/>
      <c r="M1677" s="593"/>
      <c r="N1677" s="593" t="s">
        <v>410</v>
      </c>
      <c r="O1677" s="237" t="s">
        <v>410</v>
      </c>
      <c r="P1677" s="237" t="s">
        <v>410</v>
      </c>
      <c r="Q1677" s="237" t="s">
        <v>410</v>
      </c>
      <c r="R1677" s="237" t="s">
        <v>410</v>
      </c>
      <c r="S1677" s="237" t="s">
        <v>410</v>
      </c>
      <c r="T1677" s="237" t="s">
        <v>410</v>
      </c>
    </row>
    <row r="1678" spans="1:20" collapsed="1" x14ac:dyDescent="0.3">
      <c r="A1678" s="583" t="s">
        <v>5054</v>
      </c>
      <c r="B1678" s="591">
        <v>1</v>
      </c>
      <c r="C1678" s="588" t="s">
        <v>1256</v>
      </c>
      <c r="D1678" s="588" t="s">
        <v>1476</v>
      </c>
      <c r="E1678" s="593" t="s">
        <v>410</v>
      </c>
      <c r="F1678" s="590" t="s">
        <v>67</v>
      </c>
      <c r="G1678" s="590" t="s">
        <v>68</v>
      </c>
      <c r="H1678" s="590" t="s">
        <v>70</v>
      </c>
      <c r="I1678" s="590" t="s">
        <v>72</v>
      </c>
      <c r="J1678" s="441" t="s">
        <v>410</v>
      </c>
      <c r="K1678" s="441" t="s">
        <v>410</v>
      </c>
      <c r="L1678" s="441" t="s">
        <v>410</v>
      </c>
      <c r="M1678" s="441" t="s">
        <v>410</v>
      </c>
      <c r="N1678" s="441" t="s">
        <v>410</v>
      </c>
      <c r="O1678" s="441" t="s">
        <v>410</v>
      </c>
      <c r="P1678" s="441" t="s">
        <v>410</v>
      </c>
      <c r="Q1678" s="441" t="s">
        <v>410</v>
      </c>
      <c r="R1678" s="441" t="s">
        <v>410</v>
      </c>
      <c r="S1678" s="441" t="s">
        <v>410</v>
      </c>
      <c r="T1678" s="441" t="s">
        <v>410</v>
      </c>
    </row>
    <row r="1679" spans="1:20" hidden="1" outlineLevel="1" x14ac:dyDescent="0.3">
      <c r="A1679" s="583" t="s">
        <v>5055</v>
      </c>
      <c r="B1679" s="591">
        <v>1</v>
      </c>
      <c r="C1679" s="588" t="s">
        <v>1256</v>
      </c>
      <c r="D1679" s="588" t="s">
        <v>1476</v>
      </c>
      <c r="E1679" s="593" t="s">
        <v>410</v>
      </c>
      <c r="F1679" s="590" t="s">
        <v>67</v>
      </c>
      <c r="G1679" s="590" t="s">
        <v>68</v>
      </c>
      <c r="H1679" s="590" t="s">
        <v>70</v>
      </c>
      <c r="I1679" s="590" t="s">
        <v>72</v>
      </c>
      <c r="J1679" s="590" t="s">
        <v>74</v>
      </c>
      <c r="K1679" s="441" t="s">
        <v>410</v>
      </c>
      <c r="L1679" s="441" t="s">
        <v>410</v>
      </c>
      <c r="M1679" s="441" t="s">
        <v>410</v>
      </c>
      <c r="N1679" s="441" t="s">
        <v>410</v>
      </c>
      <c r="O1679" s="441" t="s">
        <v>410</v>
      </c>
      <c r="P1679" s="441" t="s">
        <v>410</v>
      </c>
      <c r="Q1679" s="441" t="s">
        <v>410</v>
      </c>
      <c r="R1679" s="441" t="s">
        <v>410</v>
      </c>
      <c r="S1679" s="441" t="s">
        <v>410</v>
      </c>
      <c r="T1679" s="441" t="s">
        <v>410</v>
      </c>
    </row>
    <row r="1680" spans="1:20" hidden="1" outlineLevel="1" x14ac:dyDescent="0.3">
      <c r="A1680" s="583" t="s">
        <v>1662</v>
      </c>
      <c r="B1680" s="591">
        <v>1</v>
      </c>
      <c r="C1680" s="583" t="s">
        <v>1256</v>
      </c>
      <c r="D1680" s="583" t="s">
        <v>1476</v>
      </c>
      <c r="E1680" s="592" t="s">
        <v>410</v>
      </c>
      <c r="F1680" s="593" t="s">
        <v>5577</v>
      </c>
      <c r="G1680" s="593" t="s">
        <v>5578</v>
      </c>
      <c r="H1680" s="593" t="s">
        <v>5579</v>
      </c>
      <c r="I1680" s="593" t="s">
        <v>5684</v>
      </c>
      <c r="J1680" s="593" t="s">
        <v>5580</v>
      </c>
      <c r="K1680" s="593" t="s">
        <v>5685</v>
      </c>
      <c r="L1680" s="237" t="s">
        <v>410</v>
      </c>
      <c r="M1680" s="237" t="s">
        <v>410</v>
      </c>
      <c r="N1680" s="237" t="s">
        <v>410</v>
      </c>
      <c r="O1680" s="237" t="s">
        <v>410</v>
      </c>
      <c r="P1680" s="237" t="s">
        <v>410</v>
      </c>
      <c r="Q1680" s="237" t="s">
        <v>410</v>
      </c>
      <c r="R1680" s="237" t="s">
        <v>410</v>
      </c>
      <c r="S1680" s="10" t="s">
        <v>410</v>
      </c>
      <c r="T1680" s="10" t="s">
        <v>410</v>
      </c>
    </row>
    <row r="1681" spans="1:20" hidden="1" outlineLevel="1" x14ac:dyDescent="0.3">
      <c r="A1681" s="583" t="s">
        <v>5056</v>
      </c>
      <c r="B1681" s="591">
        <v>1</v>
      </c>
      <c r="C1681" s="583" t="s">
        <v>1256</v>
      </c>
      <c r="D1681" s="583" t="s">
        <v>1476</v>
      </c>
      <c r="E1681" s="592" t="s">
        <v>410</v>
      </c>
      <c r="F1681" s="593" t="s">
        <v>67</v>
      </c>
      <c r="G1681" s="593" t="s">
        <v>68</v>
      </c>
      <c r="H1681" s="593" t="s">
        <v>70</v>
      </c>
      <c r="I1681" s="593" t="s">
        <v>72</v>
      </c>
      <c r="J1681" s="910" t="s">
        <v>410</v>
      </c>
      <c r="K1681" s="237" t="s">
        <v>410</v>
      </c>
      <c r="L1681" s="237" t="s">
        <v>410</v>
      </c>
      <c r="M1681" s="237" t="s">
        <v>410</v>
      </c>
      <c r="N1681" s="237" t="s">
        <v>410</v>
      </c>
      <c r="O1681" s="237" t="s">
        <v>410</v>
      </c>
      <c r="P1681" s="237" t="s">
        <v>410</v>
      </c>
      <c r="Q1681" s="237" t="s">
        <v>410</v>
      </c>
      <c r="R1681" s="237" t="s">
        <v>410</v>
      </c>
      <c r="S1681" s="10" t="s">
        <v>410</v>
      </c>
      <c r="T1681" s="10" t="s">
        <v>410</v>
      </c>
    </row>
    <row r="1682" spans="1:20" hidden="1" outlineLevel="1" x14ac:dyDescent="0.3">
      <c r="A1682" s="583" t="s">
        <v>1767</v>
      </c>
      <c r="B1682" s="591">
        <v>1</v>
      </c>
      <c r="C1682" s="583" t="s">
        <v>1256</v>
      </c>
      <c r="D1682" s="583" t="s">
        <v>1476</v>
      </c>
      <c r="E1682" s="593" t="s">
        <v>3250</v>
      </c>
      <c r="F1682" s="593" t="s">
        <v>3251</v>
      </c>
      <c r="G1682" s="593" t="s">
        <v>3252</v>
      </c>
      <c r="H1682" s="593" t="s">
        <v>3253</v>
      </c>
      <c r="I1682" s="593" t="s">
        <v>3254</v>
      </c>
      <c r="J1682" s="910" t="s">
        <v>410</v>
      </c>
      <c r="K1682" s="237" t="s">
        <v>410</v>
      </c>
      <c r="L1682" s="237" t="s">
        <v>410</v>
      </c>
      <c r="M1682" s="237" t="s">
        <v>410</v>
      </c>
      <c r="N1682" s="237" t="s">
        <v>410</v>
      </c>
      <c r="O1682" s="237" t="s">
        <v>410</v>
      </c>
      <c r="P1682" s="237" t="s">
        <v>410</v>
      </c>
      <c r="Q1682" s="237" t="s">
        <v>410</v>
      </c>
      <c r="R1682" s="237" t="s">
        <v>410</v>
      </c>
      <c r="S1682" s="10" t="s">
        <v>410</v>
      </c>
      <c r="T1682" s="10" t="s">
        <v>410</v>
      </c>
    </row>
    <row r="1683" spans="1:20" hidden="1" outlineLevel="1" x14ac:dyDescent="0.3">
      <c r="A1683" s="583" t="s">
        <v>1769</v>
      </c>
      <c r="B1683" s="591">
        <v>1</v>
      </c>
      <c r="C1683" s="583" t="s">
        <v>1256</v>
      </c>
      <c r="D1683" s="583" t="s">
        <v>1476</v>
      </c>
      <c r="E1683" s="592" t="s">
        <v>410</v>
      </c>
      <c r="F1683" s="592" t="s">
        <v>5026</v>
      </c>
      <c r="G1683" s="237" t="s">
        <v>410</v>
      </c>
      <c r="H1683" s="237" t="s">
        <v>410</v>
      </c>
      <c r="I1683" s="237" t="s">
        <v>410</v>
      </c>
      <c r="J1683" s="237" t="s">
        <v>410</v>
      </c>
      <c r="K1683" s="237" t="s">
        <v>410</v>
      </c>
      <c r="L1683" s="237" t="s">
        <v>410</v>
      </c>
      <c r="M1683" s="237" t="s">
        <v>410</v>
      </c>
      <c r="N1683" s="237" t="s">
        <v>410</v>
      </c>
      <c r="O1683" s="237" t="s">
        <v>410</v>
      </c>
      <c r="P1683" s="237" t="s">
        <v>410</v>
      </c>
      <c r="Q1683" s="237" t="s">
        <v>410</v>
      </c>
      <c r="R1683" s="237" t="s">
        <v>410</v>
      </c>
      <c r="S1683" s="10" t="s">
        <v>410</v>
      </c>
      <c r="T1683" s="10" t="s">
        <v>410</v>
      </c>
    </row>
    <row r="1684" spans="1:20" hidden="1" outlineLevel="1" x14ac:dyDescent="0.3">
      <c r="A1684" s="583" t="s">
        <v>5100</v>
      </c>
      <c r="B1684" s="591">
        <v>1</v>
      </c>
      <c r="C1684" s="583" t="s">
        <v>1256</v>
      </c>
      <c r="D1684" s="583" t="s">
        <v>1476</v>
      </c>
      <c r="E1684" s="592" t="s">
        <v>410</v>
      </c>
      <c r="F1684" s="592" t="s">
        <v>5040</v>
      </c>
      <c r="G1684" s="237" t="s">
        <v>410</v>
      </c>
      <c r="H1684" s="237" t="s">
        <v>410</v>
      </c>
      <c r="I1684" s="237" t="s">
        <v>410</v>
      </c>
      <c r="J1684" s="237" t="s">
        <v>410</v>
      </c>
      <c r="K1684" s="237" t="s">
        <v>410</v>
      </c>
      <c r="L1684" s="237" t="s">
        <v>410</v>
      </c>
      <c r="M1684" s="237" t="s">
        <v>410</v>
      </c>
      <c r="N1684" s="237" t="s">
        <v>410</v>
      </c>
      <c r="O1684" s="237" t="s">
        <v>410</v>
      </c>
      <c r="P1684" s="237" t="s">
        <v>410</v>
      </c>
      <c r="Q1684" s="237" t="s">
        <v>410</v>
      </c>
      <c r="R1684" s="237" t="s">
        <v>410</v>
      </c>
      <c r="S1684" s="10" t="s">
        <v>410</v>
      </c>
      <c r="T1684" s="10" t="s">
        <v>410</v>
      </c>
    </row>
    <row r="1685" spans="1:20" hidden="1" outlineLevel="1" x14ac:dyDescent="0.3">
      <c r="A1685" s="583" t="s">
        <v>1898</v>
      </c>
      <c r="B1685" s="591">
        <v>1</v>
      </c>
      <c r="C1685" s="583" t="s">
        <v>1256</v>
      </c>
      <c r="D1685" s="583" t="s">
        <v>1476</v>
      </c>
      <c r="E1685" s="592" t="s">
        <v>410</v>
      </c>
      <c r="F1685" s="593" t="s">
        <v>1839</v>
      </c>
      <c r="G1685" s="593" t="s">
        <v>1847</v>
      </c>
      <c r="H1685" s="593" t="s">
        <v>2960</v>
      </c>
      <c r="I1685" s="593" t="s">
        <v>1899</v>
      </c>
      <c r="J1685" s="237" t="s">
        <v>410</v>
      </c>
      <c r="K1685" s="237" t="s">
        <v>410</v>
      </c>
      <c r="L1685" s="237" t="s">
        <v>410</v>
      </c>
      <c r="M1685" s="237" t="s">
        <v>410</v>
      </c>
      <c r="N1685" s="237" t="s">
        <v>410</v>
      </c>
      <c r="O1685" s="237" t="s">
        <v>410</v>
      </c>
      <c r="P1685" s="237" t="s">
        <v>410</v>
      </c>
      <c r="Q1685" s="237" t="s">
        <v>410</v>
      </c>
      <c r="R1685" s="237" t="s">
        <v>410</v>
      </c>
      <c r="S1685" s="10" t="s">
        <v>410</v>
      </c>
      <c r="T1685" s="10" t="s">
        <v>410</v>
      </c>
    </row>
    <row r="1686" spans="1:20" hidden="1" outlineLevel="1" x14ac:dyDescent="0.3">
      <c r="A1686" s="583" t="s">
        <v>5057</v>
      </c>
      <c r="B1686" s="591">
        <v>1</v>
      </c>
      <c r="C1686" s="583" t="s">
        <v>1256</v>
      </c>
      <c r="D1686" s="583" t="s">
        <v>1476</v>
      </c>
      <c r="E1686" s="592" t="s">
        <v>410</v>
      </c>
      <c r="F1686" s="593" t="s">
        <v>5027</v>
      </c>
      <c r="G1686" s="237" t="s">
        <v>410</v>
      </c>
      <c r="H1686" s="237" t="s">
        <v>410</v>
      </c>
      <c r="I1686" s="237" t="s">
        <v>410</v>
      </c>
      <c r="J1686" s="237" t="s">
        <v>410</v>
      </c>
      <c r="K1686" s="237" t="s">
        <v>410</v>
      </c>
      <c r="L1686" s="237" t="s">
        <v>410</v>
      </c>
      <c r="M1686" s="237" t="s">
        <v>410</v>
      </c>
      <c r="N1686" s="237" t="s">
        <v>410</v>
      </c>
      <c r="O1686" s="237" t="s">
        <v>410</v>
      </c>
      <c r="P1686" s="237" t="s">
        <v>410</v>
      </c>
      <c r="Q1686" s="237" t="s">
        <v>410</v>
      </c>
      <c r="R1686" s="237" t="s">
        <v>410</v>
      </c>
      <c r="S1686" s="10" t="s">
        <v>410</v>
      </c>
      <c r="T1686" s="10" t="s">
        <v>410</v>
      </c>
    </row>
    <row r="1687" spans="1:20" hidden="1" outlineLevel="1" x14ac:dyDescent="0.3">
      <c r="A1687" s="583" t="s">
        <v>5124</v>
      </c>
      <c r="B1687" s="591">
        <v>1</v>
      </c>
      <c r="C1687" s="583" t="s">
        <v>1256</v>
      </c>
      <c r="D1687" s="583" t="s">
        <v>1476</v>
      </c>
      <c r="E1687" s="592" t="s">
        <v>410</v>
      </c>
      <c r="F1687" s="593" t="s">
        <v>2176</v>
      </c>
      <c r="G1687" s="237" t="s">
        <v>410</v>
      </c>
      <c r="H1687" s="237" t="s">
        <v>410</v>
      </c>
      <c r="I1687" s="237" t="s">
        <v>410</v>
      </c>
      <c r="J1687" s="237" t="s">
        <v>410</v>
      </c>
      <c r="K1687" s="237" t="s">
        <v>410</v>
      </c>
      <c r="L1687" s="237" t="s">
        <v>410</v>
      </c>
      <c r="M1687" s="237" t="s">
        <v>410</v>
      </c>
      <c r="N1687" s="237" t="s">
        <v>410</v>
      </c>
      <c r="O1687" s="237" t="s">
        <v>410</v>
      </c>
      <c r="P1687" s="237" t="s">
        <v>410</v>
      </c>
      <c r="Q1687" s="237" t="s">
        <v>410</v>
      </c>
      <c r="R1687" s="237" t="s">
        <v>410</v>
      </c>
      <c r="S1687" s="10" t="s">
        <v>410</v>
      </c>
      <c r="T1687" s="10" t="s">
        <v>410</v>
      </c>
    </row>
    <row r="1688" spans="1:20" hidden="1" outlineLevel="1" x14ac:dyDescent="0.3">
      <c r="A1688" s="583" t="s">
        <v>1955</v>
      </c>
      <c r="B1688" s="591">
        <v>1</v>
      </c>
      <c r="C1688" s="583" t="s">
        <v>1256</v>
      </c>
      <c r="D1688" s="583" t="s">
        <v>1476</v>
      </c>
      <c r="E1688" s="593" t="s">
        <v>410</v>
      </c>
      <c r="F1688" s="593" t="s">
        <v>2288</v>
      </c>
      <c r="G1688" s="593" t="s">
        <v>2289</v>
      </c>
      <c r="H1688" s="593" t="s">
        <v>2290</v>
      </c>
      <c r="I1688" s="593" t="s">
        <v>2291</v>
      </c>
      <c r="J1688" s="593" t="s">
        <v>2292</v>
      </c>
      <c r="K1688" s="593" t="s">
        <v>2293</v>
      </c>
      <c r="L1688" s="237" t="s">
        <v>410</v>
      </c>
      <c r="M1688" s="237" t="s">
        <v>410</v>
      </c>
      <c r="N1688" s="237" t="s">
        <v>410</v>
      </c>
      <c r="O1688" s="237" t="s">
        <v>410</v>
      </c>
      <c r="P1688" s="237" t="s">
        <v>410</v>
      </c>
      <c r="Q1688" s="237" t="s">
        <v>410</v>
      </c>
      <c r="R1688" s="237" t="s">
        <v>410</v>
      </c>
      <c r="S1688" s="237" t="s">
        <v>410</v>
      </c>
      <c r="T1688" s="237" t="s">
        <v>410</v>
      </c>
    </row>
    <row r="1689" spans="1:20" hidden="1" outlineLevel="1" x14ac:dyDescent="0.3">
      <c r="A1689" s="583" t="s">
        <v>5058</v>
      </c>
      <c r="B1689" s="591">
        <v>1</v>
      </c>
      <c r="C1689" s="583" t="s">
        <v>1256</v>
      </c>
      <c r="D1689" s="583" t="s">
        <v>1476</v>
      </c>
      <c r="E1689" s="593" t="s">
        <v>410</v>
      </c>
      <c r="F1689" s="593" t="s">
        <v>67</v>
      </c>
      <c r="G1689" s="593" t="s">
        <v>68</v>
      </c>
      <c r="H1689" s="593" t="s">
        <v>70</v>
      </c>
      <c r="I1689" s="593" t="s">
        <v>72</v>
      </c>
      <c r="J1689" s="593" t="s">
        <v>74</v>
      </c>
      <c r="K1689" s="237" t="s">
        <v>410</v>
      </c>
      <c r="L1689" s="237" t="s">
        <v>410</v>
      </c>
      <c r="M1689" s="237" t="s">
        <v>410</v>
      </c>
      <c r="N1689" s="237" t="s">
        <v>410</v>
      </c>
      <c r="O1689" s="237" t="s">
        <v>410</v>
      </c>
      <c r="P1689" s="237" t="s">
        <v>410</v>
      </c>
      <c r="Q1689" s="237" t="s">
        <v>410</v>
      </c>
      <c r="R1689" s="237" t="s">
        <v>410</v>
      </c>
      <c r="S1689" s="237" t="s">
        <v>410</v>
      </c>
      <c r="T1689" s="237" t="s">
        <v>410</v>
      </c>
    </row>
    <row r="1690" spans="1:20" hidden="1" outlineLevel="1" x14ac:dyDescent="0.3">
      <c r="A1690" s="583" t="s">
        <v>1982</v>
      </c>
      <c r="B1690" s="591">
        <v>1</v>
      </c>
      <c r="C1690" s="583" t="s">
        <v>1256</v>
      </c>
      <c r="D1690" s="583" t="s">
        <v>1476</v>
      </c>
      <c r="E1690" s="593" t="s">
        <v>410</v>
      </c>
      <c r="F1690" s="593" t="s">
        <v>4343</v>
      </c>
      <c r="G1690" s="593" t="s">
        <v>4344</v>
      </c>
      <c r="H1690" s="593" t="s">
        <v>4345</v>
      </c>
      <c r="I1690" s="593" t="s">
        <v>4346</v>
      </c>
      <c r="J1690" s="593" t="s">
        <v>4347</v>
      </c>
      <c r="K1690" s="593" t="s">
        <v>4348</v>
      </c>
      <c r="L1690" s="237" t="s">
        <v>410</v>
      </c>
      <c r="M1690" s="237" t="s">
        <v>410</v>
      </c>
      <c r="N1690" s="237" t="s">
        <v>410</v>
      </c>
      <c r="O1690" s="237" t="s">
        <v>410</v>
      </c>
      <c r="P1690" s="237" t="s">
        <v>410</v>
      </c>
      <c r="Q1690" s="237" t="s">
        <v>410</v>
      </c>
      <c r="R1690" s="237" t="s">
        <v>410</v>
      </c>
      <c r="S1690" s="237" t="s">
        <v>410</v>
      </c>
      <c r="T1690" s="237" t="s">
        <v>410</v>
      </c>
    </row>
    <row r="1691" spans="1:20" hidden="1" outlineLevel="1" x14ac:dyDescent="0.3">
      <c r="A1691" s="583" t="s">
        <v>5059</v>
      </c>
      <c r="B1691" s="591">
        <v>1</v>
      </c>
      <c r="C1691" s="588" t="s">
        <v>1256</v>
      </c>
      <c r="D1691" s="588" t="s">
        <v>1476</v>
      </c>
      <c r="E1691" s="592" t="s">
        <v>410</v>
      </c>
      <c r="F1691" s="592" t="s">
        <v>5028</v>
      </c>
      <c r="G1691" s="592" t="s">
        <v>5029</v>
      </c>
      <c r="H1691" s="592" t="s">
        <v>5030</v>
      </c>
      <c r="I1691" s="592" t="s">
        <v>5031</v>
      </c>
      <c r="J1691" s="592" t="s">
        <v>5032</v>
      </c>
      <c r="K1691" s="441" t="s">
        <v>410</v>
      </c>
      <c r="L1691" s="441" t="s">
        <v>410</v>
      </c>
      <c r="M1691" s="441" t="s">
        <v>410</v>
      </c>
      <c r="N1691" s="441" t="s">
        <v>410</v>
      </c>
      <c r="O1691" s="441" t="s">
        <v>410</v>
      </c>
      <c r="P1691" s="441" t="s">
        <v>410</v>
      </c>
      <c r="Q1691" s="441" t="s">
        <v>410</v>
      </c>
      <c r="R1691" s="441" t="s">
        <v>410</v>
      </c>
      <c r="S1691" s="441" t="s">
        <v>410</v>
      </c>
      <c r="T1691" s="441" t="s">
        <v>410</v>
      </c>
    </row>
    <row r="1692" spans="1:20" hidden="1" outlineLevel="1" x14ac:dyDescent="0.3">
      <c r="A1692" s="583" t="s">
        <v>5486</v>
      </c>
      <c r="B1692" s="591">
        <v>2</v>
      </c>
      <c r="C1692" s="583" t="s">
        <v>1256</v>
      </c>
      <c r="D1692" s="583" t="s">
        <v>1476</v>
      </c>
      <c r="E1692" s="592" t="s">
        <v>410</v>
      </c>
      <c r="F1692" s="593" t="s">
        <v>5492</v>
      </c>
      <c r="G1692" s="593" t="s">
        <v>5493</v>
      </c>
      <c r="H1692" s="593" t="s">
        <v>5494</v>
      </c>
      <c r="I1692" s="593" t="s">
        <v>5490</v>
      </c>
      <c r="J1692" s="593" t="s">
        <v>5491</v>
      </c>
      <c r="K1692" s="237" t="s">
        <v>410</v>
      </c>
      <c r="L1692" s="237" t="s">
        <v>410</v>
      </c>
      <c r="M1692" s="237" t="s">
        <v>410</v>
      </c>
      <c r="N1692" s="237" t="s">
        <v>410</v>
      </c>
      <c r="O1692" s="237" t="s">
        <v>410</v>
      </c>
      <c r="P1692" s="237" t="s">
        <v>410</v>
      </c>
      <c r="Q1692" s="237" t="s">
        <v>410</v>
      </c>
      <c r="R1692" s="237" t="s">
        <v>410</v>
      </c>
      <c r="S1692" s="10" t="s">
        <v>410</v>
      </c>
      <c r="T1692" s="10" t="s">
        <v>410</v>
      </c>
    </row>
    <row r="1693" spans="1:20" hidden="1" outlineLevel="1" x14ac:dyDescent="0.3">
      <c r="A1693" s="583" t="s">
        <v>1945</v>
      </c>
      <c r="B1693" s="591">
        <v>2</v>
      </c>
      <c r="C1693" s="583" t="s">
        <v>1256</v>
      </c>
      <c r="D1693" s="583" t="s">
        <v>1476</v>
      </c>
      <c r="E1693" s="593" t="s">
        <v>410</v>
      </c>
      <c r="F1693" s="593" t="s">
        <v>3243</v>
      </c>
      <c r="G1693" s="593" t="s">
        <v>4027</v>
      </c>
      <c r="H1693" s="593" t="s">
        <v>4028</v>
      </c>
      <c r="I1693" s="593" t="s">
        <v>4029</v>
      </c>
      <c r="J1693" s="593" t="s">
        <v>4030</v>
      </c>
      <c r="K1693" s="593" t="s">
        <v>4031</v>
      </c>
      <c r="L1693" s="593" t="s">
        <v>410</v>
      </c>
      <c r="M1693" s="593" t="s">
        <v>410</v>
      </c>
      <c r="N1693" s="237" t="s">
        <v>410</v>
      </c>
      <c r="O1693" s="237" t="s">
        <v>410</v>
      </c>
      <c r="P1693" s="237" t="s">
        <v>410</v>
      </c>
      <c r="Q1693" s="237" t="s">
        <v>410</v>
      </c>
      <c r="R1693" s="237" t="s">
        <v>410</v>
      </c>
      <c r="S1693" s="237" t="s">
        <v>410</v>
      </c>
      <c r="T1693" s="237" t="s">
        <v>410</v>
      </c>
    </row>
    <row r="1694" spans="1:20" hidden="1" outlineLevel="1" x14ac:dyDescent="0.3">
      <c r="A1694" s="583" t="s">
        <v>1852</v>
      </c>
      <c r="B1694" s="591">
        <v>5</v>
      </c>
      <c r="C1694" s="583" t="s">
        <v>1256</v>
      </c>
      <c r="D1694" s="583" t="s">
        <v>1476</v>
      </c>
      <c r="E1694" s="592" t="s">
        <v>410</v>
      </c>
      <c r="F1694" s="593" t="s">
        <v>3230</v>
      </c>
      <c r="G1694" s="593" t="s">
        <v>3231</v>
      </c>
      <c r="H1694" s="593" t="s">
        <v>3232</v>
      </c>
      <c r="I1694" s="593" t="s">
        <v>3233</v>
      </c>
      <c r="J1694" s="593" t="s">
        <v>3234</v>
      </c>
      <c r="K1694" s="237" t="s">
        <v>410</v>
      </c>
      <c r="L1694" s="237" t="s">
        <v>410</v>
      </c>
      <c r="M1694" s="237" t="s">
        <v>410</v>
      </c>
      <c r="N1694" s="237" t="s">
        <v>410</v>
      </c>
      <c r="O1694" s="237" t="s">
        <v>410</v>
      </c>
      <c r="P1694" s="237" t="s">
        <v>410</v>
      </c>
      <c r="Q1694" s="237" t="s">
        <v>410</v>
      </c>
      <c r="R1694" s="237" t="s">
        <v>410</v>
      </c>
      <c r="S1694" s="10" t="s">
        <v>410</v>
      </c>
      <c r="T1694" s="10" t="s">
        <v>410</v>
      </c>
    </row>
    <row r="1695" spans="1:20" hidden="1" outlineLevel="1" x14ac:dyDescent="0.3">
      <c r="A1695" s="583" t="s">
        <v>1462</v>
      </c>
      <c r="B1695" s="591">
        <v>6</v>
      </c>
      <c r="C1695" s="588" t="s">
        <v>1256</v>
      </c>
      <c r="D1695" s="588" t="s">
        <v>1476</v>
      </c>
      <c r="E1695" s="589" t="s">
        <v>410</v>
      </c>
      <c r="F1695" s="590" t="s">
        <v>67</v>
      </c>
      <c r="G1695" s="590" t="s">
        <v>68</v>
      </c>
      <c r="H1695" s="590" t="s">
        <v>70</v>
      </c>
      <c r="I1695" s="590" t="s">
        <v>72</v>
      </c>
      <c r="J1695" s="441" t="s">
        <v>410</v>
      </c>
      <c r="K1695" s="441" t="s">
        <v>410</v>
      </c>
      <c r="L1695" s="441" t="s">
        <v>410</v>
      </c>
      <c r="M1695" s="441" t="s">
        <v>410</v>
      </c>
      <c r="N1695" s="441" t="s">
        <v>410</v>
      </c>
      <c r="O1695" s="441" t="s">
        <v>410</v>
      </c>
      <c r="P1695" s="441" t="s">
        <v>410</v>
      </c>
      <c r="Q1695" s="441" t="s">
        <v>410</v>
      </c>
      <c r="R1695" s="441" t="s">
        <v>410</v>
      </c>
      <c r="S1695" s="441" t="s">
        <v>410</v>
      </c>
      <c r="T1695" s="441" t="s">
        <v>410</v>
      </c>
    </row>
    <row r="1696" spans="1:20" hidden="1" outlineLevel="1" x14ac:dyDescent="0.3">
      <c r="A1696" s="583" t="s">
        <v>1504</v>
      </c>
      <c r="B1696" s="591">
        <v>6</v>
      </c>
      <c r="C1696" s="588" t="s">
        <v>1256</v>
      </c>
      <c r="D1696" s="588" t="s">
        <v>1476</v>
      </c>
      <c r="E1696" s="589" t="s">
        <v>410</v>
      </c>
      <c r="F1696" s="590" t="s">
        <v>3216</v>
      </c>
      <c r="G1696" s="590" t="s">
        <v>3217</v>
      </c>
      <c r="H1696" s="590" t="s">
        <v>3218</v>
      </c>
      <c r="I1696" s="589" t="s">
        <v>410</v>
      </c>
      <c r="J1696" s="441" t="s">
        <v>410</v>
      </c>
      <c r="K1696" s="441" t="s">
        <v>410</v>
      </c>
      <c r="L1696" s="441" t="s">
        <v>410</v>
      </c>
      <c r="M1696" s="441" t="s">
        <v>410</v>
      </c>
      <c r="N1696" s="441" t="s">
        <v>410</v>
      </c>
      <c r="O1696" s="441" t="s">
        <v>410</v>
      </c>
      <c r="P1696" s="441" t="s">
        <v>410</v>
      </c>
      <c r="Q1696" s="441" t="s">
        <v>410</v>
      </c>
      <c r="R1696" s="441" t="s">
        <v>410</v>
      </c>
      <c r="S1696" s="441" t="s">
        <v>410</v>
      </c>
      <c r="T1696" s="441" t="s">
        <v>410</v>
      </c>
    </row>
    <row r="1697" spans="1:20" hidden="1" outlineLevel="1" x14ac:dyDescent="0.3">
      <c r="A1697" s="583" t="s">
        <v>1624</v>
      </c>
      <c r="B1697" s="591">
        <v>6</v>
      </c>
      <c r="C1697" s="588" t="s">
        <v>1256</v>
      </c>
      <c r="D1697" s="588" t="s">
        <v>1476</v>
      </c>
      <c r="E1697" s="592" t="s">
        <v>410</v>
      </c>
      <c r="F1697" s="593" t="s">
        <v>67</v>
      </c>
      <c r="G1697" s="593" t="s">
        <v>68</v>
      </c>
      <c r="H1697" s="593" t="s">
        <v>70</v>
      </c>
      <c r="I1697" s="441" t="s">
        <v>410</v>
      </c>
      <c r="J1697" s="441" t="s">
        <v>410</v>
      </c>
      <c r="K1697" s="441" t="s">
        <v>410</v>
      </c>
      <c r="L1697" s="441" t="s">
        <v>410</v>
      </c>
      <c r="M1697" s="441" t="s">
        <v>410</v>
      </c>
      <c r="N1697" s="441" t="s">
        <v>410</v>
      </c>
      <c r="O1697" s="441" t="s">
        <v>410</v>
      </c>
      <c r="P1697" s="441" t="s">
        <v>410</v>
      </c>
      <c r="Q1697" s="441" t="s">
        <v>410</v>
      </c>
      <c r="R1697" s="441" t="s">
        <v>410</v>
      </c>
      <c r="S1697" s="441" t="s">
        <v>410</v>
      </c>
      <c r="T1697" s="441" t="s">
        <v>410</v>
      </c>
    </row>
    <row r="1698" spans="1:20" hidden="1" outlineLevel="1" x14ac:dyDescent="0.3">
      <c r="A1698" s="583" t="s">
        <v>1723</v>
      </c>
      <c r="B1698" s="591">
        <v>6</v>
      </c>
      <c r="C1698" s="583" t="s">
        <v>1256</v>
      </c>
      <c r="D1698" s="583" t="s">
        <v>1476</v>
      </c>
      <c r="E1698" s="592" t="s">
        <v>410</v>
      </c>
      <c r="F1698" s="593" t="s">
        <v>68</v>
      </c>
      <c r="G1698" s="593" t="s">
        <v>74</v>
      </c>
      <c r="H1698" s="593" t="s">
        <v>1823</v>
      </c>
      <c r="I1698" s="593" t="s">
        <v>410</v>
      </c>
      <c r="J1698" s="593" t="s">
        <v>410</v>
      </c>
      <c r="K1698" s="237" t="s">
        <v>410</v>
      </c>
      <c r="L1698" s="237" t="s">
        <v>410</v>
      </c>
      <c r="M1698" s="237" t="s">
        <v>410</v>
      </c>
      <c r="N1698" s="237" t="s">
        <v>410</v>
      </c>
      <c r="O1698" s="237" t="s">
        <v>410</v>
      </c>
      <c r="P1698" s="237" t="s">
        <v>410</v>
      </c>
      <c r="Q1698" s="237" t="s">
        <v>410</v>
      </c>
      <c r="R1698" s="237" t="s">
        <v>410</v>
      </c>
      <c r="S1698" s="10" t="s">
        <v>410</v>
      </c>
      <c r="T1698" s="10" t="s">
        <v>410</v>
      </c>
    </row>
    <row r="1699" spans="1:20" hidden="1" outlineLevel="1" x14ac:dyDescent="0.3">
      <c r="A1699" s="583" t="s">
        <v>3268</v>
      </c>
      <c r="B1699" s="591">
        <v>6</v>
      </c>
      <c r="C1699" s="583" t="s">
        <v>1256</v>
      </c>
      <c r="D1699" s="583" t="s">
        <v>1476</v>
      </c>
      <c r="E1699" s="592" t="s">
        <v>410</v>
      </c>
      <c r="F1699" s="593" t="s">
        <v>3126</v>
      </c>
      <c r="G1699" s="593" t="s">
        <v>3127</v>
      </c>
      <c r="H1699" s="593" t="s">
        <v>3128</v>
      </c>
      <c r="I1699" s="593" t="s">
        <v>3129</v>
      </c>
      <c r="J1699" s="593" t="s">
        <v>3130</v>
      </c>
      <c r="K1699" s="237" t="s">
        <v>410</v>
      </c>
      <c r="L1699" s="237" t="s">
        <v>410</v>
      </c>
      <c r="M1699" s="237" t="s">
        <v>410</v>
      </c>
      <c r="N1699" s="237" t="s">
        <v>410</v>
      </c>
      <c r="O1699" s="237" t="s">
        <v>410</v>
      </c>
      <c r="P1699" s="237" t="s">
        <v>410</v>
      </c>
      <c r="Q1699" s="237" t="s">
        <v>410</v>
      </c>
      <c r="R1699" s="237" t="s">
        <v>410</v>
      </c>
      <c r="S1699" s="10" t="s">
        <v>410</v>
      </c>
      <c r="T1699" s="10" t="s">
        <v>410</v>
      </c>
    </row>
    <row r="1700" spans="1:20" hidden="1" outlineLevel="1" x14ac:dyDescent="0.3">
      <c r="A1700" s="583" t="s">
        <v>1850</v>
      </c>
      <c r="B1700" s="591">
        <v>6</v>
      </c>
      <c r="C1700" s="583" t="s">
        <v>1256</v>
      </c>
      <c r="D1700" s="583" t="s">
        <v>1476</v>
      </c>
      <c r="E1700" s="592" t="s">
        <v>410</v>
      </c>
      <c r="F1700" s="593" t="s">
        <v>3411</v>
      </c>
      <c r="G1700" s="593" t="s">
        <v>3412</v>
      </c>
      <c r="H1700" s="593" t="s">
        <v>3413</v>
      </c>
      <c r="I1700" s="593" t="s">
        <v>3414</v>
      </c>
      <c r="J1700" s="593" t="s">
        <v>3415</v>
      </c>
      <c r="K1700" s="593" t="s">
        <v>410</v>
      </c>
      <c r="L1700" s="237" t="s">
        <v>410</v>
      </c>
      <c r="M1700" s="237" t="s">
        <v>410</v>
      </c>
      <c r="N1700" s="237" t="s">
        <v>410</v>
      </c>
      <c r="O1700" s="237" t="s">
        <v>410</v>
      </c>
      <c r="P1700" s="237" t="s">
        <v>410</v>
      </c>
      <c r="Q1700" s="237" t="s">
        <v>410</v>
      </c>
      <c r="R1700" s="237" t="s">
        <v>410</v>
      </c>
      <c r="S1700" s="10" t="s">
        <v>410</v>
      </c>
      <c r="T1700" s="10" t="s">
        <v>410</v>
      </c>
    </row>
    <row r="1701" spans="1:20" hidden="1" outlineLevel="1" x14ac:dyDescent="0.3">
      <c r="A1701" s="583" t="s">
        <v>4033</v>
      </c>
      <c r="B1701" s="591">
        <v>6</v>
      </c>
      <c r="C1701" s="583" t="s">
        <v>1256</v>
      </c>
      <c r="D1701" s="583" t="s">
        <v>1476</v>
      </c>
      <c r="E1701" s="592" t="s">
        <v>410</v>
      </c>
      <c r="F1701" s="856" t="s">
        <v>91</v>
      </c>
      <c r="G1701" s="856" t="s">
        <v>92</v>
      </c>
      <c r="H1701" s="856" t="s">
        <v>100</v>
      </c>
      <c r="I1701" s="854">
        <v>6</v>
      </c>
      <c r="J1701" s="237" t="s">
        <v>410</v>
      </c>
      <c r="K1701" s="237" t="s">
        <v>410</v>
      </c>
      <c r="L1701" s="237" t="s">
        <v>410</v>
      </c>
      <c r="M1701" s="237" t="s">
        <v>410</v>
      </c>
      <c r="N1701" s="237" t="s">
        <v>410</v>
      </c>
      <c r="O1701" s="237" t="s">
        <v>410</v>
      </c>
      <c r="P1701" s="237" t="s">
        <v>410</v>
      </c>
      <c r="Q1701" s="237" t="s">
        <v>410</v>
      </c>
      <c r="R1701" s="237" t="s">
        <v>410</v>
      </c>
      <c r="S1701" s="10" t="s">
        <v>410</v>
      </c>
      <c r="T1701" s="10" t="s">
        <v>410</v>
      </c>
    </row>
    <row r="1702" spans="1:20" hidden="1" outlineLevel="1" x14ac:dyDescent="0.3">
      <c r="A1702" s="583" t="s">
        <v>5062</v>
      </c>
      <c r="B1702" s="591">
        <v>8</v>
      </c>
      <c r="C1702" s="588" t="s">
        <v>1256</v>
      </c>
      <c r="D1702" s="588" t="s">
        <v>1476</v>
      </c>
      <c r="E1702" s="589" t="s">
        <v>410</v>
      </c>
      <c r="F1702" s="590" t="s">
        <v>5034</v>
      </c>
      <c r="G1702" s="441" t="s">
        <v>410</v>
      </c>
      <c r="H1702" s="441" t="s">
        <v>410</v>
      </c>
      <c r="I1702" s="441" t="s">
        <v>410</v>
      </c>
      <c r="J1702" s="441" t="s">
        <v>410</v>
      </c>
      <c r="K1702" s="441" t="s">
        <v>410</v>
      </c>
      <c r="L1702" s="441" t="s">
        <v>410</v>
      </c>
      <c r="M1702" s="441" t="s">
        <v>410</v>
      </c>
      <c r="N1702" s="441" t="s">
        <v>410</v>
      </c>
      <c r="O1702" s="441" t="s">
        <v>410</v>
      </c>
      <c r="P1702" s="441" t="s">
        <v>410</v>
      </c>
      <c r="Q1702" s="441" t="s">
        <v>410</v>
      </c>
      <c r="R1702" s="441" t="s">
        <v>410</v>
      </c>
      <c r="S1702" s="441" t="s">
        <v>410</v>
      </c>
      <c r="T1702" s="441" t="s">
        <v>410</v>
      </c>
    </row>
    <row r="1703" spans="1:20" hidden="1" outlineLevel="1" x14ac:dyDescent="0.3">
      <c r="A1703" s="583" t="s">
        <v>5146</v>
      </c>
      <c r="B1703" s="591">
        <v>8</v>
      </c>
      <c r="C1703" s="583" t="s">
        <v>1256</v>
      </c>
      <c r="D1703" s="583" t="s">
        <v>1476</v>
      </c>
      <c r="E1703" s="592" t="s">
        <v>410</v>
      </c>
      <c r="F1703" s="590" t="s">
        <v>5053</v>
      </c>
      <c r="G1703" s="441" t="s">
        <v>410</v>
      </c>
      <c r="H1703" s="441" t="s">
        <v>410</v>
      </c>
      <c r="I1703" s="441" t="s">
        <v>410</v>
      </c>
      <c r="J1703" s="441" t="s">
        <v>410</v>
      </c>
      <c r="K1703" s="441" t="s">
        <v>410</v>
      </c>
      <c r="L1703" s="441" t="s">
        <v>410</v>
      </c>
      <c r="M1703" s="441" t="s">
        <v>410</v>
      </c>
      <c r="N1703" s="441" t="s">
        <v>410</v>
      </c>
      <c r="O1703" s="441" t="s">
        <v>410</v>
      </c>
      <c r="P1703" s="441" t="s">
        <v>410</v>
      </c>
      <c r="Q1703" s="441" t="s">
        <v>410</v>
      </c>
      <c r="R1703" s="441" t="s">
        <v>410</v>
      </c>
      <c r="S1703" s="441" t="s">
        <v>410</v>
      </c>
      <c r="T1703" s="441" t="s">
        <v>410</v>
      </c>
    </row>
    <row r="1704" spans="1:20" hidden="1" outlineLevel="1" x14ac:dyDescent="0.3">
      <c r="A1704" s="583" t="s">
        <v>5063</v>
      </c>
      <c r="B1704" s="591">
        <v>8</v>
      </c>
      <c r="C1704" s="588" t="s">
        <v>1256</v>
      </c>
      <c r="D1704" s="588" t="s">
        <v>1476</v>
      </c>
      <c r="E1704" s="589" t="s">
        <v>410</v>
      </c>
      <c r="F1704" s="590" t="s">
        <v>68</v>
      </c>
      <c r="G1704" s="590" t="s">
        <v>72</v>
      </c>
      <c r="H1704" s="590" t="s">
        <v>5036</v>
      </c>
      <c r="I1704" s="590" t="s">
        <v>5037</v>
      </c>
      <c r="J1704" s="441" t="s">
        <v>410</v>
      </c>
      <c r="K1704" s="441" t="s">
        <v>410</v>
      </c>
      <c r="L1704" s="441" t="s">
        <v>410</v>
      </c>
      <c r="M1704" s="441" t="s">
        <v>410</v>
      </c>
      <c r="N1704" s="441" t="s">
        <v>410</v>
      </c>
      <c r="O1704" s="441" t="s">
        <v>410</v>
      </c>
      <c r="P1704" s="441" t="s">
        <v>410</v>
      </c>
      <c r="Q1704" s="441" t="s">
        <v>410</v>
      </c>
      <c r="R1704" s="441" t="s">
        <v>410</v>
      </c>
      <c r="S1704" s="441" t="s">
        <v>410</v>
      </c>
      <c r="T1704" s="441" t="s">
        <v>410</v>
      </c>
    </row>
    <row r="1705" spans="1:20" hidden="1" outlineLevel="1" x14ac:dyDescent="0.3">
      <c r="A1705" s="583" t="s">
        <v>5064</v>
      </c>
      <c r="B1705" s="591">
        <v>8</v>
      </c>
      <c r="C1705" s="583" t="s">
        <v>1256</v>
      </c>
      <c r="D1705" s="583" t="s">
        <v>1476</v>
      </c>
      <c r="E1705" s="592" t="s">
        <v>410</v>
      </c>
      <c r="F1705" s="590" t="s">
        <v>5038</v>
      </c>
      <c r="G1705" s="441" t="s">
        <v>410</v>
      </c>
      <c r="H1705" s="441" t="s">
        <v>410</v>
      </c>
      <c r="I1705" s="441" t="s">
        <v>410</v>
      </c>
      <c r="J1705" s="441" t="s">
        <v>410</v>
      </c>
      <c r="K1705" s="441" t="s">
        <v>410</v>
      </c>
      <c r="L1705" s="441" t="s">
        <v>410</v>
      </c>
      <c r="M1705" s="441" t="s">
        <v>410</v>
      </c>
      <c r="N1705" s="441" t="s">
        <v>410</v>
      </c>
      <c r="O1705" s="441" t="s">
        <v>410</v>
      </c>
      <c r="P1705" s="441" t="s">
        <v>410</v>
      </c>
      <c r="Q1705" s="441" t="s">
        <v>410</v>
      </c>
      <c r="R1705" s="441" t="s">
        <v>410</v>
      </c>
      <c r="S1705" s="441" t="s">
        <v>410</v>
      </c>
      <c r="T1705" s="441" t="s">
        <v>410</v>
      </c>
    </row>
    <row r="1706" spans="1:20" hidden="1" outlineLevel="1" x14ac:dyDescent="0.3">
      <c r="A1706" s="583" t="s">
        <v>5066</v>
      </c>
      <c r="B1706" s="591">
        <v>8</v>
      </c>
      <c r="C1706" s="583" t="s">
        <v>1256</v>
      </c>
      <c r="D1706" s="583" t="s">
        <v>1476</v>
      </c>
      <c r="E1706" s="592" t="s">
        <v>410</v>
      </c>
      <c r="F1706" s="590" t="s">
        <v>5040</v>
      </c>
      <c r="G1706" s="441" t="s">
        <v>410</v>
      </c>
      <c r="H1706" s="441" t="s">
        <v>410</v>
      </c>
      <c r="I1706" s="441" t="s">
        <v>410</v>
      </c>
      <c r="J1706" s="441" t="s">
        <v>410</v>
      </c>
      <c r="K1706" s="441" t="s">
        <v>410</v>
      </c>
      <c r="L1706" s="441" t="s">
        <v>410</v>
      </c>
      <c r="M1706" s="441" t="s">
        <v>410</v>
      </c>
      <c r="N1706" s="441" t="s">
        <v>410</v>
      </c>
      <c r="O1706" s="441" t="s">
        <v>410</v>
      </c>
      <c r="P1706" s="441" t="s">
        <v>410</v>
      </c>
      <c r="Q1706" s="441" t="s">
        <v>410</v>
      </c>
      <c r="R1706" s="441" t="s">
        <v>410</v>
      </c>
      <c r="S1706" s="441" t="s">
        <v>410</v>
      </c>
      <c r="T1706" s="441" t="s">
        <v>410</v>
      </c>
    </row>
    <row r="1707" spans="1:20" hidden="1" outlineLevel="1" x14ac:dyDescent="0.3">
      <c r="A1707" s="583" t="s">
        <v>5065</v>
      </c>
      <c r="B1707" s="591">
        <v>8</v>
      </c>
      <c r="C1707" s="588" t="s">
        <v>1256</v>
      </c>
      <c r="D1707" s="588" t="s">
        <v>1476</v>
      </c>
      <c r="E1707" s="589" t="s">
        <v>410</v>
      </c>
      <c r="F1707" s="590" t="s">
        <v>5108</v>
      </c>
      <c r="G1707" s="441" t="s">
        <v>410</v>
      </c>
      <c r="H1707" s="441" t="s">
        <v>410</v>
      </c>
      <c r="I1707" s="441" t="s">
        <v>410</v>
      </c>
      <c r="J1707" s="441" t="s">
        <v>410</v>
      </c>
      <c r="K1707" s="441" t="s">
        <v>410</v>
      </c>
      <c r="L1707" s="441" t="s">
        <v>410</v>
      </c>
      <c r="M1707" s="441" t="s">
        <v>410</v>
      </c>
      <c r="N1707" s="441" t="s">
        <v>410</v>
      </c>
      <c r="O1707" s="441" t="s">
        <v>410</v>
      </c>
      <c r="P1707" s="441" t="s">
        <v>410</v>
      </c>
      <c r="Q1707" s="441" t="s">
        <v>410</v>
      </c>
      <c r="R1707" s="441" t="s">
        <v>410</v>
      </c>
      <c r="S1707" s="441" t="s">
        <v>410</v>
      </c>
      <c r="T1707" s="441" t="s">
        <v>410</v>
      </c>
    </row>
    <row r="1708" spans="1:20" hidden="1" outlineLevel="1" x14ac:dyDescent="0.3">
      <c r="A1708" s="583" t="s">
        <v>5067</v>
      </c>
      <c r="B1708" s="591">
        <v>8</v>
      </c>
      <c r="C1708" s="588" t="s">
        <v>1256</v>
      </c>
      <c r="D1708" s="588" t="s">
        <v>1476</v>
      </c>
      <c r="E1708" s="589" t="s">
        <v>410</v>
      </c>
      <c r="F1708" s="590" t="s">
        <v>5041</v>
      </c>
      <c r="G1708" s="441" t="s">
        <v>410</v>
      </c>
      <c r="H1708" s="441" t="s">
        <v>410</v>
      </c>
      <c r="I1708" s="441" t="s">
        <v>410</v>
      </c>
      <c r="J1708" s="441" t="s">
        <v>410</v>
      </c>
      <c r="K1708" s="441" t="s">
        <v>410</v>
      </c>
      <c r="L1708" s="441" t="s">
        <v>410</v>
      </c>
      <c r="M1708" s="441" t="s">
        <v>410</v>
      </c>
      <c r="N1708" s="441" t="s">
        <v>410</v>
      </c>
      <c r="O1708" s="441" t="s">
        <v>410</v>
      </c>
      <c r="P1708" s="441" t="s">
        <v>410</v>
      </c>
      <c r="Q1708" s="441" t="s">
        <v>410</v>
      </c>
      <c r="R1708" s="441" t="s">
        <v>410</v>
      </c>
      <c r="S1708" s="441" t="s">
        <v>410</v>
      </c>
      <c r="T1708" s="441" t="s">
        <v>410</v>
      </c>
    </row>
    <row r="1709" spans="1:20" hidden="1" outlineLevel="1" x14ac:dyDescent="0.3">
      <c r="A1709" s="583" t="s">
        <v>5147</v>
      </c>
      <c r="B1709" s="591">
        <v>8</v>
      </c>
      <c r="C1709" s="583" t="s">
        <v>1256</v>
      </c>
      <c r="D1709" s="583" t="s">
        <v>1476</v>
      </c>
      <c r="E1709" s="592" t="s">
        <v>410</v>
      </c>
      <c r="F1709" s="590" t="s">
        <v>5148</v>
      </c>
      <c r="G1709" s="441" t="s">
        <v>410</v>
      </c>
      <c r="H1709" s="441" t="s">
        <v>410</v>
      </c>
      <c r="I1709" s="441" t="s">
        <v>410</v>
      </c>
      <c r="J1709" s="441" t="s">
        <v>410</v>
      </c>
      <c r="K1709" s="441" t="s">
        <v>410</v>
      </c>
      <c r="L1709" s="441" t="s">
        <v>410</v>
      </c>
      <c r="M1709" s="441" t="s">
        <v>410</v>
      </c>
      <c r="N1709" s="441" t="s">
        <v>410</v>
      </c>
      <c r="O1709" s="441" t="s">
        <v>410</v>
      </c>
      <c r="P1709" s="441" t="s">
        <v>410</v>
      </c>
      <c r="Q1709" s="441" t="s">
        <v>410</v>
      </c>
      <c r="R1709" s="441" t="s">
        <v>410</v>
      </c>
      <c r="S1709" s="441" t="s">
        <v>410</v>
      </c>
      <c r="T1709" s="441" t="s">
        <v>410</v>
      </c>
    </row>
    <row r="1710" spans="1:20" hidden="1" outlineLevel="1" x14ac:dyDescent="0.3">
      <c r="A1710" s="583" t="s">
        <v>5068</v>
      </c>
      <c r="B1710" s="591">
        <v>8</v>
      </c>
      <c r="C1710" s="588" t="s">
        <v>1256</v>
      </c>
      <c r="D1710" s="588" t="s">
        <v>1476</v>
      </c>
      <c r="E1710" s="589" t="s">
        <v>410</v>
      </c>
      <c r="F1710" s="590" t="s">
        <v>5042</v>
      </c>
      <c r="G1710" s="441" t="s">
        <v>410</v>
      </c>
      <c r="H1710" s="441" t="s">
        <v>410</v>
      </c>
      <c r="I1710" s="441" t="s">
        <v>410</v>
      </c>
      <c r="J1710" s="441" t="s">
        <v>410</v>
      </c>
      <c r="K1710" s="441" t="s">
        <v>410</v>
      </c>
      <c r="L1710" s="441" t="s">
        <v>410</v>
      </c>
      <c r="M1710" s="441" t="s">
        <v>410</v>
      </c>
      <c r="N1710" s="441" t="s">
        <v>410</v>
      </c>
      <c r="O1710" s="441" t="s">
        <v>410</v>
      </c>
      <c r="P1710" s="441" t="s">
        <v>410</v>
      </c>
      <c r="Q1710" s="441" t="s">
        <v>410</v>
      </c>
      <c r="R1710" s="441" t="s">
        <v>410</v>
      </c>
      <c r="S1710" s="441" t="s">
        <v>410</v>
      </c>
      <c r="T1710" s="441" t="s">
        <v>410</v>
      </c>
    </row>
    <row r="1711" spans="1:20" hidden="1" outlineLevel="1" x14ac:dyDescent="0.3">
      <c r="A1711" s="583" t="s">
        <v>5069</v>
      </c>
      <c r="B1711" s="591">
        <v>8</v>
      </c>
      <c r="C1711" s="583" t="s">
        <v>1256</v>
      </c>
      <c r="D1711" s="583" t="s">
        <v>1476</v>
      </c>
      <c r="E1711" s="592" t="s">
        <v>410</v>
      </c>
      <c r="F1711" s="590" t="s">
        <v>4023</v>
      </c>
      <c r="G1711" s="590" t="s">
        <v>4023</v>
      </c>
      <c r="H1711" s="441" t="s">
        <v>410</v>
      </c>
      <c r="I1711" s="441" t="s">
        <v>410</v>
      </c>
      <c r="J1711" s="441" t="s">
        <v>410</v>
      </c>
      <c r="K1711" s="441" t="s">
        <v>410</v>
      </c>
      <c r="L1711" s="441" t="s">
        <v>410</v>
      </c>
      <c r="M1711" s="441" t="s">
        <v>410</v>
      </c>
      <c r="N1711" s="441" t="s">
        <v>410</v>
      </c>
      <c r="O1711" s="441" t="s">
        <v>410</v>
      </c>
      <c r="P1711" s="441" t="s">
        <v>410</v>
      </c>
      <c r="Q1711" s="441" t="s">
        <v>410</v>
      </c>
      <c r="R1711" s="441" t="s">
        <v>410</v>
      </c>
      <c r="S1711" s="441" t="s">
        <v>410</v>
      </c>
      <c r="T1711" s="441" t="s">
        <v>410</v>
      </c>
    </row>
    <row r="1712" spans="1:20" hidden="1" outlineLevel="1" x14ac:dyDescent="0.3">
      <c r="A1712" s="583" t="s">
        <v>5149</v>
      </c>
      <c r="B1712" s="591">
        <v>8</v>
      </c>
      <c r="C1712" s="588" t="s">
        <v>1256</v>
      </c>
      <c r="D1712" s="588" t="s">
        <v>1476</v>
      </c>
      <c r="E1712" s="589" t="s">
        <v>410</v>
      </c>
      <c r="F1712" s="590" t="s">
        <v>5152</v>
      </c>
      <c r="G1712" s="441" t="s">
        <v>410</v>
      </c>
      <c r="H1712" s="441" t="s">
        <v>410</v>
      </c>
      <c r="I1712" s="441" t="s">
        <v>410</v>
      </c>
      <c r="J1712" s="441" t="s">
        <v>410</v>
      </c>
      <c r="K1712" s="441" t="s">
        <v>410</v>
      </c>
      <c r="L1712" s="441" t="s">
        <v>410</v>
      </c>
      <c r="M1712" s="441" t="s">
        <v>410</v>
      </c>
      <c r="N1712" s="441" t="s">
        <v>410</v>
      </c>
      <c r="O1712" s="441" t="s">
        <v>410</v>
      </c>
      <c r="P1712" s="441" t="s">
        <v>410</v>
      </c>
      <c r="Q1712" s="441" t="s">
        <v>410</v>
      </c>
      <c r="R1712" s="441" t="s">
        <v>410</v>
      </c>
      <c r="S1712" s="441" t="s">
        <v>410</v>
      </c>
      <c r="T1712" s="441" t="s">
        <v>410</v>
      </c>
    </row>
    <row r="1713" spans="1:20" hidden="1" outlineLevel="1" x14ac:dyDescent="0.3">
      <c r="A1713" s="583" t="s">
        <v>5070</v>
      </c>
      <c r="B1713" s="591">
        <v>8</v>
      </c>
      <c r="C1713" s="583" t="s">
        <v>1256</v>
      </c>
      <c r="D1713" s="583" t="s">
        <v>1476</v>
      </c>
      <c r="E1713" s="592" t="s">
        <v>410</v>
      </c>
      <c r="F1713" s="590" t="s">
        <v>5044</v>
      </c>
      <c r="G1713" s="441" t="s">
        <v>410</v>
      </c>
      <c r="H1713" s="441" t="s">
        <v>410</v>
      </c>
      <c r="I1713" s="441" t="s">
        <v>410</v>
      </c>
      <c r="J1713" s="441" t="s">
        <v>410</v>
      </c>
      <c r="K1713" s="441" t="s">
        <v>410</v>
      </c>
      <c r="L1713" s="441" t="s">
        <v>410</v>
      </c>
      <c r="M1713" s="441" t="s">
        <v>410</v>
      </c>
      <c r="N1713" s="441" t="s">
        <v>410</v>
      </c>
      <c r="O1713" s="441" t="s">
        <v>410</v>
      </c>
      <c r="P1713" s="441" t="s">
        <v>410</v>
      </c>
      <c r="Q1713" s="441" t="s">
        <v>410</v>
      </c>
      <c r="R1713" s="441" t="s">
        <v>410</v>
      </c>
      <c r="S1713" s="441" t="s">
        <v>410</v>
      </c>
      <c r="T1713" s="441" t="s">
        <v>410</v>
      </c>
    </row>
    <row r="1714" spans="1:20" hidden="1" outlineLevel="1" x14ac:dyDescent="0.3">
      <c r="A1714" s="583" t="s">
        <v>5150</v>
      </c>
      <c r="B1714" s="591">
        <v>8</v>
      </c>
      <c r="C1714" s="588" t="s">
        <v>1256</v>
      </c>
      <c r="D1714" s="588" t="s">
        <v>1476</v>
      </c>
      <c r="E1714" s="589" t="s">
        <v>410</v>
      </c>
      <c r="F1714" s="590" t="s">
        <v>5153</v>
      </c>
      <c r="G1714" s="441" t="s">
        <v>410</v>
      </c>
      <c r="H1714" s="441" t="s">
        <v>410</v>
      </c>
      <c r="I1714" s="441" t="s">
        <v>410</v>
      </c>
      <c r="J1714" s="441" t="s">
        <v>410</v>
      </c>
      <c r="K1714" s="441" t="s">
        <v>410</v>
      </c>
      <c r="L1714" s="441" t="s">
        <v>410</v>
      </c>
      <c r="M1714" s="441" t="s">
        <v>410</v>
      </c>
      <c r="N1714" s="441" t="s">
        <v>410</v>
      </c>
      <c r="O1714" s="441" t="s">
        <v>410</v>
      </c>
      <c r="P1714" s="441" t="s">
        <v>410</v>
      </c>
      <c r="Q1714" s="441" t="s">
        <v>410</v>
      </c>
      <c r="R1714" s="441" t="s">
        <v>410</v>
      </c>
      <c r="S1714" s="441" t="s">
        <v>410</v>
      </c>
      <c r="T1714" s="441" t="s">
        <v>410</v>
      </c>
    </row>
    <row r="1715" spans="1:20" hidden="1" outlineLevel="1" x14ac:dyDescent="0.3">
      <c r="A1715" s="583" t="s">
        <v>5151</v>
      </c>
      <c r="B1715" s="591">
        <v>8</v>
      </c>
      <c r="C1715" s="583" t="s">
        <v>1256</v>
      </c>
      <c r="D1715" s="583" t="s">
        <v>1476</v>
      </c>
      <c r="E1715" s="592" t="s">
        <v>410</v>
      </c>
      <c r="F1715" s="590" t="s">
        <v>76</v>
      </c>
      <c r="G1715" s="590" t="s">
        <v>1823</v>
      </c>
      <c r="H1715" s="590" t="s">
        <v>5154</v>
      </c>
      <c r="I1715" s="441" t="s">
        <v>410</v>
      </c>
      <c r="J1715" s="441" t="s">
        <v>410</v>
      </c>
      <c r="K1715" s="441" t="s">
        <v>410</v>
      </c>
      <c r="L1715" s="441" t="s">
        <v>410</v>
      </c>
      <c r="M1715" s="441" t="s">
        <v>410</v>
      </c>
      <c r="N1715" s="441" t="s">
        <v>410</v>
      </c>
      <c r="O1715" s="441" t="s">
        <v>410</v>
      </c>
      <c r="P1715" s="441" t="s">
        <v>410</v>
      </c>
      <c r="Q1715" s="441" t="s">
        <v>410</v>
      </c>
      <c r="R1715" s="441" t="s">
        <v>410</v>
      </c>
      <c r="S1715" s="441" t="s">
        <v>410</v>
      </c>
      <c r="T1715" s="441" t="s">
        <v>410</v>
      </c>
    </row>
    <row r="1716" spans="1:20" hidden="1" outlineLevel="1" x14ac:dyDescent="0.3">
      <c r="A1716" s="583" t="s">
        <v>5073</v>
      </c>
      <c r="B1716" s="591">
        <v>8</v>
      </c>
      <c r="C1716" s="588" t="s">
        <v>1256</v>
      </c>
      <c r="D1716" s="588" t="s">
        <v>1476</v>
      </c>
      <c r="E1716" s="589" t="s">
        <v>410</v>
      </c>
      <c r="F1716" s="590" t="s">
        <v>5046</v>
      </c>
      <c r="G1716" s="441" t="s">
        <v>410</v>
      </c>
      <c r="H1716" s="441" t="s">
        <v>410</v>
      </c>
      <c r="I1716" s="441" t="s">
        <v>410</v>
      </c>
      <c r="J1716" s="441" t="s">
        <v>410</v>
      </c>
      <c r="K1716" s="441" t="s">
        <v>410</v>
      </c>
      <c r="L1716" s="441" t="s">
        <v>410</v>
      </c>
      <c r="M1716" s="441" t="s">
        <v>410</v>
      </c>
      <c r="N1716" s="441" t="s">
        <v>410</v>
      </c>
      <c r="O1716" s="441" t="s">
        <v>410</v>
      </c>
      <c r="P1716" s="441" t="s">
        <v>410</v>
      </c>
      <c r="Q1716" s="441" t="s">
        <v>410</v>
      </c>
      <c r="R1716" s="441" t="s">
        <v>410</v>
      </c>
      <c r="S1716" s="441" t="s">
        <v>410</v>
      </c>
      <c r="T1716" s="441" t="s">
        <v>410</v>
      </c>
    </row>
    <row r="1717" spans="1:20" hidden="1" outlineLevel="1" x14ac:dyDescent="0.3">
      <c r="A1717" s="583" t="s">
        <v>5074</v>
      </c>
      <c r="B1717" s="591">
        <v>8</v>
      </c>
      <c r="C1717" s="583" t="s">
        <v>1256</v>
      </c>
      <c r="D1717" s="583" t="s">
        <v>1476</v>
      </c>
      <c r="E1717" s="592" t="s">
        <v>410</v>
      </c>
      <c r="F1717" s="590" t="s">
        <v>5048</v>
      </c>
      <c r="G1717" s="441" t="s">
        <v>410</v>
      </c>
      <c r="H1717" s="441" t="s">
        <v>410</v>
      </c>
      <c r="I1717" s="441" t="s">
        <v>410</v>
      </c>
      <c r="J1717" s="441" t="s">
        <v>410</v>
      </c>
      <c r="K1717" s="441" t="s">
        <v>410</v>
      </c>
      <c r="L1717" s="441" t="s">
        <v>410</v>
      </c>
      <c r="M1717" s="441" t="s">
        <v>410</v>
      </c>
      <c r="N1717" s="441" t="s">
        <v>410</v>
      </c>
      <c r="O1717" s="441" t="s">
        <v>410</v>
      </c>
      <c r="P1717" s="441" t="s">
        <v>410</v>
      </c>
      <c r="Q1717" s="441" t="s">
        <v>410</v>
      </c>
      <c r="R1717" s="441" t="s">
        <v>410</v>
      </c>
      <c r="S1717" s="441" t="s">
        <v>410</v>
      </c>
      <c r="T1717" s="441" t="s">
        <v>410</v>
      </c>
    </row>
    <row r="1718" spans="1:20" hidden="1" outlineLevel="1" x14ac:dyDescent="0.3">
      <c r="A1718" s="583" t="s">
        <v>4022</v>
      </c>
      <c r="B1718" s="591">
        <v>11</v>
      </c>
      <c r="C1718" s="583" t="s">
        <v>1256</v>
      </c>
      <c r="D1718" s="583" t="s">
        <v>1476</v>
      </c>
      <c r="E1718" s="592" t="s">
        <v>410</v>
      </c>
      <c r="F1718" s="593" t="s">
        <v>4023</v>
      </c>
      <c r="G1718" s="593" t="s">
        <v>4023</v>
      </c>
      <c r="H1718" s="593" t="s">
        <v>4023</v>
      </c>
      <c r="I1718" s="593" t="s">
        <v>4023</v>
      </c>
      <c r="J1718" s="593" t="s">
        <v>4023</v>
      </c>
      <c r="K1718" s="237" t="s">
        <v>410</v>
      </c>
      <c r="L1718" s="237" t="s">
        <v>410</v>
      </c>
      <c r="M1718" s="237" t="s">
        <v>410</v>
      </c>
      <c r="N1718" s="237" t="s">
        <v>410</v>
      </c>
      <c r="O1718" s="237" t="s">
        <v>410</v>
      </c>
      <c r="P1718" s="237" t="s">
        <v>410</v>
      </c>
      <c r="Q1718" s="237" t="s">
        <v>410</v>
      </c>
      <c r="R1718" s="237" t="s">
        <v>410</v>
      </c>
      <c r="S1718" s="10" t="s">
        <v>410</v>
      </c>
      <c r="T1718" s="10" t="s">
        <v>410</v>
      </c>
    </row>
    <row r="1719" spans="1:20" hidden="1" outlineLevel="1" x14ac:dyDescent="0.3">
      <c r="A1719" s="583" t="s">
        <v>1941</v>
      </c>
      <c r="B1719" s="591">
        <v>11</v>
      </c>
      <c r="C1719" s="583" t="s">
        <v>1256</v>
      </c>
      <c r="D1719" s="583" t="s">
        <v>1476</v>
      </c>
      <c r="E1719" s="593" t="s">
        <v>410</v>
      </c>
      <c r="F1719" s="856" t="s">
        <v>90</v>
      </c>
      <c r="G1719" s="856" t="s">
        <v>92</v>
      </c>
      <c r="H1719" s="856" t="s">
        <v>101</v>
      </c>
      <c r="I1719" s="856" t="s">
        <v>103</v>
      </c>
      <c r="J1719" s="856" t="s">
        <v>105</v>
      </c>
      <c r="K1719" s="856" t="s">
        <v>108</v>
      </c>
      <c r="L1719" s="593" t="s">
        <v>410</v>
      </c>
      <c r="M1719" s="593" t="s">
        <v>410</v>
      </c>
      <c r="N1719" s="237" t="s">
        <v>410</v>
      </c>
      <c r="O1719" s="237" t="s">
        <v>410</v>
      </c>
      <c r="P1719" s="237" t="s">
        <v>410</v>
      </c>
      <c r="Q1719" s="237" t="s">
        <v>410</v>
      </c>
      <c r="R1719" s="237" t="s">
        <v>410</v>
      </c>
      <c r="S1719" s="237" t="s">
        <v>410</v>
      </c>
      <c r="T1719" s="237" t="s">
        <v>410</v>
      </c>
    </row>
    <row r="1720" spans="1:20" hidden="1" outlineLevel="1" x14ac:dyDescent="0.3">
      <c r="A1720" s="583" t="s">
        <v>1609</v>
      </c>
      <c r="B1720" s="591">
        <v>16</v>
      </c>
      <c r="C1720" s="588" t="s">
        <v>1256</v>
      </c>
      <c r="D1720" s="588" t="s">
        <v>1476</v>
      </c>
      <c r="E1720" s="589" t="s">
        <v>410</v>
      </c>
      <c r="F1720" s="593" t="s">
        <v>2158</v>
      </c>
      <c r="G1720" s="593" t="s">
        <v>2159</v>
      </c>
      <c r="H1720" s="593" t="s">
        <v>2160</v>
      </c>
      <c r="I1720" s="593" t="s">
        <v>2160</v>
      </c>
      <c r="J1720" s="441" t="s">
        <v>410</v>
      </c>
      <c r="K1720" s="441" t="s">
        <v>410</v>
      </c>
      <c r="L1720" s="441" t="s">
        <v>410</v>
      </c>
      <c r="M1720" s="441" t="s">
        <v>410</v>
      </c>
      <c r="N1720" s="441" t="s">
        <v>410</v>
      </c>
      <c r="O1720" s="441" t="s">
        <v>410</v>
      </c>
      <c r="P1720" s="441" t="s">
        <v>410</v>
      </c>
      <c r="Q1720" s="441" t="s">
        <v>410</v>
      </c>
      <c r="R1720" s="441" t="s">
        <v>410</v>
      </c>
      <c r="S1720" s="441" t="s">
        <v>410</v>
      </c>
      <c r="T1720" s="441" t="s">
        <v>410</v>
      </c>
    </row>
    <row r="1721" spans="1:20" hidden="1" outlineLevel="1" x14ac:dyDescent="0.3">
      <c r="A1721" s="583" t="s">
        <v>5155</v>
      </c>
      <c r="B1721" s="591">
        <v>16</v>
      </c>
      <c r="C1721" s="588" t="s">
        <v>1256</v>
      </c>
      <c r="D1721" s="588" t="s">
        <v>1476</v>
      </c>
      <c r="E1721" s="589" t="s">
        <v>410</v>
      </c>
      <c r="F1721" s="593" t="s">
        <v>67</v>
      </c>
      <c r="G1721" s="593" t="s">
        <v>68</v>
      </c>
      <c r="H1721" s="593" t="s">
        <v>70</v>
      </c>
      <c r="I1721" s="441" t="s">
        <v>410</v>
      </c>
      <c r="J1721" s="441" t="s">
        <v>410</v>
      </c>
      <c r="K1721" s="441" t="s">
        <v>410</v>
      </c>
      <c r="L1721" s="441" t="s">
        <v>410</v>
      </c>
      <c r="M1721" s="441" t="s">
        <v>410</v>
      </c>
      <c r="N1721" s="441" t="s">
        <v>410</v>
      </c>
      <c r="O1721" s="441" t="s">
        <v>410</v>
      </c>
      <c r="P1721" s="441" t="s">
        <v>410</v>
      </c>
      <c r="Q1721" s="441" t="s">
        <v>410</v>
      </c>
      <c r="R1721" s="441" t="s">
        <v>410</v>
      </c>
      <c r="S1721" s="441" t="s">
        <v>410</v>
      </c>
      <c r="T1721" s="441" t="s">
        <v>410</v>
      </c>
    </row>
    <row r="1722" spans="1:20" hidden="1" outlineLevel="1" x14ac:dyDescent="0.3">
      <c r="A1722" s="583" t="s">
        <v>1660</v>
      </c>
      <c r="B1722" s="591">
        <v>16</v>
      </c>
      <c r="C1722" s="583" t="s">
        <v>1256</v>
      </c>
      <c r="D1722" s="583" t="s">
        <v>1476</v>
      </c>
      <c r="E1722" s="592" t="s">
        <v>410</v>
      </c>
      <c r="F1722" s="593" t="s">
        <v>3245</v>
      </c>
      <c r="G1722" s="593" t="s">
        <v>3246</v>
      </c>
      <c r="H1722" s="593" t="s">
        <v>3247</v>
      </c>
      <c r="I1722" s="593" t="s">
        <v>1661</v>
      </c>
      <c r="J1722" s="593" t="s">
        <v>3248</v>
      </c>
      <c r="K1722" s="593" t="s">
        <v>3249</v>
      </c>
      <c r="L1722" s="237" t="s">
        <v>410</v>
      </c>
      <c r="M1722" s="237" t="s">
        <v>410</v>
      </c>
      <c r="N1722" s="237" t="s">
        <v>410</v>
      </c>
      <c r="O1722" s="237" t="s">
        <v>410</v>
      </c>
      <c r="P1722" s="237" t="s">
        <v>410</v>
      </c>
      <c r="Q1722" s="237" t="s">
        <v>410</v>
      </c>
      <c r="R1722" s="237" t="s">
        <v>410</v>
      </c>
      <c r="S1722" s="10" t="s">
        <v>410</v>
      </c>
      <c r="T1722" s="10" t="s">
        <v>410</v>
      </c>
    </row>
    <row r="1723" spans="1:20" hidden="1" outlineLevel="1" x14ac:dyDescent="0.3">
      <c r="A1723" s="583" t="s">
        <v>5156</v>
      </c>
      <c r="B1723" s="591">
        <v>16</v>
      </c>
      <c r="C1723" s="583" t="s">
        <v>1256</v>
      </c>
      <c r="D1723" s="583" t="s">
        <v>1476</v>
      </c>
      <c r="E1723" s="592" t="s">
        <v>410</v>
      </c>
      <c r="F1723" s="593" t="s">
        <v>5053</v>
      </c>
      <c r="G1723" s="237" t="s">
        <v>410</v>
      </c>
      <c r="H1723" s="237" t="s">
        <v>410</v>
      </c>
      <c r="I1723" s="237" t="s">
        <v>410</v>
      </c>
      <c r="J1723" s="237" t="s">
        <v>410</v>
      </c>
      <c r="K1723" s="237" t="s">
        <v>410</v>
      </c>
      <c r="L1723" s="237" t="s">
        <v>410</v>
      </c>
      <c r="M1723" s="237" t="s">
        <v>410</v>
      </c>
      <c r="N1723" s="237" t="s">
        <v>410</v>
      </c>
      <c r="O1723" s="237" t="s">
        <v>410</v>
      </c>
      <c r="P1723" s="237" t="s">
        <v>410</v>
      </c>
      <c r="Q1723" s="237" t="s">
        <v>410</v>
      </c>
      <c r="R1723" s="237" t="s">
        <v>410</v>
      </c>
      <c r="S1723" s="10" t="s">
        <v>410</v>
      </c>
      <c r="T1723" s="10" t="s">
        <v>410</v>
      </c>
    </row>
    <row r="1724" spans="1:20" hidden="1" outlineLevel="1" x14ac:dyDescent="0.3">
      <c r="A1724" s="583" t="s">
        <v>1727</v>
      </c>
      <c r="B1724" s="591">
        <v>16</v>
      </c>
      <c r="C1724" s="583" t="s">
        <v>1256</v>
      </c>
      <c r="D1724" s="583" t="s">
        <v>1476</v>
      </c>
      <c r="E1724" s="592" t="s">
        <v>410</v>
      </c>
      <c r="F1724" s="593" t="s">
        <v>3405</v>
      </c>
      <c r="G1724" s="593" t="s">
        <v>3407</v>
      </c>
      <c r="H1724" s="593" t="s">
        <v>2064</v>
      </c>
      <c r="I1724" s="593" t="s">
        <v>3406</v>
      </c>
      <c r="J1724" s="593" t="s">
        <v>3408</v>
      </c>
      <c r="K1724" s="237" t="s">
        <v>410</v>
      </c>
      <c r="L1724" s="237" t="s">
        <v>410</v>
      </c>
      <c r="M1724" s="237" t="s">
        <v>410</v>
      </c>
      <c r="N1724" s="237" t="s">
        <v>410</v>
      </c>
      <c r="O1724" s="237" t="s">
        <v>410</v>
      </c>
      <c r="P1724" s="237" t="s">
        <v>410</v>
      </c>
      <c r="Q1724" s="237" t="s">
        <v>410</v>
      </c>
      <c r="R1724" s="237" t="s">
        <v>410</v>
      </c>
      <c r="S1724" s="10" t="s">
        <v>410</v>
      </c>
      <c r="T1724" s="10" t="s">
        <v>410</v>
      </c>
    </row>
    <row r="1725" spans="1:20" hidden="1" outlineLevel="1" x14ac:dyDescent="0.3">
      <c r="A1725" s="583" t="s">
        <v>1742</v>
      </c>
      <c r="B1725" s="591">
        <v>16</v>
      </c>
      <c r="C1725" s="583" t="s">
        <v>1256</v>
      </c>
      <c r="D1725" s="583" t="s">
        <v>1476</v>
      </c>
      <c r="E1725" s="592" t="s">
        <v>410</v>
      </c>
      <c r="F1725" s="593" t="s">
        <v>3410</v>
      </c>
      <c r="G1725" s="593" t="s">
        <v>2061</v>
      </c>
      <c r="H1725" s="593" t="s">
        <v>2062</v>
      </c>
      <c r="I1725" s="593" t="s">
        <v>2063</v>
      </c>
      <c r="J1725" s="593" t="s">
        <v>3409</v>
      </c>
      <c r="K1725" s="237" t="s">
        <v>410</v>
      </c>
      <c r="L1725" s="237" t="s">
        <v>410</v>
      </c>
      <c r="M1725" s="237" t="s">
        <v>410</v>
      </c>
      <c r="N1725" s="237" t="s">
        <v>410</v>
      </c>
      <c r="O1725" s="237" t="s">
        <v>410</v>
      </c>
      <c r="P1725" s="237" t="s">
        <v>410</v>
      </c>
      <c r="Q1725" s="237" t="s">
        <v>410</v>
      </c>
      <c r="R1725" s="237" t="s">
        <v>410</v>
      </c>
      <c r="S1725" s="10" t="s">
        <v>410</v>
      </c>
      <c r="T1725" s="10" t="s">
        <v>410</v>
      </c>
    </row>
    <row r="1726" spans="1:20" hidden="1" outlineLevel="1" x14ac:dyDescent="0.3">
      <c r="A1726" s="583" t="s">
        <v>1814</v>
      </c>
      <c r="B1726" s="591">
        <v>16</v>
      </c>
      <c r="C1726" s="583" t="s">
        <v>1256</v>
      </c>
      <c r="D1726" s="583" t="s">
        <v>1476</v>
      </c>
      <c r="E1726" s="592" t="s">
        <v>410</v>
      </c>
      <c r="F1726" s="593" t="s">
        <v>68</v>
      </c>
      <c r="G1726" s="593" t="s">
        <v>72</v>
      </c>
      <c r="H1726" s="593" t="s">
        <v>75</v>
      </c>
      <c r="I1726" s="593" t="s">
        <v>77</v>
      </c>
      <c r="J1726" s="593" t="s">
        <v>111</v>
      </c>
      <c r="K1726" s="237" t="s">
        <v>410</v>
      </c>
      <c r="L1726" s="237" t="s">
        <v>410</v>
      </c>
      <c r="M1726" s="237" t="s">
        <v>410</v>
      </c>
      <c r="N1726" s="237" t="s">
        <v>410</v>
      </c>
      <c r="O1726" s="237" t="s">
        <v>410</v>
      </c>
      <c r="P1726" s="237" t="s">
        <v>410</v>
      </c>
      <c r="Q1726" s="237" t="s">
        <v>410</v>
      </c>
      <c r="R1726" s="237" t="s">
        <v>410</v>
      </c>
      <c r="S1726" s="10" t="s">
        <v>410</v>
      </c>
      <c r="T1726" s="10" t="s">
        <v>410</v>
      </c>
    </row>
    <row r="1727" spans="1:20" hidden="1" outlineLevel="1" x14ac:dyDescent="0.3">
      <c r="A1727" s="583" t="s">
        <v>1874</v>
      </c>
      <c r="B1727" s="591">
        <v>16</v>
      </c>
      <c r="C1727" s="583" t="s">
        <v>1256</v>
      </c>
      <c r="D1727" s="583" t="s">
        <v>1476</v>
      </c>
      <c r="E1727" s="592" t="s">
        <v>410</v>
      </c>
      <c r="F1727" s="593" t="s">
        <v>2239</v>
      </c>
      <c r="G1727" s="593" t="s">
        <v>2240</v>
      </c>
      <c r="H1727" s="593" t="s">
        <v>2241</v>
      </c>
      <c r="I1727" s="593" t="s">
        <v>2242</v>
      </c>
      <c r="J1727" s="237" t="s">
        <v>410</v>
      </c>
      <c r="K1727" s="237" t="s">
        <v>410</v>
      </c>
      <c r="L1727" s="237" t="s">
        <v>410</v>
      </c>
      <c r="M1727" s="237" t="s">
        <v>410</v>
      </c>
      <c r="N1727" s="237" t="s">
        <v>410</v>
      </c>
      <c r="O1727" s="237" t="s">
        <v>410</v>
      </c>
      <c r="P1727" s="237" t="s">
        <v>410</v>
      </c>
      <c r="Q1727" s="237" t="s">
        <v>410</v>
      </c>
      <c r="R1727" s="237" t="s">
        <v>410</v>
      </c>
      <c r="S1727" s="10" t="s">
        <v>410</v>
      </c>
      <c r="T1727" s="10" t="s">
        <v>410</v>
      </c>
    </row>
    <row r="1728" spans="1:20" hidden="1" outlineLevel="1" x14ac:dyDescent="0.3">
      <c r="A1728" s="583" t="s">
        <v>1942</v>
      </c>
      <c r="B1728" s="591">
        <v>16</v>
      </c>
      <c r="C1728" s="583" t="s">
        <v>1256</v>
      </c>
      <c r="D1728" s="583" t="s">
        <v>1476</v>
      </c>
      <c r="E1728" s="593" t="s">
        <v>410</v>
      </c>
      <c r="F1728" s="593" t="s">
        <v>1809</v>
      </c>
      <c r="G1728" s="593" t="s">
        <v>1523</v>
      </c>
      <c r="H1728" s="593" t="s">
        <v>2276</v>
      </c>
      <c r="I1728" s="593" t="s">
        <v>2277</v>
      </c>
      <c r="J1728" s="593" t="s">
        <v>2278</v>
      </c>
      <c r="K1728" s="593" t="s">
        <v>2279</v>
      </c>
      <c r="L1728" s="593" t="s">
        <v>410</v>
      </c>
      <c r="M1728" s="593" t="s">
        <v>410</v>
      </c>
      <c r="N1728" s="237" t="s">
        <v>410</v>
      </c>
      <c r="O1728" s="237" t="s">
        <v>410</v>
      </c>
      <c r="P1728" s="237" t="s">
        <v>410</v>
      </c>
      <c r="Q1728" s="237" t="s">
        <v>410</v>
      </c>
      <c r="R1728" s="237" t="s">
        <v>410</v>
      </c>
      <c r="S1728" s="237" t="s">
        <v>410</v>
      </c>
      <c r="T1728" s="237" t="s">
        <v>410</v>
      </c>
    </row>
    <row r="1729" spans="1:20" hidden="1" outlineLevel="1" x14ac:dyDescent="0.3">
      <c r="A1729" s="583" t="s">
        <v>1983</v>
      </c>
      <c r="B1729" s="591">
        <v>16</v>
      </c>
      <c r="C1729" s="583" t="s">
        <v>1256</v>
      </c>
      <c r="D1729" s="583" t="s">
        <v>1476</v>
      </c>
      <c r="E1729" s="593" t="s">
        <v>410</v>
      </c>
      <c r="F1729" s="593" t="s">
        <v>4349</v>
      </c>
      <c r="G1729" s="593" t="s">
        <v>4350</v>
      </c>
      <c r="H1729" s="593" t="s">
        <v>4351</v>
      </c>
      <c r="I1729" s="593" t="s">
        <v>4352</v>
      </c>
      <c r="J1729" s="593" t="s">
        <v>4353</v>
      </c>
      <c r="K1729" s="593" t="s">
        <v>4354</v>
      </c>
      <c r="L1729" s="237" t="s">
        <v>410</v>
      </c>
      <c r="M1729" s="237" t="s">
        <v>410</v>
      </c>
      <c r="N1729" s="237" t="s">
        <v>410</v>
      </c>
      <c r="O1729" s="237" t="s">
        <v>410</v>
      </c>
      <c r="P1729" s="237" t="s">
        <v>410</v>
      </c>
      <c r="Q1729" s="237" t="s">
        <v>410</v>
      </c>
      <c r="R1729" s="237" t="s">
        <v>410</v>
      </c>
      <c r="S1729" s="237" t="s">
        <v>410</v>
      </c>
      <c r="T1729" s="237" t="s">
        <v>410</v>
      </c>
    </row>
    <row r="1730" spans="1:20" hidden="1" outlineLevel="1" x14ac:dyDescent="0.3">
      <c r="A1730" s="583" t="s">
        <v>1946</v>
      </c>
      <c r="B1730" s="591">
        <v>21</v>
      </c>
      <c r="C1730" s="583" t="s">
        <v>1256</v>
      </c>
      <c r="D1730" s="583" t="s">
        <v>1476</v>
      </c>
      <c r="E1730" s="593" t="s">
        <v>410</v>
      </c>
      <c r="F1730" s="593" t="s">
        <v>3244</v>
      </c>
      <c r="G1730" s="593" t="s">
        <v>4025</v>
      </c>
      <c r="H1730" s="593" t="s">
        <v>4026</v>
      </c>
      <c r="I1730" s="237" t="s">
        <v>410</v>
      </c>
      <c r="J1730" s="237" t="s">
        <v>410</v>
      </c>
      <c r="K1730" s="237" t="s">
        <v>410</v>
      </c>
      <c r="L1730" s="237" t="s">
        <v>410</v>
      </c>
      <c r="M1730" s="237" t="s">
        <v>410</v>
      </c>
      <c r="N1730" s="237" t="s">
        <v>410</v>
      </c>
      <c r="O1730" s="237" t="s">
        <v>410</v>
      </c>
      <c r="P1730" s="237" t="s">
        <v>410</v>
      </c>
      <c r="Q1730" s="237" t="s">
        <v>410</v>
      </c>
      <c r="R1730" s="237" t="s">
        <v>410</v>
      </c>
      <c r="S1730" s="237" t="s">
        <v>410</v>
      </c>
      <c r="T1730" s="237" t="s">
        <v>410</v>
      </c>
    </row>
    <row r="1731" spans="1:20" hidden="1" outlineLevel="1" x14ac:dyDescent="0.3">
      <c r="A1731" s="583" t="s">
        <v>2238</v>
      </c>
      <c r="B1731" s="591">
        <v>0</v>
      </c>
      <c r="C1731" s="583" t="s">
        <v>1564</v>
      </c>
      <c r="D1731" s="583" t="s">
        <v>1476</v>
      </c>
      <c r="E1731" s="594" t="s">
        <v>5573</v>
      </c>
      <c r="F1731" t="s">
        <v>410</v>
      </c>
      <c r="G1731" t="s">
        <v>410</v>
      </c>
      <c r="H1731" t="s">
        <v>410</v>
      </c>
      <c r="I1731" t="s">
        <v>410</v>
      </c>
      <c r="J1731" t="s">
        <v>410</v>
      </c>
      <c r="K1731" t="s">
        <v>410</v>
      </c>
      <c r="L1731" t="s">
        <v>410</v>
      </c>
      <c r="M1731" t="s">
        <v>410</v>
      </c>
      <c r="N1731" t="s">
        <v>410</v>
      </c>
      <c r="O1731" t="s">
        <v>410</v>
      </c>
      <c r="P1731" t="s">
        <v>410</v>
      </c>
      <c r="Q1731" t="s">
        <v>410</v>
      </c>
      <c r="R1731" t="s">
        <v>410</v>
      </c>
      <c r="S1731" t="s">
        <v>410</v>
      </c>
      <c r="T1731" t="s">
        <v>410</v>
      </c>
    </row>
    <row r="1732" spans="1:20" hidden="1" outlineLevel="1" x14ac:dyDescent="0.3">
      <c r="A1732" s="583" t="s">
        <v>2294</v>
      </c>
      <c r="B1732" s="591">
        <v>1</v>
      </c>
      <c r="C1732" s="583" t="s">
        <v>1564</v>
      </c>
      <c r="D1732" s="583" t="s">
        <v>1476</v>
      </c>
      <c r="E1732" s="583" t="s">
        <v>410</v>
      </c>
      <c r="F1732" s="583" t="s">
        <v>3143</v>
      </c>
      <c r="G1732" s="583" t="s">
        <v>3143</v>
      </c>
      <c r="H1732" s="583" t="s">
        <v>3144</v>
      </c>
      <c r="I1732" s="583" t="s">
        <v>3144</v>
      </c>
      <c r="J1732" s="583" t="s">
        <v>4171</v>
      </c>
      <c r="K1732" s="583" t="s">
        <v>4171</v>
      </c>
      <c r="L1732" t="s">
        <v>410</v>
      </c>
      <c r="M1732" t="s">
        <v>410</v>
      </c>
      <c r="N1732" t="s">
        <v>410</v>
      </c>
      <c r="O1732" t="s">
        <v>410</v>
      </c>
      <c r="P1732" t="s">
        <v>410</v>
      </c>
      <c r="Q1732" t="s">
        <v>410</v>
      </c>
      <c r="R1732" t="s">
        <v>410</v>
      </c>
      <c r="S1732" t="s">
        <v>410</v>
      </c>
      <c r="T1732" t="s">
        <v>410</v>
      </c>
    </row>
    <row r="1733" spans="1:20" hidden="1" outlineLevel="1" x14ac:dyDescent="0.3">
      <c r="A1733" s="583" t="s">
        <v>1864</v>
      </c>
      <c r="B1733" s="591">
        <v>2</v>
      </c>
      <c r="C1733" s="583" t="s">
        <v>1564</v>
      </c>
      <c r="D1733" s="583" t="s">
        <v>1476</v>
      </c>
      <c r="E1733" s="592" t="s">
        <v>410</v>
      </c>
      <c r="F1733" s="593" t="s">
        <v>3416</v>
      </c>
      <c r="G1733" s="593" t="s">
        <v>3417</v>
      </c>
      <c r="H1733" s="593" t="s">
        <v>3418</v>
      </c>
      <c r="I1733" s="593" t="s">
        <v>3419</v>
      </c>
      <c r="J1733" s="593" t="s">
        <v>3420</v>
      </c>
      <c r="K1733" s="593" t="s">
        <v>3421</v>
      </c>
      <c r="L1733" s="593" t="s">
        <v>3422</v>
      </c>
      <c r="M1733" s="593" t="s">
        <v>3423</v>
      </c>
      <c r="N1733" s="237" t="s">
        <v>410</v>
      </c>
      <c r="O1733" s="237" t="s">
        <v>410</v>
      </c>
      <c r="P1733" s="237" t="s">
        <v>410</v>
      </c>
      <c r="Q1733" s="237" t="s">
        <v>410</v>
      </c>
      <c r="R1733" s="237" t="s">
        <v>410</v>
      </c>
      <c r="S1733" s="10" t="s">
        <v>410</v>
      </c>
      <c r="T1733" s="10" t="s">
        <v>410</v>
      </c>
    </row>
    <row r="1734" spans="1:20" hidden="1" outlineLevel="1" x14ac:dyDescent="0.3">
      <c r="A1734" s="583" t="s">
        <v>1865</v>
      </c>
      <c r="B1734" s="591">
        <v>2</v>
      </c>
      <c r="C1734" s="583" t="s">
        <v>1564</v>
      </c>
      <c r="D1734" s="583" t="s">
        <v>1476</v>
      </c>
      <c r="E1734" s="592" t="s">
        <v>410</v>
      </c>
      <c r="F1734" s="593" t="s">
        <v>3424</v>
      </c>
      <c r="G1734" s="593" t="s">
        <v>3425</v>
      </c>
      <c r="H1734" s="593" t="s">
        <v>3426</v>
      </c>
      <c r="I1734" s="593" t="s">
        <v>3427</v>
      </c>
      <c r="J1734" s="593" t="s">
        <v>3428</v>
      </c>
      <c r="K1734" s="593" t="s">
        <v>3429</v>
      </c>
      <c r="L1734" s="593" t="s">
        <v>3430</v>
      </c>
      <c r="M1734" s="593" t="s">
        <v>3431</v>
      </c>
      <c r="N1734" s="237" t="s">
        <v>410</v>
      </c>
      <c r="O1734" s="237" t="s">
        <v>410</v>
      </c>
      <c r="P1734" s="237" t="s">
        <v>410</v>
      </c>
      <c r="Q1734" s="237" t="s">
        <v>410</v>
      </c>
      <c r="R1734" s="237" t="s">
        <v>410</v>
      </c>
      <c r="S1734" s="10" t="s">
        <v>410</v>
      </c>
      <c r="T1734" s="10" t="s">
        <v>410</v>
      </c>
    </row>
    <row r="1735" spans="1:20" hidden="1" outlineLevel="1" x14ac:dyDescent="0.3">
      <c r="A1735" s="583" t="s">
        <v>2295</v>
      </c>
      <c r="B1735" s="591">
        <v>2</v>
      </c>
      <c r="C1735" s="583" t="s">
        <v>1564</v>
      </c>
      <c r="D1735" s="583" t="s">
        <v>1476</v>
      </c>
      <c r="E1735" s="583" t="s">
        <v>410</v>
      </c>
      <c r="F1735" s="583" t="s">
        <v>410</v>
      </c>
      <c r="G1735" s="593" t="s">
        <v>2131</v>
      </c>
      <c r="H1735" s="593" t="s">
        <v>2131</v>
      </c>
      <c r="I1735" s="593" t="s">
        <v>2132</v>
      </c>
      <c r="J1735" s="593" t="s">
        <v>2132</v>
      </c>
      <c r="K1735" s="593" t="s">
        <v>2133</v>
      </c>
      <c r="L1735" t="s">
        <v>410</v>
      </c>
      <c r="M1735" t="s">
        <v>410</v>
      </c>
      <c r="N1735" t="s">
        <v>410</v>
      </c>
      <c r="O1735" t="s">
        <v>410</v>
      </c>
      <c r="P1735" t="s">
        <v>410</v>
      </c>
      <c r="Q1735" t="s">
        <v>410</v>
      </c>
      <c r="R1735" t="s">
        <v>410</v>
      </c>
      <c r="S1735" t="s">
        <v>410</v>
      </c>
      <c r="T1735" t="s">
        <v>410</v>
      </c>
    </row>
    <row r="1736" spans="1:20" hidden="1" outlineLevel="1" x14ac:dyDescent="0.3">
      <c r="A1736" s="583" t="s">
        <v>2296</v>
      </c>
      <c r="B1736" s="591">
        <v>3</v>
      </c>
      <c r="C1736" s="583" t="s">
        <v>1564</v>
      </c>
      <c r="D1736" s="583" t="s">
        <v>1476</v>
      </c>
      <c r="E1736" s="583" t="s">
        <v>410</v>
      </c>
      <c r="F1736" s="583" t="s">
        <v>410</v>
      </c>
      <c r="G1736" s="583" t="s">
        <v>410</v>
      </c>
      <c r="H1736" s="593" t="s">
        <v>2134</v>
      </c>
      <c r="I1736" s="593" t="s">
        <v>2134</v>
      </c>
      <c r="J1736" s="593" t="s">
        <v>2135</v>
      </c>
      <c r="K1736" s="593" t="s">
        <v>2135</v>
      </c>
      <c r="L1736" t="s">
        <v>410</v>
      </c>
      <c r="M1736" t="s">
        <v>410</v>
      </c>
      <c r="N1736" t="s">
        <v>410</v>
      </c>
      <c r="O1736" t="s">
        <v>410</v>
      </c>
      <c r="P1736" t="s">
        <v>410</v>
      </c>
      <c r="Q1736" t="s">
        <v>410</v>
      </c>
      <c r="R1736" t="s">
        <v>410</v>
      </c>
      <c r="S1736" t="s">
        <v>410</v>
      </c>
      <c r="T1736" t="s">
        <v>410</v>
      </c>
    </row>
    <row r="1737" spans="1:20" hidden="1" outlineLevel="1" x14ac:dyDescent="0.3">
      <c r="A1737" s="583" t="s">
        <v>2299</v>
      </c>
      <c r="B1737" s="591">
        <v>4</v>
      </c>
      <c r="C1737" s="583" t="s">
        <v>1564</v>
      </c>
      <c r="D1737" s="583" t="s">
        <v>1476</v>
      </c>
      <c r="E1737" s="583" t="s">
        <v>410</v>
      </c>
      <c r="F1737" s="583" t="s">
        <v>410</v>
      </c>
      <c r="G1737" s="583" t="s">
        <v>410</v>
      </c>
      <c r="H1737" s="583" t="s">
        <v>410</v>
      </c>
      <c r="I1737" s="593" t="s">
        <v>2297</v>
      </c>
      <c r="J1737" s="593" t="s">
        <v>2297</v>
      </c>
      <c r="K1737" s="593" t="s">
        <v>2298</v>
      </c>
      <c r="L1737" t="s">
        <v>410</v>
      </c>
      <c r="M1737" t="s">
        <v>410</v>
      </c>
      <c r="N1737" t="s">
        <v>410</v>
      </c>
      <c r="O1737" t="s">
        <v>410</v>
      </c>
      <c r="P1737" t="s">
        <v>410</v>
      </c>
      <c r="Q1737" t="s">
        <v>410</v>
      </c>
      <c r="R1737" t="s">
        <v>410</v>
      </c>
      <c r="S1737" t="s">
        <v>410</v>
      </c>
      <c r="T1737" t="s">
        <v>410</v>
      </c>
    </row>
    <row r="1738" spans="1:20" hidden="1" outlineLevel="1" x14ac:dyDescent="0.3">
      <c r="A1738" s="583" t="s">
        <v>2300</v>
      </c>
      <c r="B1738" s="591">
        <v>5</v>
      </c>
      <c r="C1738" s="583" t="s">
        <v>1564</v>
      </c>
      <c r="D1738" s="583" t="s">
        <v>1476</v>
      </c>
      <c r="E1738" s="583" t="s">
        <v>410</v>
      </c>
      <c r="F1738" s="583" t="s">
        <v>410</v>
      </c>
      <c r="G1738" s="583" t="s">
        <v>410</v>
      </c>
      <c r="H1738" s="583" t="s">
        <v>410</v>
      </c>
      <c r="I1738" s="583" t="s">
        <v>410</v>
      </c>
      <c r="J1738" s="593" t="s">
        <v>1809</v>
      </c>
      <c r="K1738" s="593" t="s">
        <v>1809</v>
      </c>
      <c r="L1738" t="s">
        <v>410</v>
      </c>
      <c r="M1738" t="s">
        <v>410</v>
      </c>
      <c r="N1738" t="s">
        <v>410</v>
      </c>
      <c r="O1738" t="s">
        <v>410</v>
      </c>
      <c r="P1738" t="s">
        <v>410</v>
      </c>
      <c r="Q1738" t="s">
        <v>410</v>
      </c>
      <c r="R1738" t="s">
        <v>410</v>
      </c>
      <c r="S1738" t="s">
        <v>410</v>
      </c>
      <c r="T1738" t="s">
        <v>410</v>
      </c>
    </row>
    <row r="1739" spans="1:20" hidden="1" outlineLevel="1" x14ac:dyDescent="0.3">
      <c r="A1739" s="583" t="s">
        <v>2301</v>
      </c>
      <c r="B1739" s="591">
        <v>6</v>
      </c>
      <c r="C1739" s="583" t="s">
        <v>1564</v>
      </c>
      <c r="D1739" s="583" t="s">
        <v>1476</v>
      </c>
      <c r="E1739" s="583" t="s">
        <v>410</v>
      </c>
      <c r="F1739" s="583" t="s">
        <v>410</v>
      </c>
      <c r="G1739" s="583" t="s">
        <v>410</v>
      </c>
      <c r="H1739" s="583" t="s">
        <v>410</v>
      </c>
      <c r="I1739" s="583" t="s">
        <v>410</v>
      </c>
      <c r="J1739" s="583" t="s">
        <v>410</v>
      </c>
      <c r="K1739" s="593" t="s">
        <v>1485</v>
      </c>
      <c r="L1739" t="s">
        <v>410</v>
      </c>
      <c r="M1739" t="s">
        <v>410</v>
      </c>
      <c r="N1739" t="s">
        <v>410</v>
      </c>
      <c r="O1739" t="s">
        <v>410</v>
      </c>
      <c r="P1739" t="s">
        <v>410</v>
      </c>
      <c r="Q1739" t="s">
        <v>410</v>
      </c>
      <c r="R1739" t="s">
        <v>410</v>
      </c>
      <c r="S1739" t="s">
        <v>410</v>
      </c>
      <c r="T1739" t="s">
        <v>410</v>
      </c>
    </row>
    <row r="1740" spans="1:20" collapsed="1" x14ac:dyDescent="0.3">
      <c r="A1740" s="978"/>
      <c r="B1740" s="979"/>
      <c r="E1740" s="237"/>
      <c r="F1740" s="237"/>
      <c r="G1740" s="237"/>
      <c r="H1740" s="237"/>
      <c r="I1740" s="237"/>
      <c r="J1740" s="237"/>
      <c r="K1740" s="237"/>
      <c r="L1740" s="237"/>
      <c r="M1740" s="237"/>
      <c r="N1740" s="237"/>
      <c r="O1740" s="237"/>
      <c r="P1740" s="237"/>
      <c r="Q1740" s="237"/>
      <c r="R1740" s="237"/>
      <c r="S1740" s="237"/>
      <c r="T1740" s="237"/>
    </row>
    <row r="1741" spans="1:20" x14ac:dyDescent="0.3">
      <c r="E1741" s="237"/>
      <c r="F1741" s="237"/>
      <c r="G1741" s="237"/>
      <c r="H1741" s="237"/>
      <c r="I1741" s="237"/>
      <c r="J1741" s="237"/>
      <c r="K1741" s="237"/>
      <c r="L1741" s="237"/>
      <c r="M1741" s="237"/>
      <c r="N1741" s="237"/>
      <c r="O1741" s="237"/>
      <c r="P1741" s="237"/>
      <c r="Q1741" s="237"/>
      <c r="R1741" s="237"/>
      <c r="S1741" s="237"/>
    </row>
  </sheetData>
  <sortState ref="A3:T70">
    <sortCondition ref="D3:D70"/>
    <sortCondition descending="1" ref="C3:C70"/>
    <sortCondition ref="B3:B70"/>
    <sortCondition ref="A3:A70"/>
  </sortState>
  <conditionalFormatting sqref="E1741:S1741 C1701:D1702 C1729:C1731 C1641:T1641 C1619:T1619 C1587:C1595 C1580:T1580 C1583:T1583 C1589:T1589 C1592:T1592 C1498:T1500 I1479:L1479 I1414:K1414 D1409:T1409 C1374:T1374 D1369:D1376 D1364:D1366 C1305:T1305 C1307:T1307 C1300:T1300 C1379:T1380 G473:K473 E470:K471 E472:T472 C466:T466 E442:T442 F443:M444 F376:T376 J377:L377 L1655:T1655 E1655 L1308 E1309:L1309 C467:D467 N769:T769 N112:T112 J798:T798 C994:D994 J994:T994 J1478:L1478 L1477 I1478:I1479 D1165 C1164:D1164 E1164:T1165 P1481:T1481 I1480:T1480 E1334:E1335 N1334:T1334 C104:T104 E1478:H1480 C997:T997 F373 C593:E593 L593:T593 L801:T801 L1004:T1004 L373:M374 K378 C793:T796 C792:D792 L792:T792 E1388:I1392 L1387:T1387 C800:E801 C1003:E1004 L375:T378 C784:D784 P784:T784 C1381:D1381 E1382:T1386 P1381:T1381 C430:D430 G430:T430 C797:D798 C998:D998 G998:T998 L383:M383 E439:T440 C438:D438 N474:T474 C474:G474 C450:T463 C444:T445 C785:T791 C770:T770 K995:T995 K1335:T1335 E1312:I1312 C1271:D1278 D1352:D1353 I1398:I1401 M1477:T1479 C1473:D1506 C1567:C1584 Q1128:T1128 C1128:O1128 E1483:T1504 E497:T497 C816:E816 L816:T816 F1061:T1061 C1068:D1068 C1091:E1091 C1093:E1093 C1095:E1095 C1098:E1098 C1100:T1100 F1101:T1101 C1127:T1127 C1121:D1126 F1120:T1126 J1311:T1312 F1310:T1310 C1262:E1262 C1267:D1269 C1263:T1263 C1266:J1266 C1264:F1265 G1265:T1265 E1267:T1278 F1279:T1298 C1102:T1119 C1070:T1085 F1086:T1099 E1685:T1685 E1656:T1664 F1679:T1679 C1682:T1682 F1681:T1681 E1688:T1688 E1687 F1686:T1687 F1689:T1689 C1693:D1694 E1690:T1702 C1703:T1720 C1722:T1722 F1721:T1721 C1724:D1728 F1723:T1723 C1731:D1739 E1724:T1740 F1241:T1241 E1505:E1506 G1505:T1506 C1515:E1517 C999:T1002 F863:T870 E1313:T1313 F728:F729 C727:F727 G727:T729 F730:T731 C1352:C1376 M1299:T1309 E1299:L1307 C1299:D1313 C745:T748 C732:T742 C750:T768 E1332:T1333 C1340:T1350 C100:T101 C106:T111 C771:D771 C1022:D1022 C234:T369 J373 J375:K375 F376:J378 F379:T382 C431:T437 C439:J466 C489:T496 C772:T783 G797:T797 C799:T799 G800:T800 C802:T815 C468:J473 G1003:T1003 C1005:T1010 C1023:T1041 C1165:C1167 D1166:T1167 C1600:T1609 C429:T429 K429:T437 C417:T427 C485:T487 C475:T483 C1243:C1248 C1249:D1255 C1314:T1323 E1336:T1338 C1332:D1338 E1377:T1380 H1395:L1395 E1394:I1396 J1388:T1396 D1402:D1415 E1398:H1415 J1398:T1415 I1403:I1415 C1508:E1512 G1508:T1512 G1515:T1517 E1520:E1522 G1520:T1522 C1595:T1598 C1611:D1619 C1620:C1622 C1623:D1664 C594:T598 C599:D599 C600:T603 C604:D604 E1474:T1476 C389:T390 K439:T473 C1129:T1163 C1168:T1240 E1611:T1654 C3:T3 C395:T415 C447:T447 C605:T616 D617:D627 C714:T721 C630:D630 C632:D632 D629 D631 C628:T628 F631 D633:T633 D634:D635 D636:T636 D637:D638 D639:T640 D641 D642:T644 D645:D646 D647:T651 C1666:T1678 C817:T862 C871:T910 C911:D911 C912:T913 C914:D914 D915:D916 C917:T921 D922:T927 C926:C927 C928:T932 D933:D939 C1062:T1063 C1064:D1064 C940:T944 C945:D947 C948:T949 C950:D952 C953:T953 C954:D955 C956:T958 C959:D959 C659:C665 E659:T665 C723:T726 C722:H722 J722:T722 C1325:T1330 C1324:H1324 J1324:T1324 C81:T97 C80:H80 J80:T80 C144:H144 J144:T144 D652:D673 E1352:T1375 C113:T143 C1012:T1021 E1243:T1255 C1518:T1519 K1482:T1482 D676:D713 C1520:D1526 E1523:T1526 D1527:D1533 C1534:T1534 D1535 C1536:T1536 D1537 C1538:T1538 C1540:D1541 D1539 E1541:T1541 D1542:D1543 C1544:T1547 D1565:T1595 C1565:D1566 D1548:D1564 E526:T527 E530:T530 E532:T532 D533 C534:T534 C535:D535 C536:T537 C538:D538 D539:D543 C544:T546 C547:D548 C549:T549 C551:T592 C550:D550 E503:T515 D1470:T1472 J996:T996 C960:T972 C974:T993 C72:T79 C145:T172 C8:T9 C1065:T1066 C1680:T1680 C1256:T1260 C174:T232 F371:M371 C371:E382 N371:T374 C1043:T1060 C497:D515 C517:D532 E517:T524">
    <cfRule type="cellIs" dxfId="311" priority="3159" operator="equal">
      <formula>"X"</formula>
    </cfRule>
  </conditionalFormatting>
  <conditionalFormatting sqref="F1655:K1655">
    <cfRule type="cellIs" dxfId="310" priority="337" operator="equal">
      <formula>"X"</formula>
    </cfRule>
  </conditionalFormatting>
  <conditionalFormatting sqref="E1308:K1308 E1310">
    <cfRule type="cellIs" dxfId="309" priority="336" operator="equal">
      <formula>"X"</formula>
    </cfRule>
  </conditionalFormatting>
  <conditionalFormatting sqref="E467:J467">
    <cfRule type="cellIs" dxfId="308" priority="334" operator="equal">
      <formula>"X"</formula>
    </cfRule>
  </conditionalFormatting>
  <conditionalFormatting sqref="E1311:I1311">
    <cfRule type="cellIs" dxfId="307" priority="333" operator="equal">
      <formula>"X"</formula>
    </cfRule>
  </conditionalFormatting>
  <conditionalFormatting sqref="C769:M769">
    <cfRule type="cellIs" dxfId="306" priority="332" operator="equal">
      <formula>"X"</formula>
    </cfRule>
  </conditionalFormatting>
  <conditionalFormatting sqref="C112:M112">
    <cfRule type="cellIs" dxfId="305" priority="330" operator="equal">
      <formula>"X"</formula>
    </cfRule>
  </conditionalFormatting>
  <conditionalFormatting sqref="J372:M372">
    <cfRule type="cellIs" dxfId="304" priority="327" operator="equal">
      <formula>"X"</formula>
    </cfRule>
  </conditionalFormatting>
  <conditionalFormatting sqref="E798:I798">
    <cfRule type="cellIs" dxfId="303" priority="326" operator="equal">
      <formula>"X"</formula>
    </cfRule>
  </conditionalFormatting>
  <conditionalFormatting sqref="E994:I994 G996:I996">
    <cfRule type="cellIs" dxfId="302" priority="325" operator="equal">
      <formula>"X"</formula>
    </cfRule>
  </conditionalFormatting>
  <conditionalFormatting sqref="G1393:I1393">
    <cfRule type="cellIs" dxfId="301" priority="324" operator="equal">
      <formula>"X"</formula>
    </cfRule>
  </conditionalFormatting>
  <conditionalFormatting sqref="E1477:K1477">
    <cfRule type="cellIs" dxfId="300" priority="323" operator="equal">
      <formula>"X"</formula>
    </cfRule>
  </conditionalFormatting>
  <conditionalFormatting sqref="E1482:J1482">
    <cfRule type="cellIs" dxfId="299" priority="322" operator="equal">
      <formula>"X"</formula>
    </cfRule>
  </conditionalFormatting>
  <conditionalFormatting sqref="E1481:O1481">
    <cfRule type="cellIs" dxfId="298" priority="320" operator="equal">
      <formula>"X"</formula>
    </cfRule>
  </conditionalFormatting>
  <conditionalFormatting sqref="F1334:M1334 F1335:J1335">
    <cfRule type="cellIs" dxfId="297" priority="319" operator="equal">
      <formula>"X"</formula>
    </cfRule>
  </conditionalFormatting>
  <conditionalFormatting sqref="C102:T103">
    <cfRule type="cellIs" dxfId="296" priority="318" operator="equal">
      <formula>"X"</formula>
    </cfRule>
  </conditionalFormatting>
  <conditionalFormatting sqref="G1004:K1004">
    <cfRule type="cellIs" dxfId="295" priority="305" operator="equal">
      <formula>"X"</formula>
    </cfRule>
  </conditionalFormatting>
  <conditionalFormatting sqref="K373 G373:I373">
    <cfRule type="cellIs" dxfId="294" priority="315" operator="equal">
      <formula>"X"</formula>
    </cfRule>
  </conditionalFormatting>
  <conditionalFormatting sqref="F374:F375">
    <cfRule type="cellIs" dxfId="293" priority="314" operator="equal">
      <formula>"X"</formula>
    </cfRule>
  </conditionalFormatting>
  <conditionalFormatting sqref="G374:G375">
    <cfRule type="cellIs" dxfId="292" priority="313" operator="equal">
      <formula>"X"</formula>
    </cfRule>
  </conditionalFormatting>
  <conditionalFormatting sqref="H374:H375">
    <cfRule type="cellIs" dxfId="291" priority="312" operator="equal">
      <formula>"X"</formula>
    </cfRule>
  </conditionalFormatting>
  <conditionalFormatting sqref="I374:K374 I375">
    <cfRule type="cellIs" dxfId="290" priority="311" operator="equal">
      <formula>"X"</formula>
    </cfRule>
  </conditionalFormatting>
  <conditionalFormatting sqref="F593">
    <cfRule type="cellIs" dxfId="289" priority="310" operator="equal">
      <formula>"X"</formula>
    </cfRule>
  </conditionalFormatting>
  <conditionalFormatting sqref="G593:K593">
    <cfRule type="cellIs" dxfId="288" priority="309" operator="equal">
      <formula>"X"</formula>
    </cfRule>
  </conditionalFormatting>
  <conditionalFormatting sqref="F801">
    <cfRule type="cellIs" dxfId="287" priority="308" operator="equal">
      <formula>"X"</formula>
    </cfRule>
  </conditionalFormatting>
  <conditionalFormatting sqref="G801:K801">
    <cfRule type="cellIs" dxfId="286" priority="307" operator="equal">
      <formula>"X"</formula>
    </cfRule>
  </conditionalFormatting>
  <conditionalFormatting sqref="F1004">
    <cfRule type="cellIs" dxfId="285" priority="306" operator="equal">
      <formula>"X"</formula>
    </cfRule>
  </conditionalFormatting>
  <conditionalFormatting sqref="E792:K792">
    <cfRule type="cellIs" dxfId="284" priority="304" operator="equal">
      <formula>"X"</formula>
    </cfRule>
  </conditionalFormatting>
  <conditionalFormatting sqref="E1387:K1387">
    <cfRule type="cellIs" dxfId="283" priority="302" operator="equal">
      <formula>"X"</formula>
    </cfRule>
  </conditionalFormatting>
  <conditionalFormatting sqref="E784:O784">
    <cfRule type="cellIs" dxfId="282" priority="301" operator="equal">
      <formula>"X"</formula>
    </cfRule>
  </conditionalFormatting>
  <conditionalFormatting sqref="E1381:O1381">
    <cfRule type="cellIs" dxfId="281" priority="299" operator="equal">
      <formula>"X"</formula>
    </cfRule>
  </conditionalFormatting>
  <conditionalFormatting sqref="E430:F430">
    <cfRule type="cellIs" dxfId="280" priority="298" operator="equal">
      <formula>"X"</formula>
    </cfRule>
  </conditionalFormatting>
  <conditionalFormatting sqref="E797:F797">
    <cfRule type="cellIs" dxfId="279" priority="297" operator="equal">
      <formula>"X"</formula>
    </cfRule>
  </conditionalFormatting>
  <conditionalFormatting sqref="E998:F998">
    <cfRule type="cellIs" dxfId="278" priority="296" operator="equal">
      <formula>"X"</formula>
    </cfRule>
  </conditionalFormatting>
  <conditionalFormatting sqref="E1393:F1393">
    <cfRule type="cellIs" dxfId="277" priority="295" operator="equal">
      <formula>"X"</formula>
    </cfRule>
  </conditionalFormatting>
  <conditionalFormatting sqref="C391:T391 C392:D392 F392:J392 C393:T393 C394:N394 P394:T394">
    <cfRule type="cellIs" dxfId="276" priority="294" operator="equal">
      <formula>"X"</formula>
    </cfRule>
  </conditionalFormatting>
  <conditionalFormatting sqref="C384:T385 C383:K383 N383:T383">
    <cfRule type="cellIs" dxfId="275" priority="293" operator="equal">
      <formula>"X"</formula>
    </cfRule>
  </conditionalFormatting>
  <conditionalFormatting sqref="C386:T387 C388:E388 I388:T388">
    <cfRule type="cellIs" dxfId="274" priority="292" operator="equal">
      <formula>"X"</formula>
    </cfRule>
  </conditionalFormatting>
  <conditionalFormatting sqref="E392 K392:T392 O394">
    <cfRule type="cellIs" dxfId="273" priority="291" operator="equal">
      <formula>"X"</formula>
    </cfRule>
  </conditionalFormatting>
  <conditionalFormatting sqref="C416:T416">
    <cfRule type="cellIs" dxfId="272" priority="290" operator="equal">
      <formula>"X"</formula>
    </cfRule>
  </conditionalFormatting>
  <conditionalFormatting sqref="P1128">
    <cfRule type="cellIs" dxfId="271" priority="279" operator="equal">
      <formula>"X"</formula>
    </cfRule>
  </conditionalFormatting>
  <conditionalFormatting sqref="H474:M474">
    <cfRule type="cellIs" dxfId="270" priority="287" operator="equal">
      <formula>"X"</formula>
    </cfRule>
  </conditionalFormatting>
  <conditionalFormatting sqref="C1351:T1351">
    <cfRule type="cellIs" dxfId="269" priority="282" operator="equal">
      <formula>"X"</formula>
    </cfRule>
  </conditionalFormatting>
  <conditionalFormatting sqref="C488:T488">
    <cfRule type="cellIs" dxfId="268" priority="285" operator="equal">
      <formula>"X"</formula>
    </cfRule>
  </conditionalFormatting>
  <conditionalFormatting sqref="E995:J995 E996">
    <cfRule type="cellIs" dxfId="267" priority="284" operator="equal">
      <formula>"X"</formula>
    </cfRule>
  </conditionalFormatting>
  <conditionalFormatting sqref="C1397:T1397">
    <cfRule type="cellIs" dxfId="266" priority="281" operator="equal">
      <formula>"X"</formula>
    </cfRule>
  </conditionalFormatting>
  <conditionalFormatting sqref="C1599:T1599">
    <cfRule type="cellIs" dxfId="265" priority="280" operator="equal">
      <formula>"X"</formula>
    </cfRule>
  </conditionalFormatting>
  <conditionalFormatting sqref="C1067:T1067 E1068 J1068:T1069 C1069:I1069">
    <cfRule type="cellIs" dxfId="264" priority="276" operator="equal">
      <formula>"X"</formula>
    </cfRule>
  </conditionalFormatting>
  <conditionalFormatting sqref="C1261:T1261 F1262:T1262 K1266:T1266 G1264:T1264">
    <cfRule type="cellIs" dxfId="263" priority="275" operator="equal">
      <formula>"X"</formula>
    </cfRule>
  </conditionalFormatting>
  <conditionalFormatting sqref="F816:K816">
    <cfRule type="cellIs" dxfId="262" priority="277" operator="equal">
      <formula>"X"</formula>
    </cfRule>
  </conditionalFormatting>
  <conditionalFormatting sqref="C1086:E1086">
    <cfRule type="cellIs" dxfId="261" priority="271" operator="equal">
      <formula>"X"</formula>
    </cfRule>
  </conditionalFormatting>
  <conditionalFormatting sqref="C1088:E1088">
    <cfRule type="cellIs" dxfId="260" priority="270" operator="equal">
      <formula>"X"</formula>
    </cfRule>
  </conditionalFormatting>
  <conditionalFormatting sqref="C1683:T1683 F1684:T1684">
    <cfRule type="cellIs" dxfId="259" priority="274" operator="equal">
      <formula>"X"</formula>
    </cfRule>
  </conditionalFormatting>
  <conditionalFormatting sqref="C1061:E1061">
    <cfRule type="cellIs" dxfId="258" priority="273" operator="equal">
      <formula>"X"</formula>
    </cfRule>
  </conditionalFormatting>
  <conditionalFormatting sqref="F1068:I1068">
    <cfRule type="cellIs" dxfId="257" priority="272" operator="equal">
      <formula>"X"</formula>
    </cfRule>
  </conditionalFormatting>
  <conditionalFormatting sqref="C1087:E1087">
    <cfRule type="cellIs" dxfId="256" priority="269" operator="equal">
      <formula>"X"</formula>
    </cfRule>
  </conditionalFormatting>
  <conditionalFormatting sqref="C1089:E1090 C1092:E1092 C1094:E1094 C1096:E1097 C1099:E1099 C1101:E1101">
    <cfRule type="cellIs" dxfId="255" priority="268" operator="equal">
      <formula>"X"</formula>
    </cfRule>
  </conditionalFormatting>
  <conditionalFormatting sqref="C1120:D1120">
    <cfRule type="cellIs" dxfId="254" priority="267" operator="equal">
      <formula>"X"</formula>
    </cfRule>
  </conditionalFormatting>
  <conditionalFormatting sqref="E1120:E1126">
    <cfRule type="cellIs" dxfId="253" priority="266" operator="equal">
      <formula>"X"</formula>
    </cfRule>
  </conditionalFormatting>
  <conditionalFormatting sqref="C1279:E1298">
    <cfRule type="cellIs" dxfId="252" priority="265" operator="equal">
      <formula>"X"</formula>
    </cfRule>
  </conditionalFormatting>
  <conditionalFormatting sqref="C1679:E1679">
    <cfRule type="cellIs" dxfId="251" priority="264" operator="equal">
      <formula>"X"</formula>
    </cfRule>
  </conditionalFormatting>
  <conditionalFormatting sqref="C1681:E1681">
    <cfRule type="cellIs" dxfId="250" priority="263" operator="equal">
      <formula>"X"</formula>
    </cfRule>
  </conditionalFormatting>
  <conditionalFormatting sqref="C1684:E1684 C1686:E1686">
    <cfRule type="cellIs" dxfId="249" priority="262" operator="equal">
      <formula>"X"</formula>
    </cfRule>
  </conditionalFormatting>
  <conditionalFormatting sqref="E1689">
    <cfRule type="cellIs" dxfId="248" priority="261" operator="equal">
      <formula>"X"</formula>
    </cfRule>
  </conditionalFormatting>
  <conditionalFormatting sqref="C1721:E1721">
    <cfRule type="cellIs" dxfId="247" priority="260" operator="equal">
      <formula>"X"</formula>
    </cfRule>
  </conditionalFormatting>
  <conditionalFormatting sqref="C1723:E1723">
    <cfRule type="cellIs" dxfId="246" priority="259" operator="equal">
      <formula>"X"</formula>
    </cfRule>
  </conditionalFormatting>
  <conditionalFormatting sqref="C1241:E1241">
    <cfRule type="cellIs" dxfId="245" priority="258" operator="equal">
      <formula>"X"</formula>
    </cfRule>
  </conditionalFormatting>
  <conditionalFormatting sqref="F1242:T1242">
    <cfRule type="cellIs" dxfId="244" priority="257" operator="equal">
      <formula>"X"</formula>
    </cfRule>
  </conditionalFormatting>
  <conditionalFormatting sqref="C1242:E1242">
    <cfRule type="cellIs" dxfId="243" priority="256" operator="equal">
      <formula>"X"</formula>
    </cfRule>
  </conditionalFormatting>
  <conditionalFormatting sqref="F1506">
    <cfRule type="cellIs" dxfId="242" priority="253" operator="equal">
      <formula>"X"</formula>
    </cfRule>
  </conditionalFormatting>
  <conditionalFormatting sqref="C1507:E1507 G1507:T1507">
    <cfRule type="cellIs" dxfId="241" priority="252" operator="equal">
      <formula>"X"</formula>
    </cfRule>
  </conditionalFormatting>
  <conditionalFormatting sqref="F1507">
    <cfRule type="cellIs" dxfId="240" priority="251" operator="equal">
      <formula>"X"</formula>
    </cfRule>
  </conditionalFormatting>
  <conditionalFormatting sqref="F1505">
    <cfRule type="cellIs" dxfId="239" priority="250" operator="equal">
      <formula>"X"</formula>
    </cfRule>
  </conditionalFormatting>
  <conditionalFormatting sqref="C1513:E1514 G1513:T1514">
    <cfRule type="cellIs" dxfId="238" priority="249" operator="equal">
      <formula>"X"</formula>
    </cfRule>
  </conditionalFormatting>
  <conditionalFormatting sqref="F1513:F1514">
    <cfRule type="cellIs" dxfId="237" priority="248" operator="equal">
      <formula>"X"</formula>
    </cfRule>
  </conditionalFormatting>
  <conditionalFormatting sqref="F1517">
    <cfRule type="cellIs" dxfId="236" priority="247" operator="equal">
      <formula>"X"</formula>
    </cfRule>
  </conditionalFormatting>
  <conditionalFormatting sqref="F1515">
    <cfRule type="cellIs" dxfId="235" priority="246" operator="equal">
      <formula>"X"</formula>
    </cfRule>
  </conditionalFormatting>
  <conditionalFormatting sqref="F1516">
    <cfRule type="cellIs" dxfId="234" priority="245" operator="equal">
      <formula>"X"</formula>
    </cfRule>
  </conditionalFormatting>
  <conditionalFormatting sqref="F1520:F1521">
    <cfRule type="cellIs" dxfId="233" priority="241" operator="equal">
      <formula>"X"</formula>
    </cfRule>
  </conditionalFormatting>
  <conditionalFormatting sqref="F1522">
    <cfRule type="cellIs" dxfId="232" priority="239" operator="equal">
      <formula>"X"</formula>
    </cfRule>
  </conditionalFormatting>
  <conditionalFormatting sqref="F1508">
    <cfRule type="cellIs" dxfId="231" priority="238" operator="equal">
      <formula>"X"</formula>
    </cfRule>
  </conditionalFormatting>
  <conditionalFormatting sqref="F1509">
    <cfRule type="cellIs" dxfId="230" priority="237" operator="equal">
      <formula>"X"</formula>
    </cfRule>
  </conditionalFormatting>
  <conditionalFormatting sqref="F1510">
    <cfRule type="cellIs" dxfId="229" priority="236" operator="equal">
      <formula>"X"</formula>
    </cfRule>
  </conditionalFormatting>
  <conditionalFormatting sqref="F1511:F1512">
    <cfRule type="cellIs" dxfId="228" priority="235" operator="equal">
      <formula>"X"</formula>
    </cfRule>
  </conditionalFormatting>
  <conditionalFormatting sqref="C173:T173">
    <cfRule type="cellIs" dxfId="227" priority="234" operator="equal">
      <formula>"X"</formula>
    </cfRule>
  </conditionalFormatting>
  <conditionalFormatting sqref="C1011:T1011">
    <cfRule type="cellIs" dxfId="226" priority="233" operator="equal">
      <formula>"X"</formula>
    </cfRule>
  </conditionalFormatting>
  <conditionalFormatting sqref="C863:E870">
    <cfRule type="cellIs" dxfId="225" priority="232" operator="equal">
      <formula>"X"</formula>
    </cfRule>
  </conditionalFormatting>
  <conditionalFormatting sqref="C728:E731">
    <cfRule type="cellIs" dxfId="224" priority="231" operator="equal">
      <formula>"X"</formula>
    </cfRule>
  </conditionalFormatting>
  <conditionalFormatting sqref="C744:T744">
    <cfRule type="cellIs" dxfId="223" priority="229" operator="equal">
      <formula>"X"</formula>
    </cfRule>
  </conditionalFormatting>
  <conditionalFormatting sqref="C743:T743">
    <cfRule type="cellIs" dxfId="222" priority="228" operator="equal">
      <formula>"X"</formula>
    </cfRule>
  </conditionalFormatting>
  <conditionalFormatting sqref="C749:T749">
    <cfRule type="cellIs" dxfId="221" priority="227" operator="equal">
      <formula>"X"</formula>
    </cfRule>
  </conditionalFormatting>
  <conditionalFormatting sqref="C1331:T1331">
    <cfRule type="cellIs" dxfId="220" priority="226" operator="equal">
      <formula>"X"</formula>
    </cfRule>
  </conditionalFormatting>
  <conditionalFormatting sqref="C1339:T1339">
    <cfRule type="cellIs" dxfId="219" priority="225" operator="equal">
      <formula>"X"</formula>
    </cfRule>
  </conditionalFormatting>
  <conditionalFormatting sqref="C98:T99">
    <cfRule type="cellIs" dxfId="218" priority="224" operator="equal">
      <formula>"X"</formula>
    </cfRule>
  </conditionalFormatting>
  <conditionalFormatting sqref="C105:T105">
    <cfRule type="cellIs" dxfId="217" priority="223" operator="equal">
      <formula>"X"</formula>
    </cfRule>
  </conditionalFormatting>
  <conditionalFormatting sqref="E771:T771">
    <cfRule type="cellIs" dxfId="216" priority="222" operator="equal">
      <formula>"X"</formula>
    </cfRule>
  </conditionalFormatting>
  <conditionalFormatting sqref="E1022:T1022">
    <cfRule type="cellIs" dxfId="215" priority="221" operator="equal">
      <formula>"X"</formula>
    </cfRule>
  </conditionalFormatting>
  <conditionalFormatting sqref="E1376:T1376">
    <cfRule type="cellIs" dxfId="214" priority="220" operator="equal">
      <formula>"X"</formula>
    </cfRule>
  </conditionalFormatting>
  <conditionalFormatting sqref="C1610:T1610">
    <cfRule type="cellIs" dxfId="213" priority="218" operator="equal">
      <formula>"X"</formula>
    </cfRule>
  </conditionalFormatting>
  <conditionalFormatting sqref="C1665:T1665">
    <cfRule type="cellIs" dxfId="212" priority="217" operator="equal">
      <formula>"X"</formula>
    </cfRule>
  </conditionalFormatting>
  <conditionalFormatting sqref="C428:T428">
    <cfRule type="cellIs" dxfId="211" priority="216" operator="equal">
      <formula>"X"</formula>
    </cfRule>
  </conditionalFormatting>
  <conditionalFormatting sqref="C484:T484">
    <cfRule type="cellIs" dxfId="210" priority="215" operator="equal">
      <formula>"X"</formula>
    </cfRule>
  </conditionalFormatting>
  <conditionalFormatting sqref="F388:H388">
    <cfRule type="cellIs" dxfId="209" priority="214" operator="equal">
      <formula>"X"</formula>
    </cfRule>
  </conditionalFormatting>
  <conditionalFormatting sqref="Q599:T599 E599:O599">
    <cfRule type="cellIs" dxfId="208" priority="213" operator="equal">
      <formula>"X"</formula>
    </cfRule>
  </conditionalFormatting>
  <conditionalFormatting sqref="P599">
    <cfRule type="cellIs" dxfId="207" priority="212" operator="equal">
      <formula>"X"</formula>
    </cfRule>
  </conditionalFormatting>
  <conditionalFormatting sqref="F604:T604">
    <cfRule type="cellIs" dxfId="206" priority="211" operator="equal">
      <formula>"X"</formula>
    </cfRule>
  </conditionalFormatting>
  <conditionalFormatting sqref="E604">
    <cfRule type="cellIs" dxfId="205" priority="210" operator="equal">
      <formula>"X"</formula>
    </cfRule>
  </conditionalFormatting>
  <conditionalFormatting sqref="E1473:T1473">
    <cfRule type="cellIs" dxfId="204" priority="209" operator="equal">
      <formula>"X"</formula>
    </cfRule>
  </conditionalFormatting>
  <conditionalFormatting sqref="E438:T438">
    <cfRule type="cellIs" dxfId="203" priority="208" operator="equal">
      <formula>"X"</formula>
    </cfRule>
  </conditionalFormatting>
  <conditionalFormatting sqref="C627 E627:T627 C629 C631 C633 C636 C638 C640 C642 C644 C646 C648 C650">
    <cfRule type="cellIs" dxfId="202" priority="203" operator="equal">
      <formula>"X"</formula>
    </cfRule>
  </conditionalFormatting>
  <conditionalFormatting sqref="C617:C623 E617:T623">
    <cfRule type="cellIs" dxfId="201" priority="207" operator="equal">
      <formula>"X"</formula>
    </cfRule>
  </conditionalFormatting>
  <conditionalFormatting sqref="C624 E624:T624">
    <cfRule type="cellIs" dxfId="200" priority="206" operator="equal">
      <formula>"X"</formula>
    </cfRule>
  </conditionalFormatting>
  <conditionalFormatting sqref="C625 E625:T625">
    <cfRule type="cellIs" dxfId="199" priority="205" operator="equal">
      <formula>"X"</formula>
    </cfRule>
  </conditionalFormatting>
  <conditionalFormatting sqref="C626 E626:T626">
    <cfRule type="cellIs" dxfId="198" priority="204" operator="equal">
      <formula>"X"</formula>
    </cfRule>
  </conditionalFormatting>
  <conditionalFormatting sqref="E630">
    <cfRule type="cellIs" dxfId="197" priority="199" operator="equal">
      <formula>"X"</formula>
    </cfRule>
  </conditionalFormatting>
  <conditionalFormatting sqref="F629:T629">
    <cfRule type="cellIs" dxfId="196" priority="202" operator="equal">
      <formula>"X"</formula>
    </cfRule>
  </conditionalFormatting>
  <conditionalFormatting sqref="E629 E631">
    <cfRule type="cellIs" dxfId="195" priority="201" operator="equal">
      <formula>"X"</formula>
    </cfRule>
  </conditionalFormatting>
  <conditionalFormatting sqref="F630:T630 G631:T631">
    <cfRule type="cellIs" dxfId="194" priority="200" operator="equal">
      <formula>"X"</formula>
    </cfRule>
  </conditionalFormatting>
  <conditionalFormatting sqref="C635 E635:T635 C637 C639 C641 C643 C645 C647 C649 C651:C653 C655:C658 C666:C668 C671 C676:C686 C713">
    <cfRule type="cellIs" dxfId="193" priority="196" operator="equal">
      <formula>"X"</formula>
    </cfRule>
  </conditionalFormatting>
  <conditionalFormatting sqref="E632:T632">
    <cfRule type="cellIs" dxfId="192" priority="198" operator="equal">
      <formula>"X"</formula>
    </cfRule>
  </conditionalFormatting>
  <conditionalFormatting sqref="C634 E634:T634">
    <cfRule type="cellIs" dxfId="191" priority="197" operator="equal">
      <formula>"X"</formula>
    </cfRule>
  </conditionalFormatting>
  <conditionalFormatting sqref="E645:T646">
    <cfRule type="cellIs" dxfId="190" priority="191" operator="equal">
      <formula>"X"</formula>
    </cfRule>
  </conditionalFormatting>
  <conditionalFormatting sqref="F637:T637">
    <cfRule type="cellIs" dxfId="189" priority="195" operator="equal">
      <formula>"X"</formula>
    </cfRule>
  </conditionalFormatting>
  <conditionalFormatting sqref="E637">
    <cfRule type="cellIs" dxfId="188" priority="194" operator="equal">
      <formula>"X"</formula>
    </cfRule>
  </conditionalFormatting>
  <conditionalFormatting sqref="E638:T638">
    <cfRule type="cellIs" dxfId="187" priority="193" operator="equal">
      <formula>"X"</formula>
    </cfRule>
  </conditionalFormatting>
  <conditionalFormatting sqref="E641:T641">
    <cfRule type="cellIs" dxfId="186" priority="192" operator="equal">
      <formula>"X"</formula>
    </cfRule>
  </conditionalFormatting>
  <conditionalFormatting sqref="E652:T652">
    <cfRule type="cellIs" dxfId="185" priority="190" operator="equal">
      <formula>"X"</formula>
    </cfRule>
  </conditionalFormatting>
  <conditionalFormatting sqref="Q911:T911 E911:O911">
    <cfRule type="cellIs" dxfId="184" priority="189" operator="equal">
      <formula>"X"</formula>
    </cfRule>
  </conditionalFormatting>
  <conditionalFormatting sqref="P911">
    <cfRule type="cellIs" dxfId="183" priority="188" operator="equal">
      <formula>"X"</formula>
    </cfRule>
  </conditionalFormatting>
  <conditionalFormatting sqref="E914:T914">
    <cfRule type="cellIs" dxfId="182" priority="187" operator="equal">
      <formula>"X"</formula>
    </cfRule>
  </conditionalFormatting>
  <conditionalFormatting sqref="F915:T915">
    <cfRule type="cellIs" dxfId="181" priority="186" operator="equal">
      <formula>"X"</formula>
    </cfRule>
  </conditionalFormatting>
  <conditionalFormatting sqref="C915 E915">
    <cfRule type="cellIs" dxfId="180" priority="185" operator="equal">
      <formula>"X"</formula>
    </cfRule>
  </conditionalFormatting>
  <conditionalFormatting sqref="C916 E916:T916">
    <cfRule type="cellIs" dxfId="179" priority="184" operator="equal">
      <formula>"X"</formula>
    </cfRule>
  </conditionalFormatting>
  <conditionalFormatting sqref="C922:C923">
    <cfRule type="cellIs" dxfId="178" priority="183" operator="equal">
      <formula>"X"</formula>
    </cfRule>
  </conditionalFormatting>
  <conditionalFormatting sqref="C933:C938 E933:T938">
    <cfRule type="cellIs" dxfId="177" priority="182" operator="equal">
      <formula>"X"</formula>
    </cfRule>
  </conditionalFormatting>
  <conditionalFormatting sqref="C939 E939:T939">
    <cfRule type="cellIs" dxfId="176" priority="181" operator="equal">
      <formula>"X"</formula>
    </cfRule>
  </conditionalFormatting>
  <conditionalFormatting sqref="F945:T945">
    <cfRule type="cellIs" dxfId="175" priority="180" operator="equal">
      <formula>"X"</formula>
    </cfRule>
  </conditionalFormatting>
  <conditionalFormatting sqref="E945">
    <cfRule type="cellIs" dxfId="174" priority="179" operator="equal">
      <formula>"X"</formula>
    </cfRule>
  </conditionalFormatting>
  <conditionalFormatting sqref="F946:T946">
    <cfRule type="cellIs" dxfId="173" priority="178" operator="equal">
      <formula>"X"</formula>
    </cfRule>
  </conditionalFormatting>
  <conditionalFormatting sqref="E946">
    <cfRule type="cellIs" dxfId="172" priority="177" operator="equal">
      <formula>"X"</formula>
    </cfRule>
  </conditionalFormatting>
  <conditionalFormatting sqref="E947:T947">
    <cfRule type="cellIs" dxfId="171" priority="176" operator="equal">
      <formula>"X"</formula>
    </cfRule>
  </conditionalFormatting>
  <conditionalFormatting sqref="E950:T950">
    <cfRule type="cellIs" dxfId="170" priority="175" operator="equal">
      <formula>"X"</formula>
    </cfRule>
  </conditionalFormatting>
  <conditionalFormatting sqref="F951:T951">
    <cfRule type="cellIs" dxfId="169" priority="174" operator="equal">
      <formula>"X"</formula>
    </cfRule>
  </conditionalFormatting>
  <conditionalFormatting sqref="E951">
    <cfRule type="cellIs" dxfId="168" priority="173" operator="equal">
      <formula>"X"</formula>
    </cfRule>
  </conditionalFormatting>
  <conditionalFormatting sqref="E952">
    <cfRule type="cellIs" dxfId="167" priority="172" operator="equal">
      <formula>"X"</formula>
    </cfRule>
  </conditionalFormatting>
  <conditionalFormatting sqref="F952:T952">
    <cfRule type="cellIs" dxfId="166" priority="171" operator="equal">
      <formula>"X"</formula>
    </cfRule>
  </conditionalFormatting>
  <conditionalFormatting sqref="F954:T954">
    <cfRule type="cellIs" dxfId="165" priority="170" operator="equal">
      <formula>"X"</formula>
    </cfRule>
  </conditionalFormatting>
  <conditionalFormatting sqref="E954">
    <cfRule type="cellIs" dxfId="164" priority="169" operator="equal">
      <formula>"X"</formula>
    </cfRule>
  </conditionalFormatting>
  <conditionalFormatting sqref="F955:T955">
    <cfRule type="cellIs" dxfId="163" priority="168" operator="equal">
      <formula>"X"</formula>
    </cfRule>
  </conditionalFormatting>
  <conditionalFormatting sqref="E955">
    <cfRule type="cellIs" dxfId="162" priority="167" operator="equal">
      <formula>"X"</formula>
    </cfRule>
  </conditionalFormatting>
  <conditionalFormatting sqref="F959:T959">
    <cfRule type="cellIs" dxfId="161" priority="166" operator="equal">
      <formula>"X"</formula>
    </cfRule>
  </conditionalFormatting>
  <conditionalFormatting sqref="E959">
    <cfRule type="cellIs" dxfId="160" priority="165" operator="equal">
      <formula>"X"</formula>
    </cfRule>
  </conditionalFormatting>
  <conditionalFormatting sqref="C654 E654:T654">
    <cfRule type="cellIs" dxfId="159" priority="164" operator="equal">
      <formula>"X"</formula>
    </cfRule>
  </conditionalFormatting>
  <conditionalFormatting sqref="E653:T653">
    <cfRule type="cellIs" dxfId="158" priority="163" operator="equal">
      <formula>"X"</formula>
    </cfRule>
  </conditionalFormatting>
  <conditionalFormatting sqref="E655:T655">
    <cfRule type="cellIs" dxfId="157" priority="162" operator="equal">
      <formula>"X"</formula>
    </cfRule>
  </conditionalFormatting>
  <conditionalFormatting sqref="E656:T656">
    <cfRule type="cellIs" dxfId="156" priority="161" operator="equal">
      <formula>"X"</formula>
    </cfRule>
  </conditionalFormatting>
  <conditionalFormatting sqref="E657:T657">
    <cfRule type="cellIs" dxfId="155" priority="160" operator="equal">
      <formula>"X"</formula>
    </cfRule>
  </conditionalFormatting>
  <conditionalFormatting sqref="E658:T658">
    <cfRule type="cellIs" dxfId="154" priority="159" operator="equal">
      <formula>"X"</formula>
    </cfRule>
  </conditionalFormatting>
  <conditionalFormatting sqref="E666:T666">
    <cfRule type="cellIs" dxfId="153" priority="157" operator="equal">
      <formula>"X"</formula>
    </cfRule>
  </conditionalFormatting>
  <conditionalFormatting sqref="I722">
    <cfRule type="cellIs" dxfId="152" priority="156" operator="equal">
      <formula>"X"</formula>
    </cfRule>
  </conditionalFormatting>
  <conditionalFormatting sqref="I1324">
    <cfRule type="cellIs" dxfId="151" priority="155" operator="equal">
      <formula>"X"</formula>
    </cfRule>
  </conditionalFormatting>
  <conditionalFormatting sqref="I80">
    <cfRule type="cellIs" dxfId="150" priority="154" operator="equal">
      <formula>"X"</formula>
    </cfRule>
  </conditionalFormatting>
  <conditionalFormatting sqref="I144">
    <cfRule type="cellIs" dxfId="149" priority="153" operator="equal">
      <formula>"X"</formula>
    </cfRule>
  </conditionalFormatting>
  <conditionalFormatting sqref="E667:T668">
    <cfRule type="cellIs" dxfId="148" priority="152" operator="equal">
      <formula>"X"</formula>
    </cfRule>
  </conditionalFormatting>
  <conditionalFormatting sqref="F669:T670">
    <cfRule type="cellIs" dxfId="147" priority="151" operator="equal">
      <formula>"X"</formula>
    </cfRule>
  </conditionalFormatting>
  <conditionalFormatting sqref="C669:C670 E669:E670">
    <cfRule type="cellIs" dxfId="146" priority="150" operator="equal">
      <formula>"X"</formula>
    </cfRule>
  </conditionalFormatting>
  <conditionalFormatting sqref="E671:T671">
    <cfRule type="cellIs" dxfId="145" priority="149" operator="equal">
      <formula>"X"</formula>
    </cfRule>
  </conditionalFormatting>
  <conditionalFormatting sqref="C672:C673 E672:T673">
    <cfRule type="cellIs" dxfId="144" priority="148" operator="equal">
      <formula>"X"</formula>
    </cfRule>
  </conditionalFormatting>
  <conditionalFormatting sqref="C674:T675">
    <cfRule type="cellIs" dxfId="143" priority="147" operator="equal">
      <formula>"X"</formula>
    </cfRule>
  </conditionalFormatting>
  <conditionalFormatting sqref="E676:T676">
    <cfRule type="cellIs" dxfId="142" priority="146" operator="equal">
      <formula>"X"</formula>
    </cfRule>
  </conditionalFormatting>
  <conditionalFormatting sqref="E677:T677">
    <cfRule type="cellIs" dxfId="141" priority="145" operator="equal">
      <formula>"X"</formula>
    </cfRule>
  </conditionalFormatting>
  <conditionalFormatting sqref="E678:T678">
    <cfRule type="cellIs" dxfId="140" priority="144" operator="equal">
      <formula>"X"</formula>
    </cfRule>
  </conditionalFormatting>
  <conditionalFormatting sqref="E679:T679">
    <cfRule type="cellIs" dxfId="139" priority="143" operator="equal">
      <formula>"X"</formula>
    </cfRule>
  </conditionalFormatting>
  <conditionalFormatting sqref="E680:T680">
    <cfRule type="cellIs" dxfId="138" priority="142" operator="equal">
      <formula>"X"</formula>
    </cfRule>
  </conditionalFormatting>
  <conditionalFormatting sqref="E681:T681">
    <cfRule type="cellIs" dxfId="137" priority="141" operator="equal">
      <formula>"X"</formula>
    </cfRule>
  </conditionalFormatting>
  <conditionalFormatting sqref="E682:T682">
    <cfRule type="cellIs" dxfId="136" priority="140" operator="equal">
      <formula>"X"</formula>
    </cfRule>
  </conditionalFormatting>
  <conditionalFormatting sqref="E683:T683">
    <cfRule type="cellIs" dxfId="135" priority="139" operator="equal">
      <formula>"X"</formula>
    </cfRule>
  </conditionalFormatting>
  <conditionalFormatting sqref="E687:O687">
    <cfRule type="cellIs" dxfId="134" priority="133" operator="equal">
      <formula>"X"</formula>
    </cfRule>
  </conditionalFormatting>
  <conditionalFormatting sqref="E684:T684">
    <cfRule type="cellIs" dxfId="133" priority="138" operator="equal">
      <formula>"X"</formula>
    </cfRule>
  </conditionalFormatting>
  <conditionalFormatting sqref="E685:T685">
    <cfRule type="cellIs" dxfId="132" priority="137" operator="equal">
      <formula>"X"</formula>
    </cfRule>
  </conditionalFormatting>
  <conditionalFormatting sqref="E686:T686">
    <cfRule type="cellIs" dxfId="131" priority="136" operator="equal">
      <formula>"X"</formula>
    </cfRule>
  </conditionalFormatting>
  <conditionalFormatting sqref="P687:T687 C687:C688 K688:T688">
    <cfRule type="cellIs" dxfId="130" priority="135" operator="equal">
      <formula>"X"</formula>
    </cfRule>
  </conditionalFormatting>
  <conditionalFormatting sqref="E688:J688">
    <cfRule type="cellIs" dxfId="129" priority="134" operator="equal">
      <formula>"X"</formula>
    </cfRule>
  </conditionalFormatting>
  <conditionalFormatting sqref="E713:T713">
    <cfRule type="cellIs" dxfId="128" priority="128" operator="equal">
      <formula>"X"</formula>
    </cfRule>
  </conditionalFormatting>
  <conditionalFormatting sqref="C689:C711 E711 G711:T711 E689:T710">
    <cfRule type="cellIs" dxfId="127" priority="132" operator="equal">
      <formula>"X"</formula>
    </cfRule>
  </conditionalFormatting>
  <conditionalFormatting sqref="F711">
    <cfRule type="cellIs" dxfId="126" priority="131" operator="equal">
      <formula>"X"</formula>
    </cfRule>
  </conditionalFormatting>
  <conditionalFormatting sqref="C712 G712:T712 E712">
    <cfRule type="cellIs" dxfId="125" priority="130" operator="equal">
      <formula>"X"</formula>
    </cfRule>
  </conditionalFormatting>
  <conditionalFormatting sqref="F712">
    <cfRule type="cellIs" dxfId="124" priority="129" operator="equal">
      <formula>"X"</formula>
    </cfRule>
  </conditionalFormatting>
  <conditionalFormatting sqref="C1527 E1527:T1527">
    <cfRule type="cellIs" dxfId="123" priority="127" operator="equal">
      <formula>"X"</formula>
    </cfRule>
  </conditionalFormatting>
  <conditionalFormatting sqref="F1528:T1528">
    <cfRule type="cellIs" dxfId="122" priority="126" operator="equal">
      <formula>"X"</formula>
    </cfRule>
  </conditionalFormatting>
  <conditionalFormatting sqref="C1528 E1528">
    <cfRule type="cellIs" dxfId="121" priority="125" operator="equal">
      <formula>"X"</formula>
    </cfRule>
  </conditionalFormatting>
  <conditionalFormatting sqref="L1529:T1529">
    <cfRule type="cellIs" dxfId="120" priority="124" operator="equal">
      <formula>"X"</formula>
    </cfRule>
  </conditionalFormatting>
  <conditionalFormatting sqref="C1529 E1529">
    <cfRule type="cellIs" dxfId="119" priority="123" operator="equal">
      <formula>"X"</formula>
    </cfRule>
  </conditionalFormatting>
  <conditionalFormatting sqref="C1530 E1530:T1530">
    <cfRule type="cellIs" dxfId="118" priority="122" operator="equal">
      <formula>"X"</formula>
    </cfRule>
  </conditionalFormatting>
  <conditionalFormatting sqref="C1531 E1531:T1531">
    <cfRule type="cellIs" dxfId="117" priority="121" operator="equal">
      <formula>"X"</formula>
    </cfRule>
  </conditionalFormatting>
  <conditionalFormatting sqref="C1532 E1532:T1532">
    <cfRule type="cellIs" dxfId="116" priority="120" operator="equal">
      <formula>"X"</formula>
    </cfRule>
  </conditionalFormatting>
  <conditionalFormatting sqref="C1533 E1533:T1533">
    <cfRule type="cellIs" dxfId="115" priority="119" operator="equal">
      <formula>"X"</formula>
    </cfRule>
  </conditionalFormatting>
  <conditionalFormatting sqref="E1535:T1535">
    <cfRule type="cellIs" dxfId="114" priority="118" operator="equal">
      <formula>"X"</formula>
    </cfRule>
  </conditionalFormatting>
  <conditionalFormatting sqref="C1537 E1537:T1537">
    <cfRule type="cellIs" dxfId="113" priority="117" operator="equal">
      <formula>"X"</formula>
    </cfRule>
  </conditionalFormatting>
  <conditionalFormatting sqref="E1539:T1539">
    <cfRule type="cellIs" dxfId="112" priority="116" operator="equal">
      <formula>"X"</formula>
    </cfRule>
  </conditionalFormatting>
  <conditionalFormatting sqref="F1540:T1540">
    <cfRule type="cellIs" dxfId="111" priority="115" operator="equal">
      <formula>"X"</formula>
    </cfRule>
  </conditionalFormatting>
  <conditionalFormatting sqref="E1540">
    <cfRule type="cellIs" dxfId="110" priority="114" operator="equal">
      <formula>"X"</formula>
    </cfRule>
  </conditionalFormatting>
  <conditionalFormatting sqref="C1542 E1542:T1542">
    <cfRule type="cellIs" dxfId="109" priority="113" operator="equal">
      <formula>"X"</formula>
    </cfRule>
  </conditionalFormatting>
  <conditionalFormatting sqref="C1543 E1543:T1543">
    <cfRule type="cellIs" dxfId="108" priority="112" operator="equal">
      <formula>"X"</formula>
    </cfRule>
  </conditionalFormatting>
  <conditionalFormatting sqref="C1548 E1548:T1548">
    <cfRule type="cellIs" dxfId="107" priority="110" operator="equal">
      <formula>"X"</formula>
    </cfRule>
  </conditionalFormatting>
  <conditionalFormatting sqref="C1549 E1549:T1549">
    <cfRule type="cellIs" dxfId="106" priority="109" operator="equal">
      <formula>"X"</formula>
    </cfRule>
  </conditionalFormatting>
  <conditionalFormatting sqref="C1550 E1550:T1550">
    <cfRule type="cellIs" dxfId="105" priority="108" operator="equal">
      <formula>"X"</formula>
    </cfRule>
  </conditionalFormatting>
  <conditionalFormatting sqref="E1551:T1551">
    <cfRule type="cellIs" dxfId="104" priority="107" operator="equal">
      <formula>"X"</formula>
    </cfRule>
  </conditionalFormatting>
  <conditionalFormatting sqref="F1552:T1552">
    <cfRule type="cellIs" dxfId="103" priority="106" operator="equal">
      <formula>"X"</formula>
    </cfRule>
  </conditionalFormatting>
  <conditionalFormatting sqref="C1552 E1552">
    <cfRule type="cellIs" dxfId="102" priority="105" operator="equal">
      <formula>"X"</formula>
    </cfRule>
  </conditionalFormatting>
  <conditionalFormatting sqref="C1553 E1553:T1553">
    <cfRule type="cellIs" dxfId="101" priority="104" operator="equal">
      <formula>"X"</formula>
    </cfRule>
  </conditionalFormatting>
  <conditionalFormatting sqref="C1554 E1554:T1554">
    <cfRule type="cellIs" dxfId="100" priority="103" operator="equal">
      <formula>"X"</formula>
    </cfRule>
  </conditionalFormatting>
  <conditionalFormatting sqref="C1555 E1555:T1555">
    <cfRule type="cellIs" dxfId="99" priority="102" operator="equal">
      <formula>"X"</formula>
    </cfRule>
  </conditionalFormatting>
  <conditionalFormatting sqref="C1556 E1556:T1556">
    <cfRule type="cellIs" dxfId="98" priority="101" operator="equal">
      <formula>"X"</formula>
    </cfRule>
  </conditionalFormatting>
  <conditionalFormatting sqref="C1557 E1557:T1557">
    <cfRule type="cellIs" dxfId="97" priority="100" operator="equal">
      <formula>"X"</formula>
    </cfRule>
  </conditionalFormatting>
  <conditionalFormatting sqref="C1558 E1558:T1558">
    <cfRule type="cellIs" dxfId="96" priority="99" operator="equal">
      <formula>"X"</formula>
    </cfRule>
  </conditionalFormatting>
  <conditionalFormatting sqref="E1559:T1559">
    <cfRule type="cellIs" dxfId="95" priority="98" operator="equal">
      <formula>"X"</formula>
    </cfRule>
  </conditionalFormatting>
  <conditionalFormatting sqref="C1560 E1560:T1560">
    <cfRule type="cellIs" dxfId="94" priority="97" operator="equal">
      <formula>"X"</formula>
    </cfRule>
  </conditionalFormatting>
  <conditionalFormatting sqref="C1561 E1561:T1561">
    <cfRule type="cellIs" dxfId="93" priority="96" operator="equal">
      <formula>"X"</formula>
    </cfRule>
  </conditionalFormatting>
  <conditionalFormatting sqref="C1562 E1562:T1562">
    <cfRule type="cellIs" dxfId="92" priority="95" operator="equal">
      <formula>"X"</formula>
    </cfRule>
  </conditionalFormatting>
  <conditionalFormatting sqref="C1563 E1563:T1563">
    <cfRule type="cellIs" dxfId="91" priority="94" operator="equal">
      <formula>"X"</formula>
    </cfRule>
  </conditionalFormatting>
  <conditionalFormatting sqref="C1564 E1564:T1564">
    <cfRule type="cellIs" dxfId="90" priority="93" operator="equal">
      <formula>"X"</formula>
    </cfRule>
  </conditionalFormatting>
  <conditionalFormatting sqref="E498:T498">
    <cfRule type="cellIs" dxfId="89" priority="92" operator="equal">
      <formula>"X"</formula>
    </cfRule>
  </conditionalFormatting>
  <conditionalFormatting sqref="E499:O499">
    <cfRule type="cellIs" dxfId="88" priority="90" operator="equal">
      <formula>"X"</formula>
    </cfRule>
  </conditionalFormatting>
  <conditionalFormatting sqref="P499:T499">
    <cfRule type="cellIs" dxfId="87" priority="91" operator="equal">
      <formula>"X"</formula>
    </cfRule>
  </conditionalFormatting>
  <conditionalFormatting sqref="E500:T500">
    <cfRule type="cellIs" dxfId="86" priority="88" operator="equal">
      <formula>"X"</formula>
    </cfRule>
  </conditionalFormatting>
  <conditionalFormatting sqref="E501:T502">
    <cfRule type="cellIs" dxfId="85" priority="87" operator="equal">
      <formula>"X"</formula>
    </cfRule>
  </conditionalFormatting>
  <conditionalFormatting sqref="E525:T525">
    <cfRule type="cellIs" dxfId="84" priority="85" operator="equal">
      <formula>"X"</formula>
    </cfRule>
  </conditionalFormatting>
  <conditionalFormatting sqref="K528:T528">
    <cfRule type="cellIs" dxfId="83" priority="84" operator="equal">
      <formula>"X"</formula>
    </cfRule>
  </conditionalFormatting>
  <conditionalFormatting sqref="E528:J528">
    <cfRule type="cellIs" dxfId="82" priority="83" operator="equal">
      <formula>"X"</formula>
    </cfRule>
  </conditionalFormatting>
  <conditionalFormatting sqref="E529:T529">
    <cfRule type="cellIs" dxfId="81" priority="82" operator="equal">
      <formula>"X"</formula>
    </cfRule>
  </conditionalFormatting>
  <conditionalFormatting sqref="E531:T531">
    <cfRule type="cellIs" dxfId="80" priority="81" operator="equal">
      <formula>"X"</formula>
    </cfRule>
  </conditionalFormatting>
  <conditionalFormatting sqref="C533 E533:T533">
    <cfRule type="cellIs" dxfId="79" priority="80" operator="equal">
      <formula>"X"</formula>
    </cfRule>
  </conditionalFormatting>
  <conditionalFormatting sqref="F535:T535">
    <cfRule type="cellIs" dxfId="78" priority="79" operator="equal">
      <formula>"X"</formula>
    </cfRule>
  </conditionalFormatting>
  <conditionalFormatting sqref="E535">
    <cfRule type="cellIs" dxfId="77" priority="78" operator="equal">
      <formula>"X"</formula>
    </cfRule>
  </conditionalFormatting>
  <conditionalFormatting sqref="E538:T538">
    <cfRule type="cellIs" dxfId="76" priority="77" operator="equal">
      <formula>"X"</formula>
    </cfRule>
  </conditionalFormatting>
  <conditionalFormatting sqref="C539:C540 C542 E542:T542 E539:T540">
    <cfRule type="cellIs" dxfId="75" priority="76" operator="equal">
      <formula>"X"</formula>
    </cfRule>
  </conditionalFormatting>
  <conditionalFormatting sqref="C543 I543:T543 E543">
    <cfRule type="cellIs" dxfId="74" priority="75" operator="equal">
      <formula>"X"</formula>
    </cfRule>
  </conditionalFormatting>
  <conditionalFormatting sqref="F543:H543">
    <cfRule type="cellIs" dxfId="73" priority="74" operator="equal">
      <formula>"X"</formula>
    </cfRule>
  </conditionalFormatting>
  <conditionalFormatting sqref="C541 E541:T541">
    <cfRule type="cellIs" dxfId="72" priority="73" operator="equal">
      <formula>"X"</formula>
    </cfRule>
  </conditionalFormatting>
  <conditionalFormatting sqref="L547:T547">
    <cfRule type="cellIs" dxfId="71" priority="72" operator="equal">
      <formula>"X"</formula>
    </cfRule>
  </conditionalFormatting>
  <conditionalFormatting sqref="E547:K547">
    <cfRule type="cellIs" dxfId="70" priority="71" operator="equal">
      <formula>"X"</formula>
    </cfRule>
  </conditionalFormatting>
  <conditionalFormatting sqref="E548:T548">
    <cfRule type="cellIs" dxfId="69" priority="70" operator="equal">
      <formula>"X"</formula>
    </cfRule>
  </conditionalFormatting>
  <conditionalFormatting sqref="E550:T550">
    <cfRule type="cellIs" dxfId="68" priority="69" operator="equal">
      <formula>"X"</formula>
    </cfRule>
  </conditionalFormatting>
  <conditionalFormatting sqref="C1416:T1419 D1420:D1469">
    <cfRule type="cellIs" dxfId="67" priority="68" operator="equal">
      <formula>"X"</formula>
    </cfRule>
  </conditionalFormatting>
  <conditionalFormatting sqref="C1420:C1424 E1420:T1424">
    <cfRule type="cellIs" dxfId="66" priority="67" operator="equal">
      <formula>"X"</formula>
    </cfRule>
  </conditionalFormatting>
  <conditionalFormatting sqref="F1426:T1431 C1425 E1425:T1425">
    <cfRule type="cellIs" dxfId="65" priority="66" operator="equal">
      <formula>"X"</formula>
    </cfRule>
  </conditionalFormatting>
  <conditionalFormatting sqref="C1426:C1431 E1426:E1431">
    <cfRule type="cellIs" dxfId="64" priority="65" operator="equal">
      <formula>"X"</formula>
    </cfRule>
  </conditionalFormatting>
  <conditionalFormatting sqref="F1432:T1432 C1433:C1438 E1433:T1438">
    <cfRule type="cellIs" dxfId="63" priority="64" operator="equal">
      <formula>"X"</formula>
    </cfRule>
  </conditionalFormatting>
  <conditionalFormatting sqref="C1432 E1432">
    <cfRule type="cellIs" dxfId="62" priority="63" operator="equal">
      <formula>"X"</formula>
    </cfRule>
  </conditionalFormatting>
  <conditionalFormatting sqref="C1439:C1440 E1439:T1440">
    <cfRule type="cellIs" dxfId="61" priority="62" operator="equal">
      <formula>"X"</formula>
    </cfRule>
  </conditionalFormatting>
  <conditionalFormatting sqref="C1441:C1447 E1441:T1447">
    <cfRule type="cellIs" dxfId="60" priority="61" operator="equal">
      <formula>"X"</formula>
    </cfRule>
  </conditionalFormatting>
  <conditionalFormatting sqref="C1448 E1448:T1448">
    <cfRule type="cellIs" dxfId="59" priority="60" operator="equal">
      <formula>"X"</formula>
    </cfRule>
  </conditionalFormatting>
  <conditionalFormatting sqref="C1449 E1449:T1449">
    <cfRule type="cellIs" dxfId="58" priority="59" operator="equal">
      <formula>"X"</formula>
    </cfRule>
  </conditionalFormatting>
  <conditionalFormatting sqref="C1450:C1452 E1450:T1452">
    <cfRule type="cellIs" dxfId="57" priority="58" operator="equal">
      <formula>"X"</formula>
    </cfRule>
  </conditionalFormatting>
  <conditionalFormatting sqref="C1453:C1457 E1453:T1457">
    <cfRule type="cellIs" dxfId="56" priority="57" operator="equal">
      <formula>"X"</formula>
    </cfRule>
  </conditionalFormatting>
  <conditionalFormatting sqref="C1458 E1458:T1458">
    <cfRule type="cellIs" dxfId="55" priority="56" operator="equal">
      <formula>"X"</formula>
    </cfRule>
  </conditionalFormatting>
  <conditionalFormatting sqref="C1459 E1459:T1459">
    <cfRule type="cellIs" dxfId="54" priority="55" operator="equal">
      <formula>"X"</formula>
    </cfRule>
  </conditionalFormatting>
  <conditionalFormatting sqref="C1460 E1460:T1460">
    <cfRule type="cellIs" dxfId="53" priority="54" operator="equal">
      <formula>"X"</formula>
    </cfRule>
  </conditionalFormatting>
  <conditionalFormatting sqref="C1461 E1461:T1461">
    <cfRule type="cellIs" dxfId="52" priority="53" operator="equal">
      <formula>"X"</formula>
    </cfRule>
  </conditionalFormatting>
  <conditionalFormatting sqref="C1462:C1463 E1462:T1463">
    <cfRule type="cellIs" dxfId="51" priority="52" operator="equal">
      <formula>"X"</formula>
    </cfRule>
  </conditionalFormatting>
  <conditionalFormatting sqref="C1464:C1465 E1464:T1465">
    <cfRule type="cellIs" dxfId="50" priority="51" operator="equal">
      <formula>"X"</formula>
    </cfRule>
  </conditionalFormatting>
  <conditionalFormatting sqref="C1466 E1466:T1466">
    <cfRule type="cellIs" dxfId="49" priority="50" operator="equal">
      <formula>"X"</formula>
    </cfRule>
  </conditionalFormatting>
  <conditionalFormatting sqref="C1467 E1467:T1467">
    <cfRule type="cellIs" dxfId="48" priority="49" operator="equal">
      <formula>"X"</formula>
    </cfRule>
  </conditionalFormatting>
  <conditionalFormatting sqref="C1468 E1468:T1468">
    <cfRule type="cellIs" dxfId="47" priority="48" operator="equal">
      <formula>"X"</formula>
    </cfRule>
  </conditionalFormatting>
  <conditionalFormatting sqref="C1469 E1469:T1469">
    <cfRule type="cellIs" dxfId="46" priority="47" operator="equal">
      <formula>"X"</formula>
    </cfRule>
  </conditionalFormatting>
  <conditionalFormatting sqref="F996">
    <cfRule type="cellIs" dxfId="45" priority="46" operator="equal">
      <formula>"X"</formula>
    </cfRule>
  </conditionalFormatting>
  <conditionalFormatting sqref="C973:T973">
    <cfRule type="cellIs" dxfId="44" priority="45" operator="equal">
      <formula>"X"</formula>
    </cfRule>
  </conditionalFormatting>
  <conditionalFormatting sqref="C71:T71">
    <cfRule type="cellIs" dxfId="43" priority="44" operator="equal">
      <formula>"X"</formula>
    </cfRule>
  </conditionalFormatting>
  <conditionalFormatting sqref="C4:T6">
    <cfRule type="cellIs" dxfId="42" priority="43" operator="equal">
      <formula>"X"</formula>
    </cfRule>
  </conditionalFormatting>
  <conditionalFormatting sqref="C7:T7">
    <cfRule type="cellIs" dxfId="41" priority="42" operator="equal">
      <formula>"X"</formula>
    </cfRule>
  </conditionalFormatting>
  <conditionalFormatting sqref="C10:T10">
    <cfRule type="cellIs" dxfId="40" priority="40" operator="equal">
      <formula>"X"</formula>
    </cfRule>
  </conditionalFormatting>
  <conditionalFormatting sqref="C11:T11">
    <cfRule type="cellIs" dxfId="39" priority="39" operator="equal">
      <formula>"X"</formula>
    </cfRule>
  </conditionalFormatting>
  <conditionalFormatting sqref="C12:T14">
    <cfRule type="cellIs" dxfId="38" priority="38" operator="equal">
      <formula>"X"</formula>
    </cfRule>
  </conditionalFormatting>
  <conditionalFormatting sqref="C15:T15">
    <cfRule type="cellIs" dxfId="37" priority="37" operator="equal">
      <formula>"X"</formula>
    </cfRule>
  </conditionalFormatting>
  <conditionalFormatting sqref="C16:T16">
    <cfRule type="cellIs" dxfId="36" priority="36" operator="equal">
      <formula>"X"</formula>
    </cfRule>
  </conditionalFormatting>
  <conditionalFormatting sqref="C17:T17">
    <cfRule type="cellIs" dxfId="35" priority="35" operator="equal">
      <formula>"X"</formula>
    </cfRule>
  </conditionalFormatting>
  <conditionalFormatting sqref="C18:T19">
    <cfRule type="cellIs" dxfId="34" priority="34" operator="equal">
      <formula>"X"</formula>
    </cfRule>
  </conditionalFormatting>
  <conditionalFormatting sqref="C24:T33 C20:T22 C35:T37">
    <cfRule type="cellIs" dxfId="33" priority="32" operator="equal">
      <formula>"X"</formula>
    </cfRule>
  </conditionalFormatting>
  <conditionalFormatting sqref="C23:T23">
    <cfRule type="cellIs" dxfId="32" priority="31" operator="equal">
      <formula>"X"</formula>
    </cfRule>
  </conditionalFormatting>
  <conditionalFormatting sqref="C34:T34">
    <cfRule type="cellIs" dxfId="31" priority="30" operator="equal">
      <formula>"X"</formula>
    </cfRule>
  </conditionalFormatting>
  <conditionalFormatting sqref="C38:T40">
    <cfRule type="cellIs" dxfId="30" priority="29" operator="equal">
      <formula>"X"</formula>
    </cfRule>
  </conditionalFormatting>
  <conditionalFormatting sqref="C41:T41 L43:T43">
    <cfRule type="cellIs" dxfId="29" priority="28" operator="equal">
      <formula>"X"</formula>
    </cfRule>
  </conditionalFormatting>
  <conditionalFormatting sqref="C44:T45">
    <cfRule type="cellIs" dxfId="28" priority="27" operator="equal">
      <formula>"X"</formula>
    </cfRule>
  </conditionalFormatting>
  <conditionalFormatting sqref="C46:T46">
    <cfRule type="cellIs" dxfId="27" priority="26" operator="equal">
      <formula>"X"</formula>
    </cfRule>
  </conditionalFormatting>
  <conditionalFormatting sqref="C47:T49">
    <cfRule type="cellIs" dxfId="26" priority="25" operator="equal">
      <formula>"X"</formula>
    </cfRule>
  </conditionalFormatting>
  <conditionalFormatting sqref="C50:T51">
    <cfRule type="cellIs" dxfId="25" priority="24" operator="equal">
      <formula>"X"</formula>
    </cfRule>
  </conditionalFormatting>
  <conditionalFormatting sqref="C52:T52">
    <cfRule type="cellIs" dxfId="24" priority="23" operator="equal">
      <formula>"X"</formula>
    </cfRule>
  </conditionalFormatting>
  <conditionalFormatting sqref="C53:T54">
    <cfRule type="cellIs" dxfId="23" priority="22" operator="equal">
      <formula>"X"</formula>
    </cfRule>
  </conditionalFormatting>
  <conditionalFormatting sqref="C55:T59">
    <cfRule type="cellIs" dxfId="22" priority="21" operator="equal">
      <formula>"X"</formula>
    </cfRule>
  </conditionalFormatting>
  <conditionalFormatting sqref="C60:T60">
    <cfRule type="cellIs" dxfId="21" priority="20" operator="equal">
      <formula>"X"</formula>
    </cfRule>
  </conditionalFormatting>
  <conditionalFormatting sqref="C61:T61">
    <cfRule type="cellIs" dxfId="20" priority="19" operator="equal">
      <formula>"X"</formula>
    </cfRule>
  </conditionalFormatting>
  <conditionalFormatting sqref="C62:T62">
    <cfRule type="cellIs" dxfId="19" priority="18" operator="equal">
      <formula>"X"</formula>
    </cfRule>
  </conditionalFormatting>
  <conditionalFormatting sqref="C63:T63 D64:D70">
    <cfRule type="cellIs" dxfId="18" priority="17" operator="equal">
      <formula>"X"</formula>
    </cfRule>
  </conditionalFormatting>
  <conditionalFormatting sqref="C64:C65 E64:T65">
    <cfRule type="cellIs" dxfId="17" priority="16" operator="equal">
      <formula>"X"</formula>
    </cfRule>
  </conditionalFormatting>
  <conditionalFormatting sqref="C66 E66:T66">
    <cfRule type="cellIs" dxfId="16" priority="15" operator="equal">
      <formula>"X"</formula>
    </cfRule>
  </conditionalFormatting>
  <conditionalFormatting sqref="C67 E67:T67">
    <cfRule type="cellIs" dxfId="15" priority="14" operator="equal">
      <formula>"X"</formula>
    </cfRule>
  </conditionalFormatting>
  <conditionalFormatting sqref="C68 E68:T68">
    <cfRule type="cellIs" dxfId="14" priority="13" operator="equal">
      <formula>"X"</formula>
    </cfRule>
  </conditionalFormatting>
  <conditionalFormatting sqref="C69:C70 E69:T70">
    <cfRule type="cellIs" dxfId="13" priority="12" operator="equal">
      <formula>"X"</formula>
    </cfRule>
  </conditionalFormatting>
  <conditionalFormatting sqref="C42:T42 C43:F43">
    <cfRule type="cellIs" dxfId="12" priority="11" operator="equal">
      <formula>"X"</formula>
    </cfRule>
  </conditionalFormatting>
  <conditionalFormatting sqref="J43">
    <cfRule type="cellIs" dxfId="11" priority="10" operator="equal">
      <formula>"X"</formula>
    </cfRule>
  </conditionalFormatting>
  <conditionalFormatting sqref="K43">
    <cfRule type="cellIs" dxfId="10" priority="9" operator="equal">
      <formula>"X"</formula>
    </cfRule>
  </conditionalFormatting>
  <conditionalFormatting sqref="H43">
    <cfRule type="cellIs" dxfId="9" priority="8" operator="equal">
      <formula>"X"</formula>
    </cfRule>
  </conditionalFormatting>
  <conditionalFormatting sqref="G43">
    <cfRule type="cellIs" dxfId="8" priority="7" operator="equal">
      <formula>"X"</formula>
    </cfRule>
  </conditionalFormatting>
  <conditionalFormatting sqref="I43">
    <cfRule type="cellIs" dxfId="7" priority="6" operator="equal">
      <formula>"X"</formula>
    </cfRule>
  </conditionalFormatting>
  <conditionalFormatting sqref="F1529:K1529">
    <cfRule type="cellIs" dxfId="6" priority="5" operator="equal">
      <formula>"X"</formula>
    </cfRule>
  </conditionalFormatting>
  <conditionalFormatting sqref="C233:T233">
    <cfRule type="cellIs" dxfId="5" priority="4" operator="equal">
      <formula>"X"</formula>
    </cfRule>
  </conditionalFormatting>
  <conditionalFormatting sqref="C370:T370">
    <cfRule type="cellIs" dxfId="4" priority="3" operator="equal">
      <formula>"X"</formula>
    </cfRule>
  </conditionalFormatting>
  <conditionalFormatting sqref="C1042:T1042">
    <cfRule type="cellIs" dxfId="3" priority="2" operator="equal">
      <formula>"X"</formula>
    </cfRule>
  </conditionalFormatting>
  <conditionalFormatting sqref="C516:T516">
    <cfRule type="cellIs" dxfId="2" priority="1" operator="equal">
      <formula>"X"</formula>
    </cfRule>
  </conditionalFormatting>
  <pageMargins left="0.7" right="0.7" top="0.78740157499999996" bottom="0.78740157499999996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3"/>
  <dimension ref="A1:AR204"/>
  <sheetViews>
    <sheetView topLeftCell="D1" zoomScale="80" zoomScaleNormal="80" workbookViewId="0">
      <pane ySplit="2" topLeftCell="A93" activePane="bottomLeft" state="frozen"/>
      <selection pane="bottomLeft" activeCell="Z107" sqref="Z107"/>
    </sheetView>
  </sheetViews>
  <sheetFormatPr defaultRowHeight="14.4" x14ac:dyDescent="0.3"/>
  <cols>
    <col min="1" max="1" width="7" customWidth="1"/>
    <col min="2" max="2" width="21" customWidth="1"/>
    <col min="3" max="3" width="39.5546875" customWidth="1"/>
    <col min="4" max="4" width="7.6640625" style="502" customWidth="1"/>
    <col min="5" max="6" width="4.33203125" customWidth="1"/>
    <col min="7" max="10" width="4.5546875" customWidth="1"/>
    <col min="11" max="11" width="4.6640625" customWidth="1"/>
    <col min="12" max="12" width="5.6640625" customWidth="1"/>
    <col min="13" max="13" width="4.6640625" customWidth="1"/>
    <col min="14" max="14" width="5.109375" customWidth="1"/>
    <col min="15" max="15" width="5.6640625" customWidth="1"/>
    <col min="16" max="16" width="3.44140625" customWidth="1"/>
    <col min="17" max="17" width="4.6640625" customWidth="1"/>
    <col min="18" max="18" width="4.33203125" customWidth="1"/>
    <col min="19" max="19" width="4.5546875" customWidth="1"/>
    <col min="20" max="20" width="4" customWidth="1"/>
    <col min="21" max="29" width="4.5546875" customWidth="1"/>
    <col min="30" max="30" width="3.5546875" customWidth="1"/>
    <col min="31" max="32" width="4.6640625" customWidth="1"/>
    <col min="33" max="33" width="4" customWidth="1"/>
    <col min="34" max="34" width="7.33203125" customWidth="1"/>
    <col min="35" max="35" width="7.6640625" customWidth="1"/>
    <col min="36" max="36" width="7.33203125" customWidth="1"/>
    <col min="37" max="37" width="11.33203125" customWidth="1"/>
    <col min="38" max="38" width="6.21875" customWidth="1"/>
    <col min="39" max="39" width="11.77734375" customWidth="1"/>
    <col min="40" max="40" width="6.6640625" bestFit="1" customWidth="1"/>
    <col min="41" max="44" width="9.109375" customWidth="1"/>
  </cols>
  <sheetData>
    <row r="1" spans="1:44" ht="21" x14ac:dyDescent="0.4">
      <c r="A1" s="42" t="s">
        <v>2505</v>
      </c>
    </row>
    <row r="2" spans="1:44" ht="28.8" x14ac:dyDescent="0.3">
      <c r="A2" s="524" t="s">
        <v>2506</v>
      </c>
      <c r="B2" s="524" t="s">
        <v>153</v>
      </c>
      <c r="C2" s="524" t="s">
        <v>2508</v>
      </c>
      <c r="D2" s="524" t="s">
        <v>2507</v>
      </c>
      <c r="E2" s="503" t="s">
        <v>302</v>
      </c>
      <c r="F2" s="503" t="s">
        <v>304</v>
      </c>
      <c r="G2" s="503" t="s">
        <v>303</v>
      </c>
      <c r="H2" s="503" t="s">
        <v>301</v>
      </c>
      <c r="I2" s="503" t="s">
        <v>300</v>
      </c>
      <c r="J2" s="503" t="s">
        <v>33</v>
      </c>
      <c r="K2" s="503" t="s">
        <v>292</v>
      </c>
      <c r="L2" s="503" t="s">
        <v>296</v>
      </c>
      <c r="M2" s="503" t="s">
        <v>294</v>
      </c>
      <c r="N2" s="503" t="s">
        <v>295</v>
      </c>
      <c r="O2" s="503" t="s">
        <v>293</v>
      </c>
      <c r="P2" s="503" t="s">
        <v>173</v>
      </c>
      <c r="Q2" s="503" t="s">
        <v>178</v>
      </c>
      <c r="R2" s="503" t="s">
        <v>188</v>
      </c>
      <c r="S2" s="503" t="s">
        <v>185</v>
      </c>
      <c r="T2" s="503" t="s">
        <v>175</v>
      </c>
      <c r="U2" s="503" t="s">
        <v>168</v>
      </c>
      <c r="V2" s="503" t="s">
        <v>2630</v>
      </c>
      <c r="W2" s="503" t="s">
        <v>2631</v>
      </c>
      <c r="X2" s="503" t="s">
        <v>2632</v>
      </c>
      <c r="Y2" s="503" t="s">
        <v>2633</v>
      </c>
      <c r="Z2" s="503" t="s">
        <v>2634</v>
      </c>
      <c r="AA2" s="503" t="s">
        <v>2635</v>
      </c>
      <c r="AB2" s="503" t="s">
        <v>2547</v>
      </c>
      <c r="AC2" s="503" t="s">
        <v>5398</v>
      </c>
      <c r="AD2" s="503" t="s">
        <v>81</v>
      </c>
      <c r="AE2" s="503" t="s">
        <v>1129</v>
      </c>
      <c r="AF2" s="503" t="s">
        <v>1125</v>
      </c>
      <c r="AG2" s="503" t="s">
        <v>2544</v>
      </c>
      <c r="AH2" s="503" t="s">
        <v>2546</v>
      </c>
      <c r="AI2" s="515" t="s">
        <v>4291</v>
      </c>
      <c r="AJ2" s="503" t="s">
        <v>571</v>
      </c>
      <c r="AK2" s="515" t="s">
        <v>5432</v>
      </c>
      <c r="AL2" s="515" t="s">
        <v>2491</v>
      </c>
      <c r="AM2" s="1108" t="s">
        <v>2066</v>
      </c>
      <c r="AN2" s="1108" t="s">
        <v>5428</v>
      </c>
      <c r="AO2" s="503" t="s">
        <v>1202</v>
      </c>
      <c r="AP2" s="503" t="s">
        <v>210</v>
      </c>
      <c r="AQ2" s="503" t="s">
        <v>4240</v>
      </c>
      <c r="AR2" s="503" t="s">
        <v>876</v>
      </c>
    </row>
    <row r="3" spans="1:44" x14ac:dyDescent="0.3">
      <c r="A3" s="521" t="s">
        <v>5238</v>
      </c>
      <c r="B3" s="522" t="s">
        <v>592</v>
      </c>
      <c r="C3" s="523" t="s">
        <v>5353</v>
      </c>
      <c r="D3" s="507">
        <v>0</v>
      </c>
      <c r="E3" s="40"/>
      <c r="F3" s="40"/>
      <c r="G3" s="40"/>
      <c r="H3" s="40"/>
      <c r="I3" s="40"/>
      <c r="J3" s="40"/>
    </row>
    <row r="4" spans="1:44" x14ac:dyDescent="0.3">
      <c r="A4" s="504" t="s">
        <v>2669</v>
      </c>
      <c r="B4" s="40" t="s">
        <v>2792</v>
      </c>
      <c r="C4" s="505" t="s">
        <v>2793</v>
      </c>
      <c r="D4" s="507">
        <v>-1</v>
      </c>
      <c r="E4" s="40"/>
      <c r="F4" s="40"/>
      <c r="G4" s="40"/>
      <c r="H4" s="40"/>
      <c r="I4" s="40"/>
      <c r="J4" s="40"/>
      <c r="V4">
        <v>1</v>
      </c>
    </row>
    <row r="5" spans="1:44" x14ac:dyDescent="0.3">
      <c r="A5" s="504" t="s">
        <v>2668</v>
      </c>
      <c r="B5" s="40" t="s">
        <v>590</v>
      </c>
      <c r="C5" s="505" t="s">
        <v>2582</v>
      </c>
      <c r="D5" s="507">
        <v>2</v>
      </c>
      <c r="E5" s="40">
        <v>-1</v>
      </c>
      <c r="F5" s="40"/>
      <c r="G5" s="40">
        <v>-1</v>
      </c>
      <c r="H5" s="40"/>
      <c r="I5" s="40"/>
      <c r="J5" s="40"/>
      <c r="V5">
        <v>-1</v>
      </c>
    </row>
    <row r="6" spans="1:44" x14ac:dyDescent="0.3">
      <c r="A6" s="504" t="s">
        <v>2521</v>
      </c>
      <c r="B6" s="40" t="s">
        <v>1087</v>
      </c>
      <c r="C6" s="505" t="s">
        <v>5381</v>
      </c>
      <c r="D6" s="507">
        <v>-1</v>
      </c>
      <c r="E6" s="40"/>
      <c r="F6" s="40"/>
      <c r="G6" s="40">
        <v>-2</v>
      </c>
      <c r="H6" s="40"/>
      <c r="I6" s="40"/>
      <c r="J6" s="40"/>
      <c r="AQ6">
        <v>1</v>
      </c>
    </row>
    <row r="7" spans="1:44" x14ac:dyDescent="0.3">
      <c r="A7" s="504" t="s">
        <v>2524</v>
      </c>
      <c r="B7" s="40" t="s">
        <v>1080</v>
      </c>
      <c r="C7" s="505" t="s">
        <v>2584</v>
      </c>
      <c r="D7" s="507">
        <v>1</v>
      </c>
      <c r="E7" s="40">
        <v>-2</v>
      </c>
      <c r="F7" s="40">
        <v>-1</v>
      </c>
      <c r="G7" s="40">
        <v>1</v>
      </c>
      <c r="H7" s="40"/>
      <c r="I7" s="40"/>
      <c r="J7" s="40"/>
    </row>
    <row r="8" spans="1:44" x14ac:dyDescent="0.3">
      <c r="A8" s="504" t="s">
        <v>2527</v>
      </c>
      <c r="B8" s="40" t="s">
        <v>625</v>
      </c>
      <c r="C8" s="505" t="s">
        <v>2747</v>
      </c>
      <c r="D8" s="507">
        <v>-1</v>
      </c>
      <c r="E8" s="40">
        <v>2</v>
      </c>
      <c r="F8" s="40"/>
      <c r="G8" s="40"/>
      <c r="H8" s="40"/>
      <c r="I8" s="40"/>
      <c r="J8" s="40"/>
    </row>
    <row r="9" spans="1:44" x14ac:dyDescent="0.3">
      <c r="A9" s="504" t="s">
        <v>2530</v>
      </c>
      <c r="B9" s="40" t="s">
        <v>5239</v>
      </c>
      <c r="C9" s="505" t="s">
        <v>5378</v>
      </c>
      <c r="D9" s="507">
        <v>1</v>
      </c>
      <c r="E9" s="40">
        <v>-2</v>
      </c>
      <c r="F9" s="40"/>
      <c r="G9" s="40"/>
      <c r="H9" s="40"/>
      <c r="I9" s="40"/>
      <c r="J9" s="40"/>
    </row>
    <row r="10" spans="1:44" x14ac:dyDescent="0.3">
      <c r="A10" s="504" t="s">
        <v>2532</v>
      </c>
      <c r="B10" s="40" t="s">
        <v>1090</v>
      </c>
      <c r="C10" s="505" t="s">
        <v>2748</v>
      </c>
      <c r="D10" s="507">
        <v>-1</v>
      </c>
      <c r="E10" s="40"/>
      <c r="F10" s="40">
        <v>2</v>
      </c>
      <c r="G10" s="40"/>
      <c r="H10" s="40"/>
      <c r="I10" s="40"/>
      <c r="J10" s="40"/>
    </row>
    <row r="11" spans="1:44" x14ac:dyDescent="0.3">
      <c r="A11" s="504" t="s">
        <v>2536</v>
      </c>
      <c r="B11" s="40" t="s">
        <v>2540</v>
      </c>
      <c r="C11" s="505" t="s">
        <v>2541</v>
      </c>
      <c r="D11" s="507">
        <v>1</v>
      </c>
      <c r="E11" s="40"/>
      <c r="F11" s="40">
        <v>-2</v>
      </c>
      <c r="G11" s="40"/>
      <c r="H11" s="40"/>
      <c r="I11" s="40"/>
      <c r="J11" s="40"/>
    </row>
    <row r="12" spans="1:44" x14ac:dyDescent="0.3">
      <c r="A12" s="504" t="s">
        <v>2539</v>
      </c>
      <c r="B12" s="40" t="s">
        <v>627</v>
      </c>
      <c r="C12" s="505" t="s">
        <v>5391</v>
      </c>
      <c r="D12" s="507">
        <v>-2</v>
      </c>
      <c r="E12" s="40"/>
      <c r="F12" s="40"/>
      <c r="G12" s="40"/>
      <c r="H12" s="40"/>
      <c r="I12" s="40"/>
      <c r="J12" s="40"/>
      <c r="V12">
        <v>2</v>
      </c>
    </row>
    <row r="13" spans="1:44" x14ac:dyDescent="0.3">
      <c r="A13" s="504" t="s">
        <v>107</v>
      </c>
      <c r="B13" s="40" t="s">
        <v>2545</v>
      </c>
      <c r="C13" s="505"/>
      <c r="D13" s="507">
        <v>2</v>
      </c>
      <c r="E13" s="40"/>
      <c r="F13" s="40"/>
      <c r="G13" s="40"/>
      <c r="H13" s="40"/>
      <c r="I13" s="40"/>
      <c r="J13" s="40"/>
      <c r="AB13">
        <v>-1</v>
      </c>
      <c r="AG13">
        <v>-1</v>
      </c>
      <c r="AH13">
        <v>-1</v>
      </c>
    </row>
    <row r="14" spans="1:44" x14ac:dyDescent="0.3">
      <c r="A14" s="504" t="s">
        <v>109</v>
      </c>
      <c r="B14" s="40" t="s">
        <v>628</v>
      </c>
      <c r="C14" s="505" t="s">
        <v>5392</v>
      </c>
      <c r="D14" s="507">
        <v>-2</v>
      </c>
      <c r="E14" s="40"/>
      <c r="F14" s="40"/>
      <c r="G14" s="40"/>
      <c r="H14" s="40"/>
      <c r="I14" s="40"/>
      <c r="J14" s="40"/>
      <c r="W14">
        <v>2</v>
      </c>
    </row>
    <row r="15" spans="1:44" x14ac:dyDescent="0.3">
      <c r="A15" s="504" t="s">
        <v>108</v>
      </c>
      <c r="B15" s="40" t="s">
        <v>591</v>
      </c>
      <c r="C15" s="505" t="s">
        <v>2526</v>
      </c>
      <c r="D15" s="507">
        <v>3</v>
      </c>
      <c r="E15" s="40">
        <v>-1</v>
      </c>
      <c r="F15" s="40"/>
      <c r="G15" s="40"/>
      <c r="H15" s="40"/>
      <c r="I15" s="40"/>
      <c r="J15" s="40"/>
      <c r="W15">
        <v>-3</v>
      </c>
    </row>
    <row r="16" spans="1:44" s="512" customFormat="1" x14ac:dyDescent="0.3">
      <c r="A16" s="504" t="s">
        <v>106</v>
      </c>
      <c r="B16" s="40" t="s">
        <v>2750</v>
      </c>
      <c r="C16" s="505" t="s">
        <v>5393</v>
      </c>
      <c r="D16" s="507">
        <v>-2</v>
      </c>
      <c r="E16" s="40"/>
      <c r="F16" s="40"/>
      <c r="G16" s="40"/>
      <c r="H16" s="40"/>
      <c r="I16" s="40"/>
      <c r="J16" s="40"/>
      <c r="K16"/>
      <c r="L16"/>
      <c r="M16"/>
      <c r="N16"/>
      <c r="O16"/>
      <c r="P16"/>
      <c r="Q16"/>
      <c r="R16"/>
      <c r="S16"/>
      <c r="T16"/>
      <c r="U16"/>
      <c r="V16"/>
      <c r="W16"/>
      <c r="X16">
        <v>2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 x14ac:dyDescent="0.3">
      <c r="A17" s="504" t="s">
        <v>110</v>
      </c>
      <c r="B17" s="40" t="s">
        <v>558</v>
      </c>
      <c r="C17" s="505" t="s">
        <v>2609</v>
      </c>
      <c r="D17" s="507">
        <v>2</v>
      </c>
      <c r="E17" s="40"/>
      <c r="F17" s="40"/>
      <c r="G17" s="40"/>
      <c r="H17" s="40"/>
      <c r="I17" s="40"/>
      <c r="J17" s="40"/>
      <c r="X17">
        <v>-2</v>
      </c>
    </row>
    <row r="18" spans="1:44" x14ac:dyDescent="0.3">
      <c r="A18" s="504" t="s">
        <v>2555</v>
      </c>
      <c r="B18" s="40" t="s">
        <v>5240</v>
      </c>
      <c r="C18" s="505" t="s">
        <v>5394</v>
      </c>
      <c r="D18" s="507">
        <v>-2</v>
      </c>
      <c r="E18" s="40"/>
      <c r="F18" s="40"/>
      <c r="G18" s="40"/>
      <c r="H18" s="40"/>
      <c r="I18" s="40"/>
      <c r="J18" s="40"/>
      <c r="Z18">
        <v>2</v>
      </c>
    </row>
    <row r="19" spans="1:44" x14ac:dyDescent="0.3">
      <c r="A19" s="504" t="s">
        <v>2558</v>
      </c>
      <c r="B19" s="40" t="s">
        <v>604</v>
      </c>
      <c r="C19" s="505" t="s">
        <v>2614</v>
      </c>
      <c r="D19" s="507">
        <v>2</v>
      </c>
      <c r="E19" s="40"/>
      <c r="F19" s="40"/>
      <c r="G19" s="40"/>
      <c r="H19" s="40"/>
      <c r="I19" s="40"/>
      <c r="J19" s="40"/>
    </row>
    <row r="20" spans="1:44" x14ac:dyDescent="0.3">
      <c r="A20" s="504" t="s">
        <v>2560</v>
      </c>
      <c r="B20" s="40" t="s">
        <v>2751</v>
      </c>
      <c r="C20" s="505" t="s">
        <v>5395</v>
      </c>
      <c r="D20" s="507">
        <v>-2</v>
      </c>
      <c r="E20" s="40"/>
      <c r="F20" s="40"/>
      <c r="G20" s="40"/>
      <c r="H20" s="40"/>
      <c r="I20" s="40"/>
      <c r="J20" s="40"/>
      <c r="Y20">
        <v>2</v>
      </c>
    </row>
    <row r="21" spans="1:44" s="512" customFormat="1" x14ac:dyDescent="0.3">
      <c r="A21" s="504" t="s">
        <v>2666</v>
      </c>
      <c r="B21" s="40" t="s">
        <v>595</v>
      </c>
      <c r="C21" s="505" t="s">
        <v>5396</v>
      </c>
      <c r="D21" s="507">
        <v>2</v>
      </c>
      <c r="E21" s="40"/>
      <c r="F21" s="40"/>
      <c r="G21" s="40"/>
      <c r="H21" s="40"/>
      <c r="I21" s="40"/>
      <c r="J21" s="40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>
        <v>-2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 x14ac:dyDescent="0.3">
      <c r="A22" s="504" t="s">
        <v>2562</v>
      </c>
      <c r="B22" s="40" t="s">
        <v>2752</v>
      </c>
      <c r="C22" s="505" t="s">
        <v>5397</v>
      </c>
      <c r="D22" s="507">
        <v>-2</v>
      </c>
      <c r="E22" s="40"/>
      <c r="F22" s="40"/>
      <c r="G22" s="40"/>
      <c r="H22" s="40"/>
      <c r="I22" s="40"/>
      <c r="J22" s="40"/>
      <c r="AA22">
        <v>2</v>
      </c>
    </row>
    <row r="23" spans="1:44" x14ac:dyDescent="0.3">
      <c r="A23" s="508" t="s">
        <v>2565</v>
      </c>
      <c r="B23" s="509" t="s">
        <v>619</v>
      </c>
      <c r="C23" s="510" t="s">
        <v>2561</v>
      </c>
      <c r="D23" s="511">
        <v>2</v>
      </c>
      <c r="E23" s="509">
        <v>-3</v>
      </c>
      <c r="F23" s="509">
        <v>-2</v>
      </c>
      <c r="G23" s="509"/>
      <c r="H23" s="509"/>
      <c r="I23" s="509"/>
      <c r="J23" s="509"/>
      <c r="K23" s="512"/>
      <c r="L23" s="512"/>
      <c r="M23" s="512"/>
      <c r="N23" s="512"/>
      <c r="O23" s="512"/>
      <c r="P23" s="512"/>
      <c r="Q23" s="512"/>
      <c r="R23" s="512"/>
      <c r="S23" s="512"/>
      <c r="T23" s="512"/>
      <c r="U23" s="512"/>
      <c r="V23" s="512"/>
      <c r="W23" s="512"/>
      <c r="X23" s="512"/>
      <c r="Y23" s="512"/>
      <c r="Z23" s="512"/>
      <c r="AA23" s="512"/>
      <c r="AB23" s="512"/>
      <c r="AC23" s="512"/>
      <c r="AD23" s="512"/>
      <c r="AE23" s="512"/>
      <c r="AF23" s="512"/>
      <c r="AG23" s="512"/>
      <c r="AH23" s="512"/>
      <c r="AI23" s="512"/>
      <c r="AJ23" s="512"/>
      <c r="AK23" s="512"/>
      <c r="AL23" s="512"/>
      <c r="AM23" s="512"/>
      <c r="AN23" s="512"/>
      <c r="AO23" s="512"/>
      <c r="AP23" s="512"/>
      <c r="AQ23" s="512"/>
      <c r="AR23" s="512"/>
    </row>
    <row r="24" spans="1:44" x14ac:dyDescent="0.3">
      <c r="A24" s="504" t="s">
        <v>2567</v>
      </c>
      <c r="B24" s="40" t="s">
        <v>629</v>
      </c>
      <c r="C24" s="505" t="s">
        <v>2753</v>
      </c>
      <c r="D24" s="507">
        <v>-1</v>
      </c>
      <c r="E24" s="40"/>
      <c r="F24" s="40"/>
      <c r="G24" s="40"/>
      <c r="H24" s="40"/>
      <c r="I24" s="40"/>
      <c r="J24" s="40"/>
      <c r="AB24">
        <v>2</v>
      </c>
    </row>
    <row r="25" spans="1:44" x14ac:dyDescent="0.3">
      <c r="A25" s="504" t="s">
        <v>2569</v>
      </c>
      <c r="B25" s="40" t="s">
        <v>1076</v>
      </c>
      <c r="C25" s="505" t="s">
        <v>2592</v>
      </c>
      <c r="D25" s="507">
        <v>2</v>
      </c>
      <c r="E25" s="40"/>
      <c r="F25" s="40"/>
      <c r="G25" s="40"/>
      <c r="H25" s="40"/>
      <c r="I25" s="40"/>
      <c r="J25" s="40"/>
      <c r="AC25">
        <v>-3</v>
      </c>
    </row>
    <row r="26" spans="1:44" x14ac:dyDescent="0.3">
      <c r="A26" s="504" t="s">
        <v>2572</v>
      </c>
      <c r="B26" s="40" t="s">
        <v>630</v>
      </c>
      <c r="C26" s="505" t="s">
        <v>2754</v>
      </c>
      <c r="D26" s="507">
        <v>-2</v>
      </c>
      <c r="E26" s="40"/>
      <c r="F26" s="40"/>
      <c r="G26" s="40"/>
      <c r="H26" s="40"/>
      <c r="I26" s="40"/>
      <c r="J26" s="40"/>
    </row>
    <row r="27" spans="1:44" x14ac:dyDescent="0.3">
      <c r="A27" s="504" t="s">
        <v>2574</v>
      </c>
      <c r="B27" s="40" t="s">
        <v>602</v>
      </c>
      <c r="C27" s="505" t="s">
        <v>2590</v>
      </c>
      <c r="D27" s="507">
        <v>2</v>
      </c>
      <c r="E27" s="40"/>
      <c r="F27" s="40"/>
      <c r="G27" s="40"/>
      <c r="H27" s="40"/>
      <c r="I27" s="40"/>
      <c r="J27" s="40"/>
    </row>
    <row r="28" spans="1:44" s="512" customFormat="1" x14ac:dyDescent="0.3">
      <c r="A28" s="504" t="s">
        <v>1923</v>
      </c>
      <c r="B28" s="40" t="s">
        <v>2755</v>
      </c>
      <c r="C28" s="505" t="s">
        <v>2756</v>
      </c>
      <c r="D28" s="507">
        <v>-1</v>
      </c>
      <c r="E28" s="40"/>
      <c r="F28" s="40"/>
      <c r="G28" s="40"/>
      <c r="H28" s="40"/>
      <c r="I28" s="40"/>
      <c r="J28" s="40">
        <v>1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512" customFormat="1" x14ac:dyDescent="0.3">
      <c r="A29" s="504" t="s">
        <v>2579</v>
      </c>
      <c r="B29" s="40" t="s">
        <v>622</v>
      </c>
      <c r="C29" s="505" t="s">
        <v>2738</v>
      </c>
      <c r="D29" s="507">
        <v>1</v>
      </c>
      <c r="E29" s="40"/>
      <c r="F29" s="40"/>
      <c r="G29" s="40"/>
      <c r="H29" s="40"/>
      <c r="I29" s="40"/>
      <c r="J29" s="40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x14ac:dyDescent="0.3">
      <c r="A30" s="504" t="s">
        <v>2581</v>
      </c>
      <c r="B30" s="40" t="s">
        <v>633</v>
      </c>
      <c r="C30" s="505" t="s">
        <v>2758</v>
      </c>
      <c r="D30" s="507">
        <v>-1</v>
      </c>
      <c r="E30" s="40"/>
      <c r="F30" s="40"/>
      <c r="G30" s="40"/>
      <c r="H30" s="40"/>
      <c r="I30" s="40"/>
      <c r="J30" s="40"/>
    </row>
    <row r="31" spans="1:44" x14ac:dyDescent="0.3">
      <c r="A31" s="504" t="s">
        <v>2583</v>
      </c>
      <c r="B31" s="40" t="s">
        <v>2570</v>
      </c>
      <c r="C31" s="505" t="s">
        <v>2571</v>
      </c>
      <c r="D31" s="507">
        <v>1</v>
      </c>
      <c r="E31" s="40"/>
      <c r="F31" s="40"/>
      <c r="G31" s="40"/>
      <c r="H31" s="40"/>
      <c r="I31" s="40"/>
      <c r="J31" s="40"/>
    </row>
    <row r="32" spans="1:44" x14ac:dyDescent="0.3">
      <c r="A32" s="504" t="s">
        <v>2585</v>
      </c>
      <c r="B32" s="40" t="s">
        <v>631</v>
      </c>
      <c r="C32" s="505" t="s">
        <v>2757</v>
      </c>
      <c r="D32" s="507">
        <v>-2</v>
      </c>
      <c r="E32" s="40"/>
      <c r="F32" s="40"/>
      <c r="G32" s="40"/>
      <c r="H32" s="40"/>
      <c r="I32" s="40"/>
      <c r="J32" s="40"/>
    </row>
    <row r="33" spans="1:44" ht="20.399999999999999" x14ac:dyDescent="0.3">
      <c r="A33" s="508" t="s">
        <v>2586</v>
      </c>
      <c r="B33" s="509" t="s">
        <v>2528</v>
      </c>
      <c r="C33" s="510" t="s">
        <v>2529</v>
      </c>
      <c r="D33" s="511">
        <v>3</v>
      </c>
      <c r="E33" s="509"/>
      <c r="F33" s="509"/>
      <c r="G33" s="509"/>
      <c r="H33" s="509"/>
      <c r="I33" s="509"/>
      <c r="J33" s="509"/>
      <c r="K33" s="512"/>
      <c r="L33" s="512"/>
      <c r="M33" s="512"/>
      <c r="N33" s="512"/>
      <c r="O33" s="512"/>
      <c r="P33" s="512"/>
      <c r="Q33" s="512"/>
      <c r="R33" s="512"/>
      <c r="S33" s="512"/>
      <c r="T33" s="512"/>
      <c r="U33" s="512"/>
      <c r="V33" s="512"/>
      <c r="W33" s="512"/>
      <c r="X33" s="512"/>
      <c r="Y33" s="512"/>
      <c r="Z33" s="512"/>
      <c r="AA33" s="512"/>
      <c r="AB33" s="512"/>
      <c r="AC33" s="512"/>
      <c r="AD33" s="512"/>
      <c r="AE33" s="512"/>
      <c r="AF33" s="512"/>
      <c r="AG33" s="512"/>
      <c r="AH33" s="512"/>
      <c r="AI33" s="512"/>
      <c r="AJ33" s="512"/>
      <c r="AK33" s="512"/>
      <c r="AL33" s="512"/>
      <c r="AM33" s="512"/>
      <c r="AN33" s="512"/>
      <c r="AO33" s="512"/>
      <c r="AP33" s="512"/>
      <c r="AQ33" s="512"/>
      <c r="AR33" s="512"/>
    </row>
    <row r="34" spans="1:44" x14ac:dyDescent="0.3">
      <c r="A34" s="504" t="s">
        <v>2589</v>
      </c>
      <c r="B34" s="40" t="s">
        <v>2773</v>
      </c>
      <c r="C34" s="505" t="s">
        <v>2774</v>
      </c>
      <c r="D34" s="507">
        <v>-2</v>
      </c>
      <c r="E34" s="40"/>
      <c r="F34" s="40"/>
      <c r="G34" s="40"/>
      <c r="H34" s="40"/>
      <c r="I34" s="40"/>
      <c r="J34" s="40"/>
      <c r="AH34">
        <v>3</v>
      </c>
    </row>
    <row r="35" spans="1:44" x14ac:dyDescent="0.3">
      <c r="A35" s="504" t="s">
        <v>2591</v>
      </c>
      <c r="B35" s="40" t="s">
        <v>1078</v>
      </c>
      <c r="C35" s="505" t="s">
        <v>2566</v>
      </c>
      <c r="D35" s="507">
        <v>2</v>
      </c>
      <c r="E35" s="40"/>
      <c r="F35" s="40"/>
      <c r="G35" s="40"/>
      <c r="H35" s="40"/>
      <c r="I35" s="40"/>
      <c r="J35" s="40"/>
      <c r="AH35">
        <v>-3</v>
      </c>
    </row>
    <row r="36" spans="1:44" x14ac:dyDescent="0.3">
      <c r="A36" s="504" t="s">
        <v>2593</v>
      </c>
      <c r="B36" s="40" t="s">
        <v>1330</v>
      </c>
      <c r="C36" s="505" t="s">
        <v>4704</v>
      </c>
      <c r="D36" s="507">
        <v>-1</v>
      </c>
      <c r="E36" s="40"/>
      <c r="F36" s="40"/>
      <c r="G36" s="40"/>
      <c r="H36" s="40"/>
      <c r="I36" s="40"/>
      <c r="J36" s="40"/>
      <c r="AI36">
        <v>1</v>
      </c>
    </row>
    <row r="37" spans="1:44" x14ac:dyDescent="0.3">
      <c r="A37" s="504" t="s">
        <v>2598</v>
      </c>
      <c r="B37" s="10" t="s">
        <v>4700</v>
      </c>
      <c r="C37" s="505" t="s">
        <v>4702</v>
      </c>
      <c r="D37" s="507">
        <v>1</v>
      </c>
      <c r="E37" s="40"/>
      <c r="F37" s="40"/>
      <c r="G37" s="40"/>
      <c r="H37" s="40"/>
      <c r="I37" s="40"/>
      <c r="J37" s="40"/>
      <c r="AI37">
        <v>-1</v>
      </c>
    </row>
    <row r="38" spans="1:44" x14ac:dyDescent="0.3">
      <c r="A38" s="504" t="s">
        <v>2600</v>
      </c>
      <c r="B38" s="40" t="s">
        <v>5242</v>
      </c>
      <c r="C38" s="505" t="s">
        <v>4703</v>
      </c>
      <c r="D38" s="507">
        <v>-1</v>
      </c>
      <c r="E38" s="40"/>
      <c r="F38" s="40"/>
      <c r="G38" s="40"/>
      <c r="H38" s="40"/>
      <c r="I38" s="40"/>
      <c r="J38" s="40"/>
      <c r="AI38">
        <v>2</v>
      </c>
    </row>
    <row r="39" spans="1:44" x14ac:dyDescent="0.3">
      <c r="A39" s="504" t="s">
        <v>2602</v>
      </c>
      <c r="B39" s="10" t="s">
        <v>813</v>
      </c>
      <c r="C39" s="505" t="s">
        <v>4701</v>
      </c>
      <c r="D39" s="507">
        <v>2</v>
      </c>
      <c r="E39" s="40"/>
      <c r="F39" s="40"/>
      <c r="G39" s="40"/>
      <c r="H39" s="40"/>
      <c r="I39" s="40"/>
      <c r="J39" s="40"/>
      <c r="AI39">
        <v>-2</v>
      </c>
    </row>
    <row r="40" spans="1:44" x14ac:dyDescent="0.3">
      <c r="A40" s="504" t="s">
        <v>2604</v>
      </c>
      <c r="B40" s="40" t="s">
        <v>5243</v>
      </c>
      <c r="C40" s="505" t="s">
        <v>2787</v>
      </c>
      <c r="D40" s="507">
        <v>-1</v>
      </c>
      <c r="E40" s="40"/>
      <c r="F40" s="40"/>
      <c r="G40" s="40"/>
      <c r="H40" s="40"/>
      <c r="I40" s="40"/>
      <c r="J40" s="40"/>
      <c r="K40">
        <v>2</v>
      </c>
    </row>
    <row r="41" spans="1:44" x14ac:dyDescent="0.3">
      <c r="A41" s="504" t="s">
        <v>2606</v>
      </c>
      <c r="B41" s="40" t="s">
        <v>2667</v>
      </c>
      <c r="C41" s="505" t="s">
        <v>5373</v>
      </c>
      <c r="D41" s="507">
        <v>1</v>
      </c>
      <c r="E41" s="40"/>
      <c r="F41" s="40"/>
      <c r="G41" s="40"/>
      <c r="H41" s="40"/>
      <c r="I41" s="40"/>
      <c r="J41" s="40"/>
      <c r="K41">
        <v>-2</v>
      </c>
    </row>
    <row r="42" spans="1:44" x14ac:dyDescent="0.3">
      <c r="A42" s="504" t="s">
        <v>2608</v>
      </c>
      <c r="B42" s="40" t="s">
        <v>5244</v>
      </c>
      <c r="C42" s="505" t="s">
        <v>2785</v>
      </c>
      <c r="D42" s="507">
        <v>-1</v>
      </c>
      <c r="E42" s="40"/>
      <c r="F42" s="40"/>
      <c r="G42" s="40"/>
      <c r="H42" s="40"/>
      <c r="I42" s="40"/>
      <c r="J42" s="40"/>
      <c r="L42">
        <v>2</v>
      </c>
    </row>
    <row r="43" spans="1:44" x14ac:dyDescent="0.3">
      <c r="A43" s="504" t="s">
        <v>2610</v>
      </c>
      <c r="B43" s="40" t="s">
        <v>1073</v>
      </c>
      <c r="C43" s="505" t="s">
        <v>2554</v>
      </c>
      <c r="D43" s="507">
        <v>1</v>
      </c>
      <c r="E43" s="40"/>
      <c r="F43" s="40">
        <v>-1</v>
      </c>
      <c r="G43" s="40"/>
      <c r="H43" s="40"/>
      <c r="I43" s="40"/>
      <c r="J43" s="40"/>
      <c r="L43">
        <v>-2</v>
      </c>
    </row>
    <row r="44" spans="1:44" x14ac:dyDescent="0.3">
      <c r="A44" s="504" t="s">
        <v>2612</v>
      </c>
      <c r="B44" s="40" t="s">
        <v>642</v>
      </c>
      <c r="C44" s="505" t="s">
        <v>2784</v>
      </c>
      <c r="D44" s="507">
        <v>-1</v>
      </c>
      <c r="E44" s="40"/>
      <c r="F44" s="40"/>
      <c r="G44" s="40"/>
      <c r="H44" s="40"/>
      <c r="I44" s="40"/>
      <c r="J44" s="40"/>
      <c r="N44">
        <v>2</v>
      </c>
    </row>
    <row r="45" spans="1:44" x14ac:dyDescent="0.3">
      <c r="A45" s="504" t="s">
        <v>2615</v>
      </c>
      <c r="B45" s="40" t="s">
        <v>598</v>
      </c>
      <c r="C45" s="505" t="s">
        <v>5471</v>
      </c>
      <c r="D45" s="507">
        <v>1</v>
      </c>
      <c r="E45" s="40"/>
      <c r="F45" s="40"/>
      <c r="G45" s="40"/>
      <c r="H45" s="40"/>
      <c r="I45" s="40"/>
      <c r="J45" s="40"/>
      <c r="AC45">
        <v>-1</v>
      </c>
    </row>
    <row r="46" spans="1:44" x14ac:dyDescent="0.3">
      <c r="A46" s="504" t="s">
        <v>2616</v>
      </c>
      <c r="B46" s="40" t="s">
        <v>643</v>
      </c>
      <c r="C46" s="505" t="s">
        <v>2786</v>
      </c>
      <c r="D46" s="507">
        <v>-1</v>
      </c>
      <c r="E46" s="40"/>
      <c r="F46" s="40"/>
      <c r="G46" s="40"/>
      <c r="H46" s="40"/>
      <c r="I46" s="40"/>
      <c r="J46" s="40"/>
      <c r="M46">
        <v>2</v>
      </c>
    </row>
    <row r="47" spans="1:44" x14ac:dyDescent="0.3">
      <c r="A47" s="504" t="s">
        <v>2617</v>
      </c>
      <c r="B47" s="40" t="s">
        <v>2650</v>
      </c>
      <c r="C47" s="505" t="s">
        <v>2651</v>
      </c>
      <c r="D47" s="507">
        <v>1</v>
      </c>
      <c r="E47" s="40"/>
      <c r="F47" s="40"/>
      <c r="G47" s="40"/>
      <c r="H47" s="40"/>
      <c r="I47" s="40"/>
      <c r="J47" s="40"/>
    </row>
    <row r="48" spans="1:44" x14ac:dyDescent="0.3">
      <c r="A48" s="504" t="s">
        <v>2618</v>
      </c>
      <c r="B48" s="40" t="s">
        <v>2782</v>
      </c>
      <c r="C48" s="505" t="s">
        <v>2783</v>
      </c>
      <c r="D48" s="507">
        <v>-1</v>
      </c>
      <c r="E48" s="40"/>
      <c r="F48" s="40"/>
      <c r="G48" s="40"/>
      <c r="H48" s="40"/>
      <c r="I48" s="40"/>
      <c r="J48" s="40"/>
      <c r="O48">
        <v>2</v>
      </c>
    </row>
    <row r="49" spans="1:44" x14ac:dyDescent="0.3">
      <c r="A49" s="504" t="s">
        <v>2619</v>
      </c>
      <c r="B49" s="40" t="s">
        <v>1077</v>
      </c>
      <c r="C49" s="505" t="s">
        <v>2568</v>
      </c>
      <c r="D49" s="507">
        <v>1</v>
      </c>
      <c r="E49" s="40"/>
      <c r="F49" s="40"/>
      <c r="G49" s="40"/>
      <c r="H49" s="40"/>
      <c r="I49" s="40"/>
      <c r="J49" s="40"/>
    </row>
    <row r="50" spans="1:44" x14ac:dyDescent="0.3">
      <c r="A50" s="504" t="s">
        <v>2620</v>
      </c>
      <c r="B50" s="40" t="s">
        <v>5245</v>
      </c>
      <c r="C50" s="505" t="s">
        <v>2772</v>
      </c>
      <c r="D50" s="507">
        <v>-1</v>
      </c>
      <c r="E50" s="40"/>
      <c r="F50" s="40"/>
      <c r="G50" s="40"/>
      <c r="H50" s="40"/>
      <c r="I50" s="40"/>
      <c r="J50" s="40"/>
      <c r="K50">
        <v>1</v>
      </c>
      <c r="L50">
        <v>1</v>
      </c>
      <c r="M50">
        <v>1</v>
      </c>
      <c r="N50">
        <v>1</v>
      </c>
      <c r="O50">
        <v>1</v>
      </c>
    </row>
    <row r="51" spans="1:44" x14ac:dyDescent="0.3">
      <c r="A51" s="504" t="s">
        <v>2621</v>
      </c>
      <c r="B51" s="40" t="s">
        <v>1084</v>
      </c>
      <c r="C51" s="505" t="s">
        <v>2685</v>
      </c>
      <c r="D51" s="507">
        <v>2</v>
      </c>
      <c r="E51" s="40"/>
      <c r="F51" s="40"/>
      <c r="G51" s="40"/>
      <c r="H51" s="40"/>
      <c r="I51" s="40"/>
      <c r="J51" s="40"/>
    </row>
    <row r="52" spans="1:44" x14ac:dyDescent="0.3">
      <c r="A52" s="504" t="s">
        <v>2622</v>
      </c>
      <c r="B52" s="40" t="s">
        <v>5246</v>
      </c>
      <c r="C52" s="505" t="s">
        <v>5380</v>
      </c>
      <c r="D52" s="507">
        <v>-1</v>
      </c>
      <c r="E52" s="40"/>
      <c r="F52" s="40"/>
      <c r="G52" s="40"/>
      <c r="H52" s="40">
        <v>2</v>
      </c>
      <c r="I52" s="40"/>
      <c r="J52" s="40"/>
    </row>
    <row r="53" spans="1:44" x14ac:dyDescent="0.3">
      <c r="A53" s="504" t="s">
        <v>1924</v>
      </c>
      <c r="B53" s="40" t="s">
        <v>2733</v>
      </c>
      <c r="C53" s="505" t="s">
        <v>2734</v>
      </c>
      <c r="D53" s="507">
        <v>1</v>
      </c>
      <c r="E53" s="40"/>
      <c r="F53" s="40"/>
      <c r="G53" s="40"/>
      <c r="H53" s="40"/>
      <c r="I53" s="40"/>
      <c r="J53" s="40"/>
    </row>
    <row r="54" spans="1:44" x14ac:dyDescent="0.3">
      <c r="A54" s="504" t="s">
        <v>2623</v>
      </c>
      <c r="B54" s="40" t="s">
        <v>638</v>
      </c>
      <c r="C54" s="505" t="s">
        <v>2775</v>
      </c>
      <c r="D54" s="507">
        <v>-1</v>
      </c>
      <c r="E54" s="40"/>
      <c r="F54" s="40"/>
      <c r="G54" s="40"/>
      <c r="H54" s="40"/>
      <c r="I54" s="40"/>
      <c r="J54" s="40"/>
      <c r="AF54">
        <v>2</v>
      </c>
    </row>
    <row r="55" spans="1:44" x14ac:dyDescent="0.3">
      <c r="A55" s="504" t="s">
        <v>2626</v>
      </c>
      <c r="B55" s="40" t="s">
        <v>1079</v>
      </c>
      <c r="C55" s="505" t="s">
        <v>2580</v>
      </c>
      <c r="D55" s="507">
        <v>2</v>
      </c>
      <c r="E55" s="40"/>
      <c r="F55" s="40"/>
      <c r="G55" s="40"/>
      <c r="H55" s="40"/>
      <c r="I55" s="40"/>
      <c r="J55" s="40"/>
    </row>
    <row r="56" spans="1:44" x14ac:dyDescent="0.3">
      <c r="A56" s="504" t="s">
        <v>2629</v>
      </c>
      <c r="B56" s="40" t="s">
        <v>2790</v>
      </c>
      <c r="C56" s="505" t="s">
        <v>2791</v>
      </c>
      <c r="D56" s="507">
        <v>-1</v>
      </c>
      <c r="E56" s="40"/>
      <c r="F56" s="40"/>
      <c r="G56" s="40"/>
      <c r="H56" s="40"/>
      <c r="I56" s="40"/>
      <c r="J56" s="40"/>
    </row>
    <row r="57" spans="1:44" x14ac:dyDescent="0.3">
      <c r="A57" s="504" t="s">
        <v>2664</v>
      </c>
      <c r="B57" s="40" t="s">
        <v>5374</v>
      </c>
      <c r="C57" s="505" t="s">
        <v>2573</v>
      </c>
      <c r="D57" s="507">
        <v>1</v>
      </c>
      <c r="E57" s="40"/>
      <c r="F57" s="40"/>
      <c r="G57" s="40"/>
      <c r="H57" s="40"/>
      <c r="I57" s="40"/>
      <c r="J57" s="40"/>
      <c r="AJ57">
        <v>3</v>
      </c>
    </row>
    <row r="58" spans="1:44" x14ac:dyDescent="0.3">
      <c r="A58" s="504" t="s">
        <v>2663</v>
      </c>
      <c r="B58" s="40" t="s">
        <v>640</v>
      </c>
      <c r="C58" s="505" t="s">
        <v>2803</v>
      </c>
      <c r="D58" s="507">
        <v>-2</v>
      </c>
      <c r="E58" s="40"/>
      <c r="F58" s="40"/>
      <c r="G58" s="40"/>
      <c r="H58" s="40"/>
      <c r="I58" s="40"/>
      <c r="J58" s="40"/>
    </row>
    <row r="59" spans="1:44" x14ac:dyDescent="0.3">
      <c r="A59" s="504" t="s">
        <v>2638</v>
      </c>
      <c r="B59" s="40" t="s">
        <v>599</v>
      </c>
      <c r="C59" s="505" t="s">
        <v>2601</v>
      </c>
      <c r="D59" s="507">
        <v>2</v>
      </c>
      <c r="E59" s="40"/>
      <c r="F59" s="40"/>
      <c r="G59" s="40"/>
      <c r="H59" s="40"/>
      <c r="I59" s="40"/>
      <c r="J59" s="40"/>
      <c r="AE59">
        <v>-2</v>
      </c>
    </row>
    <row r="60" spans="1:44" x14ac:dyDescent="0.3">
      <c r="A60" s="504" t="s">
        <v>2641</v>
      </c>
      <c r="B60" s="40" t="s">
        <v>2777</v>
      </c>
      <c r="C60" s="505" t="s">
        <v>2776</v>
      </c>
      <c r="D60" s="507">
        <v>-1</v>
      </c>
      <c r="E60" s="40"/>
      <c r="F60" s="40"/>
      <c r="G60" s="40"/>
      <c r="H60" s="40"/>
      <c r="I60" s="40"/>
      <c r="J60" s="40"/>
      <c r="AC60">
        <v>2</v>
      </c>
    </row>
    <row r="61" spans="1:44" x14ac:dyDescent="0.3">
      <c r="A61" s="504" t="s">
        <v>2644</v>
      </c>
      <c r="B61" s="40" t="s">
        <v>600</v>
      </c>
      <c r="C61" s="505" t="s">
        <v>2525</v>
      </c>
      <c r="D61" s="507">
        <v>1</v>
      </c>
      <c r="E61" s="40">
        <v>-3</v>
      </c>
      <c r="F61" s="40">
        <v>-1</v>
      </c>
      <c r="G61" s="40">
        <v>2</v>
      </c>
      <c r="H61" s="40"/>
      <c r="I61" s="40"/>
      <c r="J61" s="40"/>
    </row>
    <row r="62" spans="1:44" x14ac:dyDescent="0.3">
      <c r="A62" s="504" t="s">
        <v>2646</v>
      </c>
      <c r="B62" s="40" t="s">
        <v>5247</v>
      </c>
      <c r="C62" s="505" t="s">
        <v>2759</v>
      </c>
      <c r="D62" s="507">
        <v>-2</v>
      </c>
      <c r="E62" s="40"/>
      <c r="F62" s="40"/>
      <c r="G62" s="40"/>
      <c r="H62" s="40"/>
      <c r="I62" s="40"/>
      <c r="J62" s="40"/>
    </row>
    <row r="63" spans="1:44" x14ac:dyDescent="0.3">
      <c r="A63" s="504" t="s">
        <v>2649</v>
      </c>
      <c r="B63" s="40" t="s">
        <v>603</v>
      </c>
      <c r="C63" s="505" t="s">
        <v>2553</v>
      </c>
      <c r="D63" s="507">
        <v>2</v>
      </c>
      <c r="E63" s="40">
        <v>-1</v>
      </c>
      <c r="F63" s="40"/>
      <c r="G63" s="40">
        <v>1</v>
      </c>
      <c r="H63" s="40"/>
      <c r="I63" s="40">
        <v>-1</v>
      </c>
      <c r="J63" s="40"/>
      <c r="K63" s="40">
        <v>-1</v>
      </c>
    </row>
    <row r="64" spans="1:44" s="512" customFormat="1" x14ac:dyDescent="0.3">
      <c r="A64" s="504" t="s">
        <v>2659</v>
      </c>
      <c r="B64" s="40" t="s">
        <v>1088</v>
      </c>
      <c r="C64" s="505" t="s">
        <v>2795</v>
      </c>
      <c r="D64" s="507">
        <v>-2</v>
      </c>
      <c r="E64" s="40"/>
      <c r="F64" s="40"/>
      <c r="G64" s="40"/>
      <c r="H64" s="40"/>
      <c r="I64" s="40"/>
      <c r="J64" s="40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39" s="512" customFormat="1" ht="20.399999999999999" x14ac:dyDescent="0.3">
      <c r="A65" s="508" t="s">
        <v>2660</v>
      </c>
      <c r="B65" s="509" t="s">
        <v>2624</v>
      </c>
      <c r="C65" s="510" t="s">
        <v>2625</v>
      </c>
      <c r="D65" s="511">
        <v>2</v>
      </c>
      <c r="E65" s="509"/>
      <c r="F65" s="509"/>
      <c r="G65" s="509"/>
      <c r="H65" s="509"/>
      <c r="I65" s="509"/>
      <c r="J65" s="509"/>
    </row>
    <row r="66" spans="1:39" x14ac:dyDescent="0.3">
      <c r="A66" s="504" t="s">
        <v>2661</v>
      </c>
      <c r="B66" s="40" t="s">
        <v>634</v>
      </c>
      <c r="C66" s="505" t="s">
        <v>2796</v>
      </c>
      <c r="D66" s="507">
        <v>-4</v>
      </c>
      <c r="E66" s="40"/>
      <c r="F66" s="40"/>
      <c r="G66" s="40"/>
      <c r="H66" s="40"/>
      <c r="I66" s="40"/>
      <c r="J66" s="40"/>
    </row>
    <row r="67" spans="1:39" x14ac:dyDescent="0.3">
      <c r="A67" s="504" t="s">
        <v>2662</v>
      </c>
      <c r="B67" s="40" t="s">
        <v>2647</v>
      </c>
      <c r="C67" s="505" t="s">
        <v>2648</v>
      </c>
      <c r="D67" s="507">
        <v>1</v>
      </c>
      <c r="E67" s="40"/>
      <c r="F67" s="40"/>
      <c r="G67" s="40"/>
      <c r="H67" s="40"/>
      <c r="I67" s="40"/>
      <c r="J67" s="40"/>
    </row>
    <row r="68" spans="1:39" x14ac:dyDescent="0.3">
      <c r="A68" s="504" t="s">
        <v>2653</v>
      </c>
      <c r="B68" s="40" t="s">
        <v>635</v>
      </c>
      <c r="C68" s="505" t="s">
        <v>2797</v>
      </c>
      <c r="D68" s="507">
        <v>-3</v>
      </c>
      <c r="E68" s="40"/>
      <c r="F68" s="40"/>
      <c r="G68" s="40"/>
      <c r="H68" s="40"/>
      <c r="I68" s="40"/>
      <c r="J68" s="40"/>
      <c r="AE68">
        <v>2</v>
      </c>
    </row>
    <row r="69" spans="1:39" x14ac:dyDescent="0.3">
      <c r="A69" s="504" t="s">
        <v>2652</v>
      </c>
      <c r="B69" s="40" t="s">
        <v>2639</v>
      </c>
      <c r="C69" s="505" t="s">
        <v>2640</v>
      </c>
      <c r="D69" s="507">
        <v>2</v>
      </c>
      <c r="E69" s="40"/>
      <c r="F69" s="40"/>
      <c r="G69" s="40"/>
      <c r="H69" s="40"/>
      <c r="I69" s="40"/>
      <c r="J69" s="40"/>
    </row>
    <row r="70" spans="1:39" x14ac:dyDescent="0.3">
      <c r="A70" s="504" t="s">
        <v>2670</v>
      </c>
      <c r="B70" s="40" t="s">
        <v>636</v>
      </c>
      <c r="C70" s="505" t="s">
        <v>2798</v>
      </c>
      <c r="D70" s="507">
        <v>-1</v>
      </c>
      <c r="E70" s="40"/>
      <c r="F70" s="40"/>
      <c r="G70" s="40"/>
      <c r="H70" s="40"/>
      <c r="I70" s="40"/>
      <c r="J70" s="40"/>
      <c r="AL70">
        <v>2</v>
      </c>
    </row>
    <row r="71" spans="1:39" x14ac:dyDescent="0.3">
      <c r="A71" s="504" t="s">
        <v>2672</v>
      </c>
      <c r="B71" s="40" t="s">
        <v>1081</v>
      </c>
      <c r="C71" s="505" t="s">
        <v>2605</v>
      </c>
      <c r="D71" s="507">
        <v>2</v>
      </c>
      <c r="E71" s="40"/>
      <c r="F71" s="40">
        <v>-1</v>
      </c>
      <c r="G71" s="40"/>
      <c r="H71" s="40"/>
      <c r="I71" s="40"/>
      <c r="J71" s="40"/>
    </row>
    <row r="72" spans="1:39" x14ac:dyDescent="0.3">
      <c r="A72" s="504" t="s">
        <v>2678</v>
      </c>
      <c r="B72" s="40" t="s">
        <v>726</v>
      </c>
      <c r="C72" s="505" t="s">
        <v>5388</v>
      </c>
      <c r="D72" s="507">
        <v>-1</v>
      </c>
      <c r="E72" s="40"/>
      <c r="F72" s="40"/>
      <c r="G72" s="40"/>
      <c r="H72" s="40"/>
      <c r="I72" s="40"/>
      <c r="J72" s="40"/>
    </row>
    <row r="73" spans="1:39" x14ac:dyDescent="0.3">
      <c r="A73" s="504" t="s">
        <v>2680</v>
      </c>
      <c r="B73" s="40" t="s">
        <v>5248</v>
      </c>
      <c r="C73" s="505" t="s">
        <v>5375</v>
      </c>
      <c r="D73" s="507">
        <v>2</v>
      </c>
      <c r="E73" s="40"/>
      <c r="F73" s="40"/>
      <c r="G73" s="40"/>
      <c r="H73" s="40"/>
      <c r="I73" s="40"/>
      <c r="J73" s="40"/>
    </row>
    <row r="74" spans="1:39" x14ac:dyDescent="0.3">
      <c r="A74" s="504" t="s">
        <v>2682</v>
      </c>
      <c r="B74" s="40" t="s">
        <v>632</v>
      </c>
      <c r="C74" s="505" t="s">
        <v>2794</v>
      </c>
      <c r="D74" s="507">
        <v>-3</v>
      </c>
      <c r="E74" s="40"/>
      <c r="F74" s="40"/>
      <c r="G74" s="40"/>
      <c r="H74" s="40"/>
      <c r="I74" s="40"/>
      <c r="J74" s="40"/>
    </row>
    <row r="75" spans="1:39" x14ac:dyDescent="0.3">
      <c r="A75" s="504" t="s">
        <v>2684</v>
      </c>
      <c r="B75" s="40" t="s">
        <v>615</v>
      </c>
      <c r="C75" s="505" t="s">
        <v>2611</v>
      </c>
      <c r="D75" s="507">
        <v>3</v>
      </c>
      <c r="E75" s="40"/>
      <c r="F75" s="40"/>
      <c r="G75" s="40"/>
      <c r="H75" s="40"/>
      <c r="I75" s="40"/>
      <c r="J75" s="40"/>
    </row>
    <row r="76" spans="1:39" ht="15" customHeight="1" x14ac:dyDescent="0.3">
      <c r="A76" s="504" t="s">
        <v>2686</v>
      </c>
      <c r="B76" s="40" t="s">
        <v>557</v>
      </c>
      <c r="C76" s="505" t="s">
        <v>2816</v>
      </c>
      <c r="D76" s="507">
        <v>-2</v>
      </c>
      <c r="E76" s="40"/>
      <c r="F76" s="40"/>
      <c r="G76" s="40"/>
      <c r="H76" s="40"/>
      <c r="I76" s="40"/>
      <c r="J76" s="40"/>
    </row>
    <row r="77" spans="1:39" x14ac:dyDescent="0.3">
      <c r="A77" s="504" t="s">
        <v>2688</v>
      </c>
      <c r="B77" s="40" t="s">
        <v>2587</v>
      </c>
      <c r="C77" s="505" t="s">
        <v>2588</v>
      </c>
      <c r="D77" s="507">
        <v>2</v>
      </c>
      <c r="E77" s="40"/>
      <c r="F77" s="40"/>
      <c r="G77" s="40"/>
      <c r="H77" s="40"/>
      <c r="I77" s="40"/>
      <c r="J77" s="40"/>
      <c r="AM77">
        <v>-2</v>
      </c>
    </row>
    <row r="78" spans="1:39" x14ac:dyDescent="0.3">
      <c r="A78" s="504" t="s">
        <v>2690</v>
      </c>
      <c r="B78" s="40" t="s">
        <v>5249</v>
      </c>
      <c r="C78" s="505" t="s">
        <v>5473</v>
      </c>
      <c r="D78" s="507">
        <v>-1</v>
      </c>
      <c r="E78" s="40"/>
      <c r="F78" s="40"/>
      <c r="G78" s="40"/>
      <c r="H78" s="40"/>
      <c r="I78" s="40"/>
      <c r="J78" s="40"/>
      <c r="AK78">
        <v>2</v>
      </c>
    </row>
    <row r="79" spans="1:39" x14ac:dyDescent="0.3">
      <c r="A79" s="504" t="s">
        <v>2693</v>
      </c>
      <c r="B79" s="40" t="s">
        <v>618</v>
      </c>
      <c r="C79" s="505" t="s">
        <v>2613</v>
      </c>
      <c r="D79" s="507">
        <v>2</v>
      </c>
      <c r="E79" s="40">
        <v>-1</v>
      </c>
      <c r="F79" s="40">
        <v>-1</v>
      </c>
      <c r="G79" s="40"/>
      <c r="H79" s="40"/>
      <c r="I79" s="40"/>
      <c r="J79" s="40"/>
    </row>
    <row r="80" spans="1:39" x14ac:dyDescent="0.3">
      <c r="A80" s="504" t="s">
        <v>2695</v>
      </c>
      <c r="B80" s="40" t="s">
        <v>637</v>
      </c>
      <c r="C80" s="505" t="s">
        <v>2799</v>
      </c>
      <c r="D80" s="507">
        <v>-2</v>
      </c>
      <c r="E80" s="40"/>
      <c r="F80" s="40"/>
      <c r="G80" s="40"/>
      <c r="H80" s="40"/>
      <c r="I80" s="40"/>
      <c r="J80" s="40"/>
      <c r="AM80">
        <v>2</v>
      </c>
    </row>
    <row r="81" spans="1:44" x14ac:dyDescent="0.3">
      <c r="A81" s="504" t="s">
        <v>2696</v>
      </c>
      <c r="B81" s="40" t="s">
        <v>608</v>
      </c>
      <c r="C81" s="505" t="s">
        <v>2679</v>
      </c>
      <c r="D81" s="507">
        <v>1</v>
      </c>
      <c r="E81" s="40"/>
      <c r="F81" s="40"/>
      <c r="G81" s="40"/>
      <c r="H81" s="40"/>
      <c r="I81" s="40"/>
      <c r="J81" s="40"/>
    </row>
    <row r="82" spans="1:44" x14ac:dyDescent="0.3">
      <c r="A82" s="504" t="s">
        <v>2700</v>
      </c>
      <c r="B82" s="40" t="s">
        <v>647</v>
      </c>
      <c r="C82" s="505" t="s">
        <v>2789</v>
      </c>
      <c r="D82" s="507">
        <v>-5</v>
      </c>
      <c r="E82" s="40"/>
      <c r="F82" s="40"/>
      <c r="G82" s="40"/>
      <c r="H82" s="40"/>
      <c r="I82" s="40"/>
      <c r="J82" s="40"/>
    </row>
    <row r="83" spans="1:44" s="512" customFormat="1" x14ac:dyDescent="0.3">
      <c r="A83" s="504" t="s">
        <v>2702</v>
      </c>
      <c r="B83" s="40" t="s">
        <v>5250</v>
      </c>
      <c r="C83" s="505" t="s">
        <v>5376</v>
      </c>
      <c r="D83" s="507">
        <v>2</v>
      </c>
      <c r="E83" s="40"/>
      <c r="F83" s="40"/>
      <c r="G83" s="40"/>
      <c r="H83" s="40"/>
      <c r="I83" s="40"/>
      <c r="J83" s="40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 x14ac:dyDescent="0.3">
      <c r="A84" s="504" t="s">
        <v>2703</v>
      </c>
      <c r="B84" s="40" t="s">
        <v>652</v>
      </c>
      <c r="C84" s="505" t="s">
        <v>2810</v>
      </c>
      <c r="D84" s="507">
        <v>-2</v>
      </c>
      <c r="E84" s="40"/>
      <c r="F84" s="40"/>
      <c r="G84" s="40"/>
      <c r="H84" s="40"/>
      <c r="I84" s="40"/>
      <c r="J84" s="40"/>
    </row>
    <row r="85" spans="1:44" x14ac:dyDescent="0.3">
      <c r="A85" s="504" t="s">
        <v>2705</v>
      </c>
      <c r="B85" s="40" t="s">
        <v>2654</v>
      </c>
      <c r="C85" s="505" t="s">
        <v>5377</v>
      </c>
      <c r="D85" s="507">
        <v>2</v>
      </c>
      <c r="E85" s="40"/>
      <c r="F85" s="40"/>
      <c r="G85" s="40"/>
      <c r="H85" s="40"/>
      <c r="I85" s="40"/>
      <c r="J85" s="40"/>
    </row>
    <row r="86" spans="1:44" x14ac:dyDescent="0.3">
      <c r="A86" s="504" t="s">
        <v>2708</v>
      </c>
      <c r="B86" s="40" t="s">
        <v>653</v>
      </c>
      <c r="C86" s="505" t="s">
        <v>2811</v>
      </c>
      <c r="D86" s="507">
        <v>-2</v>
      </c>
      <c r="E86" s="40"/>
      <c r="F86" s="40"/>
      <c r="G86" s="40"/>
      <c r="H86" s="40"/>
      <c r="I86" s="40"/>
      <c r="J86" s="40"/>
    </row>
    <row r="87" spans="1:44" x14ac:dyDescent="0.3">
      <c r="A87" s="504" t="s">
        <v>2710</v>
      </c>
      <c r="B87" s="40" t="s">
        <v>5251</v>
      </c>
      <c r="C87" s="505" t="s">
        <v>2655</v>
      </c>
      <c r="D87" s="507">
        <v>2</v>
      </c>
      <c r="E87" s="40"/>
      <c r="F87" s="40"/>
      <c r="G87" s="40"/>
      <c r="H87" s="40"/>
      <c r="I87" s="40"/>
      <c r="J87" s="40"/>
    </row>
    <row r="88" spans="1:44" x14ac:dyDescent="0.3">
      <c r="A88" s="504" t="s">
        <v>2714</v>
      </c>
      <c r="B88" s="40" t="s">
        <v>5252</v>
      </c>
      <c r="C88" s="505" t="s">
        <v>2812</v>
      </c>
      <c r="D88" s="507">
        <v>-2</v>
      </c>
      <c r="E88" s="40"/>
      <c r="F88" s="40"/>
      <c r="G88" s="40"/>
      <c r="H88" s="40"/>
      <c r="I88" s="40"/>
      <c r="J88" s="40"/>
    </row>
    <row r="89" spans="1:44" x14ac:dyDescent="0.3">
      <c r="A89" s="504" t="s">
        <v>2717</v>
      </c>
      <c r="B89" s="40" t="s">
        <v>1082</v>
      </c>
      <c r="C89" s="505" t="s">
        <v>2681</v>
      </c>
      <c r="D89" s="507">
        <v>1</v>
      </c>
      <c r="E89" s="40"/>
      <c r="F89" s="40"/>
      <c r="G89" s="40"/>
      <c r="H89" s="40"/>
      <c r="I89" s="40"/>
      <c r="J89" s="40"/>
    </row>
    <row r="90" spans="1:44" x14ac:dyDescent="0.3">
      <c r="A90" s="504" t="s">
        <v>2719</v>
      </c>
      <c r="B90" s="40" t="s">
        <v>654</v>
      </c>
      <c r="C90" s="505" t="s">
        <v>2813</v>
      </c>
      <c r="D90" s="507">
        <v>-2</v>
      </c>
      <c r="E90" s="40"/>
      <c r="F90" s="40"/>
      <c r="G90" s="40"/>
      <c r="H90" s="40"/>
      <c r="I90" s="40"/>
      <c r="J90" s="40"/>
    </row>
    <row r="91" spans="1:44" x14ac:dyDescent="0.3">
      <c r="A91" s="504" t="s">
        <v>2720</v>
      </c>
      <c r="B91" s="40" t="s">
        <v>1083</v>
      </c>
      <c r="C91" s="505" t="s">
        <v>2683</v>
      </c>
      <c r="D91" s="507">
        <v>1</v>
      </c>
      <c r="E91" s="40"/>
      <c r="F91" s="40"/>
      <c r="G91" s="40"/>
      <c r="H91" s="40"/>
      <c r="I91" s="40"/>
      <c r="J91" s="40"/>
    </row>
    <row r="92" spans="1:44" x14ac:dyDescent="0.3">
      <c r="A92" s="504" t="s">
        <v>2722</v>
      </c>
      <c r="B92" s="40" t="s">
        <v>655</v>
      </c>
      <c r="C92" s="505" t="s">
        <v>2814</v>
      </c>
      <c r="D92" s="507">
        <v>-2</v>
      </c>
      <c r="E92" s="40"/>
      <c r="F92" s="40"/>
      <c r="G92" s="40"/>
      <c r="H92" s="40"/>
      <c r="I92" s="40"/>
      <c r="J92" s="40"/>
    </row>
    <row r="93" spans="1:44" x14ac:dyDescent="0.3">
      <c r="A93" s="504" t="s">
        <v>2724</v>
      </c>
      <c r="B93" s="40" t="s">
        <v>594</v>
      </c>
      <c r="C93" s="505" t="s">
        <v>2723</v>
      </c>
      <c r="D93" s="507">
        <v>1</v>
      </c>
      <c r="E93" s="40"/>
      <c r="F93" s="40"/>
      <c r="G93" s="40"/>
      <c r="H93" s="40"/>
      <c r="I93" s="40"/>
      <c r="J93" s="40"/>
    </row>
    <row r="94" spans="1:44" x14ac:dyDescent="0.3">
      <c r="A94" s="504" t="s">
        <v>2725</v>
      </c>
      <c r="B94" s="40" t="s">
        <v>658</v>
      </c>
      <c r="C94" s="505" t="s">
        <v>2815</v>
      </c>
      <c r="D94" s="507">
        <v>-2</v>
      </c>
      <c r="E94" s="40"/>
      <c r="F94" s="40"/>
      <c r="G94" s="40"/>
      <c r="H94" s="40"/>
      <c r="I94" s="40"/>
      <c r="J94" s="40"/>
    </row>
    <row r="95" spans="1:44" x14ac:dyDescent="0.3">
      <c r="A95" s="504" t="s">
        <v>2728</v>
      </c>
      <c r="B95" s="40" t="s">
        <v>607</v>
      </c>
      <c r="C95" s="505" t="s">
        <v>2673</v>
      </c>
      <c r="D95" s="507">
        <v>2</v>
      </c>
      <c r="E95" s="40"/>
      <c r="F95" s="40"/>
      <c r="G95" s="40"/>
      <c r="H95" s="40"/>
      <c r="I95" s="40"/>
      <c r="J95" s="40"/>
      <c r="AO95">
        <v>-1</v>
      </c>
      <c r="AR95">
        <v>-1</v>
      </c>
    </row>
    <row r="96" spans="1:44" x14ac:dyDescent="0.3">
      <c r="A96" s="504" t="s">
        <v>2730</v>
      </c>
      <c r="B96" s="40" t="s">
        <v>645</v>
      </c>
      <c r="C96" s="505" t="s">
        <v>2817</v>
      </c>
      <c r="D96" s="507">
        <v>-3</v>
      </c>
      <c r="E96" s="40"/>
      <c r="F96" s="40"/>
      <c r="G96" s="40"/>
      <c r="H96" s="40"/>
      <c r="I96" s="40"/>
      <c r="J96" s="40"/>
    </row>
    <row r="97" spans="1:44" x14ac:dyDescent="0.3">
      <c r="A97" s="504" t="s">
        <v>2732</v>
      </c>
      <c r="B97" s="40" t="s">
        <v>610</v>
      </c>
      <c r="C97" s="505" t="s">
        <v>2689</v>
      </c>
      <c r="D97" s="507">
        <v>1</v>
      </c>
      <c r="E97" s="40"/>
      <c r="F97" s="40"/>
      <c r="G97" s="40"/>
      <c r="H97" s="40"/>
      <c r="I97" s="40"/>
      <c r="J97" s="40"/>
    </row>
    <row r="98" spans="1:44" x14ac:dyDescent="0.3">
      <c r="A98" s="504" t="s">
        <v>2735</v>
      </c>
      <c r="B98" s="40" t="s">
        <v>644</v>
      </c>
      <c r="C98" s="505" t="s">
        <v>2806</v>
      </c>
      <c r="D98" s="507">
        <v>-1</v>
      </c>
      <c r="E98" s="40"/>
      <c r="F98" s="40"/>
      <c r="G98" s="40"/>
      <c r="H98" s="40"/>
      <c r="I98" s="40"/>
      <c r="J98" s="40"/>
    </row>
    <row r="99" spans="1:44" x14ac:dyDescent="0.3">
      <c r="A99" s="504" t="s">
        <v>2737</v>
      </c>
      <c r="B99" s="40" t="s">
        <v>1086</v>
      </c>
      <c r="C99" s="505" t="s">
        <v>2718</v>
      </c>
      <c r="D99" s="507">
        <v>2</v>
      </c>
      <c r="E99" s="40"/>
      <c r="F99" s="40"/>
      <c r="G99" s="40"/>
      <c r="H99" s="40"/>
      <c r="I99" s="40"/>
      <c r="J99" s="40"/>
      <c r="AR99">
        <v>-2</v>
      </c>
    </row>
    <row r="100" spans="1:44" ht="14.25" customHeight="1" x14ac:dyDescent="0.3">
      <c r="A100" s="504" t="s">
        <v>2739</v>
      </c>
      <c r="B100" s="40" t="s">
        <v>1091</v>
      </c>
      <c r="C100" s="505" t="s">
        <v>2818</v>
      </c>
      <c r="D100" s="507">
        <v>-3</v>
      </c>
      <c r="E100" s="40"/>
      <c r="F100" s="40"/>
      <c r="G100" s="40"/>
      <c r="H100" s="40"/>
      <c r="I100" s="40"/>
      <c r="J100" s="40"/>
    </row>
    <row r="101" spans="1:44" ht="14.25" customHeight="1" x14ac:dyDescent="0.3">
      <c r="A101" s="504" t="s">
        <v>2742</v>
      </c>
      <c r="B101" s="40" t="s">
        <v>2715</v>
      </c>
      <c r="C101" s="505" t="s">
        <v>2716</v>
      </c>
      <c r="D101" s="507">
        <v>1</v>
      </c>
      <c r="E101" s="40"/>
      <c r="F101" s="40"/>
      <c r="G101" s="40"/>
      <c r="H101" s="40"/>
      <c r="I101" s="40"/>
      <c r="J101" s="40"/>
    </row>
    <row r="102" spans="1:44" x14ac:dyDescent="0.3">
      <c r="A102" s="504" t="s">
        <v>2744</v>
      </c>
      <c r="B102" s="40" t="s">
        <v>649</v>
      </c>
      <c r="C102" s="505" t="s">
        <v>2819</v>
      </c>
      <c r="D102" s="507">
        <v>-3</v>
      </c>
      <c r="E102" s="40"/>
      <c r="F102" s="40"/>
      <c r="G102" s="40"/>
      <c r="H102" s="40"/>
      <c r="I102" s="40"/>
      <c r="J102" s="40"/>
    </row>
    <row r="103" spans="1:44" x14ac:dyDescent="0.3">
      <c r="A103" s="504" t="s">
        <v>4149</v>
      </c>
      <c r="B103" s="40" t="s">
        <v>609</v>
      </c>
      <c r="C103" s="505" t="s">
        <v>2687</v>
      </c>
      <c r="D103" s="507">
        <v>3</v>
      </c>
      <c r="E103" s="40"/>
      <c r="F103" s="40"/>
      <c r="G103" s="40"/>
      <c r="H103" s="40"/>
      <c r="I103" s="40"/>
      <c r="J103" s="40"/>
    </row>
    <row r="104" spans="1:44" x14ac:dyDescent="0.3">
      <c r="A104" s="504" t="s">
        <v>5303</v>
      </c>
      <c r="B104" s="40" t="s">
        <v>5379</v>
      </c>
      <c r="C104" s="505" t="s">
        <v>2749</v>
      </c>
      <c r="D104" s="507">
        <v>-1</v>
      </c>
      <c r="E104" s="40"/>
      <c r="F104" s="40"/>
      <c r="G104" s="40">
        <v>2</v>
      </c>
      <c r="H104" s="40"/>
      <c r="I104" s="40"/>
      <c r="J104" s="40"/>
    </row>
    <row r="105" spans="1:44" x14ac:dyDescent="0.3">
      <c r="A105" s="504" t="s">
        <v>5253</v>
      </c>
      <c r="B105" s="40" t="s">
        <v>1070</v>
      </c>
      <c r="C105" s="505" t="s">
        <v>2510</v>
      </c>
      <c r="D105" s="507">
        <v>7</v>
      </c>
      <c r="E105" s="40"/>
      <c r="F105" s="40"/>
      <c r="G105" s="40">
        <v>-2</v>
      </c>
      <c r="H105" s="40"/>
      <c r="I105" s="40">
        <v>-3</v>
      </c>
      <c r="J105" s="40">
        <v>-1</v>
      </c>
      <c r="K105">
        <v>-10</v>
      </c>
      <c r="L105">
        <v>2</v>
      </c>
      <c r="M105">
        <v>1</v>
      </c>
      <c r="N105">
        <v>1</v>
      </c>
      <c r="O105">
        <v>1</v>
      </c>
    </row>
    <row r="106" spans="1:44" x14ac:dyDescent="0.3">
      <c r="A106" s="504" t="s">
        <v>5304</v>
      </c>
      <c r="B106" s="40" t="s">
        <v>5356</v>
      </c>
      <c r="C106" s="505" t="s">
        <v>2760</v>
      </c>
      <c r="D106" s="507">
        <v>-1</v>
      </c>
      <c r="E106" s="40"/>
      <c r="F106" s="40"/>
      <c r="G106" s="40"/>
      <c r="H106" s="40"/>
      <c r="I106" s="40"/>
      <c r="J106" s="40"/>
    </row>
    <row r="107" spans="1:44" x14ac:dyDescent="0.3">
      <c r="A107" s="504" t="s">
        <v>5254</v>
      </c>
      <c r="B107" s="40" t="s">
        <v>1338</v>
      </c>
      <c r="C107" s="505" t="s">
        <v>2691</v>
      </c>
      <c r="D107" s="507">
        <v>1</v>
      </c>
      <c r="E107" s="40"/>
      <c r="F107" s="40"/>
      <c r="G107" s="40"/>
      <c r="H107" s="40"/>
      <c r="I107" s="40"/>
      <c r="J107" s="40"/>
    </row>
    <row r="108" spans="1:44" x14ac:dyDescent="0.3">
      <c r="A108" s="504" t="s">
        <v>5305</v>
      </c>
      <c r="B108" s="40" t="s">
        <v>5358</v>
      </c>
      <c r="C108" s="505" t="s">
        <v>5472</v>
      </c>
      <c r="D108" s="507">
        <v>-1</v>
      </c>
      <c r="E108" s="40"/>
      <c r="F108" s="40"/>
      <c r="G108" s="40"/>
      <c r="H108" s="40"/>
      <c r="I108" s="40"/>
      <c r="J108" s="40"/>
    </row>
    <row r="109" spans="1:44" x14ac:dyDescent="0.3">
      <c r="A109" s="504" t="s">
        <v>5255</v>
      </c>
      <c r="B109" s="40" t="s">
        <v>1085</v>
      </c>
      <c r="C109" s="505" t="s">
        <v>2712</v>
      </c>
      <c r="D109" s="507">
        <v>1</v>
      </c>
      <c r="E109" s="40"/>
      <c r="F109" s="40"/>
      <c r="G109" s="40"/>
      <c r="H109" s="40"/>
      <c r="I109" s="40"/>
      <c r="J109" s="40"/>
    </row>
    <row r="110" spans="1:44" x14ac:dyDescent="0.3">
      <c r="A110" s="504" t="s">
        <v>5306</v>
      </c>
      <c r="B110" s="40" t="s">
        <v>5359</v>
      </c>
      <c r="C110" s="505" t="s">
        <v>2780</v>
      </c>
      <c r="D110" s="507">
        <v>-1</v>
      </c>
      <c r="E110" s="40"/>
      <c r="F110" s="40"/>
      <c r="G110" s="40"/>
      <c r="H110" s="40"/>
      <c r="I110" s="40"/>
      <c r="J110" s="40"/>
    </row>
    <row r="111" spans="1:44" x14ac:dyDescent="0.3">
      <c r="A111" s="504" t="s">
        <v>5256</v>
      </c>
      <c r="B111" s="40" t="s">
        <v>2711</v>
      </c>
      <c r="C111" s="505" t="s">
        <v>2713</v>
      </c>
      <c r="D111" s="507">
        <v>1</v>
      </c>
      <c r="E111" s="40"/>
      <c r="F111" s="40"/>
      <c r="G111" s="40"/>
      <c r="H111" s="40"/>
      <c r="I111" s="40"/>
      <c r="J111" s="40"/>
    </row>
    <row r="112" spans="1:44" x14ac:dyDescent="0.3">
      <c r="A112" s="504" t="s">
        <v>5307</v>
      </c>
      <c r="B112" s="40" t="s">
        <v>641</v>
      </c>
      <c r="C112" s="505" t="s">
        <v>2781</v>
      </c>
      <c r="D112" s="507">
        <v>-1</v>
      </c>
      <c r="E112" s="40"/>
      <c r="F112" s="40"/>
      <c r="G112" s="40"/>
      <c r="H112" s="40"/>
      <c r="I112" s="40"/>
      <c r="J112" s="40"/>
      <c r="K112">
        <v>1</v>
      </c>
    </row>
    <row r="113" spans="1:44" ht="15.6" customHeight="1" x14ac:dyDescent="0.3">
      <c r="A113" s="504" t="s">
        <v>5257</v>
      </c>
      <c r="B113" s="40" t="s">
        <v>597</v>
      </c>
      <c r="C113" s="505" t="s">
        <v>2645</v>
      </c>
      <c r="D113" s="507">
        <v>1</v>
      </c>
      <c r="E113" s="40"/>
      <c r="F113" s="40"/>
      <c r="G113" s="40"/>
      <c r="H113" s="40"/>
      <c r="I113" s="40"/>
      <c r="J113" s="40"/>
      <c r="AO113">
        <v>-2</v>
      </c>
      <c r="AP113">
        <v>-2</v>
      </c>
    </row>
    <row r="114" spans="1:44" x14ac:dyDescent="0.3">
      <c r="A114" s="504" t="s">
        <v>5308</v>
      </c>
      <c r="B114" s="40" t="s">
        <v>2763</v>
      </c>
      <c r="C114" s="505" t="s">
        <v>2764</v>
      </c>
      <c r="D114" s="507">
        <v>-2</v>
      </c>
      <c r="E114" s="40"/>
      <c r="F114" s="40"/>
      <c r="G114" s="40"/>
      <c r="H114" s="40"/>
      <c r="I114" s="40"/>
      <c r="J114" s="40"/>
      <c r="AG114">
        <v>2</v>
      </c>
    </row>
    <row r="115" spans="1:44" x14ac:dyDescent="0.3">
      <c r="A115" s="504" t="s">
        <v>5258</v>
      </c>
      <c r="B115" s="40" t="s">
        <v>2575</v>
      </c>
      <c r="C115" s="505" t="s">
        <v>2576</v>
      </c>
      <c r="D115" s="507">
        <v>1</v>
      </c>
      <c r="E115" s="40"/>
      <c r="F115" s="40"/>
      <c r="G115" s="40"/>
      <c r="H115" s="40"/>
      <c r="I115" s="40"/>
      <c r="J115" s="40"/>
    </row>
    <row r="116" spans="1:44" x14ac:dyDescent="0.3">
      <c r="A116" s="504" t="s">
        <v>5309</v>
      </c>
      <c r="B116" s="40" t="s">
        <v>639</v>
      </c>
      <c r="C116" s="505" t="s">
        <v>5475</v>
      </c>
      <c r="D116" s="507">
        <v>-1</v>
      </c>
      <c r="E116" s="40"/>
      <c r="F116" s="40"/>
      <c r="G116" s="40"/>
      <c r="H116" s="40"/>
      <c r="I116" s="40"/>
      <c r="J116" s="40"/>
    </row>
    <row r="117" spans="1:44" x14ac:dyDescent="0.3">
      <c r="A117" s="504" t="s">
        <v>5259</v>
      </c>
      <c r="B117" s="40" t="s">
        <v>2577</v>
      </c>
      <c r="C117" s="505" t="s">
        <v>2578</v>
      </c>
      <c r="D117" s="507">
        <v>1</v>
      </c>
      <c r="E117" s="40"/>
      <c r="F117" s="40"/>
      <c r="G117" s="40"/>
      <c r="H117" s="40"/>
      <c r="I117" s="40"/>
      <c r="J117" s="40"/>
    </row>
    <row r="118" spans="1:44" x14ac:dyDescent="0.3">
      <c r="A118" s="504" t="s">
        <v>5310</v>
      </c>
      <c r="B118" s="40" t="s">
        <v>2767</v>
      </c>
      <c r="C118" s="505" t="s">
        <v>2768</v>
      </c>
      <c r="D118" s="507">
        <v>-2</v>
      </c>
      <c r="E118" s="40"/>
      <c r="F118" s="40"/>
      <c r="G118" s="40"/>
      <c r="H118" s="40"/>
      <c r="I118" s="40"/>
      <c r="J118" s="40"/>
    </row>
    <row r="119" spans="1:44" x14ac:dyDescent="0.3">
      <c r="A119" s="504" t="s">
        <v>5260</v>
      </c>
      <c r="B119" s="40" t="s">
        <v>2556</v>
      </c>
      <c r="C119" s="505" t="s">
        <v>2557</v>
      </c>
      <c r="D119" s="507">
        <v>2</v>
      </c>
      <c r="E119" s="40">
        <v>-3</v>
      </c>
      <c r="F119" s="40"/>
      <c r="G119" s="40"/>
      <c r="H119" s="40"/>
      <c r="I119" s="40"/>
      <c r="J119" s="40"/>
    </row>
    <row r="120" spans="1:44" x14ac:dyDescent="0.3">
      <c r="A120" s="504" t="s">
        <v>5311</v>
      </c>
      <c r="B120" s="40" t="s">
        <v>2765</v>
      </c>
      <c r="C120" s="505" t="s">
        <v>2766</v>
      </c>
      <c r="D120" s="507">
        <v>-1</v>
      </c>
      <c r="E120" s="40"/>
      <c r="F120" s="40"/>
      <c r="G120" s="40"/>
      <c r="H120" s="40"/>
      <c r="I120" s="40"/>
      <c r="J120" s="40"/>
    </row>
    <row r="121" spans="1:44" x14ac:dyDescent="0.3">
      <c r="A121" s="504" t="s">
        <v>5261</v>
      </c>
      <c r="B121" s="40" t="s">
        <v>1074</v>
      </c>
      <c r="C121" s="505" t="s">
        <v>2594</v>
      </c>
      <c r="D121" s="507">
        <v>1</v>
      </c>
      <c r="E121" s="40">
        <v>-2</v>
      </c>
      <c r="F121" s="40">
        <v>-2</v>
      </c>
      <c r="G121" s="40"/>
      <c r="H121" s="40"/>
      <c r="I121" s="40"/>
      <c r="J121" s="40"/>
    </row>
    <row r="122" spans="1:44" x14ac:dyDescent="0.3">
      <c r="A122" s="504" t="s">
        <v>5312</v>
      </c>
      <c r="B122" s="40" t="s">
        <v>2769</v>
      </c>
      <c r="C122" s="505" t="s">
        <v>5474</v>
      </c>
      <c r="D122" s="507">
        <v>-1</v>
      </c>
      <c r="E122" s="40"/>
      <c r="F122" s="40"/>
      <c r="G122" s="40"/>
      <c r="H122" s="40"/>
      <c r="I122" s="40"/>
      <c r="J122" s="40"/>
    </row>
    <row r="123" spans="1:44" x14ac:dyDescent="0.3">
      <c r="A123" s="504" t="s">
        <v>5262</v>
      </c>
      <c r="B123" s="40" t="s">
        <v>1072</v>
      </c>
      <c r="C123" s="505" t="s">
        <v>2511</v>
      </c>
      <c r="D123" s="507">
        <v>7</v>
      </c>
      <c r="E123" s="40"/>
      <c r="F123" s="40">
        <v>-3</v>
      </c>
      <c r="G123" s="40">
        <v>-2</v>
      </c>
      <c r="H123" s="40"/>
      <c r="I123" s="40"/>
      <c r="J123" s="40"/>
      <c r="K123">
        <v>1</v>
      </c>
      <c r="L123">
        <v>-10</v>
      </c>
      <c r="M123">
        <v>1</v>
      </c>
      <c r="N123">
        <v>1</v>
      </c>
      <c r="O123">
        <v>1</v>
      </c>
      <c r="AO123">
        <v>-1</v>
      </c>
      <c r="AR123">
        <v>-1</v>
      </c>
    </row>
    <row r="124" spans="1:44" x14ac:dyDescent="0.3">
      <c r="A124" s="508" t="s">
        <v>5313</v>
      </c>
      <c r="B124" s="509" t="s">
        <v>2770</v>
      </c>
      <c r="C124" s="510" t="s">
        <v>2771</v>
      </c>
      <c r="D124" s="511">
        <v>-1</v>
      </c>
      <c r="E124" s="509"/>
      <c r="F124" s="509"/>
      <c r="G124" s="509"/>
      <c r="H124" s="509"/>
      <c r="I124" s="509"/>
      <c r="J124" s="509"/>
      <c r="K124" s="512"/>
      <c r="L124" s="512"/>
      <c r="M124" s="512"/>
      <c r="N124" s="512"/>
      <c r="O124" s="512"/>
      <c r="P124" s="512"/>
      <c r="Q124" s="512"/>
      <c r="R124" s="512"/>
      <c r="S124" s="512"/>
      <c r="T124" s="512"/>
      <c r="U124" s="512"/>
      <c r="V124" s="512"/>
      <c r="W124" s="512"/>
      <c r="X124" s="512"/>
      <c r="Y124" s="512"/>
      <c r="Z124" s="512"/>
      <c r="AA124" s="512"/>
      <c r="AB124" s="512"/>
      <c r="AC124" s="512"/>
      <c r="AD124" s="512"/>
      <c r="AE124" s="512"/>
      <c r="AF124" s="512"/>
      <c r="AG124" s="512"/>
      <c r="AH124" s="512"/>
      <c r="AI124" s="512"/>
      <c r="AJ124" s="512"/>
      <c r="AK124" s="512"/>
      <c r="AL124" s="512"/>
      <c r="AM124" s="512"/>
      <c r="AN124" s="512"/>
      <c r="AO124" s="512"/>
      <c r="AP124" s="512"/>
      <c r="AQ124" s="512"/>
      <c r="AR124" s="512"/>
    </row>
    <row r="125" spans="1:44" x14ac:dyDescent="0.3">
      <c r="A125" s="504" t="s">
        <v>5263</v>
      </c>
      <c r="B125" s="40" t="s">
        <v>2636</v>
      </c>
      <c r="C125" s="505" t="s">
        <v>2637</v>
      </c>
      <c r="D125" s="507">
        <v>3</v>
      </c>
      <c r="E125" s="40"/>
      <c r="F125" s="40"/>
      <c r="G125" s="40"/>
      <c r="H125" s="40"/>
      <c r="I125" s="40"/>
      <c r="J125" s="40"/>
    </row>
    <row r="126" spans="1:44" x14ac:dyDescent="0.3">
      <c r="A126" s="504" t="s">
        <v>5314</v>
      </c>
      <c r="B126" s="40" t="s">
        <v>2778</v>
      </c>
      <c r="C126" s="505" t="s">
        <v>2779</v>
      </c>
      <c r="D126" s="507">
        <v>-1</v>
      </c>
      <c r="E126" s="40">
        <v>1</v>
      </c>
      <c r="F126" s="40"/>
      <c r="G126" s="40"/>
      <c r="H126" s="40"/>
      <c r="I126" s="40"/>
      <c r="J126" s="40"/>
    </row>
    <row r="127" spans="1:44" ht="15" customHeight="1" x14ac:dyDescent="0.3">
      <c r="A127" s="504" t="s">
        <v>5264</v>
      </c>
      <c r="B127" s="40" t="s">
        <v>2740</v>
      </c>
      <c r="C127" s="505" t="s">
        <v>2741</v>
      </c>
      <c r="D127" s="507">
        <v>2</v>
      </c>
      <c r="E127" s="40"/>
      <c r="F127" s="40"/>
      <c r="G127" s="40"/>
      <c r="H127" s="40"/>
      <c r="I127" s="40"/>
      <c r="J127" s="40"/>
    </row>
    <row r="128" spans="1:44" x14ac:dyDescent="0.3">
      <c r="A128" s="504" t="s">
        <v>5315</v>
      </c>
      <c r="B128" s="40" t="s">
        <v>657</v>
      </c>
      <c r="C128" s="505" t="s">
        <v>5482</v>
      </c>
      <c r="D128" s="507">
        <v>-1</v>
      </c>
      <c r="E128" s="40">
        <v>1</v>
      </c>
      <c r="F128" s="40">
        <v>1</v>
      </c>
      <c r="G128" s="40"/>
      <c r="H128" s="40"/>
      <c r="I128" s="40"/>
      <c r="J128" s="40"/>
      <c r="AN128">
        <v>1</v>
      </c>
    </row>
    <row r="129" spans="1:44" x14ac:dyDescent="0.3">
      <c r="A129" s="504" t="s">
        <v>5265</v>
      </c>
      <c r="B129" s="40" t="s">
        <v>2656</v>
      </c>
      <c r="C129" s="505" t="s">
        <v>2657</v>
      </c>
      <c r="D129" s="507">
        <v>3</v>
      </c>
      <c r="E129" s="40"/>
      <c r="F129" s="40"/>
      <c r="G129" s="40"/>
      <c r="H129" s="40"/>
      <c r="I129" s="40"/>
      <c r="J129" s="40"/>
    </row>
    <row r="130" spans="1:44" x14ac:dyDescent="0.3">
      <c r="A130" s="504" t="s">
        <v>5316</v>
      </c>
      <c r="B130" s="40" t="s">
        <v>646</v>
      </c>
      <c r="C130" s="505" t="s">
        <v>2788</v>
      </c>
      <c r="D130" s="507">
        <v>-1</v>
      </c>
      <c r="E130" s="40"/>
      <c r="F130" s="40"/>
      <c r="G130" s="40"/>
      <c r="H130" s="40"/>
      <c r="I130" s="40"/>
      <c r="J130" s="40"/>
    </row>
    <row r="131" spans="1:44" x14ac:dyDescent="0.3">
      <c r="A131" s="504" t="s">
        <v>5266</v>
      </c>
      <c r="B131" s="40" t="s">
        <v>606</v>
      </c>
      <c r="C131" s="505" t="s">
        <v>2658</v>
      </c>
      <c r="D131" s="507">
        <v>1</v>
      </c>
      <c r="E131" s="40"/>
      <c r="F131" s="40"/>
      <c r="G131" s="40"/>
      <c r="H131" s="40"/>
      <c r="I131" s="40"/>
      <c r="J131" s="40"/>
    </row>
    <row r="132" spans="1:44" x14ac:dyDescent="0.3">
      <c r="A132" s="504" t="s">
        <v>5317</v>
      </c>
      <c r="B132" s="40" t="s">
        <v>2903</v>
      </c>
      <c r="C132" s="505" t="s">
        <v>2904</v>
      </c>
      <c r="D132" s="507">
        <v>-1</v>
      </c>
      <c r="E132" s="40"/>
      <c r="F132" s="40"/>
      <c r="G132" s="40"/>
      <c r="H132" s="40"/>
      <c r="I132" s="40"/>
      <c r="J132" s="40"/>
      <c r="AN132">
        <v>1</v>
      </c>
    </row>
    <row r="133" spans="1:44" x14ac:dyDescent="0.3">
      <c r="A133" s="504" t="s">
        <v>5267</v>
      </c>
      <c r="B133" s="40" t="s">
        <v>2509</v>
      </c>
      <c r="C133" s="505" t="s">
        <v>2512</v>
      </c>
      <c r="D133" s="507">
        <v>7</v>
      </c>
      <c r="E133" s="40">
        <v>-2</v>
      </c>
      <c r="F133" s="40">
        <v>-2</v>
      </c>
      <c r="G133" s="40">
        <v>-3</v>
      </c>
      <c r="H133" s="40"/>
      <c r="I133" s="40">
        <v>-4</v>
      </c>
      <c r="J133" s="40"/>
      <c r="Q133">
        <v>-3</v>
      </c>
    </row>
    <row r="134" spans="1:44" x14ac:dyDescent="0.3">
      <c r="A134" s="504" t="s">
        <v>5318</v>
      </c>
      <c r="B134" s="40" t="s">
        <v>2801</v>
      </c>
      <c r="C134" s="505" t="s">
        <v>2802</v>
      </c>
      <c r="D134" s="507">
        <v>-1</v>
      </c>
      <c r="E134" s="40"/>
      <c r="F134" s="40"/>
      <c r="G134" s="40"/>
      <c r="H134" s="40"/>
      <c r="I134" s="40"/>
      <c r="J134" s="40"/>
    </row>
    <row r="135" spans="1:44" x14ac:dyDescent="0.3">
      <c r="A135" s="508" t="s">
        <v>5268</v>
      </c>
      <c r="B135" s="40" t="s">
        <v>2599</v>
      </c>
      <c r="C135" s="510" t="s">
        <v>2901</v>
      </c>
      <c r="D135" s="507">
        <v>1</v>
      </c>
      <c r="E135" s="40"/>
      <c r="F135" s="40"/>
      <c r="G135" s="40"/>
      <c r="H135" s="40"/>
      <c r="I135" s="40"/>
      <c r="J135" s="40"/>
      <c r="AN135">
        <v>-2</v>
      </c>
    </row>
    <row r="136" spans="1:44" x14ac:dyDescent="0.3">
      <c r="A136" s="504" t="s">
        <v>5319</v>
      </c>
      <c r="B136" s="40" t="s">
        <v>648</v>
      </c>
      <c r="C136" s="505" t="s">
        <v>2807</v>
      </c>
      <c r="D136" s="507">
        <v>-2</v>
      </c>
      <c r="E136" s="40"/>
      <c r="F136" s="40"/>
      <c r="G136" s="40"/>
      <c r="H136" s="40"/>
      <c r="I136" s="40"/>
      <c r="J136" s="40"/>
    </row>
    <row r="137" spans="1:44" x14ac:dyDescent="0.3">
      <c r="A137" s="504" t="s">
        <v>5269</v>
      </c>
      <c r="B137" s="40" t="s">
        <v>1075</v>
      </c>
      <c r="C137" s="505" t="s">
        <v>2559</v>
      </c>
      <c r="D137" s="507">
        <v>2</v>
      </c>
      <c r="E137" s="40"/>
      <c r="F137" s="40"/>
      <c r="G137" s="40">
        <v>-1</v>
      </c>
      <c r="H137" s="40"/>
      <c r="I137" s="40">
        <v>-2</v>
      </c>
      <c r="J137" s="40"/>
      <c r="Q137">
        <v>-1</v>
      </c>
    </row>
    <row r="138" spans="1:44" x14ac:dyDescent="0.3">
      <c r="A138" s="504" t="s">
        <v>5320</v>
      </c>
      <c r="B138" s="40" t="s">
        <v>650</v>
      </c>
      <c r="C138" s="505" t="s">
        <v>2808</v>
      </c>
      <c r="D138" s="507">
        <v>-2</v>
      </c>
      <c r="E138" s="40"/>
      <c r="F138" s="40"/>
      <c r="G138" s="40"/>
      <c r="H138" s="40"/>
      <c r="I138" s="40"/>
      <c r="J138" s="40"/>
    </row>
    <row r="139" spans="1:44" s="512" customFormat="1" x14ac:dyDescent="0.3">
      <c r="A139" s="504" t="s">
        <v>5270</v>
      </c>
      <c r="B139" s="40" t="s">
        <v>614</v>
      </c>
      <c r="C139" s="505" t="s">
        <v>2607</v>
      </c>
      <c r="D139" s="507">
        <v>1</v>
      </c>
      <c r="E139" s="40"/>
      <c r="F139" s="40"/>
      <c r="G139" s="40"/>
      <c r="H139" s="40"/>
      <c r="I139" s="40"/>
      <c r="J139" s="40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 x14ac:dyDescent="0.3">
      <c r="A140" s="504" t="s">
        <v>5321</v>
      </c>
      <c r="B140" s="40" t="s">
        <v>651</v>
      </c>
      <c r="C140" s="505" t="s">
        <v>2809</v>
      </c>
      <c r="D140" s="507">
        <v>-2</v>
      </c>
      <c r="E140" s="40"/>
      <c r="F140" s="40"/>
      <c r="G140" s="40"/>
      <c r="H140" s="40"/>
      <c r="I140" s="40"/>
      <c r="J140" s="40"/>
    </row>
    <row r="141" spans="1:44" x14ac:dyDescent="0.3">
      <c r="A141" s="504" t="s">
        <v>5271</v>
      </c>
      <c r="B141" s="40" t="s">
        <v>613</v>
      </c>
      <c r="C141" s="505" t="s">
        <v>2699</v>
      </c>
      <c r="D141" s="507">
        <v>1</v>
      </c>
      <c r="E141" s="40"/>
      <c r="F141" s="40"/>
      <c r="G141" s="40"/>
      <c r="H141" s="40"/>
      <c r="I141" s="40"/>
      <c r="J141" s="40"/>
    </row>
    <row r="142" spans="1:44" x14ac:dyDescent="0.3">
      <c r="A142" s="504" t="s">
        <v>5322</v>
      </c>
      <c r="B142" s="40" t="s">
        <v>656</v>
      </c>
      <c r="C142" s="505" t="s">
        <v>2823</v>
      </c>
      <c r="D142" s="507">
        <v>-1</v>
      </c>
      <c r="E142" s="40"/>
      <c r="F142" s="40">
        <v>1</v>
      </c>
      <c r="G142" s="40"/>
      <c r="H142" s="40"/>
      <c r="I142" s="40"/>
      <c r="J142" s="40"/>
    </row>
    <row r="143" spans="1:44" x14ac:dyDescent="0.3">
      <c r="A143" s="504" t="s">
        <v>5272</v>
      </c>
      <c r="B143" s="40" t="s">
        <v>2513</v>
      </c>
      <c r="C143" s="505" t="s">
        <v>2514</v>
      </c>
      <c r="D143" s="507">
        <v>5</v>
      </c>
      <c r="E143" s="40">
        <v>-3</v>
      </c>
      <c r="F143" s="40">
        <v>-1</v>
      </c>
      <c r="G143" s="40">
        <v>-1</v>
      </c>
      <c r="H143" s="40"/>
      <c r="I143" s="40"/>
      <c r="J143" s="40"/>
      <c r="W143">
        <v>-3</v>
      </c>
    </row>
    <row r="144" spans="1:44" x14ac:dyDescent="0.3">
      <c r="A144" s="504" t="s">
        <v>5323</v>
      </c>
      <c r="B144" s="40" t="s">
        <v>2824</v>
      </c>
      <c r="C144" s="505" t="s">
        <v>2825</v>
      </c>
      <c r="D144" s="507">
        <v>-2</v>
      </c>
    </row>
    <row r="145" spans="1:44" x14ac:dyDescent="0.3">
      <c r="A145" s="504" t="s">
        <v>5273</v>
      </c>
      <c r="B145" s="40" t="s">
        <v>2697</v>
      </c>
      <c r="C145" s="505" t="s">
        <v>2698</v>
      </c>
      <c r="D145" s="507">
        <v>1</v>
      </c>
      <c r="E145" s="40"/>
      <c r="F145" s="40"/>
      <c r="G145" s="40"/>
      <c r="H145" s="40"/>
      <c r="I145" s="40"/>
      <c r="J145" s="40"/>
    </row>
    <row r="146" spans="1:44" x14ac:dyDescent="0.3">
      <c r="A146" s="504" t="s">
        <v>5324</v>
      </c>
      <c r="B146" s="40" t="s">
        <v>5478</v>
      </c>
      <c r="C146" s="505" t="s">
        <v>5479</v>
      </c>
      <c r="D146" s="507">
        <v>-1</v>
      </c>
      <c r="E146" s="40"/>
      <c r="F146" s="40"/>
      <c r="G146" s="40"/>
      <c r="H146" s="40"/>
      <c r="I146" s="40"/>
      <c r="J146" s="40"/>
    </row>
    <row r="147" spans="1:44" x14ac:dyDescent="0.3">
      <c r="A147" s="504" t="s">
        <v>5274</v>
      </c>
      <c r="B147" s="40" t="s">
        <v>2674</v>
      </c>
      <c r="C147" s="505" t="s">
        <v>2675</v>
      </c>
      <c r="D147" s="507">
        <v>1</v>
      </c>
      <c r="E147" s="40"/>
      <c r="F147" s="40"/>
      <c r="G147" s="40"/>
      <c r="H147" s="40"/>
      <c r="I147" s="40"/>
      <c r="J147" s="40"/>
      <c r="AO147">
        <v>-1</v>
      </c>
      <c r="AP147">
        <v>-1</v>
      </c>
    </row>
    <row r="148" spans="1:44" x14ac:dyDescent="0.3">
      <c r="A148" s="504" t="s">
        <v>5325</v>
      </c>
      <c r="B148" s="40" t="s">
        <v>5476</v>
      </c>
      <c r="C148" s="505" t="s">
        <v>5477</v>
      </c>
      <c r="D148" s="507">
        <v>-1</v>
      </c>
      <c r="E148" s="40"/>
      <c r="F148" s="40"/>
      <c r="G148" s="40"/>
      <c r="H148" s="40"/>
      <c r="I148" s="40"/>
      <c r="J148" s="40"/>
    </row>
    <row r="149" spans="1:44" x14ac:dyDescent="0.3">
      <c r="A149" s="504" t="s">
        <v>5275</v>
      </c>
      <c r="B149" s="40" t="s">
        <v>2676</v>
      </c>
      <c r="C149" s="505" t="s">
        <v>2677</v>
      </c>
      <c r="D149" s="507">
        <v>1</v>
      </c>
      <c r="E149" s="40"/>
      <c r="F149" s="40"/>
      <c r="G149" s="40"/>
      <c r="H149" s="40"/>
      <c r="I149" s="40"/>
      <c r="J149" s="40"/>
      <c r="AP149">
        <v>-1</v>
      </c>
      <c r="AR149">
        <v>-1</v>
      </c>
    </row>
    <row r="150" spans="1:44" x14ac:dyDescent="0.3">
      <c r="A150" s="504" t="s">
        <v>5326</v>
      </c>
      <c r="B150" s="40" t="s">
        <v>5480</v>
      </c>
      <c r="C150" s="505" t="s">
        <v>5481</v>
      </c>
      <c r="D150" s="507">
        <v>-1</v>
      </c>
      <c r="E150" s="40"/>
      <c r="F150" s="40"/>
      <c r="G150" s="40"/>
      <c r="H150" s="40"/>
      <c r="I150" s="40"/>
      <c r="J150" s="40"/>
    </row>
    <row r="151" spans="1:44" x14ac:dyDescent="0.3">
      <c r="A151" s="504" t="s">
        <v>5276</v>
      </c>
      <c r="B151" s="40" t="s">
        <v>601</v>
      </c>
      <c r="C151" s="505" t="s">
        <v>2701</v>
      </c>
      <c r="D151" s="507">
        <v>1</v>
      </c>
      <c r="E151" s="40"/>
      <c r="F151" s="40"/>
      <c r="G151" s="40"/>
      <c r="H151" s="40"/>
      <c r="I151" s="40"/>
      <c r="J151" s="40"/>
    </row>
    <row r="152" spans="1:44" x14ac:dyDescent="0.3">
      <c r="A152" s="504" t="s">
        <v>5327</v>
      </c>
      <c r="B152" s="40" t="s">
        <v>2804</v>
      </c>
      <c r="C152" s="505" t="s">
        <v>2805</v>
      </c>
      <c r="D152" s="507">
        <v>-1</v>
      </c>
      <c r="E152" s="40"/>
      <c r="F152" s="40"/>
      <c r="G152" s="40"/>
      <c r="H152" s="40"/>
      <c r="I152" s="40"/>
      <c r="J152" s="40"/>
    </row>
    <row r="153" spans="1:44" x14ac:dyDescent="0.3">
      <c r="A153" s="504" t="s">
        <v>5277</v>
      </c>
      <c r="B153" s="40" t="s">
        <v>1071</v>
      </c>
      <c r="C153" s="505" t="s">
        <v>2515</v>
      </c>
      <c r="D153" s="507">
        <v>4</v>
      </c>
      <c r="E153" s="40"/>
      <c r="F153" s="40">
        <v>-2</v>
      </c>
      <c r="G153" s="40">
        <v>-1</v>
      </c>
      <c r="H153" s="40"/>
      <c r="I153" s="40"/>
      <c r="J153" s="40"/>
      <c r="K153">
        <v>1</v>
      </c>
      <c r="L153">
        <v>-10</v>
      </c>
      <c r="M153">
        <v>1</v>
      </c>
      <c r="N153">
        <v>1</v>
      </c>
      <c r="O153">
        <v>1</v>
      </c>
    </row>
    <row r="154" spans="1:44" x14ac:dyDescent="0.3">
      <c r="A154" s="504" t="s">
        <v>5328</v>
      </c>
      <c r="B154" s="40" t="s">
        <v>2761</v>
      </c>
      <c r="C154" s="505" t="s">
        <v>2762</v>
      </c>
      <c r="D154" s="507">
        <v>-5</v>
      </c>
      <c r="E154" s="40"/>
      <c r="F154" s="40"/>
      <c r="G154" s="40"/>
      <c r="H154" s="40"/>
      <c r="I154" s="40"/>
      <c r="J154" s="40"/>
    </row>
    <row r="155" spans="1:44" x14ac:dyDescent="0.3">
      <c r="A155" s="504" t="s">
        <v>5278</v>
      </c>
      <c r="B155" s="40" t="s">
        <v>611</v>
      </c>
      <c r="C155" s="505" t="s">
        <v>2692</v>
      </c>
      <c r="D155" s="507">
        <v>1</v>
      </c>
      <c r="E155" s="40"/>
      <c r="F155" s="40"/>
      <c r="G155" s="40"/>
      <c r="H155" s="40"/>
      <c r="I155" s="40"/>
      <c r="J155" s="40"/>
    </row>
    <row r="156" spans="1:44" x14ac:dyDescent="0.3">
      <c r="A156" s="504" t="s">
        <v>5329</v>
      </c>
      <c r="B156" s="40" t="s">
        <v>626</v>
      </c>
      <c r="C156" s="505" t="s">
        <v>5383</v>
      </c>
      <c r="D156" s="507">
        <v>-1</v>
      </c>
      <c r="E156" s="40"/>
      <c r="F156" s="40"/>
      <c r="G156" s="40"/>
      <c r="H156" s="40"/>
      <c r="I156" s="40"/>
      <c r="J156" s="40"/>
    </row>
    <row r="157" spans="1:44" x14ac:dyDescent="0.3">
      <c r="A157" s="504" t="s">
        <v>5279</v>
      </c>
      <c r="B157" s="40" t="s">
        <v>624</v>
      </c>
      <c r="C157" s="505" t="s">
        <v>2743</v>
      </c>
      <c r="D157" s="507">
        <v>3</v>
      </c>
      <c r="E157" s="40"/>
      <c r="F157" s="40"/>
      <c r="G157" s="40"/>
      <c r="H157" s="40"/>
      <c r="I157" s="40"/>
      <c r="J157" s="40"/>
    </row>
    <row r="158" spans="1:44" x14ac:dyDescent="0.3">
      <c r="A158" s="1079" t="s">
        <v>5330</v>
      </c>
      <c r="B158" s="1080" t="s">
        <v>5384</v>
      </c>
      <c r="C158" s="1081" t="s">
        <v>5385</v>
      </c>
      <c r="D158" s="507">
        <v>1</v>
      </c>
      <c r="E158" s="40"/>
      <c r="F158" s="40"/>
      <c r="G158" s="40"/>
      <c r="H158" s="40"/>
      <c r="I158" s="40"/>
      <c r="J158" s="40"/>
    </row>
    <row r="159" spans="1:44" x14ac:dyDescent="0.3">
      <c r="A159" s="504" t="s">
        <v>5280</v>
      </c>
      <c r="B159" s="40" t="s">
        <v>2537</v>
      </c>
      <c r="C159" s="505" t="s">
        <v>2538</v>
      </c>
      <c r="D159" s="507">
        <v>2</v>
      </c>
      <c r="E159" s="40">
        <v>-2</v>
      </c>
      <c r="F159" s="40">
        <v>-1</v>
      </c>
      <c r="G159" s="40">
        <v>1</v>
      </c>
      <c r="H159" s="40"/>
      <c r="I159" s="40"/>
      <c r="J159" s="40"/>
      <c r="AD159">
        <v>-1</v>
      </c>
    </row>
    <row r="160" spans="1:44" x14ac:dyDescent="0.3">
      <c r="A160" s="1079" t="s">
        <v>5331</v>
      </c>
      <c r="B160" s="1080" t="s">
        <v>592</v>
      </c>
      <c r="C160" s="1081" t="s">
        <v>5353</v>
      </c>
      <c r="D160" s="507">
        <v>0</v>
      </c>
      <c r="E160" s="40"/>
      <c r="F160" s="40"/>
      <c r="G160" s="40"/>
      <c r="H160" s="40"/>
      <c r="I160" s="40"/>
      <c r="J160" s="40"/>
    </row>
    <row r="161" spans="1:44" x14ac:dyDescent="0.3">
      <c r="A161" s="504" t="s">
        <v>5281</v>
      </c>
      <c r="B161" s="40" t="s">
        <v>2706</v>
      </c>
      <c r="C161" s="505" t="s">
        <v>2707</v>
      </c>
      <c r="D161" s="507">
        <v>1</v>
      </c>
      <c r="E161" s="40"/>
      <c r="F161" s="40"/>
      <c r="G161" s="40"/>
      <c r="H161" s="40"/>
      <c r="I161" s="40"/>
      <c r="J161" s="40"/>
      <c r="AO161">
        <v>-2</v>
      </c>
    </row>
    <row r="162" spans="1:44" x14ac:dyDescent="0.3">
      <c r="A162" s="1079" t="s">
        <v>5332</v>
      </c>
      <c r="B162" s="1080" t="s">
        <v>592</v>
      </c>
      <c r="C162" s="1081" t="s">
        <v>5353</v>
      </c>
      <c r="D162" s="507">
        <v>0</v>
      </c>
      <c r="E162" s="40"/>
      <c r="F162" s="40"/>
      <c r="G162" s="40"/>
      <c r="H162" s="40"/>
      <c r="I162" s="40"/>
      <c r="J162" s="40"/>
    </row>
    <row r="163" spans="1:44" x14ac:dyDescent="0.3">
      <c r="A163" s="504" t="s">
        <v>5282</v>
      </c>
      <c r="B163" s="40" t="s">
        <v>710</v>
      </c>
      <c r="C163" s="505" t="s">
        <v>2516</v>
      </c>
      <c r="D163" s="507">
        <v>4</v>
      </c>
      <c r="E163" s="40">
        <v>-2</v>
      </c>
      <c r="F163" s="40"/>
      <c r="G163" s="40">
        <v>-1</v>
      </c>
      <c r="H163" s="40"/>
      <c r="I163" s="40"/>
      <c r="J163" s="40"/>
      <c r="P163">
        <v>-1</v>
      </c>
      <c r="Q163">
        <v>-1</v>
      </c>
      <c r="R163">
        <v>-2</v>
      </c>
    </row>
    <row r="164" spans="1:44" x14ac:dyDescent="0.3">
      <c r="A164" s="1079" t="s">
        <v>5333</v>
      </c>
      <c r="B164" s="1080" t="s">
        <v>592</v>
      </c>
      <c r="C164" s="1081" t="s">
        <v>5353</v>
      </c>
      <c r="D164" s="507">
        <v>0</v>
      </c>
      <c r="E164" s="40"/>
      <c r="F164" s="40"/>
      <c r="G164" s="40"/>
      <c r="H164" s="40"/>
      <c r="I164" s="40"/>
      <c r="J164" s="40"/>
    </row>
    <row r="165" spans="1:44" ht="20.399999999999999" x14ac:dyDescent="0.3">
      <c r="A165" s="508" t="s">
        <v>5283</v>
      </c>
      <c r="B165" s="509" t="s">
        <v>605</v>
      </c>
      <c r="C165" s="510" t="s">
        <v>2671</v>
      </c>
      <c r="D165" s="511">
        <v>2</v>
      </c>
      <c r="E165" s="509"/>
      <c r="F165" s="509"/>
      <c r="G165" s="509"/>
      <c r="H165" s="509"/>
      <c r="I165" s="509"/>
      <c r="J165" s="509"/>
      <c r="K165" s="512"/>
      <c r="L165" s="512"/>
      <c r="M165" s="512"/>
      <c r="N165" s="512"/>
      <c r="O165" s="512"/>
      <c r="P165" s="512"/>
      <c r="Q165" s="512"/>
      <c r="R165" s="512"/>
      <c r="S165" s="512"/>
      <c r="T165" s="512"/>
      <c r="U165" s="512"/>
      <c r="V165" s="512"/>
      <c r="W165" s="512"/>
      <c r="X165" s="512"/>
      <c r="Y165" s="512"/>
      <c r="Z165" s="512"/>
      <c r="AA165" s="512"/>
      <c r="AB165" s="512"/>
      <c r="AC165" s="512"/>
      <c r="AD165" s="512"/>
      <c r="AE165" s="512"/>
      <c r="AF165" s="512"/>
      <c r="AG165" s="512"/>
      <c r="AH165" s="512"/>
      <c r="AI165" s="512"/>
      <c r="AJ165" s="512"/>
      <c r="AK165" s="512"/>
      <c r="AL165" s="512"/>
      <c r="AM165" s="512"/>
      <c r="AN165" s="512"/>
      <c r="AO165" s="512"/>
      <c r="AP165" s="512"/>
      <c r="AQ165" s="512"/>
      <c r="AR165" s="512"/>
    </row>
    <row r="166" spans="1:44" x14ac:dyDescent="0.3">
      <c r="A166" s="1079" t="s">
        <v>5334</v>
      </c>
      <c r="B166" s="1080" t="s">
        <v>592</v>
      </c>
      <c r="C166" s="1081" t="s">
        <v>5353</v>
      </c>
      <c r="D166" s="507">
        <v>0</v>
      </c>
      <c r="E166" s="509"/>
      <c r="F166" s="509"/>
      <c r="G166" s="509"/>
      <c r="H166" s="509"/>
      <c r="I166" s="509"/>
      <c r="J166" s="509"/>
      <c r="K166" s="512"/>
      <c r="L166" s="512"/>
      <c r="M166" s="512"/>
      <c r="N166" s="512"/>
      <c r="O166" s="512"/>
      <c r="P166" s="512"/>
      <c r="Q166" s="512"/>
      <c r="R166" s="512"/>
      <c r="S166" s="512"/>
      <c r="T166" s="512"/>
      <c r="U166" s="512"/>
      <c r="V166" s="512"/>
      <c r="W166" s="512"/>
      <c r="X166" s="512"/>
      <c r="Y166" s="512"/>
      <c r="Z166" s="512"/>
      <c r="AA166" s="512"/>
      <c r="AB166" s="512"/>
      <c r="AC166" s="512"/>
      <c r="AD166" s="512"/>
      <c r="AE166" s="512"/>
      <c r="AF166" s="512"/>
      <c r="AG166" s="512"/>
      <c r="AH166" s="512"/>
      <c r="AI166" s="512"/>
      <c r="AJ166" s="512"/>
      <c r="AK166" s="512"/>
      <c r="AL166" s="512"/>
      <c r="AM166" s="512"/>
      <c r="AN166" s="512"/>
      <c r="AO166" s="512"/>
      <c r="AP166" s="512"/>
      <c r="AQ166" s="512"/>
      <c r="AR166" s="512"/>
    </row>
    <row r="167" spans="1:44" x14ac:dyDescent="0.3">
      <c r="A167" s="504" t="s">
        <v>5284</v>
      </c>
      <c r="B167" s="40" t="s">
        <v>621</v>
      </c>
      <c r="C167" s="505" t="s">
        <v>2736</v>
      </c>
      <c r="D167" s="507">
        <v>1</v>
      </c>
      <c r="E167" s="40"/>
      <c r="F167" s="40"/>
      <c r="G167" s="40"/>
      <c r="H167" s="40"/>
      <c r="I167" s="40"/>
      <c r="J167" s="40"/>
      <c r="AP167">
        <v>-2</v>
      </c>
    </row>
    <row r="168" spans="1:44" x14ac:dyDescent="0.3">
      <c r="A168" s="1079" t="s">
        <v>5335</v>
      </c>
      <c r="B168" s="1080" t="s">
        <v>592</v>
      </c>
      <c r="C168" s="1081" t="s">
        <v>5353</v>
      </c>
      <c r="D168" s="507">
        <v>0</v>
      </c>
      <c r="E168" s="40"/>
      <c r="F168" s="40"/>
      <c r="G168" s="40"/>
      <c r="H168" s="40"/>
      <c r="I168" s="40"/>
      <c r="J168" s="40"/>
    </row>
    <row r="169" spans="1:44" x14ac:dyDescent="0.3">
      <c r="A169" s="504" t="s">
        <v>5285</v>
      </c>
      <c r="B169" s="40" t="s">
        <v>5370</v>
      </c>
      <c r="C169" s="505" t="s">
        <v>2729</v>
      </c>
      <c r="D169" s="507">
        <v>2</v>
      </c>
      <c r="E169" s="40"/>
      <c r="F169" s="40"/>
      <c r="G169" s="40"/>
      <c r="H169" s="40"/>
      <c r="I169" s="40"/>
      <c r="J169" s="40"/>
    </row>
    <row r="170" spans="1:44" x14ac:dyDescent="0.3">
      <c r="A170" s="1079" t="s">
        <v>5336</v>
      </c>
      <c r="B170" s="1080" t="s">
        <v>592</v>
      </c>
      <c r="C170" s="1081" t="s">
        <v>5353</v>
      </c>
      <c r="D170" s="507">
        <v>0</v>
      </c>
      <c r="E170" s="40"/>
      <c r="F170" s="40"/>
      <c r="G170" s="40"/>
      <c r="H170" s="40"/>
      <c r="I170" s="40"/>
      <c r="J170" s="40"/>
    </row>
    <row r="171" spans="1:44" x14ac:dyDescent="0.3">
      <c r="A171" s="504" t="s">
        <v>5286</v>
      </c>
      <c r="B171" s="40" t="s">
        <v>5371</v>
      </c>
      <c r="C171" s="505" t="s">
        <v>2603</v>
      </c>
      <c r="D171" s="507">
        <v>1</v>
      </c>
      <c r="E171" s="40"/>
      <c r="F171" s="40"/>
      <c r="G171" s="40"/>
      <c r="H171" s="40"/>
      <c r="I171" s="40"/>
      <c r="J171" s="40"/>
    </row>
    <row r="172" spans="1:44" x14ac:dyDescent="0.3">
      <c r="A172" s="504" t="s">
        <v>5337</v>
      </c>
      <c r="B172" s="1080" t="s">
        <v>592</v>
      </c>
      <c r="C172" s="1081" t="s">
        <v>5353</v>
      </c>
      <c r="D172" s="507">
        <v>0</v>
      </c>
      <c r="E172" s="40"/>
      <c r="F172" s="40"/>
      <c r="G172" s="40"/>
      <c r="H172" s="40"/>
      <c r="I172" s="40"/>
      <c r="J172" s="40"/>
    </row>
    <row r="173" spans="1:44" x14ac:dyDescent="0.3">
      <c r="A173" s="504" t="s">
        <v>5287</v>
      </c>
      <c r="B173" s="40" t="s">
        <v>2517</v>
      </c>
      <c r="C173" s="505" t="s">
        <v>2518</v>
      </c>
      <c r="D173" s="507">
        <v>3</v>
      </c>
      <c r="E173" s="40"/>
      <c r="F173" s="40">
        <v>-1</v>
      </c>
      <c r="G173" s="40">
        <v>-1</v>
      </c>
      <c r="H173" s="40"/>
      <c r="I173" s="40"/>
      <c r="J173" s="40"/>
      <c r="AO173">
        <v>-1</v>
      </c>
      <c r="AR173">
        <v>-1</v>
      </c>
    </row>
    <row r="174" spans="1:44" x14ac:dyDescent="0.3">
      <c r="A174" s="504" t="s">
        <v>5338</v>
      </c>
      <c r="B174" s="40" t="s">
        <v>592</v>
      </c>
      <c r="C174" s="505" t="s">
        <v>5353</v>
      </c>
      <c r="D174" s="507">
        <v>0</v>
      </c>
      <c r="E174" s="40"/>
      <c r="F174" s="40"/>
      <c r="G174" s="40"/>
      <c r="H174" s="40"/>
      <c r="I174" s="40"/>
      <c r="J174" s="40"/>
    </row>
    <row r="175" spans="1:44" ht="13.8" customHeight="1" x14ac:dyDescent="0.3">
      <c r="A175" s="504" t="s">
        <v>5288</v>
      </c>
      <c r="B175" s="40" t="s">
        <v>2627</v>
      </c>
      <c r="C175" s="505" t="s">
        <v>2628</v>
      </c>
      <c r="D175" s="507">
        <v>1</v>
      </c>
      <c r="E175" s="40"/>
      <c r="F175" s="40"/>
      <c r="G175" s="40"/>
      <c r="H175" s="40"/>
      <c r="I175" s="40"/>
      <c r="J175" s="40"/>
    </row>
    <row r="176" spans="1:44" x14ac:dyDescent="0.3">
      <c r="A176" s="504" t="s">
        <v>5339</v>
      </c>
      <c r="B176" s="40" t="s">
        <v>592</v>
      </c>
      <c r="C176" s="505" t="s">
        <v>5353</v>
      </c>
      <c r="D176" s="507">
        <v>0</v>
      </c>
      <c r="E176" s="40"/>
      <c r="F176" s="40"/>
      <c r="G176" s="40"/>
      <c r="H176" s="40"/>
      <c r="I176" s="40"/>
      <c r="J176" s="40"/>
    </row>
    <row r="177" spans="1:44" x14ac:dyDescent="0.3">
      <c r="A177" s="504" t="s">
        <v>5289</v>
      </c>
      <c r="B177" s="40" t="s">
        <v>616</v>
      </c>
      <c r="C177" s="505" t="s">
        <v>2704</v>
      </c>
      <c r="D177" s="507">
        <v>1</v>
      </c>
      <c r="E177" s="40"/>
      <c r="F177" s="40"/>
      <c r="G177" s="40"/>
      <c r="H177" s="40"/>
      <c r="I177" s="40"/>
      <c r="J177" s="40"/>
    </row>
    <row r="178" spans="1:44" x14ac:dyDescent="0.3">
      <c r="A178" s="504" t="s">
        <v>5340</v>
      </c>
      <c r="B178" s="40" t="s">
        <v>592</v>
      </c>
      <c r="C178" s="505" t="s">
        <v>5353</v>
      </c>
      <c r="D178" s="507">
        <v>0</v>
      </c>
      <c r="E178" s="40"/>
      <c r="F178" s="40"/>
      <c r="G178" s="40"/>
      <c r="H178" s="40"/>
      <c r="I178" s="40"/>
      <c r="J178" s="40"/>
    </row>
    <row r="179" spans="1:44" x14ac:dyDescent="0.3">
      <c r="A179" s="504" t="s">
        <v>5290</v>
      </c>
      <c r="B179" s="40" t="s">
        <v>2522</v>
      </c>
      <c r="C179" s="505" t="s">
        <v>2523</v>
      </c>
      <c r="D179" s="507">
        <v>3</v>
      </c>
      <c r="E179" s="40"/>
      <c r="F179" s="40"/>
      <c r="G179" s="40"/>
      <c r="H179" s="40"/>
      <c r="I179" s="40"/>
      <c r="J179" s="40"/>
    </row>
    <row r="180" spans="1:44" x14ac:dyDescent="0.3">
      <c r="A180" s="504" t="s">
        <v>5341</v>
      </c>
      <c r="B180" s="40" t="s">
        <v>592</v>
      </c>
      <c r="C180" s="505" t="s">
        <v>5353</v>
      </c>
      <c r="D180" s="507">
        <v>0</v>
      </c>
      <c r="E180" s="40"/>
      <c r="F180" s="40"/>
      <c r="G180" s="40"/>
      <c r="H180" s="40"/>
      <c r="I180" s="40"/>
      <c r="J180" s="40"/>
    </row>
    <row r="181" spans="1:44" x14ac:dyDescent="0.3">
      <c r="A181" s="504" t="s">
        <v>5291</v>
      </c>
      <c r="B181" s="40" t="s">
        <v>593</v>
      </c>
      <c r="C181" s="505" t="s">
        <v>2721</v>
      </c>
      <c r="D181" s="507">
        <v>1</v>
      </c>
      <c r="E181" s="40"/>
      <c r="F181" s="40"/>
      <c r="G181" s="40"/>
      <c r="H181" s="40"/>
      <c r="I181" s="40"/>
      <c r="J181" s="40"/>
    </row>
    <row r="182" spans="1:44" x14ac:dyDescent="0.3">
      <c r="A182" s="504" t="s">
        <v>5342</v>
      </c>
      <c r="B182" s="40" t="s">
        <v>592</v>
      </c>
      <c r="C182" s="505" t="s">
        <v>5353</v>
      </c>
      <c r="D182" s="507">
        <v>0</v>
      </c>
      <c r="E182" s="40"/>
      <c r="F182" s="40"/>
      <c r="G182" s="40"/>
      <c r="H182" s="40"/>
      <c r="I182" s="40"/>
      <c r="J182" s="40"/>
    </row>
    <row r="183" spans="1:44" x14ac:dyDescent="0.3">
      <c r="A183" s="504" t="s">
        <v>5292</v>
      </c>
      <c r="B183" s="40" t="s">
        <v>2519</v>
      </c>
      <c r="C183" s="505" t="s">
        <v>2520</v>
      </c>
      <c r="D183" s="507">
        <v>4</v>
      </c>
      <c r="E183" s="40"/>
      <c r="F183" s="40"/>
      <c r="G183" s="40"/>
      <c r="H183" s="40"/>
      <c r="I183" s="40">
        <v>-2</v>
      </c>
      <c r="J183" s="40"/>
      <c r="Q183">
        <v>-2</v>
      </c>
    </row>
    <row r="184" spans="1:44" x14ac:dyDescent="0.3">
      <c r="A184" s="504" t="s">
        <v>5343</v>
      </c>
      <c r="B184" s="40" t="s">
        <v>592</v>
      </c>
      <c r="C184" s="505" t="s">
        <v>5353</v>
      </c>
      <c r="D184" s="507">
        <v>0</v>
      </c>
      <c r="E184" s="509"/>
      <c r="F184" s="509"/>
      <c r="G184" s="509"/>
      <c r="H184" s="509"/>
      <c r="I184" s="509"/>
      <c r="J184" s="509"/>
      <c r="K184" s="512"/>
      <c r="L184" s="512"/>
      <c r="M184" s="512"/>
      <c r="N184" s="512"/>
      <c r="O184" s="512"/>
      <c r="P184" s="512"/>
      <c r="Q184" s="512"/>
      <c r="R184" s="512"/>
      <c r="S184" s="512"/>
      <c r="T184" s="512"/>
      <c r="U184" s="512"/>
      <c r="V184" s="512"/>
      <c r="W184" s="512"/>
      <c r="X184" s="512"/>
      <c r="Y184" s="512"/>
      <c r="Z184" s="512"/>
      <c r="AA184" s="512"/>
      <c r="AB184" s="512"/>
      <c r="AC184" s="512"/>
      <c r="AD184" s="512"/>
      <c r="AE184" s="512"/>
      <c r="AF184" s="512"/>
      <c r="AG184" s="512"/>
      <c r="AH184" s="512"/>
      <c r="AI184" s="512"/>
      <c r="AJ184" s="512"/>
      <c r="AK184" s="512"/>
      <c r="AL184" s="512"/>
      <c r="AM184" s="512"/>
      <c r="AN184" s="512"/>
      <c r="AO184" s="512"/>
      <c r="AP184" s="512"/>
      <c r="AQ184" s="512"/>
      <c r="AR184" s="512"/>
    </row>
    <row r="185" spans="1:44" x14ac:dyDescent="0.3">
      <c r="A185" s="504" t="s">
        <v>5293</v>
      </c>
      <c r="B185" s="40" t="s">
        <v>2563</v>
      </c>
      <c r="C185" s="505" t="s">
        <v>2564</v>
      </c>
      <c r="D185" s="507">
        <v>2</v>
      </c>
      <c r="E185" s="40"/>
      <c r="F185" s="40"/>
      <c r="G185" s="40"/>
      <c r="H185" s="40"/>
      <c r="I185" s="40"/>
      <c r="J185" s="40"/>
    </row>
    <row r="186" spans="1:44" x14ac:dyDescent="0.3">
      <c r="A186" s="504" t="s">
        <v>5344</v>
      </c>
      <c r="B186" s="40" t="s">
        <v>592</v>
      </c>
      <c r="C186" s="505" t="s">
        <v>5353</v>
      </c>
      <c r="D186" s="507">
        <v>0</v>
      </c>
      <c r="E186" s="40"/>
      <c r="F186" s="40"/>
      <c r="G186" s="40"/>
      <c r="H186" s="40"/>
      <c r="I186" s="40"/>
      <c r="J186" s="40"/>
    </row>
    <row r="187" spans="1:44" x14ac:dyDescent="0.3">
      <c r="A187" s="504" t="s">
        <v>5294</v>
      </c>
      <c r="B187" s="40" t="s">
        <v>612</v>
      </c>
      <c r="C187" s="505" t="s">
        <v>2694</v>
      </c>
      <c r="D187" s="507">
        <v>2</v>
      </c>
      <c r="E187" s="40"/>
      <c r="F187" s="40"/>
      <c r="G187" s="40"/>
      <c r="H187" s="40"/>
      <c r="I187" s="40"/>
      <c r="J187" s="40"/>
    </row>
    <row r="188" spans="1:44" x14ac:dyDescent="0.3">
      <c r="A188" s="504" t="s">
        <v>5345</v>
      </c>
      <c r="B188" s="40" t="s">
        <v>592</v>
      </c>
      <c r="C188" s="505" t="s">
        <v>5353</v>
      </c>
      <c r="D188" s="507">
        <v>0</v>
      </c>
      <c r="E188" s="40"/>
      <c r="F188" s="40"/>
      <c r="G188" s="40"/>
      <c r="H188" s="40"/>
      <c r="I188" s="40"/>
      <c r="J188" s="40"/>
    </row>
    <row r="189" spans="1:44" x14ac:dyDescent="0.3">
      <c r="A189" s="504" t="s">
        <v>5295</v>
      </c>
      <c r="B189" s="40" t="s">
        <v>2726</v>
      </c>
      <c r="C189" s="505" t="s">
        <v>2727</v>
      </c>
      <c r="D189" s="507">
        <v>2</v>
      </c>
      <c r="E189" s="40"/>
      <c r="F189" s="40"/>
      <c r="G189" s="40"/>
      <c r="H189" s="40"/>
      <c r="I189" s="40"/>
      <c r="J189" s="40"/>
    </row>
    <row r="190" spans="1:44" x14ac:dyDescent="0.3">
      <c r="A190" s="504" t="s">
        <v>5346</v>
      </c>
      <c r="B190" s="40" t="s">
        <v>592</v>
      </c>
      <c r="C190" s="505" t="s">
        <v>5353</v>
      </c>
      <c r="D190" s="507">
        <v>0</v>
      </c>
      <c r="E190" s="40"/>
      <c r="F190" s="40"/>
      <c r="G190" s="40"/>
      <c r="H190" s="40"/>
      <c r="I190" s="40"/>
      <c r="J190" s="40"/>
    </row>
    <row r="191" spans="1:44" x14ac:dyDescent="0.3">
      <c r="A191" s="504" t="s">
        <v>5296</v>
      </c>
      <c r="B191" s="40" t="s">
        <v>2531</v>
      </c>
      <c r="C191" s="505" t="s">
        <v>2534</v>
      </c>
      <c r="D191" s="507">
        <v>3</v>
      </c>
      <c r="E191" s="40"/>
      <c r="F191" s="40"/>
      <c r="G191" s="40"/>
      <c r="H191" s="40"/>
      <c r="I191" s="40"/>
      <c r="J191" s="40"/>
      <c r="V191">
        <v>2</v>
      </c>
      <c r="W191">
        <v>1</v>
      </c>
      <c r="X191">
        <v>1</v>
      </c>
      <c r="Y191">
        <v>-1</v>
      </c>
      <c r="Z191">
        <v>-4</v>
      </c>
      <c r="AA191">
        <v>-3</v>
      </c>
    </row>
    <row r="192" spans="1:44" x14ac:dyDescent="0.3">
      <c r="A192" s="504" t="s">
        <v>5347</v>
      </c>
      <c r="B192" s="40" t="s">
        <v>592</v>
      </c>
      <c r="C192" s="505" t="s">
        <v>5353</v>
      </c>
      <c r="D192" s="507">
        <v>0</v>
      </c>
      <c r="E192" s="40"/>
      <c r="F192" s="40"/>
      <c r="G192" s="40"/>
      <c r="H192" s="40"/>
      <c r="I192" s="40"/>
      <c r="J192" s="40"/>
    </row>
    <row r="193" spans="1:44" x14ac:dyDescent="0.3">
      <c r="A193" s="504" t="s">
        <v>5297</v>
      </c>
      <c r="B193" s="40" t="s">
        <v>2533</v>
      </c>
      <c r="C193" s="505" t="s">
        <v>2535</v>
      </c>
      <c r="D193" s="507">
        <v>3</v>
      </c>
      <c r="E193" s="40"/>
      <c r="F193" s="40"/>
      <c r="G193" s="40"/>
      <c r="H193" s="40"/>
      <c r="I193" s="40"/>
      <c r="J193" s="40"/>
      <c r="V193">
        <v>1</v>
      </c>
      <c r="W193">
        <v>2</v>
      </c>
      <c r="X193">
        <v>0</v>
      </c>
      <c r="Y193">
        <v>-4</v>
      </c>
      <c r="Z193">
        <v>-1</v>
      </c>
      <c r="AA193">
        <v>-1</v>
      </c>
    </row>
    <row r="194" spans="1:44" x14ac:dyDescent="0.3">
      <c r="A194" s="504" t="s">
        <v>5348</v>
      </c>
      <c r="B194" s="40" t="s">
        <v>592</v>
      </c>
      <c r="C194" s="505" t="s">
        <v>5353</v>
      </c>
      <c r="D194" s="507">
        <v>0</v>
      </c>
      <c r="E194" s="40"/>
      <c r="F194" s="40"/>
      <c r="G194" s="40"/>
      <c r="H194" s="40"/>
      <c r="I194" s="40"/>
      <c r="J194" s="40"/>
    </row>
    <row r="195" spans="1:44" x14ac:dyDescent="0.3">
      <c r="A195" s="504" t="s">
        <v>5298</v>
      </c>
      <c r="B195" s="40" t="s">
        <v>620</v>
      </c>
      <c r="C195" s="505" t="s">
        <v>2731</v>
      </c>
      <c r="D195" s="507">
        <v>1</v>
      </c>
      <c r="E195" s="40"/>
      <c r="F195" s="40"/>
      <c r="G195" s="40"/>
      <c r="H195" s="40"/>
      <c r="I195" s="40"/>
      <c r="J195" s="40"/>
    </row>
    <row r="196" spans="1:44" x14ac:dyDescent="0.3">
      <c r="A196" s="504" t="s">
        <v>5349</v>
      </c>
      <c r="B196" s="40" t="s">
        <v>592</v>
      </c>
      <c r="C196" s="505" t="s">
        <v>5353</v>
      </c>
      <c r="D196" s="507">
        <v>0</v>
      </c>
      <c r="E196" s="40"/>
      <c r="F196" s="40"/>
      <c r="G196" s="40"/>
      <c r="H196" s="40"/>
      <c r="I196" s="40"/>
      <c r="J196" s="40"/>
    </row>
    <row r="197" spans="1:44" x14ac:dyDescent="0.3">
      <c r="A197" s="504" t="s">
        <v>5299</v>
      </c>
      <c r="B197" s="40" t="s">
        <v>2642</v>
      </c>
      <c r="C197" s="505" t="s">
        <v>2643</v>
      </c>
      <c r="D197" s="507">
        <v>2</v>
      </c>
      <c r="E197" s="40"/>
      <c r="F197" s="40"/>
      <c r="G197" s="40"/>
      <c r="H197" s="40"/>
      <c r="I197" s="40"/>
      <c r="J197" s="40"/>
    </row>
    <row r="198" spans="1:44" x14ac:dyDescent="0.3">
      <c r="A198" s="504" t="s">
        <v>5350</v>
      </c>
      <c r="B198" s="40" t="s">
        <v>1146</v>
      </c>
      <c r="C198" s="505" t="s">
        <v>2820</v>
      </c>
      <c r="D198" s="507">
        <v>-2</v>
      </c>
      <c r="E198" s="40"/>
      <c r="F198" s="40"/>
      <c r="G198" s="40"/>
      <c r="H198" s="40"/>
      <c r="I198" s="40"/>
      <c r="J198" s="40"/>
    </row>
    <row r="199" spans="1:44" ht="20.399999999999999" x14ac:dyDescent="0.3">
      <c r="A199" s="508" t="s">
        <v>5300</v>
      </c>
      <c r="B199" s="509" t="s">
        <v>2542</v>
      </c>
      <c r="C199" s="510" t="s">
        <v>2543</v>
      </c>
      <c r="D199" s="511">
        <v>3</v>
      </c>
      <c r="E199" s="509"/>
      <c r="F199" s="509"/>
      <c r="G199" s="509"/>
      <c r="H199" s="509"/>
      <c r="I199" s="509"/>
      <c r="J199" s="509"/>
      <c r="K199" s="512"/>
      <c r="L199" s="512"/>
      <c r="M199" s="512"/>
      <c r="N199" s="512"/>
      <c r="O199" s="512"/>
      <c r="P199" s="512"/>
      <c r="Q199" s="512"/>
      <c r="R199" s="512"/>
      <c r="S199" s="512"/>
      <c r="T199" s="512"/>
      <c r="U199" s="512"/>
      <c r="V199" s="512"/>
      <c r="W199" s="512"/>
      <c r="X199" s="512"/>
      <c r="Y199" s="512"/>
      <c r="Z199" s="512"/>
      <c r="AA199" s="512"/>
      <c r="AB199" s="512"/>
      <c r="AC199" s="512"/>
      <c r="AD199" s="512"/>
      <c r="AE199" s="512"/>
      <c r="AF199" s="512"/>
      <c r="AG199" s="512"/>
      <c r="AH199" s="512"/>
      <c r="AI199" s="512"/>
      <c r="AJ199" s="512"/>
      <c r="AK199" s="512"/>
      <c r="AL199" s="512"/>
      <c r="AM199" s="512"/>
      <c r="AN199" s="512"/>
      <c r="AO199" s="512"/>
      <c r="AP199" s="512"/>
      <c r="AQ199" s="512"/>
      <c r="AR199" s="512"/>
    </row>
    <row r="200" spans="1:44" x14ac:dyDescent="0.3">
      <c r="A200" s="504" t="s">
        <v>5351</v>
      </c>
      <c r="B200" s="40" t="s">
        <v>2821</v>
      </c>
      <c r="C200" s="505" t="s">
        <v>2822</v>
      </c>
      <c r="D200" s="507">
        <v>-3</v>
      </c>
      <c r="E200" s="40"/>
      <c r="F200" s="40"/>
      <c r="G200" s="40"/>
      <c r="H200" s="40"/>
      <c r="I200" s="40"/>
      <c r="J200" s="40"/>
    </row>
    <row r="201" spans="1:44" x14ac:dyDescent="0.3">
      <c r="A201" s="504" t="s">
        <v>5301</v>
      </c>
      <c r="B201" s="40" t="s">
        <v>617</v>
      </c>
      <c r="C201" s="505" t="s">
        <v>2709</v>
      </c>
      <c r="D201" s="507">
        <v>2</v>
      </c>
      <c r="E201" s="40"/>
      <c r="F201" s="40"/>
      <c r="G201" s="40"/>
      <c r="H201" s="40"/>
      <c r="I201" s="40"/>
      <c r="J201" s="40"/>
    </row>
    <row r="202" spans="1:44" x14ac:dyDescent="0.3">
      <c r="A202" s="504" t="s">
        <v>5352</v>
      </c>
      <c r="B202" s="40" t="s">
        <v>659</v>
      </c>
      <c r="C202" s="505" t="s">
        <v>2826</v>
      </c>
      <c r="D202" s="507">
        <v>-5</v>
      </c>
    </row>
    <row r="203" spans="1:44" x14ac:dyDescent="0.3">
      <c r="A203" s="504" t="s">
        <v>1925</v>
      </c>
      <c r="B203" s="40" t="s">
        <v>2745</v>
      </c>
      <c r="C203" s="505" t="s">
        <v>2746</v>
      </c>
      <c r="D203" s="507">
        <v>8</v>
      </c>
      <c r="E203" s="40"/>
      <c r="F203" s="40"/>
      <c r="G203" s="40"/>
      <c r="H203" s="40"/>
      <c r="I203" s="40"/>
      <c r="J203" s="40"/>
    </row>
    <row r="204" spans="1:44" x14ac:dyDescent="0.3">
      <c r="A204" s="504" t="s">
        <v>5302</v>
      </c>
      <c r="B204" s="40" t="s">
        <v>277</v>
      </c>
      <c r="C204" s="505" t="s">
        <v>5353</v>
      </c>
      <c r="D204" s="507">
        <v>0</v>
      </c>
    </row>
  </sheetData>
  <sortState ref="A3:AZ195">
    <sortCondition ref="A3:A195"/>
  </sortState>
  <conditionalFormatting sqref="P4:U16 P19:U116 E4:O116 AS4:BF202 E3:BF3 V4:AR116 E117:AR202">
    <cfRule type="cellIs" dxfId="1" priority="3" operator="notEqual">
      <formula>0</formula>
    </cfRule>
  </conditionalFormatting>
  <conditionalFormatting sqref="R17">
    <cfRule type="cellIs" dxfId="0" priority="1" operator="notEqual">
      <formula>0</formula>
    </cfRule>
  </conditionalFormatting>
  <pageMargins left="0.7" right="0.7" top="0.78740157499999996" bottom="0.78740157499999996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21</vt:i4>
      </vt:variant>
      <vt:variant>
        <vt:lpstr>Pojmenované oblasti</vt:lpstr>
      </vt:variant>
      <vt:variant>
        <vt:i4>224</vt:i4>
      </vt:variant>
    </vt:vector>
  </HeadingPairs>
  <TitlesOfParts>
    <vt:vector size="245" baseType="lpstr">
      <vt:lpstr>Tvorba postavy</vt:lpstr>
      <vt:lpstr>SHOP</vt:lpstr>
      <vt:lpstr>Věci</vt:lpstr>
      <vt:lpstr>1-Vlastnosti</vt:lpstr>
      <vt:lpstr>2-Vzhled a charakter</vt:lpstr>
      <vt:lpstr>3-Schopnosti</vt:lpstr>
      <vt:lpstr>4-Dovednosti</vt:lpstr>
      <vt:lpstr>Max_DOV</vt:lpstr>
      <vt:lpstr>5-Majetek</vt:lpstr>
      <vt:lpstr>6-Kouzla</vt:lpstr>
      <vt:lpstr>7-Tabulky</vt:lpstr>
      <vt:lpstr>Úsporný tisk</vt:lpstr>
      <vt:lpstr>8-Pomocníci</vt:lpstr>
      <vt:lpstr>8-Sklad</vt:lpstr>
      <vt:lpstr>9-Evidence</vt:lpstr>
      <vt:lpstr>10-BOJ</vt:lpstr>
      <vt:lpstr>Rasy</vt:lpstr>
      <vt:lpstr>Povolání</vt:lpstr>
      <vt:lpstr>Změny</vt:lpstr>
      <vt:lpstr>Schopnosti</vt:lpstr>
      <vt:lpstr>Veverka</vt:lpstr>
      <vt:lpstr>AOBR</vt:lpstr>
      <vt:lpstr>ASIL</vt:lpstr>
      <vt:lpstr>bÚr</vt:lpstr>
      <vt:lpstr>COPY_Akrobacie</vt:lpstr>
      <vt:lpstr>COPY_ALCH_POMUCKY</vt:lpstr>
      <vt:lpstr>COPY_Atletika</vt:lpstr>
      <vt:lpstr>COPY_Beduínština</vt:lpstr>
      <vt:lpstr>COPY_Bestiologie</vt:lpstr>
      <vt:lpstr>COPY_Bezne_vybaveni</vt:lpstr>
      <vt:lpstr>COPY_Blokování</vt:lpstr>
      <vt:lpstr>COPY_Boj_s_holí</vt:lpstr>
      <vt:lpstr>COPY_Boj_s_noži</vt:lpstr>
      <vt:lpstr>COPY_Boj_ve_zbroji</vt:lpstr>
      <vt:lpstr>COPY_Bonus_Kondice</vt:lpstr>
      <vt:lpstr>COPY_Bonusy</vt:lpstr>
      <vt:lpstr>COPY_Bonusy_Dovednosti</vt:lpstr>
      <vt:lpstr>COPY_Botanika</vt:lpstr>
      <vt:lpstr>COPY_Celestial</vt:lpstr>
      <vt:lpstr>COPY_Černá_řeč</vt:lpstr>
      <vt:lpstr>COPY_Diplomacie</vt:lpstr>
      <vt:lpstr>COPY_DOVED_PLUS</vt:lpstr>
      <vt:lpstr>COPY_Drakomluva</vt:lpstr>
      <vt:lpstr>COPY_Drcení</vt:lpstr>
      <vt:lpstr>COPY_Drobnosti</vt:lpstr>
      <vt:lpstr>COPY_Elfština</vt:lpstr>
      <vt:lpstr>COPY_Gramotnost</vt:lpstr>
      <vt:lpstr>COPY_Handlířství</vt:lpstr>
      <vt:lpstr>COPY_Historie</vt:lpstr>
      <vt:lpstr>COPY_Hudba</vt:lpstr>
      <vt:lpstr>COPY_Charakter</vt:lpstr>
      <vt:lpstr>COPY_Infernal</vt:lpstr>
      <vt:lpstr>COPY_INI_kouzleni</vt:lpstr>
      <vt:lpstr>COPY_Jezdectví</vt:lpstr>
      <vt:lpstr>COPY_Jine</vt:lpstr>
      <vt:lpstr>COPY_Jmeno</vt:lpstr>
      <vt:lpstr>COPY_Kartografie</vt:lpstr>
      <vt:lpstr>COPY_KDE_Ucitel</vt:lpstr>
      <vt:lpstr>COPY_Kladna1</vt:lpstr>
      <vt:lpstr>COPY_Kladna2a3</vt:lpstr>
      <vt:lpstr>COPY_Kontakty</vt:lpstr>
      <vt:lpstr>Copy_Kouzla_Specializace</vt:lpstr>
      <vt:lpstr>COPY_Kouzla1</vt:lpstr>
      <vt:lpstr>COPY_Kouzla2</vt:lpstr>
      <vt:lpstr>COPY_Kouzlení</vt:lpstr>
      <vt:lpstr>COPY_Kredo</vt:lpstr>
      <vt:lpstr>COPY_Lékařství</vt:lpstr>
      <vt:lpstr>COPY_Letectví</vt:lpstr>
      <vt:lpstr>COPY_Lodivodství</vt:lpstr>
      <vt:lpstr>COPY_MAG_BONUSY</vt:lpstr>
      <vt:lpstr>COPY_Magy1</vt:lpstr>
      <vt:lpstr>COPY_Magy2</vt:lpstr>
      <vt:lpstr>COPY_Magy3</vt:lpstr>
      <vt:lpstr>COPY_Mazlíček</vt:lpstr>
      <vt:lpstr>COPY_Mince</vt:lpstr>
      <vt:lpstr>COPY_Mineralogie</vt:lpstr>
      <vt:lpstr>COPY_Mise</vt:lpstr>
      <vt:lpstr>COPY_NarozD</vt:lpstr>
      <vt:lpstr>COPY_NarozM</vt:lpstr>
      <vt:lpstr>COPY_NarozR</vt:lpstr>
      <vt:lpstr>COPY_Navyseni_vlastnosti</vt:lpstr>
      <vt:lpstr>COPY_Nelibosti</vt:lpstr>
      <vt:lpstr>COPY_Nenápadnost</vt:lpstr>
      <vt:lpstr>COPY_NESENE_VYBAVENI2</vt:lpstr>
      <vt:lpstr>COPY_Oci</vt:lpstr>
      <vt:lpstr>COPY_Okultismus</vt:lpstr>
      <vt:lpstr>COPY_Omezeni</vt:lpstr>
      <vt:lpstr>COPY_Orientace</vt:lpstr>
      <vt:lpstr>COPY_Otužilost</vt:lpstr>
      <vt:lpstr>COPY_OU_Bonus</vt:lpstr>
      <vt:lpstr>COPY_PaD</vt:lpstr>
      <vt:lpstr>COPY_Péče_o_zvířata</vt:lpstr>
      <vt:lpstr>COPY_Pomocmík_1</vt:lpstr>
      <vt:lpstr>COPY_Pomocmík_2</vt:lpstr>
      <vt:lpstr>COPY_Pomocmík_3</vt:lpstr>
      <vt:lpstr>COPY_POUTO</vt:lpstr>
      <vt:lpstr>COPY_Pouziti1</vt:lpstr>
      <vt:lpstr>COPY_Pouziti2</vt:lpstr>
      <vt:lpstr>COPY_Pouziti3</vt:lpstr>
      <vt:lpstr>COPY_Pouziti4</vt:lpstr>
      <vt:lpstr>COPY_Pouziti5</vt:lpstr>
      <vt:lpstr>COPY_Pouziti6</vt:lpstr>
      <vt:lpstr>COPY_Povolani1</vt:lpstr>
      <vt:lpstr>COPY_Povolani2</vt:lpstr>
      <vt:lpstr>COPY_Poznamky1</vt:lpstr>
      <vt:lpstr>COPY_Poznamky2</vt:lpstr>
      <vt:lpstr>COPY_Poznamky3</vt:lpstr>
      <vt:lpstr>COPY_Poznámky4</vt:lpstr>
      <vt:lpstr>COPY_Pratele</vt:lpstr>
      <vt:lpstr>COPY_Presvedceni</vt:lpstr>
      <vt:lpstr>COPY_Procenta</vt:lpstr>
      <vt:lpstr>COPY_PROF_VOL</vt:lpstr>
      <vt:lpstr>COPY_Přetvářka</vt:lpstr>
      <vt:lpstr>COPY_Rasa</vt:lpstr>
      <vt:lpstr>COPY_RJ</vt:lpstr>
      <vt:lpstr>COPY_Role_v_druzine</vt:lpstr>
      <vt:lpstr>COPY_Rozvoj</vt:lpstr>
      <vt:lpstr>COPY_Rybolov</vt:lpstr>
      <vt:lpstr>COPY_Řemesla</vt:lpstr>
      <vt:lpstr>COPY_Řeznictví</vt:lpstr>
      <vt:lpstr>COPY_Sebekontrola</vt:lpstr>
      <vt:lpstr>COPY_Schopnosti1</vt:lpstr>
      <vt:lpstr>COPY_Schopnosti2</vt:lpstr>
      <vt:lpstr>COPY_Signalizace</vt:lpstr>
      <vt:lpstr>COPY_Sociologie</vt:lpstr>
      <vt:lpstr>COPY_SPEC_ZBR</vt:lpstr>
      <vt:lpstr>COPY_Startovni_hody</vt:lpstr>
      <vt:lpstr>COPY_Statusy</vt:lpstr>
      <vt:lpstr>COPY_Strachy</vt:lpstr>
      <vt:lpstr>COPY_Střelba</vt:lpstr>
      <vt:lpstr>COPY_Styl</vt:lpstr>
      <vt:lpstr>COPY_Svádění</vt:lpstr>
      <vt:lpstr>COPY_Šerm</vt:lpstr>
      <vt:lpstr>COPY_Teologie</vt:lpstr>
      <vt:lpstr>COPY_Tianština</vt:lpstr>
      <vt:lpstr>COPY_Trpasličtina</vt:lpstr>
      <vt:lpstr>COPY_Tvar</vt:lpstr>
      <vt:lpstr>COPY_Typ_magie1</vt:lpstr>
      <vt:lpstr>COPY_Typ_magie2</vt:lpstr>
      <vt:lpstr>COPY_Ucitel</vt:lpstr>
      <vt:lpstr>COPY_Uctiva</vt:lpstr>
      <vt:lpstr>COPY_Učitelství</vt:lpstr>
      <vt:lpstr>COPY_Udalosti</vt:lpstr>
      <vt:lpstr>COPY_Uroven1</vt:lpstr>
      <vt:lpstr>COPY_Uroven2</vt:lpstr>
      <vt:lpstr>COPY_VADA</vt:lpstr>
      <vt:lpstr>COPY_VAha</vt:lpstr>
      <vt:lpstr>COPY_Vazby</vt:lpstr>
      <vt:lpstr>COPY_Vira</vt:lpstr>
      <vt:lpstr>COPY_Vlasy</vt:lpstr>
      <vt:lpstr>COPY_VOLBA</vt:lpstr>
      <vt:lpstr>COPY_Vrh</vt:lpstr>
      <vt:lpstr>COPY_Vyhrožování</vt:lpstr>
      <vt:lpstr>COPY_Vyska</vt:lpstr>
      <vt:lpstr>COPY_VZHLED</vt:lpstr>
      <vt:lpstr>COPY_XP</vt:lpstr>
      <vt:lpstr>COPY_Zálesáctví</vt:lpstr>
      <vt:lpstr>COPY_Zaliby</vt:lpstr>
      <vt:lpstr>COPY_Zápas</vt:lpstr>
      <vt:lpstr>COPY_Zaporna1</vt:lpstr>
      <vt:lpstr>COPY_Zaporna2a3</vt:lpstr>
      <vt:lpstr>COPY_ZBonusy1</vt:lpstr>
      <vt:lpstr>COPY_ZBonusy2</vt:lpstr>
      <vt:lpstr>COPY_ZBonusy3</vt:lpstr>
      <vt:lpstr>COPY_ZBonusy4</vt:lpstr>
      <vt:lpstr>COPY_ZBonusy5</vt:lpstr>
      <vt:lpstr>COPY_ZBonusy6</vt:lpstr>
      <vt:lpstr>COPY_Zbran1</vt:lpstr>
      <vt:lpstr>COPY_Zbran2A</vt:lpstr>
      <vt:lpstr>COPY_Zbran2B</vt:lpstr>
      <vt:lpstr>COPY_Zbran3</vt:lpstr>
      <vt:lpstr>COPY_Zbran4</vt:lpstr>
      <vt:lpstr>COPY_Zbran5</vt:lpstr>
      <vt:lpstr>Copy_Zbran5B</vt:lpstr>
      <vt:lpstr>COPY_Zbran6</vt:lpstr>
      <vt:lpstr>COPY_Zbrane</vt:lpstr>
      <vt:lpstr>COPY_Zbrane_Kde</vt:lpstr>
      <vt:lpstr>COPY_Zbroj_MB</vt:lpstr>
      <vt:lpstr>COPY_Zbroje</vt:lpstr>
      <vt:lpstr>COPY_Zlodějský_žargon</vt:lpstr>
      <vt:lpstr>COPY_Zoologie</vt:lpstr>
      <vt:lpstr>COPY_Zvlastni_vzhled</vt:lpstr>
      <vt:lpstr>COPY_Zvyky</vt:lpstr>
      <vt:lpstr>Čich</vt:lpstr>
      <vt:lpstr>Dovednosti_data1</vt:lpstr>
      <vt:lpstr>Dovednosti_data2</vt:lpstr>
      <vt:lpstr>DST</vt:lpstr>
      <vt:lpstr>'3-Schopnosti'!Extrakce</vt:lpstr>
      <vt:lpstr>'Úsporný tisk'!Extrakce</vt:lpstr>
      <vt:lpstr>'3-Schopnosti'!Extrakce1</vt:lpstr>
      <vt:lpstr>'3-Schopnosti'!Extrakce2</vt:lpstr>
      <vt:lpstr>Fortel</vt:lpstr>
      <vt:lpstr>Hmat</vt:lpstr>
      <vt:lpstr>Hudba</vt:lpstr>
      <vt:lpstr>CHR</vt:lpstr>
      <vt:lpstr>Chuť</vt:lpstr>
      <vt:lpstr>INT</vt:lpstr>
      <vt:lpstr>Kouzleni</vt:lpstr>
      <vt:lpstr>'3-Schopnosti'!Kriteria</vt:lpstr>
      <vt:lpstr>'Úsporný tisk'!Kriteria</vt:lpstr>
      <vt:lpstr>'3-Schopnosti'!Kriteria1</vt:lpstr>
      <vt:lpstr>'3-Schopnosti'!Kriteria2</vt:lpstr>
      <vt:lpstr>KRS</vt:lpstr>
      <vt:lpstr>KV_1</vt:lpstr>
      <vt:lpstr>KV_2</vt:lpstr>
      <vt:lpstr>KV_3</vt:lpstr>
      <vt:lpstr>NBZ</vt:lpstr>
      <vt:lpstr>'10-BOJ'!Oblast_tisku</vt:lpstr>
      <vt:lpstr>'1-Vlastnosti'!Oblast_tisku</vt:lpstr>
      <vt:lpstr>'2-Vzhled a charakter'!Oblast_tisku</vt:lpstr>
      <vt:lpstr>'3-Schopnosti'!Oblast_tisku</vt:lpstr>
      <vt:lpstr>'4-Dovednosti'!Oblast_tisku</vt:lpstr>
      <vt:lpstr>'5-Majetek'!Oblast_tisku</vt:lpstr>
      <vt:lpstr>'6-Kouzla'!Oblast_tisku</vt:lpstr>
      <vt:lpstr>'7-Tabulky'!Oblast_tisku</vt:lpstr>
      <vt:lpstr>'8-Pomocníci'!Oblast_tisku</vt:lpstr>
      <vt:lpstr>'8-Sklad'!Oblast_tisku</vt:lpstr>
      <vt:lpstr>'9-Evidence'!Oblast_tisku</vt:lpstr>
      <vt:lpstr>SHOP!Oblast_tisku</vt:lpstr>
      <vt:lpstr>'Tvorba postavy'!Oblast_tisku</vt:lpstr>
      <vt:lpstr>'Úsporný tisk'!Oblast_tisku</vt:lpstr>
      <vt:lpstr>OBR</vt:lpstr>
      <vt:lpstr>ODL</vt:lpstr>
      <vt:lpstr>Otužilost</vt:lpstr>
      <vt:lpstr>Rasa</vt:lpstr>
      <vt:lpstr>RCH</vt:lpstr>
      <vt:lpstr>Schopnosti_Data</vt:lpstr>
      <vt:lpstr>sChr</vt:lpstr>
      <vt:lpstr>SIL</vt:lpstr>
      <vt:lpstr>sInt</vt:lpstr>
      <vt:lpstr>Sluch</vt:lpstr>
      <vt:lpstr>sObr</vt:lpstr>
      <vt:lpstr>sSil</vt:lpstr>
      <vt:lpstr>sSms</vt:lpstr>
      <vt:lpstr>sVol</vt:lpstr>
      <vt:lpstr>sZrč</vt:lpstr>
      <vt:lpstr>Úr</vt:lpstr>
      <vt:lpstr>VDR</vt:lpstr>
      <vt:lpstr>VEL</vt:lpstr>
      <vt:lpstr>VOL</vt:lpstr>
      <vt:lpstr>Zrak</vt:lpstr>
      <vt:lpstr>ZRČ</vt:lpstr>
      <vt:lpstr>ZV_1</vt:lpstr>
      <vt:lpstr>ZV_2</vt:lpstr>
      <vt:lpstr>ZV_3</vt:lpstr>
    </vt:vector>
  </TitlesOfParts>
  <Company>...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Matoška</cp:lastModifiedBy>
  <cp:lastPrinted>2020-11-03T18:04:05Z</cp:lastPrinted>
  <dcterms:created xsi:type="dcterms:W3CDTF">2012-12-30T11:38:37Z</dcterms:created>
  <dcterms:modified xsi:type="dcterms:W3CDTF">2025-08-03T07:41:46Z</dcterms:modified>
</cp:coreProperties>
</file>